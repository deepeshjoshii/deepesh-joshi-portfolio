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drawings/drawing5.xml" ContentType="application/vnd.openxmlformats-officedocument.drawing+xml"/>
  <Override PartName="/xl/ctrlProps/ctrlProp5.xml" ContentType="application/vnd.ms-excel.controlproperties+xml"/>
  <Override PartName="/xl/drawings/drawing6.xml" ContentType="application/vnd.openxmlformats-officedocument.drawing+xml"/>
  <Override PartName="/xl/ctrlProps/ctrlProp6.xml" ContentType="application/vnd.ms-excel.controlproperties+xml"/>
  <Override PartName="/xl/drawings/drawing7.xml" ContentType="application/vnd.openxmlformats-officedocument.drawing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epeshJ\Documents\Deepesh\IPO\Juniper Green\"/>
    </mc:Choice>
  </mc:AlternateContent>
  <bookViews>
    <workbookView xWindow="0" yWindow="0" windowWidth="24000" windowHeight="9510" tabRatio="500"/>
  </bookViews>
  <sheets>
    <sheet name="Executive Summary" sheetId="1" r:id="rId1"/>
    <sheet name="Assumptions" sheetId="2" r:id="rId2"/>
    <sheet name="Revenue Model" sheetId="3" r:id="rId3"/>
    <sheet name="Capex Model" sheetId="4" r:id="rId4"/>
    <sheet name="Debt Model" sheetId="5" r:id="rId5"/>
    <sheet name="P&amp;L" sheetId="6" r:id="rId6"/>
    <sheet name="Balance Sheet" sheetId="7" r:id="rId7"/>
    <sheet name="Cash Flow &amp; FCFE" sheetId="8" r:id="rId8"/>
    <sheet name="Valuation" sheetId="9" r:id="rId9"/>
    <sheet name="Ratios" sheetId="10" r:id="rId10"/>
  </sheets>
  <calcPr calcId="162913" iterateDelta="1E-4"/>
  <fileRecoveryPr repairLoad="1"/>
</workbook>
</file>

<file path=xl/calcChain.xml><?xml version="1.0" encoding="utf-8"?>
<calcChain xmlns="http://schemas.openxmlformats.org/spreadsheetml/2006/main">
  <c r="B24" i="9" l="1"/>
  <c r="I4" i="1"/>
  <c r="G4" i="1"/>
  <c r="B11" i="2" l="1"/>
  <c r="B4" i="2" l="1"/>
  <c r="E45" i="2" s="1"/>
  <c r="I52" i="3" s="1"/>
  <c r="D38" i="10"/>
  <c r="C38" i="10"/>
  <c r="B38" i="10"/>
  <c r="D30" i="10"/>
  <c r="C30" i="10"/>
  <c r="B30" i="10"/>
  <c r="B29" i="10"/>
  <c r="D28" i="10"/>
  <c r="C28" i="10"/>
  <c r="B28" i="10"/>
  <c r="D25" i="10"/>
  <c r="B25" i="10"/>
  <c r="D24" i="10"/>
  <c r="C24" i="10"/>
  <c r="B24" i="10"/>
  <c r="D21" i="10"/>
  <c r="C21" i="10"/>
  <c r="B21" i="10"/>
  <c r="D20" i="10"/>
  <c r="C20" i="10"/>
  <c r="B20" i="10"/>
  <c r="B15" i="10"/>
  <c r="D14" i="10"/>
  <c r="D9" i="10"/>
  <c r="B7" i="10"/>
  <c r="I50" i="9"/>
  <c r="H50" i="9"/>
  <c r="G50" i="9"/>
  <c r="F50" i="9"/>
  <c r="I49" i="9"/>
  <c r="H49" i="9"/>
  <c r="G49" i="9"/>
  <c r="F49" i="9"/>
  <c r="I48" i="9"/>
  <c r="H48" i="9"/>
  <c r="G48" i="9"/>
  <c r="F48" i="9"/>
  <c r="I47" i="9"/>
  <c r="H47" i="9"/>
  <c r="G47" i="9"/>
  <c r="F47" i="9"/>
  <c r="I46" i="9"/>
  <c r="D37" i="9"/>
  <c r="C37" i="9"/>
  <c r="B37" i="9"/>
  <c r="D34" i="9"/>
  <c r="C34" i="9"/>
  <c r="B34" i="9"/>
  <c r="B31" i="9"/>
  <c r="B37" i="10" s="1"/>
  <c r="B26" i="9"/>
  <c r="B25" i="9"/>
  <c r="C8" i="9"/>
  <c r="B8" i="9"/>
  <c r="D7" i="9"/>
  <c r="D8" i="9" s="1"/>
  <c r="C7" i="9"/>
  <c r="D35" i="8"/>
  <c r="D34" i="8"/>
  <c r="C34" i="8"/>
  <c r="B34" i="8"/>
  <c r="D32" i="8"/>
  <c r="C32" i="8"/>
  <c r="B32" i="8"/>
  <c r="D31" i="8"/>
  <c r="C31" i="8"/>
  <c r="B31" i="8"/>
  <c r="B35" i="8" s="1"/>
  <c r="D30" i="8"/>
  <c r="C30" i="8"/>
  <c r="C35" i="8" s="1"/>
  <c r="B30" i="8"/>
  <c r="E26" i="8"/>
  <c r="D26" i="8"/>
  <c r="C26" i="8"/>
  <c r="D25" i="8"/>
  <c r="C25" i="8"/>
  <c r="B25" i="8"/>
  <c r="E22" i="8"/>
  <c r="I21" i="8"/>
  <c r="H21" i="8"/>
  <c r="G21" i="8"/>
  <c r="F21" i="8"/>
  <c r="E20" i="8"/>
  <c r="I9" i="8"/>
  <c r="H9" i="8"/>
  <c r="G9" i="8"/>
  <c r="F9" i="8"/>
  <c r="E9" i="8"/>
  <c r="D25" i="7"/>
  <c r="C25" i="7"/>
  <c r="C27" i="7" s="1"/>
  <c r="B25" i="7"/>
  <c r="E23" i="7"/>
  <c r="F23" i="7" s="1"/>
  <c r="G23" i="7" s="1"/>
  <c r="H23" i="7" s="1"/>
  <c r="I23" i="7" s="1"/>
  <c r="D17" i="7"/>
  <c r="D13" i="10" s="1"/>
  <c r="C17" i="7"/>
  <c r="C13" i="10" s="1"/>
  <c r="B17" i="7"/>
  <c r="D12" i="7"/>
  <c r="C12" i="7"/>
  <c r="C28" i="7" s="1"/>
  <c r="B12" i="7"/>
  <c r="F11" i="7"/>
  <c r="G11" i="7" s="1"/>
  <c r="H11" i="7" s="1"/>
  <c r="I11" i="7" s="1"/>
  <c r="E11" i="7"/>
  <c r="E70" i="6"/>
  <c r="F70" i="6" s="1"/>
  <c r="G70" i="6" s="1"/>
  <c r="H70" i="6" s="1"/>
  <c r="I70" i="6" s="1"/>
  <c r="D67" i="6"/>
  <c r="E64" i="6"/>
  <c r="D62" i="6"/>
  <c r="E59" i="6"/>
  <c r="E50" i="6"/>
  <c r="E45" i="6"/>
  <c r="D39" i="6"/>
  <c r="C39" i="6"/>
  <c r="B39" i="6"/>
  <c r="D34" i="6"/>
  <c r="C34" i="6"/>
  <c r="B34" i="6"/>
  <c r="D26" i="6"/>
  <c r="D15" i="10" s="1"/>
  <c r="B26" i="6"/>
  <c r="D24" i="6"/>
  <c r="C24" i="6"/>
  <c r="B24" i="6"/>
  <c r="E22" i="6"/>
  <c r="G20" i="6"/>
  <c r="F20" i="6"/>
  <c r="E20" i="6"/>
  <c r="D17" i="6"/>
  <c r="C17" i="6"/>
  <c r="C25" i="10" s="1"/>
  <c r="B17" i="6"/>
  <c r="E16" i="6"/>
  <c r="F16" i="6" s="1"/>
  <c r="G16" i="6" s="1"/>
  <c r="H16" i="6" s="1"/>
  <c r="I16" i="6" s="1"/>
  <c r="E10" i="6"/>
  <c r="F10" i="6" s="1"/>
  <c r="G10" i="6" s="1"/>
  <c r="D8" i="6"/>
  <c r="D8" i="10" s="1"/>
  <c r="C8" i="6"/>
  <c r="C8" i="10" s="1"/>
  <c r="B8" i="6"/>
  <c r="B8" i="10" s="1"/>
  <c r="E7" i="6"/>
  <c r="F7" i="6" s="1"/>
  <c r="G7" i="6" s="1"/>
  <c r="H7" i="6" s="1"/>
  <c r="I7" i="6" s="1"/>
  <c r="B12" i="5"/>
  <c r="E32" i="6" s="1"/>
  <c r="B9" i="5"/>
  <c r="I34" i="4"/>
  <c r="I33" i="4"/>
  <c r="I32" i="4"/>
  <c r="I31" i="4"/>
  <c r="I30" i="4"/>
  <c r="I29" i="4"/>
  <c r="I28" i="4"/>
  <c r="I27" i="4"/>
  <c r="I26" i="4"/>
  <c r="I25" i="4"/>
  <c r="I24" i="4"/>
  <c r="I23" i="4"/>
  <c r="J22" i="4"/>
  <c r="Q22" i="4" s="1"/>
  <c r="I22" i="4"/>
  <c r="H22" i="4"/>
  <c r="J21" i="4"/>
  <c r="I21" i="4"/>
  <c r="H21" i="4"/>
  <c r="I20" i="4"/>
  <c r="H20" i="4"/>
  <c r="I19" i="4"/>
  <c r="H19" i="4"/>
  <c r="Q18" i="4"/>
  <c r="I18" i="4"/>
  <c r="H18" i="4"/>
  <c r="I17" i="4"/>
  <c r="H17" i="4"/>
  <c r="I16" i="4"/>
  <c r="H16" i="4"/>
  <c r="I15" i="4"/>
  <c r="H15" i="4"/>
  <c r="I14" i="4"/>
  <c r="H14" i="4"/>
  <c r="I13" i="4"/>
  <c r="H13" i="4"/>
  <c r="J12" i="4"/>
  <c r="I12" i="4"/>
  <c r="H12" i="4"/>
  <c r="I11" i="4"/>
  <c r="H11" i="4"/>
  <c r="J10" i="4"/>
  <c r="Q10" i="4" s="1"/>
  <c r="I10" i="4"/>
  <c r="H10" i="4"/>
  <c r="K9" i="4"/>
  <c r="J9" i="4"/>
  <c r="Q9" i="4" s="1"/>
  <c r="I9" i="4"/>
  <c r="H9" i="4"/>
  <c r="I8" i="4"/>
  <c r="H8" i="4"/>
  <c r="I7" i="4"/>
  <c r="H7" i="4"/>
  <c r="J6" i="4"/>
  <c r="I6" i="4"/>
  <c r="H6" i="4"/>
  <c r="I5" i="4"/>
  <c r="H5" i="4"/>
  <c r="G52" i="3"/>
  <c r="G51" i="3"/>
  <c r="G50" i="3"/>
  <c r="G49" i="3"/>
  <c r="G48" i="3"/>
  <c r="G47" i="3"/>
  <c r="G46" i="3"/>
  <c r="G45" i="3"/>
  <c r="G44" i="3"/>
  <c r="G43" i="3"/>
  <c r="G42" i="3"/>
  <c r="G41" i="3"/>
  <c r="T40" i="3"/>
  <c r="R40" i="3"/>
  <c r="P40" i="3"/>
  <c r="N40" i="3"/>
  <c r="L40" i="3"/>
  <c r="J40" i="3"/>
  <c r="G40" i="3"/>
  <c r="T39" i="3"/>
  <c r="R39" i="3"/>
  <c r="P39" i="3"/>
  <c r="N39" i="3"/>
  <c r="J39" i="3"/>
  <c r="L39" i="3" s="1"/>
  <c r="G39" i="3"/>
  <c r="J38" i="3"/>
  <c r="G38" i="3"/>
  <c r="P37" i="3"/>
  <c r="J37" i="3"/>
  <c r="G37" i="3"/>
  <c r="T36" i="3"/>
  <c r="R36" i="3"/>
  <c r="L36" i="3"/>
  <c r="J36" i="3"/>
  <c r="J18" i="4" s="1"/>
  <c r="G36" i="3"/>
  <c r="J35" i="3"/>
  <c r="T35" i="3" s="1"/>
  <c r="G35" i="3"/>
  <c r="J34" i="3"/>
  <c r="G34" i="3"/>
  <c r="T33" i="3"/>
  <c r="L33" i="3"/>
  <c r="J33" i="3"/>
  <c r="G33" i="3"/>
  <c r="J32" i="3"/>
  <c r="P32" i="3" s="1"/>
  <c r="G32" i="3"/>
  <c r="J31" i="3"/>
  <c r="G31" i="3"/>
  <c r="R30" i="3"/>
  <c r="N30" i="3"/>
  <c r="L30" i="3"/>
  <c r="J30" i="3"/>
  <c r="T30" i="3" s="1"/>
  <c r="G30" i="3"/>
  <c r="R29" i="3"/>
  <c r="P29" i="3"/>
  <c r="N29" i="3"/>
  <c r="L29" i="3"/>
  <c r="J29" i="3"/>
  <c r="T29" i="3" s="1"/>
  <c r="G29" i="3"/>
  <c r="T28" i="3"/>
  <c r="R28" i="3"/>
  <c r="P28" i="3"/>
  <c r="N28" i="3"/>
  <c r="L28" i="3"/>
  <c r="J28" i="3"/>
  <c r="G28" i="3"/>
  <c r="T27" i="3"/>
  <c r="R27" i="3"/>
  <c r="P27" i="3"/>
  <c r="N27" i="3"/>
  <c r="J27" i="3"/>
  <c r="L27" i="3" s="1"/>
  <c r="G27" i="3"/>
  <c r="K26" i="3"/>
  <c r="J26" i="3"/>
  <c r="G26" i="3"/>
  <c r="T25" i="3"/>
  <c r="R25" i="3"/>
  <c r="P25" i="3"/>
  <c r="K25" i="3"/>
  <c r="J25" i="3"/>
  <c r="G25" i="3"/>
  <c r="T24" i="3"/>
  <c r="R24" i="3"/>
  <c r="P24" i="3"/>
  <c r="L24" i="3"/>
  <c r="K24" i="3"/>
  <c r="J24" i="3"/>
  <c r="N24" i="3" s="1"/>
  <c r="G24" i="3"/>
  <c r="K23" i="3"/>
  <c r="J23" i="3"/>
  <c r="T23" i="3" s="1"/>
  <c r="J22" i="3"/>
  <c r="P22" i="3" s="1"/>
  <c r="G22" i="3"/>
  <c r="T21" i="3"/>
  <c r="J21" i="3"/>
  <c r="G21" i="3"/>
  <c r="T20" i="3"/>
  <c r="P20" i="3"/>
  <c r="J20" i="3"/>
  <c r="R20" i="3" s="1"/>
  <c r="G20" i="3"/>
  <c r="T19" i="3"/>
  <c r="R19" i="3"/>
  <c r="J19" i="3"/>
  <c r="P19" i="3" s="1"/>
  <c r="G19" i="3"/>
  <c r="R18" i="3"/>
  <c r="J18" i="3"/>
  <c r="P18" i="3" s="1"/>
  <c r="G18" i="3"/>
  <c r="T17" i="3"/>
  <c r="J17" i="3"/>
  <c r="R17" i="3" s="1"/>
  <c r="G17" i="3"/>
  <c r="T16" i="3"/>
  <c r="K16" i="3"/>
  <c r="J16" i="3"/>
  <c r="R16" i="3" s="1"/>
  <c r="G16" i="3"/>
  <c r="K15" i="3"/>
  <c r="J15" i="3"/>
  <c r="T15" i="3" s="1"/>
  <c r="G15" i="3"/>
  <c r="K14" i="3"/>
  <c r="J14" i="3"/>
  <c r="T14" i="3" s="1"/>
  <c r="G14" i="3"/>
  <c r="P13" i="3"/>
  <c r="N13" i="3"/>
  <c r="L13" i="3"/>
  <c r="K13" i="3"/>
  <c r="J13" i="3"/>
  <c r="T13" i="3" s="1"/>
  <c r="G13" i="3"/>
  <c r="P12" i="3"/>
  <c r="N12" i="3"/>
  <c r="L12" i="3"/>
  <c r="K12" i="3"/>
  <c r="J12" i="3"/>
  <c r="T12" i="3" s="1"/>
  <c r="G12" i="3"/>
  <c r="T11" i="3"/>
  <c r="R11" i="3"/>
  <c r="P11" i="3"/>
  <c r="N11" i="3"/>
  <c r="L11" i="3"/>
  <c r="K11" i="3"/>
  <c r="J11" i="3"/>
  <c r="T10" i="3"/>
  <c r="R10" i="3"/>
  <c r="P10" i="3"/>
  <c r="N10" i="3"/>
  <c r="L10" i="3"/>
  <c r="K10" i="3"/>
  <c r="J10" i="3"/>
  <c r="T9" i="3"/>
  <c r="R9" i="3"/>
  <c r="P9" i="3"/>
  <c r="K9" i="3"/>
  <c r="J9" i="3"/>
  <c r="N9" i="3" s="1"/>
  <c r="G9" i="3"/>
  <c r="T8" i="3"/>
  <c r="R8" i="3"/>
  <c r="P8" i="3"/>
  <c r="K8" i="3"/>
  <c r="J8" i="3"/>
  <c r="N8" i="3" s="1"/>
  <c r="G8" i="3"/>
  <c r="T7" i="3"/>
  <c r="R7" i="3"/>
  <c r="K7" i="3"/>
  <c r="J7" i="3"/>
  <c r="P7" i="3" s="1"/>
  <c r="G7" i="3"/>
  <c r="R6" i="3"/>
  <c r="K6" i="3"/>
  <c r="J6" i="3"/>
  <c r="P6" i="3" s="1"/>
  <c r="G6" i="3"/>
  <c r="T5" i="3"/>
  <c r="K5" i="3"/>
  <c r="J5" i="3"/>
  <c r="G5" i="3"/>
  <c r="B83" i="2"/>
  <c r="B68" i="2"/>
  <c r="B8" i="5" s="1"/>
  <c r="E21" i="8" s="1"/>
  <c r="B63" i="2"/>
  <c r="E15" i="7" s="1"/>
  <c r="B53" i="2"/>
  <c r="B52" i="2"/>
  <c r="E12" i="4" s="1"/>
  <c r="F12" i="4" s="1"/>
  <c r="R12" i="4" s="1"/>
  <c r="B36" i="2"/>
  <c r="K34" i="2"/>
  <c r="B23" i="2"/>
  <c r="C32" i="1"/>
  <c r="D31" i="1"/>
  <c r="B31" i="1"/>
  <c r="D30" i="1"/>
  <c r="B30" i="1"/>
  <c r="B32" i="1" s="1"/>
  <c r="D27" i="1"/>
  <c r="C27" i="1"/>
  <c r="B27" i="1"/>
  <c r="D26" i="1"/>
  <c r="C26" i="1"/>
  <c r="B26" i="1"/>
  <c r="B12" i="1"/>
  <c r="B11" i="1"/>
  <c r="B9" i="1"/>
  <c r="B8" i="1"/>
  <c r="D32" i="1" l="1"/>
  <c r="B64" i="2"/>
  <c r="B16" i="9" s="1"/>
  <c r="Q25" i="3"/>
  <c r="U5" i="3"/>
  <c r="U8" i="3"/>
  <c r="U15" i="3"/>
  <c r="S25" i="3"/>
  <c r="E49" i="2"/>
  <c r="G11" i="3" s="1"/>
  <c r="S11" i="3" s="1"/>
  <c r="Q9" i="3"/>
  <c r="E40" i="2"/>
  <c r="K33" i="3" s="1"/>
  <c r="U33" i="3" s="1"/>
  <c r="E41" i="2"/>
  <c r="K37" i="3" s="1"/>
  <c r="Q37" i="3" s="1"/>
  <c r="S9" i="3"/>
  <c r="B3" i="1"/>
  <c r="E44" i="2"/>
  <c r="I48" i="3" s="1"/>
  <c r="J48" i="3" s="1"/>
  <c r="U9" i="3"/>
  <c r="U16" i="3"/>
  <c r="Q8" i="3"/>
  <c r="S8" i="3"/>
  <c r="O8" i="3"/>
  <c r="Q24" i="3"/>
  <c r="S6" i="3"/>
  <c r="M12" i="3"/>
  <c r="U7" i="3"/>
  <c r="O9" i="3"/>
  <c r="O12" i="3"/>
  <c r="Q7" i="3"/>
  <c r="Q12" i="3"/>
  <c r="Q6" i="3"/>
  <c r="U12" i="3"/>
  <c r="U14" i="3"/>
  <c r="S26" i="3"/>
  <c r="U13" i="3"/>
  <c r="S16" i="3"/>
  <c r="T6" i="3"/>
  <c r="U6" i="3" s="1"/>
  <c r="S7" i="3"/>
  <c r="M13" i="3"/>
  <c r="L14" i="3"/>
  <c r="M14" i="3" s="1"/>
  <c r="T18" i="3"/>
  <c r="L32" i="3"/>
  <c r="L15" i="3"/>
  <c r="M15" i="3" s="1"/>
  <c r="L23" i="3"/>
  <c r="R35" i="3"/>
  <c r="I50" i="3"/>
  <c r="E66" i="6"/>
  <c r="E69" i="6"/>
  <c r="E71" i="6" s="1"/>
  <c r="E33" i="6" s="1"/>
  <c r="O24" i="3"/>
  <c r="M24" i="3"/>
  <c r="J20" i="4"/>
  <c r="N38" i="3"/>
  <c r="L38" i="3"/>
  <c r="T38" i="3"/>
  <c r="P38" i="3"/>
  <c r="O13" i="3"/>
  <c r="N14" i="3"/>
  <c r="O14" i="3" s="1"/>
  <c r="L16" i="3"/>
  <c r="M16" i="3" s="1"/>
  <c r="T31" i="3"/>
  <c r="R31" i="3"/>
  <c r="J13" i="4"/>
  <c r="R34" i="3"/>
  <c r="P34" i="3"/>
  <c r="J16" i="4"/>
  <c r="L34" i="3"/>
  <c r="R38" i="3"/>
  <c r="H34" i="4"/>
  <c r="J52" i="3"/>
  <c r="N15" i="3"/>
  <c r="L17" i="3"/>
  <c r="R21" i="3"/>
  <c r="P21" i="3"/>
  <c r="L22" i="3"/>
  <c r="S24" i="3"/>
  <c r="N26" i="3"/>
  <c r="O26" i="3" s="1"/>
  <c r="L26" i="3"/>
  <c r="M26" i="3" s="1"/>
  <c r="T26" i="3"/>
  <c r="U26" i="3" s="1"/>
  <c r="J8" i="4"/>
  <c r="J19" i="4"/>
  <c r="N37" i="3"/>
  <c r="L37" i="3"/>
  <c r="L6" i="3"/>
  <c r="M6" i="3" s="1"/>
  <c r="R12" i="3"/>
  <c r="S12" i="3" s="1"/>
  <c r="Q13" i="3"/>
  <c r="P14" i="3"/>
  <c r="Q14" i="3" s="1"/>
  <c r="O15" i="3"/>
  <c r="N16" i="3"/>
  <c r="L18" i="3"/>
  <c r="R23" i="3"/>
  <c r="L31" i="3"/>
  <c r="N7" i="4"/>
  <c r="T32" i="3"/>
  <c r="R32" i="3"/>
  <c r="N32" i="3"/>
  <c r="J14" i="4"/>
  <c r="Q14" i="4" s="1"/>
  <c r="N5" i="3"/>
  <c r="L7" i="3"/>
  <c r="R13" i="3"/>
  <c r="P15" i="3"/>
  <c r="Q15" i="3" s="1"/>
  <c r="O16" i="3"/>
  <c r="N17" i="3"/>
  <c r="L19" i="3"/>
  <c r="L21" i="3"/>
  <c r="N22" i="3"/>
  <c r="U24" i="3"/>
  <c r="N34" i="3"/>
  <c r="K7" i="4"/>
  <c r="L7" i="4" s="1"/>
  <c r="E22" i="4"/>
  <c r="F22" i="4" s="1"/>
  <c r="R22" i="4" s="1"/>
  <c r="E19" i="4"/>
  <c r="F19" i="4" s="1"/>
  <c r="R19" i="4" s="1"/>
  <c r="E15" i="4"/>
  <c r="F15" i="4" s="1"/>
  <c r="R15" i="4" s="1"/>
  <c r="E18" i="4"/>
  <c r="F18" i="4" s="1"/>
  <c r="R18" i="4" s="1"/>
  <c r="E13" i="4"/>
  <c r="F13" i="4" s="1"/>
  <c r="R13" i="4" s="1"/>
  <c r="E9" i="4"/>
  <c r="F9" i="4" s="1"/>
  <c r="R9" i="4" s="1"/>
  <c r="P9" i="4" s="1"/>
  <c r="E14" i="4"/>
  <c r="F14" i="4" s="1"/>
  <c r="R14" i="4" s="1"/>
  <c r="E8" i="4"/>
  <c r="F8" i="4" s="1"/>
  <c r="R8" i="4" s="1"/>
  <c r="E7" i="4"/>
  <c r="F7" i="4" s="1"/>
  <c r="R7" i="4" s="1"/>
  <c r="E6" i="4"/>
  <c r="F6" i="4" s="1"/>
  <c r="R6" i="4" s="1"/>
  <c r="E5" i="4"/>
  <c r="F5" i="4" s="1"/>
  <c r="R5" i="4" s="1"/>
  <c r="E20" i="4"/>
  <c r="F20" i="4" s="1"/>
  <c r="R20" i="4" s="1"/>
  <c r="E21" i="4"/>
  <c r="F21" i="4" s="1"/>
  <c r="R21" i="4" s="1"/>
  <c r="E16" i="4"/>
  <c r="F16" i="4" s="1"/>
  <c r="R16" i="4" s="1"/>
  <c r="E17" i="4"/>
  <c r="F17" i="4" s="1"/>
  <c r="R17" i="4" s="1"/>
  <c r="E11" i="4"/>
  <c r="F11" i="4" s="1"/>
  <c r="R11" i="4" s="1"/>
  <c r="E24" i="4"/>
  <c r="F24" i="4" s="1"/>
  <c r="R24" i="4" s="1"/>
  <c r="E23" i="4"/>
  <c r="F23" i="4" s="1"/>
  <c r="R23" i="4" s="1"/>
  <c r="E34" i="4"/>
  <c r="F34" i="4" s="1"/>
  <c r="R34" i="4" s="1"/>
  <c r="E31" i="4"/>
  <c r="F31" i="4" s="1"/>
  <c r="R31" i="4" s="1"/>
  <c r="E27" i="4"/>
  <c r="F27" i="4" s="1"/>
  <c r="R27" i="4" s="1"/>
  <c r="E28" i="4"/>
  <c r="F28" i="4" s="1"/>
  <c r="R28" i="4" s="1"/>
  <c r="E32" i="4"/>
  <c r="F32" i="4" s="1"/>
  <c r="R32" i="4" s="1"/>
  <c r="E29" i="4"/>
  <c r="F29" i="4" s="1"/>
  <c r="R29" i="4" s="1"/>
  <c r="E26" i="4"/>
  <c r="F26" i="4" s="1"/>
  <c r="R26" i="4" s="1"/>
  <c r="E33" i="4"/>
  <c r="F33" i="4" s="1"/>
  <c r="R33" i="4" s="1"/>
  <c r="O5" i="3"/>
  <c r="N6" i="3"/>
  <c r="O6" i="3" s="1"/>
  <c r="M7" i="3"/>
  <c r="L8" i="3"/>
  <c r="M8" i="3" s="1"/>
  <c r="S13" i="3"/>
  <c r="R14" i="3"/>
  <c r="P16" i="3"/>
  <c r="N18" i="3"/>
  <c r="L20" i="3"/>
  <c r="R22" i="3"/>
  <c r="P26" i="3"/>
  <c r="N31" i="3"/>
  <c r="J15" i="4"/>
  <c r="R33" i="3"/>
  <c r="P33" i="3"/>
  <c r="E25" i="4"/>
  <c r="F25" i="4" s="1"/>
  <c r="R25" i="4" s="1"/>
  <c r="Q6" i="4"/>
  <c r="K6" i="4"/>
  <c r="J5" i="4"/>
  <c r="P23" i="3"/>
  <c r="N23" i="3"/>
  <c r="E34" i="6"/>
  <c r="L5" i="3"/>
  <c r="M5" i="3" s="1"/>
  <c r="F15" i="7"/>
  <c r="P5" i="3"/>
  <c r="Q5" i="3" s="1"/>
  <c r="N7" i="3"/>
  <c r="O7" i="3" s="1"/>
  <c r="L9" i="3"/>
  <c r="M9" i="3" s="1"/>
  <c r="S14" i="3"/>
  <c r="R15" i="3"/>
  <c r="S15" i="3" s="1"/>
  <c r="Q16" i="3"/>
  <c r="P17" i="3"/>
  <c r="N19" i="3"/>
  <c r="N21" i="3"/>
  <c r="N25" i="3"/>
  <c r="L25" i="3"/>
  <c r="J7" i="4"/>
  <c r="Q7" i="4" s="1"/>
  <c r="Q26" i="3"/>
  <c r="P31" i="3"/>
  <c r="T34" i="3"/>
  <c r="R37" i="3"/>
  <c r="M7" i="4"/>
  <c r="Q21" i="4"/>
  <c r="K21" i="4"/>
  <c r="P35" i="3"/>
  <c r="N35" i="3"/>
  <c r="J17" i="4"/>
  <c r="Q17" i="4" s="1"/>
  <c r="L35" i="3"/>
  <c r="N20" i="3"/>
  <c r="T22" i="3"/>
  <c r="O25" i="3"/>
  <c r="M25" i="3"/>
  <c r="U25" i="3"/>
  <c r="R26" i="3"/>
  <c r="I51" i="3"/>
  <c r="O7" i="4"/>
  <c r="E10" i="4"/>
  <c r="F10" i="4" s="1"/>
  <c r="R10" i="4" s="1"/>
  <c r="N10" i="4" s="1"/>
  <c r="Q12" i="4"/>
  <c r="K12" i="4"/>
  <c r="E30" i="4"/>
  <c r="F30" i="4" s="1"/>
  <c r="R30" i="4" s="1"/>
  <c r="R5" i="3"/>
  <c r="S5" i="3" s="1"/>
  <c r="N33" i="3"/>
  <c r="T37" i="3"/>
  <c r="K18" i="4"/>
  <c r="O18" i="4" s="1"/>
  <c r="D28" i="7"/>
  <c r="K22" i="4"/>
  <c r="P12" i="4"/>
  <c r="D7" i="10"/>
  <c r="H20" i="6"/>
  <c r="P30" i="3"/>
  <c r="K10" i="4"/>
  <c r="J11" i="4"/>
  <c r="Q11" i="4" s="1"/>
  <c r="P18" i="4"/>
  <c r="P21" i="4"/>
  <c r="M22" i="4"/>
  <c r="B30" i="6"/>
  <c r="B16" i="10"/>
  <c r="B28" i="6"/>
  <c r="E7" i="9"/>
  <c r="H10" i="6"/>
  <c r="D30" i="6"/>
  <c r="D16" i="10"/>
  <c r="D28" i="6"/>
  <c r="D31" i="9"/>
  <c r="D37" i="10" s="1"/>
  <c r="P22" i="4"/>
  <c r="B27" i="6"/>
  <c r="B6" i="10" s="1"/>
  <c r="B27" i="7"/>
  <c r="B28" i="7" s="1"/>
  <c r="B13" i="10"/>
  <c r="C9" i="10"/>
  <c r="D29" i="10"/>
  <c r="N36" i="3"/>
  <c r="D27" i="6"/>
  <c r="D27" i="7"/>
  <c r="P36" i="3"/>
  <c r="B9" i="10"/>
  <c r="B14" i="10"/>
  <c r="L21" i="4"/>
  <c r="C26" i="6"/>
  <c r="C14" i="10"/>
  <c r="B65" i="2" l="1"/>
  <c r="B46" i="9" s="1"/>
  <c r="K47" i="3"/>
  <c r="K49" i="3"/>
  <c r="K17" i="3"/>
  <c r="Q17" i="3" s="1"/>
  <c r="K42" i="3"/>
  <c r="K22" i="3"/>
  <c r="M22" i="3" s="1"/>
  <c r="U37" i="3"/>
  <c r="O33" i="3"/>
  <c r="I42" i="3"/>
  <c r="J42" i="3" s="1"/>
  <c r="H30" i="4"/>
  <c r="I49" i="3"/>
  <c r="J49" i="3" s="1"/>
  <c r="I45" i="3"/>
  <c r="J45" i="3" s="1"/>
  <c r="K19" i="3"/>
  <c r="M19" i="3" s="1"/>
  <c r="I46" i="3"/>
  <c r="H28" i="4" s="1"/>
  <c r="I47" i="3"/>
  <c r="H29" i="4" s="1"/>
  <c r="I44" i="3"/>
  <c r="H26" i="4" s="1"/>
  <c r="Q33" i="3"/>
  <c r="K29" i="3"/>
  <c r="S29" i="3" s="1"/>
  <c r="S33" i="3"/>
  <c r="K31" i="3"/>
  <c r="U31" i="3" s="1"/>
  <c r="I43" i="3"/>
  <c r="H25" i="4" s="1"/>
  <c r="I41" i="3"/>
  <c r="J41" i="3" s="1"/>
  <c r="G23" i="3"/>
  <c r="M23" i="3" s="1"/>
  <c r="K35" i="3"/>
  <c r="O35" i="3" s="1"/>
  <c r="K41" i="3"/>
  <c r="K20" i="3"/>
  <c r="O20" i="3" s="1"/>
  <c r="K38" i="3"/>
  <c r="Q38" i="3" s="1"/>
  <c r="O37" i="3"/>
  <c r="K45" i="3"/>
  <c r="K51" i="3"/>
  <c r="K43" i="3"/>
  <c r="M37" i="3"/>
  <c r="K44" i="3"/>
  <c r="K27" i="3"/>
  <c r="O27" i="3" s="1"/>
  <c r="S37" i="3"/>
  <c r="K39" i="3"/>
  <c r="M39" i="3" s="1"/>
  <c r="K18" i="3"/>
  <c r="O18" i="3" s="1"/>
  <c r="G10" i="3"/>
  <c r="Q10" i="3" s="1"/>
  <c r="K32" i="3"/>
  <c r="M32" i="3" s="1"/>
  <c r="K28" i="3"/>
  <c r="U28" i="3" s="1"/>
  <c r="K36" i="3"/>
  <c r="O36" i="3" s="1"/>
  <c r="K40" i="3"/>
  <c r="U40" i="3" s="1"/>
  <c r="K48" i="3"/>
  <c r="M33" i="3"/>
  <c r="K46" i="3"/>
  <c r="K52" i="3"/>
  <c r="K21" i="3"/>
  <c r="S21" i="3" s="1"/>
  <c r="K34" i="3"/>
  <c r="U34" i="3" s="1"/>
  <c r="K50" i="3"/>
  <c r="K30" i="3"/>
  <c r="S30" i="3" s="1"/>
  <c r="U11" i="3"/>
  <c r="O12" i="4"/>
  <c r="N12" i="4"/>
  <c r="L12" i="4"/>
  <c r="P7" i="4"/>
  <c r="Q13" i="4"/>
  <c r="K13" i="4"/>
  <c r="M9" i="4"/>
  <c r="M18" i="4"/>
  <c r="L18" i="4"/>
  <c r="N18" i="4"/>
  <c r="K15" i="4"/>
  <c r="Q15" i="4"/>
  <c r="D36" i="6"/>
  <c r="D10" i="10"/>
  <c r="D17" i="10"/>
  <c r="L52" i="3"/>
  <c r="T52" i="3"/>
  <c r="R52" i="3"/>
  <c r="J34" i="4"/>
  <c r="N52" i="3"/>
  <c r="P52" i="3"/>
  <c r="I10" i="6"/>
  <c r="L10" i="4"/>
  <c r="H33" i="4"/>
  <c r="J51" i="3"/>
  <c r="Q20" i="4"/>
  <c r="K20" i="4"/>
  <c r="M11" i="3"/>
  <c r="Q11" i="3"/>
  <c r="O11" i="3"/>
  <c r="D6" i="10"/>
  <c r="B10" i="1"/>
  <c r="O9" i="4"/>
  <c r="F7" i="9"/>
  <c r="E8" i="9"/>
  <c r="L9" i="4"/>
  <c r="Q5" i="4"/>
  <c r="K5" i="4"/>
  <c r="P10" i="4"/>
  <c r="L6" i="4"/>
  <c r="P6" i="4"/>
  <c r="N6" i="4"/>
  <c r="M6" i="4"/>
  <c r="K14" i="4"/>
  <c r="K19" i="4"/>
  <c r="Q19" i="4"/>
  <c r="H32" i="4"/>
  <c r="J50" i="3"/>
  <c r="N22" i="4"/>
  <c r="L22" i="4"/>
  <c r="J30" i="4"/>
  <c r="T48" i="3"/>
  <c r="R48" i="3"/>
  <c r="P48" i="3"/>
  <c r="N48" i="3"/>
  <c r="L48" i="3"/>
  <c r="C30" i="6"/>
  <c r="C16" i="10"/>
  <c r="C28" i="6"/>
  <c r="C31" i="9"/>
  <c r="C37" i="10" s="1"/>
  <c r="C29" i="10"/>
  <c r="C15" i="10"/>
  <c r="C7" i="10"/>
  <c r="C27" i="6"/>
  <c r="C6" i="10" s="1"/>
  <c r="O10" i="4"/>
  <c r="B36" i="6"/>
  <c r="B17" i="10"/>
  <c r="B10" i="10"/>
  <c r="O22" i="4"/>
  <c r="O6" i="4"/>
  <c r="Q16" i="4"/>
  <c r="K16" i="4"/>
  <c r="M12" i="4"/>
  <c r="M10" i="4"/>
  <c r="I20" i="6"/>
  <c r="K11" i="4"/>
  <c r="K17" i="4"/>
  <c r="Q8" i="4"/>
  <c r="K8" i="4"/>
  <c r="N9" i="4"/>
  <c r="O21" i="4"/>
  <c r="N21" i="4"/>
  <c r="M21" i="4"/>
  <c r="G15" i="7"/>
  <c r="S17" i="3" l="1"/>
  <c r="U17" i="3"/>
  <c r="M17" i="3"/>
  <c r="J44" i="3"/>
  <c r="T44" i="3" s="1"/>
  <c r="U44" i="3" s="1"/>
  <c r="O17" i="3"/>
  <c r="H24" i="4"/>
  <c r="H23" i="4"/>
  <c r="S23" i="3"/>
  <c r="U22" i="3"/>
  <c r="J43" i="3"/>
  <c r="R43" i="3" s="1"/>
  <c r="S43" i="3" s="1"/>
  <c r="S22" i="3"/>
  <c r="O22" i="3"/>
  <c r="Q22" i="3"/>
  <c r="Q19" i="3"/>
  <c r="O19" i="3"/>
  <c r="M18" i="3"/>
  <c r="M29" i="3"/>
  <c r="M30" i="3"/>
  <c r="Q29" i="3"/>
  <c r="U29" i="3"/>
  <c r="H31" i="4"/>
  <c r="Q35" i="3"/>
  <c r="H27" i="4"/>
  <c r="S19" i="3"/>
  <c r="U19" i="3"/>
  <c r="U36" i="3"/>
  <c r="S10" i="3"/>
  <c r="J47" i="3"/>
  <c r="R47" i="3" s="1"/>
  <c r="S47" i="3" s="1"/>
  <c r="U10" i="3"/>
  <c r="J46" i="3"/>
  <c r="L46" i="3" s="1"/>
  <c r="M46" i="3" s="1"/>
  <c r="M20" i="3"/>
  <c r="S36" i="3"/>
  <c r="Q36" i="3"/>
  <c r="Q20" i="3"/>
  <c r="O30" i="3"/>
  <c r="U30" i="3"/>
  <c r="U23" i="3"/>
  <c r="S20" i="3"/>
  <c r="O23" i="3"/>
  <c r="M31" i="3"/>
  <c r="S38" i="3"/>
  <c r="Q31" i="3"/>
  <c r="U38" i="3"/>
  <c r="O31" i="3"/>
  <c r="S31" i="3"/>
  <c r="O29" i="3"/>
  <c r="M38" i="3"/>
  <c r="U18" i="3"/>
  <c r="S18" i="3"/>
  <c r="M34" i="3"/>
  <c r="O10" i="3"/>
  <c r="S34" i="3"/>
  <c r="O32" i="3"/>
  <c r="U39" i="3"/>
  <c r="U20" i="3"/>
  <c r="Q39" i="3"/>
  <c r="O34" i="3"/>
  <c r="M35" i="3"/>
  <c r="M10" i="3"/>
  <c r="Q27" i="3"/>
  <c r="U32" i="3"/>
  <c r="O39" i="3"/>
  <c r="Q34" i="3"/>
  <c r="S35" i="3"/>
  <c r="S27" i="3"/>
  <c r="S32" i="3"/>
  <c r="Q48" i="3"/>
  <c r="Q18" i="3"/>
  <c r="S39" i="3"/>
  <c r="O38" i="3"/>
  <c r="U35" i="3"/>
  <c r="Q32" i="3"/>
  <c r="S40" i="3"/>
  <c r="M36" i="3"/>
  <c r="O40" i="3"/>
  <c r="Q52" i="3"/>
  <c r="O28" i="3"/>
  <c r="Q28" i="3"/>
  <c r="M48" i="3"/>
  <c r="S28" i="3"/>
  <c r="Q30" i="3"/>
  <c r="U27" i="3"/>
  <c r="Q23" i="3"/>
  <c r="Q21" i="3"/>
  <c r="M27" i="3"/>
  <c r="O52" i="3"/>
  <c r="M40" i="3"/>
  <c r="O48" i="3"/>
  <c r="S52" i="3"/>
  <c r="U21" i="3"/>
  <c r="U52" i="3"/>
  <c r="Q40" i="3"/>
  <c r="M21" i="3"/>
  <c r="S48" i="3"/>
  <c r="M52" i="3"/>
  <c r="M28" i="3"/>
  <c r="O21" i="3"/>
  <c r="U48" i="3"/>
  <c r="L17" i="4"/>
  <c r="P17" i="4"/>
  <c r="O17" i="4"/>
  <c r="N17" i="4"/>
  <c r="M17" i="4"/>
  <c r="O14" i="4"/>
  <c r="N14" i="4"/>
  <c r="M14" i="4"/>
  <c r="L14" i="4"/>
  <c r="P14" i="4"/>
  <c r="H46" i="9"/>
  <c r="G46" i="9"/>
  <c r="F46" i="9"/>
  <c r="L11" i="4"/>
  <c r="N11" i="4"/>
  <c r="P11" i="4"/>
  <c r="O11" i="4"/>
  <c r="M11" i="4"/>
  <c r="B38" i="9"/>
  <c r="D35" i="9"/>
  <c r="C35" i="9"/>
  <c r="C34" i="10"/>
  <c r="C35" i="10"/>
  <c r="D38" i="9"/>
  <c r="B35" i="10"/>
  <c r="D34" i="10"/>
  <c r="B34" i="10"/>
  <c r="B35" i="9"/>
  <c r="B27" i="9"/>
  <c r="C38" i="9"/>
  <c r="D35" i="10"/>
  <c r="P19" i="4"/>
  <c r="O19" i="4"/>
  <c r="M19" i="4"/>
  <c r="L19" i="4"/>
  <c r="N19" i="4"/>
  <c r="J32" i="4"/>
  <c r="P50" i="3"/>
  <c r="Q50" i="3" s="1"/>
  <c r="N50" i="3"/>
  <c r="O50" i="3" s="1"/>
  <c r="L50" i="3"/>
  <c r="M50" i="3" s="1"/>
  <c r="R50" i="3"/>
  <c r="S50" i="3" s="1"/>
  <c r="T50" i="3"/>
  <c r="U50" i="3" s="1"/>
  <c r="N20" i="4"/>
  <c r="L20" i="4"/>
  <c r="P20" i="4"/>
  <c r="O20" i="4"/>
  <c r="M20" i="4"/>
  <c r="N51" i="3"/>
  <c r="O51" i="3" s="1"/>
  <c r="L51" i="3"/>
  <c r="M51" i="3" s="1"/>
  <c r="J33" i="4"/>
  <c r="T51" i="3"/>
  <c r="U51" i="3" s="1"/>
  <c r="P51" i="3"/>
  <c r="Q51" i="3" s="1"/>
  <c r="R51" i="3"/>
  <c r="S51" i="3" s="1"/>
  <c r="C17" i="10"/>
  <c r="C10" i="10"/>
  <c r="C36" i="6"/>
  <c r="L5" i="4"/>
  <c r="O5" i="4"/>
  <c r="N5" i="4"/>
  <c r="M5" i="4"/>
  <c r="P5" i="4"/>
  <c r="J27" i="4"/>
  <c r="N45" i="3"/>
  <c r="O45" i="3" s="1"/>
  <c r="L45" i="3"/>
  <c r="M45" i="3" s="1"/>
  <c r="T45" i="3"/>
  <c r="U45" i="3" s="1"/>
  <c r="P45" i="3"/>
  <c r="Q45" i="3" s="1"/>
  <c r="R45" i="3"/>
  <c r="S45" i="3" s="1"/>
  <c r="M16" i="4"/>
  <c r="L16" i="4"/>
  <c r="P16" i="4"/>
  <c r="O16" i="4"/>
  <c r="N16" i="4"/>
  <c r="J31" i="4"/>
  <c r="R49" i="3"/>
  <c r="S49" i="3" s="1"/>
  <c r="P49" i="3"/>
  <c r="Q49" i="3" s="1"/>
  <c r="N49" i="3"/>
  <c r="O49" i="3" s="1"/>
  <c r="L49" i="3"/>
  <c r="M49" i="3" s="1"/>
  <c r="T49" i="3"/>
  <c r="U49" i="3" s="1"/>
  <c r="Q30" i="4"/>
  <c r="K30" i="4"/>
  <c r="J23" i="4"/>
  <c r="T41" i="3"/>
  <c r="U41" i="3" s="1"/>
  <c r="R41" i="3"/>
  <c r="S41" i="3" s="1"/>
  <c r="P41" i="3"/>
  <c r="Q41" i="3" s="1"/>
  <c r="L41" i="3"/>
  <c r="M41" i="3" s="1"/>
  <c r="N41" i="3"/>
  <c r="O41" i="3" s="1"/>
  <c r="G7" i="9"/>
  <c r="F8" i="9"/>
  <c r="L15" i="4"/>
  <c r="P15" i="4"/>
  <c r="O15" i="4"/>
  <c r="N15" i="4"/>
  <c r="M15" i="4"/>
  <c r="T42" i="3"/>
  <c r="U42" i="3" s="1"/>
  <c r="R42" i="3"/>
  <c r="S42" i="3" s="1"/>
  <c r="J24" i="4"/>
  <c r="P42" i="3"/>
  <c r="Q42" i="3" s="1"/>
  <c r="N42" i="3"/>
  <c r="O42" i="3" s="1"/>
  <c r="L42" i="3"/>
  <c r="M42" i="3" s="1"/>
  <c r="N13" i="4"/>
  <c r="O13" i="4"/>
  <c r="L13" i="4"/>
  <c r="P13" i="4"/>
  <c r="M13" i="4"/>
  <c r="H15" i="7"/>
  <c r="O8" i="4"/>
  <c r="N8" i="4"/>
  <c r="L8" i="4"/>
  <c r="M8" i="4"/>
  <c r="P8" i="4"/>
  <c r="Q34" i="4"/>
  <c r="K34" i="4"/>
  <c r="S56" i="3" l="1"/>
  <c r="P44" i="3"/>
  <c r="Q44" i="3" s="1"/>
  <c r="R44" i="3"/>
  <c r="S44" i="3" s="1"/>
  <c r="L44" i="3"/>
  <c r="M44" i="3" s="1"/>
  <c r="N44" i="3"/>
  <c r="O44" i="3" s="1"/>
  <c r="J26" i="4"/>
  <c r="Q26" i="4" s="1"/>
  <c r="N43" i="3"/>
  <c r="O43" i="3" s="1"/>
  <c r="J25" i="4"/>
  <c r="Q25" i="4" s="1"/>
  <c r="T43" i="3"/>
  <c r="U43" i="3" s="1"/>
  <c r="L43" i="3"/>
  <c r="M43" i="3" s="1"/>
  <c r="Q56" i="3"/>
  <c r="M56" i="3"/>
  <c r="E15" i="6" s="1"/>
  <c r="O56" i="3"/>
  <c r="N46" i="3"/>
  <c r="O46" i="3" s="1"/>
  <c r="P43" i="3"/>
  <c r="Q43" i="3" s="1"/>
  <c r="J28" i="4"/>
  <c r="Q28" i="4" s="1"/>
  <c r="R46" i="3"/>
  <c r="S46" i="3" s="1"/>
  <c r="P46" i="3"/>
  <c r="Q46" i="3" s="1"/>
  <c r="T46" i="3"/>
  <c r="U46" i="3" s="1"/>
  <c r="N47" i="3"/>
  <c r="O47" i="3" s="1"/>
  <c r="L47" i="3"/>
  <c r="M47" i="3" s="1"/>
  <c r="T47" i="3"/>
  <c r="U47" i="3" s="1"/>
  <c r="J29" i="4"/>
  <c r="Q29" i="4" s="1"/>
  <c r="U56" i="3"/>
  <c r="P47" i="3"/>
  <c r="Q47" i="3" s="1"/>
  <c r="Q24" i="4"/>
  <c r="K24" i="4"/>
  <c r="Q27" i="4"/>
  <c r="K27" i="4"/>
  <c r="I15" i="7"/>
  <c r="K31" i="4"/>
  <c r="Q31" i="4"/>
  <c r="K33" i="4"/>
  <c r="Q33" i="4"/>
  <c r="H7" i="9"/>
  <c r="G8" i="9"/>
  <c r="Q32" i="4"/>
  <c r="K32" i="4"/>
  <c r="Q23" i="4"/>
  <c r="K23" i="4"/>
  <c r="D33" i="10"/>
  <c r="C33" i="10"/>
  <c r="B33" i="10"/>
  <c r="D32" i="9"/>
  <c r="C32" i="9"/>
  <c r="B32" i="9"/>
  <c r="L30" i="4"/>
  <c r="O30" i="4"/>
  <c r="P30" i="4"/>
  <c r="N30" i="4"/>
  <c r="M30" i="4"/>
  <c r="N34" i="4"/>
  <c r="L34" i="4"/>
  <c r="M34" i="4"/>
  <c r="P34" i="4"/>
  <c r="O34" i="4"/>
  <c r="H58" i="6" l="1"/>
  <c r="H60" i="6" s="1"/>
  <c r="H65" i="6" s="1"/>
  <c r="I58" i="6"/>
  <c r="I60" i="6" s="1"/>
  <c r="I65" i="6" s="1"/>
  <c r="S54" i="3"/>
  <c r="H5" i="6" s="1"/>
  <c r="H35" i="10" s="1"/>
  <c r="G58" i="6"/>
  <c r="G60" i="6" s="1"/>
  <c r="G65" i="6" s="1"/>
  <c r="K25" i="4"/>
  <c r="N25" i="4" s="1"/>
  <c r="K26" i="4"/>
  <c r="P26" i="4" s="1"/>
  <c r="K29" i="4"/>
  <c r="N29" i="4" s="1"/>
  <c r="O54" i="3"/>
  <c r="F5" i="6" s="1"/>
  <c r="F37" i="9" s="1"/>
  <c r="F38" i="9" s="1"/>
  <c r="F15" i="6"/>
  <c r="G15" i="6" s="1"/>
  <c r="H15" i="6" s="1"/>
  <c r="I15" i="6" s="1"/>
  <c r="E21" i="6"/>
  <c r="E24" i="6" s="1"/>
  <c r="U54" i="3"/>
  <c r="I5" i="6" s="1"/>
  <c r="I37" i="9" s="1"/>
  <c r="I38" i="9" s="1"/>
  <c r="M54" i="3"/>
  <c r="E5" i="6" s="1"/>
  <c r="E28" i="10" s="1"/>
  <c r="E13" i="6"/>
  <c r="F13" i="6" s="1"/>
  <c r="F58" i="6"/>
  <c r="F60" i="6" s="1"/>
  <c r="F65" i="6" s="1"/>
  <c r="E58" i="6"/>
  <c r="E60" i="6" s="1"/>
  <c r="E61" i="6" s="1"/>
  <c r="E62" i="6" s="1"/>
  <c r="Q54" i="3"/>
  <c r="G5" i="6" s="1"/>
  <c r="G37" i="9" s="1"/>
  <c r="G38" i="9" s="1"/>
  <c r="K28" i="4"/>
  <c r="N28" i="4" s="1"/>
  <c r="O33" i="4"/>
  <c r="N33" i="4"/>
  <c r="M33" i="4"/>
  <c r="L33" i="4"/>
  <c r="P33" i="4"/>
  <c r="O31" i="4"/>
  <c r="L31" i="4"/>
  <c r="P31" i="4"/>
  <c r="M31" i="4"/>
  <c r="N31" i="4"/>
  <c r="O41" i="4"/>
  <c r="H51" i="6" s="1"/>
  <c r="N41" i="4"/>
  <c r="G51" i="6" s="1"/>
  <c r="L41" i="4"/>
  <c r="E51" i="6" s="1"/>
  <c r="L40" i="4"/>
  <c r="E46" i="6" s="1"/>
  <c r="P40" i="4"/>
  <c r="I46" i="6" s="1"/>
  <c r="P38" i="4"/>
  <c r="O40" i="4"/>
  <c r="H46" i="6" s="1"/>
  <c r="N38" i="4"/>
  <c r="N40" i="4"/>
  <c r="G46" i="6" s="1"/>
  <c r="M38" i="4"/>
  <c r="M40" i="4"/>
  <c r="F46" i="6" s="1"/>
  <c r="O38" i="4"/>
  <c r="P41" i="4"/>
  <c r="I51" i="6" s="1"/>
  <c r="M41" i="4"/>
  <c r="F51" i="6" s="1"/>
  <c r="L38" i="4"/>
  <c r="P23" i="4"/>
  <c r="O23" i="4"/>
  <c r="M23" i="4"/>
  <c r="L23" i="4"/>
  <c r="N23" i="4"/>
  <c r="P32" i="4"/>
  <c r="O32" i="4"/>
  <c r="N32" i="4"/>
  <c r="L32" i="4"/>
  <c r="M32" i="4"/>
  <c r="O27" i="4"/>
  <c r="N27" i="4"/>
  <c r="M27" i="4"/>
  <c r="P27" i="4"/>
  <c r="L27" i="4"/>
  <c r="P24" i="4"/>
  <c r="M24" i="4"/>
  <c r="O24" i="4"/>
  <c r="N24" i="4"/>
  <c r="L24" i="4"/>
  <c r="I7" i="9"/>
  <c r="H8" i="9"/>
  <c r="M25" i="4"/>
  <c r="P25" i="4" l="1"/>
  <c r="H9" i="7"/>
  <c r="H24" i="10" s="1"/>
  <c r="O25" i="4"/>
  <c r="H37" i="9"/>
  <c r="H38" i="9" s="1"/>
  <c r="H8" i="6"/>
  <c r="F8" i="1"/>
  <c r="F8" i="6"/>
  <c r="N26" i="4"/>
  <c r="N36" i="4" s="1"/>
  <c r="M26" i="4"/>
  <c r="L25" i="4"/>
  <c r="M29" i="4"/>
  <c r="F28" i="10"/>
  <c r="G28" i="10" s="1"/>
  <c r="H28" i="10" s="1"/>
  <c r="I28" i="10" s="1"/>
  <c r="L26" i="4"/>
  <c r="P29" i="4"/>
  <c r="L29" i="4"/>
  <c r="O29" i="4"/>
  <c r="F21" i="6"/>
  <c r="G21" i="6" s="1"/>
  <c r="O26" i="4"/>
  <c r="C8" i="1"/>
  <c r="E14" i="6"/>
  <c r="E17" i="6" s="1"/>
  <c r="E22" i="7" s="1"/>
  <c r="F9" i="7"/>
  <c r="F24" i="10" s="1"/>
  <c r="E8" i="1"/>
  <c r="F35" i="10"/>
  <c r="D8" i="1"/>
  <c r="L28" i="4"/>
  <c r="E9" i="7"/>
  <c r="E24" i="10" s="1"/>
  <c r="M28" i="4"/>
  <c r="I8" i="6"/>
  <c r="E65" i="6"/>
  <c r="E67" i="6" s="1"/>
  <c r="E20" i="7" s="1"/>
  <c r="P28" i="4"/>
  <c r="O28" i="4"/>
  <c r="E8" i="6"/>
  <c r="E37" i="9"/>
  <c r="E38" i="9" s="1"/>
  <c r="I9" i="7"/>
  <c r="I24" i="10" s="1"/>
  <c r="G8" i="1"/>
  <c r="E35" i="10"/>
  <c r="I35" i="10"/>
  <c r="G9" i="7"/>
  <c r="G24" i="10" s="1"/>
  <c r="G8" i="6"/>
  <c r="G35" i="10"/>
  <c r="E8" i="7"/>
  <c r="F59" i="6"/>
  <c r="I8" i="9"/>
  <c r="J7" i="9"/>
  <c r="J8" i="9" s="1"/>
  <c r="E47" i="6"/>
  <c r="E48" i="6" s="1"/>
  <c r="E52" i="6"/>
  <c r="E53" i="6" s="1"/>
  <c r="F50" i="6" s="1"/>
  <c r="G13" i="6"/>
  <c r="F14" i="6"/>
  <c r="F17" i="6" s="1"/>
  <c r="M36" i="4" l="1"/>
  <c r="F15" i="8" s="1"/>
  <c r="L36" i="4"/>
  <c r="B6" i="5" s="1"/>
  <c r="P36" i="4"/>
  <c r="F14" i="5" s="1"/>
  <c r="E26" i="6"/>
  <c r="E31" i="9" s="1"/>
  <c r="E37" i="10" s="1"/>
  <c r="F10" i="8"/>
  <c r="O36" i="4"/>
  <c r="E6" i="5" s="1"/>
  <c r="F64" i="6"/>
  <c r="F66" i="6" s="1"/>
  <c r="F67" i="6" s="1"/>
  <c r="E10" i="8"/>
  <c r="I10" i="8"/>
  <c r="H10" i="8"/>
  <c r="G10" i="8"/>
  <c r="F52" i="6"/>
  <c r="F53" i="6" s="1"/>
  <c r="G50" i="6" s="1"/>
  <c r="D6" i="5"/>
  <c r="G15" i="8"/>
  <c r="D14" i="5"/>
  <c r="G14" i="6"/>
  <c r="G17" i="6" s="1"/>
  <c r="H13" i="6"/>
  <c r="E6" i="7"/>
  <c r="F45" i="6"/>
  <c r="E11" i="8"/>
  <c r="E25" i="10"/>
  <c r="E55" i="6"/>
  <c r="E29" i="6" s="1"/>
  <c r="F61" i="6"/>
  <c r="F62" i="6" s="1"/>
  <c r="H21" i="6"/>
  <c r="C6" i="5"/>
  <c r="E7" i="7" l="1"/>
  <c r="F7" i="7" s="1"/>
  <c r="G7" i="7" s="1"/>
  <c r="H7" i="7" s="1"/>
  <c r="I7" i="7" s="1"/>
  <c r="C14" i="5"/>
  <c r="B14" i="5"/>
  <c r="E15" i="8"/>
  <c r="E16" i="8" s="1"/>
  <c r="I15" i="8"/>
  <c r="I32" i="8" s="1"/>
  <c r="H15" i="8"/>
  <c r="H16" i="8" s="1"/>
  <c r="F6" i="5"/>
  <c r="E27" i="6"/>
  <c r="E6" i="10" s="1"/>
  <c r="E32" i="9"/>
  <c r="B18" i="1" s="1"/>
  <c r="E29" i="10"/>
  <c r="E28" i="6"/>
  <c r="C9" i="1"/>
  <c r="E33" i="10"/>
  <c r="E7" i="10"/>
  <c r="E14" i="5"/>
  <c r="F69" i="6"/>
  <c r="F71" i="6" s="1"/>
  <c r="F33" i="6" s="1"/>
  <c r="F8" i="7"/>
  <c r="G59" i="6"/>
  <c r="I21" i="6"/>
  <c r="G32" i="8"/>
  <c r="G16" i="8"/>
  <c r="E33" i="8"/>
  <c r="E8" i="8"/>
  <c r="E31" i="8" s="1"/>
  <c r="E30" i="6"/>
  <c r="F20" i="7"/>
  <c r="G64" i="6"/>
  <c r="F16" i="8"/>
  <c r="F32" i="8"/>
  <c r="G52" i="6"/>
  <c r="G53" i="6" s="1"/>
  <c r="H50" i="6" s="1"/>
  <c r="F47" i="6"/>
  <c r="F55" i="6" s="1"/>
  <c r="F29" i="6" s="1"/>
  <c r="F8" i="8" s="1"/>
  <c r="F31" i="8" s="1"/>
  <c r="E21" i="7"/>
  <c r="H14" i="6"/>
  <c r="H17" i="6" s="1"/>
  <c r="I13" i="6"/>
  <c r="H32" i="8" l="1"/>
  <c r="I16" i="8"/>
  <c r="E32" i="8"/>
  <c r="C10" i="1"/>
  <c r="B34" i="1" s="1"/>
  <c r="H52" i="6"/>
  <c r="H53" i="6" s="1"/>
  <c r="I50" i="6" s="1"/>
  <c r="G69" i="6"/>
  <c r="G71" i="6" s="1"/>
  <c r="G33" i="6" s="1"/>
  <c r="G66" i="6"/>
  <c r="G67" i="6" s="1"/>
  <c r="F48" i="6"/>
  <c r="E36" i="6"/>
  <c r="E17" i="10"/>
  <c r="G61" i="6"/>
  <c r="G62" i="6" s="1"/>
  <c r="I14" i="6"/>
  <c r="I17" i="6" s="1"/>
  <c r="C34" i="1" l="1"/>
  <c r="D34" i="1"/>
  <c r="H59" i="6"/>
  <c r="G8" i="7"/>
  <c r="G20" i="7"/>
  <c r="H64" i="6"/>
  <c r="F6" i="7"/>
  <c r="G45" i="6"/>
  <c r="E37" i="6"/>
  <c r="E38" i="6" s="1"/>
  <c r="I52" i="6"/>
  <c r="I53" i="6" s="1"/>
  <c r="E8" i="10" l="1"/>
  <c r="E39" i="6"/>
  <c r="E38" i="10"/>
  <c r="F22" i="6"/>
  <c r="F24" i="6" s="1"/>
  <c r="E16" i="7"/>
  <c r="E7" i="8"/>
  <c r="B15" i="5"/>
  <c r="B16" i="5" s="1"/>
  <c r="B7" i="5" s="1"/>
  <c r="E30" i="10"/>
  <c r="C11" i="1"/>
  <c r="E34" i="9"/>
  <c r="E35" i="9" s="1"/>
  <c r="B19" i="1" s="1"/>
  <c r="E34" i="10"/>
  <c r="F21" i="7"/>
  <c r="G47" i="6"/>
  <c r="G55" i="6" s="1"/>
  <c r="G29" i="6" s="1"/>
  <c r="G8" i="8" s="1"/>
  <c r="G31" i="8" s="1"/>
  <c r="H66" i="6"/>
  <c r="H67" i="6" s="1"/>
  <c r="H69" i="6"/>
  <c r="H71" i="6" s="1"/>
  <c r="H33" i="6" s="1"/>
  <c r="H61" i="6"/>
  <c r="H62" i="6" s="1"/>
  <c r="H8" i="7" l="1"/>
  <c r="I59" i="6"/>
  <c r="D35" i="1"/>
  <c r="C35" i="1"/>
  <c r="B35" i="1"/>
  <c r="E30" i="8"/>
  <c r="E12" i="8"/>
  <c r="F22" i="7"/>
  <c r="F26" i="6"/>
  <c r="H20" i="7"/>
  <c r="I64" i="6"/>
  <c r="B10" i="5"/>
  <c r="E34" i="8"/>
  <c r="E19" i="8"/>
  <c r="E23" i="8" s="1"/>
  <c r="E17" i="7"/>
  <c r="G48" i="6"/>
  <c r="E25" i="8" l="1"/>
  <c r="E27" i="8" s="1"/>
  <c r="E10" i="7" s="1"/>
  <c r="E35" i="8"/>
  <c r="B6" i="9" s="1"/>
  <c r="B9" i="9" s="1"/>
  <c r="F31" i="9"/>
  <c r="F29" i="10"/>
  <c r="F30" i="6"/>
  <c r="F27" i="6"/>
  <c r="F7" i="10"/>
  <c r="F28" i="6"/>
  <c r="D9" i="1"/>
  <c r="F33" i="10"/>
  <c r="F11" i="8"/>
  <c r="F25" i="10"/>
  <c r="G6" i="7"/>
  <c r="H45" i="6"/>
  <c r="I61" i="6"/>
  <c r="I62" i="6" s="1"/>
  <c r="I8" i="7" s="1"/>
  <c r="I69" i="6"/>
  <c r="I71" i="6" s="1"/>
  <c r="I33" i="6" s="1"/>
  <c r="I66" i="6"/>
  <c r="I67" i="6" s="1"/>
  <c r="I20" i="7" s="1"/>
  <c r="E9" i="10"/>
  <c r="E19" i="7"/>
  <c r="C5" i="5"/>
  <c r="F26" i="8" l="1"/>
  <c r="E16" i="10"/>
  <c r="E13" i="10"/>
  <c r="E15" i="10"/>
  <c r="E14" i="10"/>
  <c r="C12" i="1" s="1"/>
  <c r="H47" i="6"/>
  <c r="H55" i="6" s="1"/>
  <c r="H29" i="6" s="1"/>
  <c r="H8" i="8" s="1"/>
  <c r="H31" i="8" s="1"/>
  <c r="E10" i="10"/>
  <c r="F33" i="8"/>
  <c r="G21" i="7"/>
  <c r="E21" i="10"/>
  <c r="E20" i="10"/>
  <c r="E12" i="7"/>
  <c r="F6" i="10"/>
  <c r="D10" i="1"/>
  <c r="C9" i="5"/>
  <c r="F20" i="8" s="1"/>
  <c r="C12" i="5"/>
  <c r="F32" i="6" s="1"/>
  <c r="F34" i="6" s="1"/>
  <c r="F17" i="10" s="1"/>
  <c r="F37" i="10"/>
  <c r="F32" i="9"/>
  <c r="F36" i="6" l="1"/>
  <c r="H48" i="6"/>
  <c r="E24" i="7"/>
  <c r="E25" i="7" s="1"/>
  <c r="E27" i="7" s="1"/>
  <c r="E28" i="7" s="1"/>
  <c r="I45" i="6" l="1"/>
  <c r="H6" i="7"/>
  <c r="F37" i="6"/>
  <c r="F38" i="6" s="1"/>
  <c r="F39" i="6" l="1"/>
  <c r="F38" i="10"/>
  <c r="C15" i="5"/>
  <c r="C16" i="5" s="1"/>
  <c r="C7" i="5" s="1"/>
  <c r="F8" i="10"/>
  <c r="F7" i="8"/>
  <c r="F30" i="10"/>
  <c r="F34" i="9"/>
  <c r="F35" i="9" s="1"/>
  <c r="D11" i="1"/>
  <c r="F34" i="10"/>
  <c r="G22" i="6"/>
  <c r="G24" i="6" s="1"/>
  <c r="F16" i="7"/>
  <c r="H21" i="7"/>
  <c r="I47" i="6"/>
  <c r="I55" i="6" s="1"/>
  <c r="I29" i="6" s="1"/>
  <c r="I8" i="8" s="1"/>
  <c r="I31" i="8" s="1"/>
  <c r="F30" i="8" l="1"/>
  <c r="F12" i="8"/>
  <c r="F19" i="8"/>
  <c r="F23" i="8" s="1"/>
  <c r="F34" i="8"/>
  <c r="C10" i="5"/>
  <c r="F17" i="7"/>
  <c r="I48" i="6"/>
  <c r="I6" i="7" s="1"/>
  <c r="I21" i="7" s="1"/>
  <c r="G26" i="6"/>
  <c r="G22" i="7"/>
  <c r="G29" i="10" l="1"/>
  <c r="G7" i="10"/>
  <c r="G27" i="6"/>
  <c r="G28" i="6"/>
  <c r="G30" i="6"/>
  <c r="G31" i="9"/>
  <c r="E9" i="1"/>
  <c r="G33" i="10"/>
  <c r="F19" i="7"/>
  <c r="D5" i="5"/>
  <c r="G25" i="10"/>
  <c r="G11" i="8"/>
  <c r="F25" i="8"/>
  <c r="F27" i="8" s="1"/>
  <c r="F9" i="10"/>
  <c r="F35" i="8"/>
  <c r="C6" i="9" s="1"/>
  <c r="C9" i="9" s="1"/>
  <c r="G33" i="8" l="1"/>
  <c r="D9" i="5"/>
  <c r="G20" i="8" s="1"/>
  <c r="D12" i="5"/>
  <c r="G32" i="6" s="1"/>
  <c r="G34" i="6" s="1"/>
  <c r="G17" i="10" s="1"/>
  <c r="G37" i="10"/>
  <c r="G32" i="9"/>
  <c r="G6" i="10"/>
  <c r="E10" i="1"/>
  <c r="F13" i="10"/>
  <c r="F15" i="10"/>
  <c r="F10" i="10"/>
  <c r="F10" i="7"/>
  <c r="F14" i="10" s="1"/>
  <c r="D12" i="1" s="1"/>
  <c r="G26" i="8"/>
  <c r="G36" i="6" l="1"/>
  <c r="G37" i="6" s="1"/>
  <c r="G38" i="6" s="1"/>
  <c r="F16" i="10"/>
  <c r="F20" i="10"/>
  <c r="F21" i="10"/>
  <c r="F12" i="7"/>
  <c r="F24" i="7" l="1"/>
  <c r="F25" i="7" s="1"/>
  <c r="F27" i="7" s="1"/>
  <c r="F28" i="7" s="1"/>
  <c r="G39" i="6"/>
  <c r="G38" i="10"/>
  <c r="G30" i="10"/>
  <c r="G8" i="10"/>
  <c r="G7" i="8"/>
  <c r="D15" i="5"/>
  <c r="D16" i="5" s="1"/>
  <c r="D7" i="5" s="1"/>
  <c r="G34" i="9"/>
  <c r="G35" i="9" s="1"/>
  <c r="E11" i="1"/>
  <c r="G34" i="10"/>
  <c r="H22" i="6"/>
  <c r="H24" i="6" s="1"/>
  <c r="G16" i="7"/>
  <c r="G30" i="8" l="1"/>
  <c r="G12" i="8"/>
  <c r="G19" i="8"/>
  <c r="G23" i="8" s="1"/>
  <c r="G34" i="8"/>
  <c r="D10" i="5"/>
  <c r="G17" i="7"/>
  <c r="H22" i="7"/>
  <c r="H26" i="6"/>
  <c r="H29" i="10" l="1"/>
  <c r="H31" i="9"/>
  <c r="H30" i="6"/>
  <c r="H7" i="10"/>
  <c r="H28" i="6"/>
  <c r="H27" i="6"/>
  <c r="F9" i="1"/>
  <c r="H33" i="10"/>
  <c r="G9" i="10"/>
  <c r="G25" i="8"/>
  <c r="G27" i="8" s="1"/>
  <c r="H11" i="8"/>
  <c r="H25" i="10"/>
  <c r="G19" i="7"/>
  <c r="G10" i="10" s="1"/>
  <c r="E5" i="5"/>
  <c r="G35" i="8"/>
  <c r="D6" i="9" s="1"/>
  <c r="D9" i="9" s="1"/>
  <c r="G10" i="7" l="1"/>
  <c r="G14" i="10" s="1"/>
  <c r="E12" i="1" s="1"/>
  <c r="H26" i="8"/>
  <c r="H6" i="10"/>
  <c r="F10" i="1"/>
  <c r="G15" i="10"/>
  <c r="G13" i="10"/>
  <c r="E9" i="5"/>
  <c r="H20" i="8" s="1"/>
  <c r="E12" i="5"/>
  <c r="H32" i="6" s="1"/>
  <c r="H34" i="6" s="1"/>
  <c r="H17" i="10" s="1"/>
  <c r="H37" i="10"/>
  <c r="H32" i="9"/>
  <c r="H33" i="8"/>
  <c r="G16" i="10" l="1"/>
  <c r="H36" i="6"/>
  <c r="G20" i="10"/>
  <c r="G21" i="10"/>
  <c r="G12" i="7"/>
  <c r="H37" i="6" l="1"/>
  <c r="H38" i="6" s="1"/>
  <c r="G24" i="7"/>
  <c r="G25" i="7" s="1"/>
  <c r="G27" i="7" s="1"/>
  <c r="G28" i="7" s="1"/>
  <c r="H16" i="7" l="1"/>
  <c r="H17" i="7" s="1"/>
  <c r="I22" i="6"/>
  <c r="I24" i="6" s="1"/>
  <c r="I22" i="7" s="1"/>
  <c r="H34" i="10"/>
  <c r="F11" i="1"/>
  <c r="H30" i="10"/>
  <c r="E15" i="5"/>
  <c r="E16" i="5" s="1"/>
  <c r="E7" i="5" s="1"/>
  <c r="E10" i="5" s="1"/>
  <c r="H8" i="10"/>
  <c r="H7" i="8"/>
  <c r="H12" i="8" s="1"/>
  <c r="H34" i="9"/>
  <c r="H35" i="9" s="1"/>
  <c r="H38" i="10"/>
  <c r="H39" i="6"/>
  <c r="H30" i="8"/>
  <c r="I26" i="6" l="1"/>
  <c r="I29" i="10" s="1"/>
  <c r="H34" i="8"/>
  <c r="H35" i="8" s="1"/>
  <c r="E6" i="9" s="1"/>
  <c r="E9" i="9" s="1"/>
  <c r="H19" i="8"/>
  <c r="H23" i="8" s="1"/>
  <c r="H25" i="8" s="1"/>
  <c r="H27" i="8" s="1"/>
  <c r="I11" i="8"/>
  <c r="I25" i="10"/>
  <c r="H9" i="10"/>
  <c r="H19" i="7"/>
  <c r="H10" i="10" s="1"/>
  <c r="F5" i="5"/>
  <c r="I33" i="10" l="1"/>
  <c r="I27" i="6"/>
  <c r="I6" i="10" s="1"/>
  <c r="I28" i="6"/>
  <c r="I31" i="9"/>
  <c r="I37" i="10" s="1"/>
  <c r="I30" i="6"/>
  <c r="G9" i="1"/>
  <c r="I7" i="10"/>
  <c r="F12" i="5"/>
  <c r="I32" i="6" s="1"/>
  <c r="I34" i="6" s="1"/>
  <c r="F9" i="5"/>
  <c r="I20" i="8" s="1"/>
  <c r="H13" i="10"/>
  <c r="H15" i="10"/>
  <c r="H10" i="7"/>
  <c r="H14" i="10" s="1"/>
  <c r="F12" i="1" s="1"/>
  <c r="I26" i="8"/>
  <c r="I33" i="8"/>
  <c r="I17" i="10" l="1"/>
  <c r="I32" i="9"/>
  <c r="I36" i="6"/>
  <c r="I37" i="6" s="1"/>
  <c r="I38" i="6" s="1"/>
  <c r="G10" i="1"/>
  <c r="H20" i="10"/>
  <c r="H21" i="10"/>
  <c r="H12" i="7"/>
  <c r="H16" i="10"/>
  <c r="H24" i="7" l="1"/>
  <c r="H25" i="7" s="1"/>
  <c r="H27" i="7" s="1"/>
  <c r="H28" i="7" s="1"/>
  <c r="I38" i="10"/>
  <c r="F15" i="5"/>
  <c r="F16" i="5" s="1"/>
  <c r="F7" i="5" s="1"/>
  <c r="I8" i="10"/>
  <c r="I39" i="6"/>
  <c r="I7" i="8"/>
  <c r="I30" i="10"/>
  <c r="I34" i="9"/>
  <c r="I35" i="9" s="1"/>
  <c r="G11" i="1"/>
  <c r="I34" i="10"/>
  <c r="I16" i="7"/>
  <c r="I17" i="7" s="1"/>
  <c r="I9" i="10" s="1"/>
  <c r="I30" i="8" l="1"/>
  <c r="I12" i="8"/>
  <c r="I34" i="8"/>
  <c r="I19" i="8"/>
  <c r="I23" i="8" s="1"/>
  <c r="F10" i="5"/>
  <c r="I19" i="7" s="1"/>
  <c r="I10" i="10" s="1"/>
  <c r="I25" i="8" l="1"/>
  <c r="I27" i="8" s="1"/>
  <c r="I10" i="7" s="1"/>
  <c r="I14" i="10" s="1"/>
  <c r="G12" i="1" s="1"/>
  <c r="I13" i="10"/>
  <c r="I15" i="10"/>
  <c r="I35" i="8"/>
  <c r="F6" i="9" s="1"/>
  <c r="I16" i="10" l="1"/>
  <c r="G6" i="9"/>
  <c r="F9" i="9"/>
  <c r="B11" i="9" s="1"/>
  <c r="I20" i="10"/>
  <c r="I21" i="10"/>
  <c r="I12" i="7"/>
  <c r="I24" i="7" l="1"/>
  <c r="I25" i="7" s="1"/>
  <c r="I27" i="7" s="1"/>
  <c r="I28" i="7" s="1"/>
  <c r="G9" i="9"/>
  <c r="H6" i="9"/>
  <c r="H9" i="9" l="1"/>
  <c r="I6" i="9"/>
  <c r="I9" i="9" l="1"/>
  <c r="B12" i="9" s="1"/>
  <c r="J6" i="9"/>
  <c r="J9" i="9" s="1"/>
  <c r="B13" i="9" s="1"/>
  <c r="B14" i="9" l="1"/>
  <c r="B17" i="9" s="1"/>
  <c r="B15" i="1" l="1"/>
  <c r="B19" i="9"/>
  <c r="B17" i="1" s="1"/>
  <c r="B18" i="9"/>
  <c r="H4" i="1" l="1"/>
</calcChain>
</file>

<file path=xl/sharedStrings.xml><?xml version="1.0" encoding="utf-8"?>
<sst xmlns="http://schemas.openxmlformats.org/spreadsheetml/2006/main" count="703" uniqueCount="380">
  <si>
    <t>JUNIPER GREEN ENERGY LIMITED — EXECUTIVE SUMMARY</t>
  </si>
  <si>
    <t>Active Scenario (drives all detailed tabs):</t>
  </si>
  <si>
    <t>(change on the Assumptions tab, cell B4 — this cell mirrors it)</t>
  </si>
  <si>
    <t>Bear</t>
  </si>
  <si>
    <t>Base</t>
  </si>
  <si>
    <t>Bull</t>
  </si>
  <si>
    <t>FINANCIAL SNAPSHOT (current Active Scenario)</t>
  </si>
  <si>
    <t>FY26A</t>
  </si>
  <si>
    <t>FY27E</t>
  </si>
  <si>
    <t>FY28E</t>
  </si>
  <si>
    <t>FY29E</t>
  </si>
  <si>
    <t>FY30E</t>
  </si>
  <si>
    <t>FY31E</t>
  </si>
  <si>
    <t>Revenue (Rs cr)</t>
  </si>
  <si>
    <t>EBITDA (Rs cr)</t>
  </si>
  <si>
    <t>EBITDA Margin %</t>
  </si>
  <si>
    <t>PAT (Rs cr)</t>
  </si>
  <si>
    <t>Net Debt/Equity (x)</t>
  </si>
  <si>
    <t>VALUATION SUMMARY (current Active Scenario)</t>
  </si>
  <si>
    <t>FCFE-DCF Value per Share (Rs)</t>
  </si>
  <si>
    <t>Implied Upside/(Downside)</t>
  </si>
  <si>
    <t>EV/EBITDA (Forward, FY27E)</t>
  </si>
  <si>
    <t>P/E (Forward, FY27E)</t>
  </si>
  <si>
    <t>SCENARIO COMPARISON — BEAR / BASE / BULL (always live, independent of the switch above)</t>
  </si>
  <si>
    <t>Simplified portfolio-level approximation, NOT a full re-run of the 48-SPV detail. Isolates the two levers with a clean, quantifiable portfolio-wide effect (WSH/FDRE post-COD CUF; merchant tariff). Holds cost structure, tax rate, and D&amp;A at Base-case levels. UCA timeline lever is excluded here as it washes out by FY31 in the detailed model (affects the ramp path and peak leverage, not the FY31 snapshot) — see Debt Model tab for its full effect.</t>
  </si>
  <si>
    <t>WSH/FDRE post-COD CUF</t>
  </si>
  <si>
    <t>Merchant tariff (Rs/kWh)</t>
  </si>
  <si>
    <t>Base-case FY31E Revenue (Rs cr)</t>
  </si>
  <si>
    <t xml:space="preserve">  Adj: WSH/FDRE CUF delta impact (5,875.4 MW x 8760 x 1000 x d(CUF) x Rs3.939/kWh /1e6)</t>
  </si>
  <si>
    <t xml:space="preserve">  Adj: Merchant tariff delta impact (170 MW x 8760 x 1000 x 24.48% x d(Tariff) /1e6)</t>
  </si>
  <si>
    <t>Scenario FY31E Revenue (Rs cr)</t>
  </si>
  <si>
    <t>Scenario FY31E EBITDA (Rs cr, Base margin applied)</t>
  </si>
  <si>
    <t>Scenario FY31E PAT (Rs cr, Base PAT margin applied)</t>
  </si>
  <si>
    <t>Approx. Value/Share (Rs) — Base DCF value scaled by scenario/Base FY31E PAT ratio</t>
  </si>
  <si>
    <t>JUNIPER GREEN ENERGY LIMITED — MODEL ASSUMPTIONS</t>
  </si>
  <si>
    <t>SCENARIO SWITCH</t>
  </si>
  <si>
    <t>Active Scenario</t>
  </si>
  <si>
    <t>(Drives WSH/FDRE post-COD CUF, UCA commissioning timeline, and merchant tariff below — Sections 6-8)</t>
  </si>
  <si>
    <t>1. COST OF EQUITY (CAPM) — user-specified, not independently sourced</t>
  </si>
  <si>
    <t>Risk-free rate (Rf)</t>
  </si>
  <si>
    <t>Equity risk premium (ERP)</t>
  </si>
  <si>
    <t>Beta</t>
  </si>
  <si>
    <t>Cost of Equity (Ke = Rf + Beta x ERP)</t>
  </si>
  <si>
    <t>2. TAX — Source: RHP tax notes; parent &amp; Sigma on Sec.115BAA (25.168%); Field &amp; Three on Sec.115BAB (17.16%); FY26 actual eff. rate 26.69%</t>
  </si>
  <si>
    <t>Blended effective tax rate (forward)</t>
  </si>
  <si>
    <t>3. OPEX INFLATION &amp; TERMINAL GROWTH — fixed across all scenarios per user instruction</t>
  </si>
  <si>
    <t>Opex inflation rate p.a. (CRISIL FY27P CPI, RHP Table 2)</t>
  </si>
  <si>
    <t>Terminal fade growth, Yrs 6-8 (FY32-FY34)</t>
  </si>
  <si>
    <t>Terminal growth, Yr 9+ (FY35 onward, Gordon growth)</t>
  </si>
  <si>
    <t>4. DEBT FINANCING — Source: RHP Financial Indebtedness note, p.654 &amp; management-cited project D:E</t>
  </si>
  <si>
    <t>New capex financing — Debt %</t>
  </si>
  <si>
    <t>New capex financing — Equity %</t>
  </si>
  <si>
    <t>New debt interest rate p.a. (upper-half of disclosed 7.75-9.75% term loan band)</t>
  </si>
  <si>
    <t>Existing debt blended effective rate p.a.</t>
  </si>
  <si>
    <t>Assumed weighted-avg amortization tenor (years) — simplification, no per-loan maturity ladder disclosed</t>
  </si>
  <si>
    <t>5. DEPRECIATION — USEFUL LIVES (Source: RHP Significant Accounting Policies, p.504)</t>
  </si>
  <si>
    <t>Solar power projects (technical assessment)</t>
  </si>
  <si>
    <t>Wind / WSH / FDRE / BESS plant &amp; equipment (within 20-25yr band; conservative mid-point)</t>
  </si>
  <si>
    <t>Leasehold land (ROU)</t>
  </si>
  <si>
    <t>6. GENERATION — CAPACITY UTILISATION FACTOR (CUF)</t>
  </si>
  <si>
    <t>Solar CUF (FY26 actual, RHP KPI table p.192)</t>
  </si>
  <si>
    <t>Wind CUF (FY26 actual, RHP KPI table p.192)</t>
  </si>
  <si>
    <t>WSH/FDRE CUF — Operational bucket (solar-leg only commissioned; footnotes confirm wind-leg not yet built)</t>
  </si>
  <si>
    <t>WSH/FDRE Operational bucket — effective interim tariff (solar-leg-only billing; weighted avg solar tariff proxy per RHP phased-billing mechanic p.21102)</t>
  </si>
  <si>
    <t>WSH/FDRE CUF post-COD (full hybrid), by scenario:</t>
  </si>
  <si>
    <t>Active</t>
  </si>
  <si>
    <t>WSH/FDRE CUF post-COD</t>
  </si>
  <si>
    <t>FDRE CUF post-COD</t>
  </si>
  <si>
    <t>7. UNDER CONSTRUCTION AWARDED — MONTHS FROM LOA TO SCOD, by scenario (Source: RHP disclosed 13-24mo / 24-30mo implementation windows)</t>
  </si>
  <si>
    <t>WSH (13-24mo disclosed range)</t>
  </si>
  <si>
    <t>FDRE (24-30mo disclosed range)</t>
  </si>
  <si>
    <t>8. MERCHANT POWER TARIFF ₹/kWh, by scenario (Base = FY26 disclosed historical realized average)</t>
  </si>
  <si>
    <t>Merchant tariff (₹/kWh)</t>
  </si>
  <si>
    <t>9. CAPEX RATES ₹ CRORE/MW (implied from RHP disclosed aggregate pipeline cost / planned AC MW, p.170 &amp; MD&amp;A)</t>
  </si>
  <si>
    <t>UCC implied rate (Total est. cost Rs.24,764.95cr / 2,875.40 MW)</t>
  </si>
  <si>
    <t>UCA implied rate (Total est. cost Rs.19,050.37cr / 3,240.00 MW)</t>
  </si>
  <si>
    <t>UCC remaining-spend factor (Capital commitments Rs.8,995.47cr / Total UCC est. cost Rs.24,764.95cr, per RHP MD&amp;A — balance already spent/capitalised in FY24-26, pre-dates this forecast)</t>
  </si>
  <si>
    <t>10. WORKING CAPITAL</t>
  </si>
  <si>
    <t>Trade receivable days (FY26 actual, RHP KPI table)</t>
  </si>
  <si>
    <t>Trade payable days (assumption — mid of disclosed 0-90 day settlement terms)</t>
  </si>
  <si>
    <t>11. SHARE CAPITAL &amp; VALUATION INPUTS</t>
  </si>
  <si>
    <t>Pre-issue equity shares (RHP Capital Structure, p.148)</t>
  </si>
  <si>
    <t>IPO Price — upper band per user instruction (band disclosed ex-RHP: Rs.214-225)</t>
  </si>
  <si>
    <t>Fresh issue size (Rs crore)</t>
  </si>
  <si>
    <t>Fresh issue shares</t>
  </si>
  <si>
    <t>Post-issue equity shares</t>
  </si>
  <si>
    <t>Market Capitalisation (Rs crore)</t>
  </si>
  <si>
    <t>IPO-funded debt repayment — parent (Rs cr, FY27, Objects of Issue p.170)</t>
  </si>
  <si>
    <t>IPO-funded debt repayment — subsidiaries (Rs cr, FY27, Objects of Issue p.170)</t>
  </si>
  <si>
    <t>Total IPO-funded debt repayment (Rs cr)</t>
  </si>
  <si>
    <t>12. CSR (statutory formula, Companies Act s.135)</t>
  </si>
  <si>
    <t>CSR % of trailing 3-yr average net profit</t>
  </si>
  <si>
    <t>13. MODEL TIMELINE</t>
  </si>
  <si>
    <t>Forecast start (FY27 = FY ending March 31, 2027)</t>
  </si>
  <si>
    <t>FY26 year-end operational MW baseline (RHP portfolio table, Mar 31, 2026)</t>
  </si>
  <si>
    <t>Employee statutory add-ons as % of cash salary (PF+Gratuity+Comp.Absences / Salary, FY26 actual)</t>
  </si>
  <si>
    <t>Historical PAT for CSR trailing avg: FY24 (Rs cr)</t>
  </si>
  <si>
    <t>Historical PAT: FY25 (Rs cr)</t>
  </si>
  <si>
    <t>14. ROU ASSET &amp; LEASE FINANCING (new capacity requires new land leases — driven by MW added, not revenue)</t>
  </si>
  <si>
    <t>Lease effective interest rate p.a. (RHP-disclosed range 8.10%-11.08%, blended)</t>
  </si>
  <si>
    <t>ROU asset intensity — Rs cr per new MW (implied: FY26A ROU balance / FY26 year-end operational MW)</t>
  </si>
  <si>
    <t>REVENUE MODEL — SPV LEVEL (48 PPAs/LOAs)</t>
  </si>
  <si>
    <t>Generation = AC Capacity(MW) x 1,000 x 8,760hrs x CUF x (Months Operational/12); Revenue = Generation x Tariff. COD-based monthly proration vs FY27 (Apr'26) start. All Rs in crores.</t>
  </si>
  <si>
    <t>Category</t>
  </si>
  <si>
    <t>Tech</t>
  </si>
  <si>
    <t>Entity</t>
  </si>
  <si>
    <t>Off-taker</t>
  </si>
  <si>
    <t>AC MW</t>
  </si>
  <si>
    <t>Base Tariff
(Rs/kWh)</t>
  </si>
  <si>
    <t>Eff. Tariff
(Rs/kWh)</t>
  </si>
  <si>
    <t>Base Date
(PPA/LOA)</t>
  </si>
  <si>
    <t>COD</t>
  </si>
  <si>
    <t>COD Mth
Idx</t>
  </si>
  <si>
    <t>CUF
Applied</t>
  </si>
  <si>
    <t>FY27 Mths
Op</t>
  </si>
  <si>
    <t>FY27 Rev</t>
  </si>
  <si>
    <t>FY28 Mths
Op</t>
  </si>
  <si>
    <t>FY28 Rev</t>
  </si>
  <si>
    <t>FY29 Mths
Op</t>
  </si>
  <si>
    <t>FY29 Rev</t>
  </si>
  <si>
    <t>FY30 Mths
Op</t>
  </si>
  <si>
    <t>FY30 Rev</t>
  </si>
  <si>
    <t>FY31 Mths
Op</t>
  </si>
  <si>
    <t>FY31 Rev</t>
  </si>
  <si>
    <t>Operational</t>
  </si>
  <si>
    <t>Solar</t>
  </si>
  <si>
    <t>Nisagra Renewable Energy Pvt Ltd + Juniper Green Energy Ltd</t>
  </si>
  <si>
    <t>MSEDCL</t>
  </si>
  <si>
    <t>Juniper Green Sigma Pvt Ltd</t>
  </si>
  <si>
    <t>GUVNL</t>
  </si>
  <si>
    <t>Juniper Green Three Pvt Ltd</t>
  </si>
  <si>
    <t>Juniper Green Field Pvt Ltd</t>
  </si>
  <si>
    <t>Juniper Green Gamma One Pvt Ltd</t>
  </si>
  <si>
    <t>Juniper Green Cosmic Pvt Ltd</t>
  </si>
  <si>
    <t>Merchant</t>
  </si>
  <si>
    <t>Juniper Nirjara Energy Pvt Ltd</t>
  </si>
  <si>
    <t>Juniper Green Ray Two Pvt Ltd</t>
  </si>
  <si>
    <t>Wind</t>
  </si>
  <si>
    <t>Juniper Green Beam Pvt Ltd</t>
  </si>
  <si>
    <t>Juniper Green Kite Pvt Ltd</t>
  </si>
  <si>
    <t>WSH</t>
  </si>
  <si>
    <t>Juniper Green Power Five Pvt Ltd</t>
  </si>
  <si>
    <t>Juniper Green Spark Ten Pvt Ltd</t>
  </si>
  <si>
    <t>Juniper Green Energy Ltd</t>
  </si>
  <si>
    <t>Juniper Green Spark Four Pvt Ltd</t>
  </si>
  <si>
    <t>FDRE</t>
  </si>
  <si>
    <t>Juniper Green Stellar Pvt Ltd</t>
  </si>
  <si>
    <t>SJVN</t>
  </si>
  <si>
    <t>UCC</t>
  </si>
  <si>
    <t>Juniper Green Beta Pvt Ltd</t>
  </si>
  <si>
    <t>Juniper Green Bess Two Pvt Ltd</t>
  </si>
  <si>
    <t>Juniper Green Bess Delta Pvt Ltd</t>
  </si>
  <si>
    <t>Juniper Green Beam Eight Pvt Ltd</t>
  </si>
  <si>
    <t>TPCL</t>
  </si>
  <si>
    <t>SECI</t>
  </si>
  <si>
    <t>NTPC</t>
  </si>
  <si>
    <t>Juniper Green Power Five Pvt Ltd + Juniper Green ETA Five Pvt Ltd</t>
  </si>
  <si>
    <t>Juniper Green Light Ten Pvt Ltd</t>
  </si>
  <si>
    <t>NHPC</t>
  </si>
  <si>
    <t>Juniper Green Beta Six Pvt Ltd</t>
  </si>
  <si>
    <t>Juniper Green Bess Zeta Pvt Ltd</t>
  </si>
  <si>
    <t>Juniper Green Sigma Eight Pvt Ltd</t>
  </si>
  <si>
    <t>UCA</t>
  </si>
  <si>
    <t>Juniper Green Beam Six Pvt Ltd</t>
  </si>
  <si>
    <t>Juniper Green Light Four Pvt Ltd</t>
  </si>
  <si>
    <t>Juniper Green Alpha Three Pvt Ltd</t>
  </si>
  <si>
    <t>Juniper Green Gem Pvt Ltd</t>
  </si>
  <si>
    <t>Juniper Green India Eight Pvt Ltd</t>
  </si>
  <si>
    <t>Juniper Green Infinite Pvt Ltd</t>
  </si>
  <si>
    <t>Juniper Green India Alpha Pvt Ltd</t>
  </si>
  <si>
    <t>Juniper Green Sigma Six Pvt Ltd</t>
  </si>
  <si>
    <t>Juniper Green Beam Alpha Pvt Ltd</t>
  </si>
  <si>
    <t>Juniper Green Power Omega Pvt Ltd</t>
  </si>
  <si>
    <t>Juniper Green Bess One Pvt Ltd</t>
  </si>
  <si>
    <t>TOTAL REVENUE (Rs crore)</t>
  </si>
  <si>
    <t>Operational AC MW at FY-end (cumulative COD'd capacity)</t>
  </si>
  <si>
    <t>CAPEX MODEL — SPV LEVEL PHASING (UCC &amp; UCA only; Operational projects require no further capex)</t>
  </si>
  <si>
    <t>Cash capex spread evenly over construction window (Start-&gt;COD). Capitalisation to Gross Block occurs as a lump sum in the FY that COD falls in (CWIP-&gt;PPE transfer convention). Rs crore.</t>
  </si>
  <si>
    <t>Planned AC MW</t>
  </si>
  <si>
    <t>Rs cr/MW</t>
  </si>
  <si>
    <t>Total Project
Cost</t>
  </si>
  <si>
    <t>Start Date</t>
  </si>
  <si>
    <t>Start Mth
Idx</t>
  </si>
  <si>
    <t>Constr.
Months</t>
  </si>
  <si>
    <t>FY27 Capex
(cash)</t>
  </si>
  <si>
    <t>FY28 Capex
(cash)</t>
  </si>
  <si>
    <t>FY29 Capex
(cash)</t>
  </si>
  <si>
    <t>FY30 Capex
(cash)</t>
  </si>
  <si>
    <t>FY31 Capex
(cash)</t>
  </si>
  <si>
    <t>Capitalised
in FY</t>
  </si>
  <si>
    <t>Cash Spend
Base (Rs cr)</t>
  </si>
  <si>
    <t>TOTAL CASH CAPEX (Rs crore)</t>
  </si>
  <si>
    <t>FY27</t>
  </si>
  <si>
    <t>FY28</t>
  </si>
  <si>
    <t>FY29</t>
  </si>
  <si>
    <t>FY30</t>
  </si>
  <si>
    <t>FY31</t>
  </si>
  <si>
    <t>CAPITALISED TO GROSS BLOCK, BY FY (Rs crore)</t>
  </si>
  <si>
    <t xml:space="preserve">  of which: Solar-tech capitalised (25yr life)</t>
  </si>
  <si>
    <t xml:space="preserve">  of which: Wind/WSH/FDRE capitalised (22yr life)</t>
  </si>
  <si>
    <t>DEBT MODEL — CONSOLIDATED (Beginning-of-period interest convention to avoid circularity)</t>
  </si>
  <si>
    <t>Opening balance = prior FY closing (FY27 opening = FY26 actual per RHP). Interest computed on OPENING balance only (standard non-circular convention). Rs crore.</t>
  </si>
  <si>
    <t>Opening Debt Balance</t>
  </si>
  <si>
    <t>(+) New Debt Draws (75% of Cash Capex)</t>
  </si>
  <si>
    <t>(+) Equity Shortfall -&gt; Additional Debt (plug, visible)</t>
  </si>
  <si>
    <t>(-) IPO-funded Debt Repayment (FY27 only, Objects of Issue)</t>
  </si>
  <si>
    <t>(-) Scheduled Amortisation (Opening Bal / Assumed Tenor)</t>
  </si>
  <si>
    <t>Closing Debt Balance</t>
  </si>
  <si>
    <t>Interest Expense (Opening Balance x Blended Rate)</t>
  </si>
  <si>
    <t>MEMO: Equity Required for New Capex (25%)</t>
  </si>
  <si>
    <t>MEMO: CFO Proxy Available (PAT + D&amp;A, pre-shortfall)</t>
  </si>
  <si>
    <t>MEMO: Residual after Debt Service</t>
  </si>
  <si>
    <t>PROFIT &amp; LOSS STATEMENT (Rs crore) — FY24A-FY26A tie exactly to RHP Restated Financials</t>
  </si>
  <si>
    <t>FY24A</t>
  </si>
  <si>
    <t>FY25A</t>
  </si>
  <si>
    <t>Revenue from Operations</t>
  </si>
  <si>
    <t>Other Income</t>
  </si>
  <si>
    <t>Total Income</t>
  </si>
  <si>
    <t>Cost of Power Purchased</t>
  </si>
  <si>
    <t>Employee Benefits Expense</t>
  </si>
  <si>
    <t xml:space="preserve">     Cash Salary, Wages &amp; Bonus</t>
  </si>
  <si>
    <t xml:space="preserve">     Statutory add-ons (PF/Gratuity/Leave, % of salary)</t>
  </si>
  <si>
    <t xml:space="preserve">     Staff Welfare</t>
  </si>
  <si>
    <t xml:space="preserve">     ESOP Expense (held flat at FY26)</t>
  </si>
  <si>
    <t>Total Employee Benefits</t>
  </si>
  <si>
    <t>Other Expenses</t>
  </si>
  <si>
    <t xml:space="preserve">     Fixed (corporate overhead) - grown at inflation</t>
  </si>
  <si>
    <t xml:space="preserve">     Variable (MW-linked) - MW growth + inflation</t>
  </si>
  <si>
    <t xml:space="preserve">     CSR (2% of trailing 3yr avg PAT, statutory formula)</t>
  </si>
  <si>
    <t xml:space="preserve">     One-offs (FX/loss on disposal/liquidated damages) - held at zero fwd</t>
  </si>
  <si>
    <t>Total Other Expenses</t>
  </si>
  <si>
    <t>EBITDA</t>
  </si>
  <si>
    <t>EV/EBITDA</t>
  </si>
  <si>
    <t>Depreciation &amp; Amortisation</t>
  </si>
  <si>
    <t>EBIT</t>
  </si>
  <si>
    <t>Finance Cost - Debt Interest</t>
  </si>
  <si>
    <t>Finance Cost - Other (lease/decommissioning unwind/misc)</t>
  </si>
  <si>
    <t>Total Finance Cost</t>
  </si>
  <si>
    <t>Profit Before Tax</t>
  </si>
  <si>
    <t>Tax Expense</t>
  </si>
  <si>
    <t>Profit After Tax (PAT)</t>
  </si>
  <si>
    <t>P/E</t>
  </si>
  <si>
    <t>D&amp;A SUPPORTING SCHEDULE (Net Block roll-forward, half-year convention on new capitalisation)</t>
  </si>
  <si>
    <t>Solar Net Block - Opening (FY27 opening = FY26 closing, per Balance Sheet allocation)</t>
  </si>
  <si>
    <t xml:space="preserve">  (+) Capitalised (Solar, from Capex Model)</t>
  </si>
  <si>
    <t xml:space="preserve">  (-) Depreciation (Opening/25 + Capitalised/25 x 0.5)</t>
  </si>
  <si>
    <t>Solar Net Block - Closing</t>
  </si>
  <si>
    <t>Other (Wind/WSH/FDRE/BESS) Net Block - Opening</t>
  </si>
  <si>
    <t xml:space="preserve">  (+) Capitalised (Other, from Capex Model)</t>
  </si>
  <si>
    <t xml:space="preserve">  (-) Depreciation (Opening/22 + Capitalised/22 x 0.5)</t>
  </si>
  <si>
    <t>Other Net Block - Closing</t>
  </si>
  <si>
    <t>TOTAL D&amp;A (Solar + Other)</t>
  </si>
  <si>
    <t>ROU ASSET &amp; LEASE LIABILITY SCHEDULE (new leases driven by New MW Added, not revenue — per user request)</t>
  </si>
  <si>
    <t>New MW Added in Year (from Revenue Model operational roll-forward)</t>
  </si>
  <si>
    <t>ROU Asset - Opening</t>
  </si>
  <si>
    <t xml:space="preserve">  (+) New ROU Additions (New MW x Rs cr/MW intensity)</t>
  </si>
  <si>
    <t xml:space="preserve">  (-) ROU Amortisation (Opening/29yr + New Additions/29yr x 0.5, half-year convention)</t>
  </si>
  <si>
    <t>ROU Asset - Closing</t>
  </si>
  <si>
    <t>Lease Liability - Opening</t>
  </si>
  <si>
    <t xml:space="preserve">  (+) New Lease Liabilities (= New ROU Additions)</t>
  </si>
  <si>
    <t xml:space="preserve">  (-) Lease Repayment (Opening/29yr, straight-line simplification)</t>
  </si>
  <si>
    <t>Lease Liability - Closing</t>
  </si>
  <si>
    <t>Lease Interest Expense (Opening Lease Liability x effective rate)</t>
  </si>
  <si>
    <t>Non-Lease Other Finance Cost (decommissioning unwind + other borrowing + FX; FY26A base x inflation)</t>
  </si>
  <si>
    <t>Total Finance Cost - Other (= Lease Interest + Non-Lease Other)</t>
  </si>
  <si>
    <t>BALANCE SHEET (Rs crore) — FY24A-FY26A tie exactly to RHP Summary of Restated Consolidated Assets &amp; Liabilities, p.94</t>
  </si>
  <si>
    <t>ASSETS</t>
  </si>
  <si>
    <t>Net Property, Plant &amp; Equipment</t>
  </si>
  <si>
    <t>Capital Work-in-Progress</t>
  </si>
  <si>
    <t>Right-of-Use Assets</t>
  </si>
  <si>
    <t>Trade Receivables</t>
  </si>
  <si>
    <t>Cash &amp; Bank Balances (incl. investments/other bank balances)</t>
  </si>
  <si>
    <t>Other Assets (financial + non-financial, held flat fwd — non-core)</t>
  </si>
  <si>
    <t>TOTAL ASSETS</t>
  </si>
  <si>
    <t>EQUITY &amp; LIABILITIES</t>
  </si>
  <si>
    <t>Equity Share Capital</t>
  </si>
  <si>
    <t>Other Equity (Securities Premium + Retained Earnings)</t>
  </si>
  <si>
    <t>TOTAL EQUITY</t>
  </si>
  <si>
    <t>Borrowings</t>
  </si>
  <si>
    <t>Lease Liabilities</t>
  </si>
  <si>
    <t>Decommissioning &amp; Other Provisions</t>
  </si>
  <si>
    <t>Trade Payables</t>
  </si>
  <si>
    <t>Deferred Tax Liabilities (net, held flat fwd)</t>
  </si>
  <si>
    <t>Other Liabilities (incl. capital creditors, tracks CWIP activity)</t>
  </si>
  <si>
    <t>TOTAL LIABILITIES</t>
  </si>
  <si>
    <t>TOTAL EQUITY + LIABILITIES</t>
  </si>
  <si>
    <t>CHECK (Assets - Equity&amp;Liabilities)</t>
  </si>
  <si>
    <t>CASH FLOW STATEMENT &amp; FCFE (Rs crore)</t>
  </si>
  <si>
    <t>FY24A-FY26A CFO/CFI/CFF tie exactly to RHP MD&amp;A Cash Flows table, p.645. FCFE excludes the FY27 one-time IPO-funded debt repayment &amp; its offsetting equity effect (model values post-IPO ongoing cash flows to post-issue share count).</t>
  </si>
  <si>
    <t>CASH FLOW FROM OPERATIONS</t>
  </si>
  <si>
    <t>Profit After Tax</t>
  </si>
  <si>
    <t>(+) D&amp;A (non-cash)</t>
  </si>
  <si>
    <t>(+) Interest on Decommissioning Provision (non-cash unwind)</t>
  </si>
  <si>
    <t>(-) Increase in Trade Receivables</t>
  </si>
  <si>
    <t>(+) Increase in Trade Payables</t>
  </si>
  <si>
    <t>CFO</t>
  </si>
  <si>
    <t>CASH FLOW FROM INVESTING</t>
  </si>
  <si>
    <t>(-) Capex (cash basis)</t>
  </si>
  <si>
    <t>CFI</t>
  </si>
  <si>
    <t>CASH FLOW FROM FINANCING</t>
  </si>
  <si>
    <t>(+) New Debt Draws + Shortfall Plug</t>
  </si>
  <si>
    <t>(-) Scheduled Amortisation</t>
  </si>
  <si>
    <t>(-) IPO-funded Debt Repayment (one-time, FY27)</t>
  </si>
  <si>
    <t>(+) IPO Gross Equity Proceeds (one-time, FY27)</t>
  </si>
  <si>
    <t>CFF</t>
  </si>
  <si>
    <t>NET CHANGE IN CASH</t>
  </si>
  <si>
    <t>Opening Cash</t>
  </si>
  <si>
    <t>Closing Cash</t>
  </si>
  <si>
    <t>FCFE CALCULATION (excl. one-time IPO deleveraging event)</t>
  </si>
  <si>
    <t>(+) D&amp;A</t>
  </si>
  <si>
    <t>(-) Increase in NWC</t>
  </si>
  <si>
    <t>(+) Net Borrowing (New Draws + Shortfall - Scheduled Amortisation)</t>
  </si>
  <si>
    <t>FCFE</t>
  </si>
  <si>
    <t>VALUATION — FCFE/DCF &amp; TRADING MULTIPLES</t>
  </si>
  <si>
    <t>1. FCFE DCF VALUATION</t>
  </si>
  <si>
    <t>FY32E</t>
  </si>
  <si>
    <t>FY33E</t>
  </si>
  <si>
    <t>FY34E</t>
  </si>
  <si>
    <t>Terminal</t>
  </si>
  <si>
    <t>FCFE (Rs crore)</t>
  </si>
  <si>
    <t>Discount Period (years, mid-year convention)</t>
  </si>
  <si>
    <t>Discount Factor @ Ke</t>
  </si>
  <si>
    <t>PV of FCFE</t>
  </si>
  <si>
    <t>Sum PV of Explicit FCFE (FY27-31)</t>
  </si>
  <si>
    <t>Sum PV of Fade-period FCFE (FY32-34)</t>
  </si>
  <si>
    <t>PV of Terminal Value</t>
  </si>
  <si>
    <t>TOTAL EQUITY VALUE (Rs crore)</t>
  </si>
  <si>
    <t>Post-Issue Shares Outstanding</t>
  </si>
  <si>
    <t>VALUE PER SHARE (Rs)</t>
  </si>
  <si>
    <t>Implied Upside/(Downside) vs IPO Price</t>
  </si>
  <si>
    <t>2. TRADING MULTIPLES (based on IPO price &amp; post-issue market cap)</t>
  </si>
  <si>
    <t>Market Capitalisation (Rs cr)</t>
  </si>
  <si>
    <t>(+) Total Debt (FY26A, as-is at listing)</t>
  </si>
  <si>
    <t>(-) Cash &amp; Bank (FY26A, as-is at listing)</t>
  </si>
  <si>
    <t>ENTERPRISE VALUE (Rs cr)</t>
  </si>
  <si>
    <t>Note: EV uses FY26A (as-is, pre-listing) net debt — the FY27 IPO-funded debt repayment is a post-listing event, not netted off here. See Cash Flow tab for its cash flow treatment.</t>
  </si>
  <si>
    <t>EV / EBITDA</t>
  </si>
  <si>
    <t>P / E</t>
  </si>
  <si>
    <t>P / S</t>
  </si>
  <si>
    <t>Historical = current EV/Market Cap against each past year's actuals (FY24A-FY26A). Trailing = FY26A column. Forward = FY27E-FY31E.</t>
  </si>
  <si>
    <t>3. PEER COMPARISON (FY26 actuals, per RHP KPI comparison table p.192-194)</t>
  </si>
  <si>
    <t>Company</t>
  </si>
  <si>
    <t>Market Cap (Rs cr)
[FILL IN]</t>
  </si>
  <si>
    <t>Revenue FY26
(Rs cr)</t>
  </si>
  <si>
    <t>EBITDA FY26
(Rs cr)</t>
  </si>
  <si>
    <t>PAT FY26
(Rs cr)</t>
  </si>
  <si>
    <t>P/S</t>
  </si>
  <si>
    <t>EBITDA
Margin %</t>
  </si>
  <si>
    <t>Juniper Green Energy</t>
  </si>
  <si>
    <t>ACME Solar Holdings</t>
  </si>
  <si>
    <t>ReNew Power Global</t>
  </si>
  <si>
    <t>Adani Green Energy</t>
  </si>
  <si>
    <t>NTPC Green Energy</t>
  </si>
  <si>
    <t>Market Cap column left blank for peers (except Juniper, computed from this model) — fill in from current market data. EV proxied by Market Cap for peers (net debt not separately modeled here).</t>
  </si>
  <si>
    <t>RATIO ANALYSIS</t>
  </si>
  <si>
    <t>PROFITABILITY</t>
  </si>
  <si>
    <t>Operating EBITDA Margin % (=EBITDA/Revenue, excl. Other Income)</t>
  </si>
  <si>
    <t>PAT Margin %</t>
  </si>
  <si>
    <t>ROE (PAT / Avg Total Equity)</t>
  </si>
  <si>
    <t>ROCE (EBIT / Avg (Equity+Debt))</t>
  </si>
  <si>
    <t>LEVERAGE / CREDIT</t>
  </si>
  <si>
    <t>Debt / Equity</t>
  </si>
  <si>
    <t>Net Debt / Equity</t>
  </si>
  <si>
    <t>Debt / EBITDA</t>
  </si>
  <si>
    <t>Net Debt / EBITDA</t>
  </si>
  <si>
    <t>Interest Coverage (EBIT / Finance Cost)</t>
  </si>
  <si>
    <t>LIQUIDITY</t>
  </si>
  <si>
    <t>Current Ratio (approx: Cash+AR / AP)</t>
  </si>
  <si>
    <t>Cash &amp; Bank / Total Debt</t>
  </si>
  <si>
    <t>EFFICIENCY / WORKING CAPITAL</t>
  </si>
  <si>
    <t>Days Receivable</t>
  </si>
  <si>
    <t>Days Payable</t>
  </si>
  <si>
    <t>GROWTH</t>
  </si>
  <si>
    <t>Revenue Growth %</t>
  </si>
  <si>
    <t>EBITDA Growth %</t>
  </si>
  <si>
    <t>PAT Growth %</t>
  </si>
  <si>
    <t>VALUATION (current EV/Market Cap against each period)</t>
  </si>
  <si>
    <t>EV/EBITDA ~15x</t>
  </si>
  <si>
    <t>P/E ~35x</t>
  </si>
  <si>
    <t>CMP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</si>
</sst>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,##0.00;\(#,##0.00\);\-"/>
    <numFmt numFmtId="165" formatCode="0.00\x"/>
    <numFmt numFmtId="166" formatCode="0.0%"/>
    <numFmt numFmtId="167" formatCode="0.0"/>
    <numFmt numFmtId="168" formatCode="#,##0;\(#,##0\);\-"/>
    <numFmt numFmtId="169" formatCode="dd\-mmm\-yyyy"/>
    <numFmt numFmtId="170" formatCode="#,##0.0000"/>
    <numFmt numFmtId="171" formatCode="0.0000"/>
    <numFmt numFmtId="172" formatCode="#,##0.0&quot; days&quot;"/>
    <numFmt numFmtId="173" formatCode="&quot;₹ &quot;#,##0.00"/>
  </numFmts>
  <fonts count="16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6"/>
      <color rgb="FFFFFFFF"/>
      <name val="Cambria"/>
      <family val="1"/>
    </font>
    <font>
      <b/>
      <sz val="11"/>
      <name val="Cambria"/>
      <family val="1"/>
    </font>
    <font>
      <b/>
      <sz val="12"/>
      <name val="Cambria"/>
      <family val="1"/>
    </font>
    <font>
      <i/>
      <sz val="9"/>
      <color rgb="FF808080"/>
      <name val="Cambria"/>
      <family val="1"/>
    </font>
    <font>
      <b/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i/>
      <sz val="8"/>
      <color rgb="FF808080"/>
      <name val="Cambria"/>
      <family val="1"/>
    </font>
    <font>
      <b/>
      <sz val="14"/>
      <color rgb="FFFFFFFF"/>
      <name val="Cambria"/>
      <family val="1"/>
    </font>
    <font>
      <sz val="11"/>
      <color rgb="FF0000FF"/>
      <name val="Cambria"/>
      <family val="1"/>
    </font>
    <font>
      <sz val="11"/>
      <color rgb="FF000000"/>
      <name val="Cambria"/>
      <family val="1"/>
    </font>
    <font>
      <sz val="11"/>
      <color rgb="FF0000FF"/>
      <name val="Cambria"/>
      <family val="1"/>
      <charset val="1"/>
    </font>
    <font>
      <b/>
      <sz val="14"/>
      <color theme="1"/>
      <name val="Calibri"/>
      <family val="2"/>
      <charset val="1"/>
    </font>
    <font>
      <b/>
      <sz val="11"/>
      <color theme="1"/>
      <name val="Calibri"/>
      <family val="2"/>
    </font>
    <font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FFFF00"/>
        <bgColor rgb="FFFFFF00"/>
      </patternFill>
    </fill>
    <fill>
      <patternFill patternType="solid">
        <fgColor rgb="FFFCE4E4"/>
        <bgColor rgb="FFE4F0FC"/>
      </patternFill>
    </fill>
    <fill>
      <patternFill patternType="solid">
        <fgColor rgb="FFE4F0FC"/>
        <bgColor rgb="FFE4FCE8"/>
      </patternFill>
    </fill>
    <fill>
      <patternFill patternType="solid">
        <fgColor rgb="FFE4FCE8"/>
        <bgColor rgb="FFE4F0FC"/>
      </patternFill>
    </fill>
    <fill>
      <patternFill patternType="solid">
        <fgColor rgb="FFD9E1F2"/>
        <bgColor rgb="FFE4F0FC"/>
      </patternFill>
    </fill>
    <fill>
      <patternFill patternType="solid">
        <fgColor rgb="FF305496"/>
        <bgColor rgb="FF1F4E78"/>
      </patternFill>
    </fill>
    <fill>
      <patternFill patternType="solid">
        <fgColor rgb="FFFFE699"/>
        <bgColor rgb="FFFFCC99"/>
      </patternFill>
    </fill>
    <fill>
      <patternFill patternType="solid">
        <fgColor rgb="FFFFC7CE"/>
      </patternFill>
    </fill>
    <fill>
      <patternFill patternType="solid">
        <fgColor theme="9" tint="-0.249977111117893"/>
        <bgColor rgb="FF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5" fillId="10" borderId="0" applyNumberFormat="0" applyBorder="0" applyAlignment="0" applyProtection="0"/>
  </cellStyleXfs>
  <cellXfs count="66">
    <xf numFmtId="0" fontId="0" fillId="0" borderId="0" xfId="0"/>
    <xf numFmtId="0" fontId="0" fillId="0" borderId="0" xfId="0" applyAlignment="1" applyProtection="1"/>
    <xf numFmtId="0" fontId="3" fillId="0" borderId="0" xfId="0" applyFont="1" applyAlignment="1" applyProtection="1"/>
    <xf numFmtId="0" fontId="4" fillId="3" borderId="0" xfId="0" applyFont="1" applyFill="1" applyAlignment="1" applyProtection="1"/>
    <xf numFmtId="0" fontId="5" fillId="0" borderId="0" xfId="0" applyFont="1" applyAlignment="1" applyProtection="1"/>
    <xf numFmtId="0" fontId="6" fillId="0" borderId="1" xfId="0" applyFont="1" applyBorder="1" applyAlignment="1" applyProtection="1">
      <alignment horizontal="center"/>
    </xf>
    <xf numFmtId="0" fontId="6" fillId="0" borderId="2" xfId="0" applyFont="1" applyBorder="1" applyAlignment="1" applyProtection="1">
      <alignment horizontal="center"/>
    </xf>
    <xf numFmtId="4" fontId="3" fillId="4" borderId="3" xfId="0" applyNumberFormat="1" applyFont="1" applyFill="1" applyBorder="1" applyAlignment="1" applyProtection="1"/>
    <xf numFmtId="4" fontId="3" fillId="5" borderId="4" xfId="0" applyNumberFormat="1" applyFont="1" applyFill="1" applyBorder="1" applyAlignment="1" applyProtection="1"/>
    <xf numFmtId="4" fontId="3" fillId="6" borderId="5" xfId="0" applyNumberFormat="1" applyFont="1" applyFill="1" applyBorder="1" applyAlignment="1" applyProtection="1"/>
    <xf numFmtId="0" fontId="7" fillId="8" borderId="0" xfId="0" applyFont="1" applyFill="1" applyAlignment="1" applyProtection="1">
      <alignment horizontal="center"/>
    </xf>
    <xf numFmtId="164" fontId="0" fillId="0" borderId="0" xfId="0" applyNumberFormat="1" applyAlignment="1" applyProtection="1"/>
    <xf numFmtId="10" fontId="0" fillId="0" borderId="0" xfId="0" applyNumberFormat="1" applyAlignment="1" applyProtection="1"/>
    <xf numFmtId="165" fontId="0" fillId="0" borderId="0" xfId="0" applyNumberFormat="1" applyAlignment="1" applyProtection="1"/>
    <xf numFmtId="4" fontId="3" fillId="3" borderId="0" xfId="0" applyNumberFormat="1" applyFont="1" applyFill="1" applyAlignment="1" applyProtection="1"/>
    <xf numFmtId="4" fontId="0" fillId="0" borderId="0" xfId="0" applyNumberFormat="1" applyAlignment="1" applyProtection="1"/>
    <xf numFmtId="164" fontId="3" fillId="0" borderId="0" xfId="0" applyNumberFormat="1" applyFont="1" applyAlignment="1" applyProtection="1"/>
    <xf numFmtId="4" fontId="3" fillId="4" borderId="0" xfId="0" applyNumberFormat="1" applyFont="1" applyFill="1" applyAlignment="1" applyProtection="1"/>
    <xf numFmtId="4" fontId="3" fillId="5" borderId="0" xfId="0" applyNumberFormat="1" applyFont="1" applyFill="1" applyAlignment="1" applyProtection="1"/>
    <xf numFmtId="4" fontId="3" fillId="6" borderId="0" xfId="0" applyNumberFormat="1" applyFont="1" applyFill="1" applyAlignment="1" applyProtection="1"/>
    <xf numFmtId="0" fontId="0" fillId="0" borderId="0" xfId="0" applyFont="1" applyAlignment="1" applyProtection="1"/>
    <xf numFmtId="166" fontId="10" fillId="0" borderId="0" xfId="0" applyNumberFormat="1" applyFont="1" applyAlignment="1" applyProtection="1"/>
    <xf numFmtId="2" fontId="10" fillId="0" borderId="0" xfId="0" applyNumberFormat="1" applyFont="1" applyAlignment="1" applyProtection="1"/>
    <xf numFmtId="166" fontId="3" fillId="0" borderId="0" xfId="0" applyNumberFormat="1" applyFont="1" applyAlignment="1" applyProtection="1"/>
    <xf numFmtId="166" fontId="11" fillId="0" borderId="0" xfId="0" applyNumberFormat="1" applyFont="1" applyAlignment="1" applyProtection="1"/>
    <xf numFmtId="1" fontId="10" fillId="0" borderId="0" xfId="0" applyNumberFormat="1" applyFont="1" applyAlignment="1" applyProtection="1"/>
    <xf numFmtId="4" fontId="10" fillId="0" borderId="0" xfId="0" applyNumberFormat="1" applyFont="1" applyAlignment="1" applyProtection="1"/>
    <xf numFmtId="166" fontId="3" fillId="3" borderId="0" xfId="0" applyNumberFormat="1" applyFont="1" applyFill="1" applyAlignment="1" applyProtection="1"/>
    <xf numFmtId="1" fontId="12" fillId="0" borderId="0" xfId="0" applyNumberFormat="1" applyFont="1" applyAlignment="1" applyProtection="1"/>
    <xf numFmtId="167" fontId="3" fillId="3" borderId="0" xfId="0" applyNumberFormat="1" applyFont="1" applyFill="1" applyAlignment="1" applyProtection="1"/>
    <xf numFmtId="4" fontId="11" fillId="0" borderId="0" xfId="0" applyNumberFormat="1" applyFont="1" applyAlignment="1" applyProtection="1"/>
    <xf numFmtId="10" fontId="10" fillId="0" borderId="0" xfId="0" applyNumberFormat="1" applyFont="1" applyAlignment="1" applyProtection="1"/>
    <xf numFmtId="3" fontId="10" fillId="0" borderId="0" xfId="0" applyNumberFormat="1" applyFont="1" applyAlignment="1" applyProtection="1"/>
    <xf numFmtId="3" fontId="11" fillId="0" borderId="0" xfId="0" applyNumberFormat="1" applyFont="1" applyAlignment="1" applyProtection="1"/>
    <xf numFmtId="3" fontId="3" fillId="0" borderId="0" xfId="0" applyNumberFormat="1" applyFont="1" applyAlignment="1" applyProtection="1"/>
    <xf numFmtId="168" fontId="3" fillId="0" borderId="0" xfId="0" applyNumberFormat="1" applyFont="1" applyAlignment="1" applyProtection="1"/>
    <xf numFmtId="164" fontId="10" fillId="0" borderId="0" xfId="0" applyNumberFormat="1" applyFont="1" applyAlignment="1" applyProtection="1"/>
    <xf numFmtId="169" fontId="10" fillId="0" borderId="0" xfId="0" applyNumberFormat="1" applyFont="1" applyAlignment="1" applyProtection="1"/>
    <xf numFmtId="170" fontId="0" fillId="0" borderId="0" xfId="0" applyNumberFormat="1" applyAlignment="1" applyProtection="1"/>
    <xf numFmtId="0" fontId="7" fillId="8" borderId="0" xfId="0" applyFont="1" applyFill="1" applyAlignment="1" applyProtection="1">
      <alignment horizontal="center" vertical="center" wrapText="1"/>
    </xf>
    <xf numFmtId="1" fontId="0" fillId="0" borderId="0" xfId="0" applyNumberFormat="1" applyAlignment="1" applyProtection="1"/>
    <xf numFmtId="2" fontId="0" fillId="0" borderId="0" xfId="0" applyNumberFormat="1" applyAlignment="1" applyProtection="1"/>
    <xf numFmtId="169" fontId="0" fillId="3" borderId="0" xfId="0" applyNumberFormat="1" applyFill="1" applyAlignment="1" applyProtection="1"/>
    <xf numFmtId="164" fontId="3" fillId="7" borderId="0" xfId="0" applyNumberFormat="1" applyFont="1" applyFill="1" applyAlignment="1" applyProtection="1"/>
    <xf numFmtId="4" fontId="3" fillId="7" borderId="0" xfId="0" applyNumberFormat="1" applyFont="1" applyFill="1" applyAlignment="1" applyProtection="1"/>
    <xf numFmtId="169" fontId="0" fillId="0" borderId="0" xfId="0" applyNumberFormat="1" applyAlignment="1" applyProtection="1"/>
    <xf numFmtId="167" fontId="0" fillId="0" borderId="0" xfId="0" applyNumberFormat="1" applyAlignment="1" applyProtection="1"/>
    <xf numFmtId="164" fontId="0" fillId="3" borderId="0" xfId="0" applyNumberFormat="1" applyFill="1" applyAlignment="1" applyProtection="1"/>
    <xf numFmtId="164" fontId="0" fillId="9" borderId="0" xfId="0" applyNumberFormat="1" applyFill="1" applyAlignment="1" applyProtection="1"/>
    <xf numFmtId="0" fontId="13" fillId="0" borderId="0" xfId="0" applyFont="1" applyAlignment="1" applyProtection="1"/>
    <xf numFmtId="0" fontId="4" fillId="0" borderId="0" xfId="0" applyFont="1" applyAlignment="1" applyProtection="1"/>
    <xf numFmtId="171" fontId="0" fillId="0" borderId="0" xfId="0" applyNumberFormat="1" applyAlignment="1" applyProtection="1"/>
    <xf numFmtId="3" fontId="0" fillId="0" borderId="0" xfId="0" applyNumberFormat="1" applyAlignment="1" applyProtection="1"/>
    <xf numFmtId="166" fontId="0" fillId="0" borderId="0" xfId="0" applyNumberFormat="1" applyAlignment="1" applyProtection="1"/>
    <xf numFmtId="172" fontId="0" fillId="0" borderId="0" xfId="0" applyNumberFormat="1" applyAlignment="1" applyProtection="1"/>
    <xf numFmtId="173" fontId="0" fillId="0" borderId="0" xfId="0" applyNumberFormat="1" applyAlignment="1" applyProtection="1"/>
    <xf numFmtId="0" fontId="3" fillId="3" borderId="0" xfId="0" applyFont="1" applyFill="1"/>
    <xf numFmtId="4" fontId="14" fillId="0" borderId="0" xfId="0" applyNumberFormat="1" applyFont="1" applyAlignment="1" applyProtection="1"/>
    <xf numFmtId="10" fontId="1" fillId="0" borderId="0" xfId="1" applyNumberFormat="1" applyFont="1" applyFill="1" applyAlignment="1" applyProtection="1"/>
    <xf numFmtId="0" fontId="2" fillId="2" borderId="0" xfId="0" applyFont="1" applyFill="1" applyBorder="1" applyAlignment="1" applyProtection="1"/>
    <xf numFmtId="0" fontId="3" fillId="7" borderId="0" xfId="0" applyFont="1" applyFill="1" applyBorder="1" applyAlignment="1" applyProtection="1"/>
    <xf numFmtId="0" fontId="8" fillId="0" borderId="0" xfId="0" applyFont="1" applyBorder="1" applyAlignment="1" applyProtection="1"/>
    <xf numFmtId="0" fontId="9" fillId="2" borderId="0" xfId="0" applyFont="1" applyFill="1" applyBorder="1" applyAlignment="1" applyProtection="1">
      <alignment horizontal="left" vertical="center"/>
    </xf>
    <xf numFmtId="0" fontId="9" fillId="2" borderId="0" xfId="0" applyFont="1" applyFill="1" applyBorder="1" applyAlignment="1" applyProtection="1"/>
    <xf numFmtId="0" fontId="5" fillId="0" borderId="0" xfId="0" applyFont="1" applyBorder="1" applyAlignment="1" applyProtection="1"/>
    <xf numFmtId="4" fontId="3" fillId="11" borderId="0" xfId="0" applyNumberFormat="1" applyFont="1" applyFill="1" applyAlignment="1" applyProtection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E4"/>
      <rgbColor rgb="FFE4FCE8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F0FC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31" fmlaLink="Assumptions!$I$3" fmlaRange="Assumptions!$J$3:$J$5" noThreeD="1" sel="2" val="0"/>
</file>

<file path=xl/ctrlProps/ctrlProp2.xml><?xml version="1.0" encoding="utf-8"?>
<formControlPr xmlns="http://schemas.microsoft.com/office/spreadsheetml/2009/9/main" objectType="Drop" dropStyle="combo" dx="31" fmlaLink="Assumptions!$I$3" fmlaRange="Assumptions!$J$3:$J$5" noThreeD="1" sel="2" val="0"/>
</file>

<file path=xl/ctrlProps/ctrlProp3.xml><?xml version="1.0" encoding="utf-8"?>
<formControlPr xmlns="http://schemas.microsoft.com/office/spreadsheetml/2009/9/main" objectType="Drop" dropStyle="combo" dx="31" fmlaLink="Assumptions!$I$3" fmlaRange="Assumptions!$J$3:$J$5" noThreeD="1" sel="2" val="0"/>
</file>

<file path=xl/ctrlProps/ctrlProp4.xml><?xml version="1.0" encoding="utf-8"?>
<formControlPr xmlns="http://schemas.microsoft.com/office/spreadsheetml/2009/9/main" objectType="Drop" dropStyle="combo" dx="31" fmlaLink="Assumptions!$I$3" fmlaRange="Assumptions!$J$3:$J$5" noThreeD="1" sel="2" val="0"/>
</file>

<file path=xl/ctrlProps/ctrlProp5.xml><?xml version="1.0" encoding="utf-8"?>
<formControlPr xmlns="http://schemas.microsoft.com/office/spreadsheetml/2009/9/main" objectType="Drop" dropStyle="combo" dx="31" fmlaLink="Assumptions!$I$3" fmlaRange="Assumptions!$J$3:$J$5" noThreeD="1" sel="2" val="0"/>
</file>

<file path=xl/ctrlProps/ctrlProp6.xml><?xml version="1.0" encoding="utf-8"?>
<formControlPr xmlns="http://schemas.microsoft.com/office/spreadsheetml/2009/9/main" objectType="Drop" dropStyle="combo" dx="31" fmlaLink="Assumptions!$I$3" fmlaRange="Assumptions!$J$3:$J$5" noThreeD="1" sel="2" val="0"/>
</file>

<file path=xl/ctrlProps/ctrlProp7.xml><?xml version="1.0" encoding="utf-8"?>
<formControlPr xmlns="http://schemas.microsoft.com/office/spreadsheetml/2009/9/main" objectType="Drop" dropStyle="combo" dx="31" fmlaLink="Assumptions!$I$3" fmlaRange="Assumptions!$J$3:$J$5" noThreeD="1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2</xdr:col>
          <xdr:colOff>0</xdr:colOff>
          <xdr:row>3</xdr:row>
          <xdr:rowOff>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2</xdr:col>
          <xdr:colOff>0</xdr:colOff>
          <xdr:row>4</xdr:row>
          <xdr:rowOff>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0</xdr:colOff>
          <xdr:row>2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0</xdr:colOff>
          <xdr:row>2</xdr:row>
          <xdr:rowOff>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2</xdr:col>
          <xdr:colOff>0</xdr:colOff>
          <xdr:row>3</xdr:row>
          <xdr:rowOff>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2</xdr:col>
          <xdr:colOff>0</xdr:colOff>
          <xdr:row>3</xdr:row>
          <xdr:rowOff>0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</xdr:col>
          <xdr:colOff>0</xdr:colOff>
          <xdr:row>2</xdr:row>
          <xdr:rowOff>0</xdr:rowOff>
        </xdr:to>
        <xdr:sp macro="" textlink="">
          <xdr:nvSpPr>
            <xdr:cNvPr id="7169" name="Drop Down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7"/>
  <sheetViews>
    <sheetView showGridLines="0" tabSelected="1" zoomScale="115" zoomScaleNormal="115" workbookViewId="0">
      <selection activeCell="F19" sqref="F19"/>
    </sheetView>
  </sheetViews>
  <sheetFormatPr defaultColWidth="8.5703125" defaultRowHeight="15" x14ac:dyDescent="0.25"/>
  <cols>
    <col min="1" max="1" width="38" style="1" customWidth="1"/>
    <col min="2" max="9" width="14" style="1" customWidth="1"/>
  </cols>
  <sheetData>
    <row r="1" spans="1:9" ht="25.5" customHeight="1" x14ac:dyDescent="0.3">
      <c r="A1" s="59" t="s">
        <v>0</v>
      </c>
      <c r="B1" s="59"/>
      <c r="C1" s="59"/>
      <c r="D1" s="59"/>
      <c r="E1" s="59"/>
      <c r="F1" s="59"/>
      <c r="G1" s="59"/>
      <c r="H1" s="59"/>
      <c r="I1" s="59"/>
    </row>
    <row r="2" spans="1:9" x14ac:dyDescent="0.25">
      <c r="G2" s="5" t="s">
        <v>3</v>
      </c>
      <c r="H2" s="5" t="s">
        <v>4</v>
      </c>
      <c r="I2" s="6" t="s">
        <v>5</v>
      </c>
    </row>
    <row r="3" spans="1:9" ht="15" customHeight="1" x14ac:dyDescent="0.25">
      <c r="A3" s="2" t="s">
        <v>1</v>
      </c>
      <c r="B3" s="3" t="str">
        <f>Assumptions!$B$4</f>
        <v>Base</v>
      </c>
      <c r="C3" s="4" t="s">
        <v>2</v>
      </c>
      <c r="E3" s="4"/>
      <c r="G3" s="7">
        <v>186.22403082961432</v>
      </c>
      <c r="H3" s="8">
        <v>328.63564005554355</v>
      </c>
      <c r="I3" s="9">
        <v>480.25357582944667</v>
      </c>
    </row>
    <row r="4" spans="1:9" x14ac:dyDescent="0.25">
      <c r="G4" s="58">
        <f>G3/$B$16-1</f>
        <v>-0.27256237957181906</v>
      </c>
      <c r="H4" s="58">
        <f t="shared" ref="H4:I4" si="0">H3/$B$16-1</f>
        <v>0.28373296896696698</v>
      </c>
      <c r="I4" s="58">
        <f t="shared" si="0"/>
        <v>0.87599053058377607</v>
      </c>
    </row>
    <row r="6" spans="1:9" ht="14.25" customHeight="1" x14ac:dyDescent="0.25">
      <c r="A6" s="60" t="s">
        <v>6</v>
      </c>
      <c r="B6" s="60"/>
      <c r="C6" s="60"/>
      <c r="D6" s="60"/>
      <c r="E6" s="60"/>
      <c r="F6" s="60"/>
      <c r="G6" s="60"/>
      <c r="H6" s="60"/>
      <c r="I6" s="60"/>
    </row>
    <row r="7" spans="1:9" ht="14.25" customHeight="1" x14ac:dyDescent="0.25"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12</v>
      </c>
    </row>
    <row r="8" spans="1:9" ht="14.25" customHeight="1" x14ac:dyDescent="0.25">
      <c r="A8" s="1" t="s">
        <v>13</v>
      </c>
      <c r="B8" s="11">
        <f>'P&amp;L'!D5</f>
        <v>718.93399999999997</v>
      </c>
      <c r="C8" s="11">
        <f>'P&amp;L'!E5</f>
        <v>2437.5935207887997</v>
      </c>
      <c r="D8" s="11">
        <f>'P&amp;L'!F5</f>
        <v>5937.110751388801</v>
      </c>
      <c r="E8" s="11">
        <f>'P&amp;L'!G5</f>
        <v>8038.7307609887994</v>
      </c>
      <c r="F8" s="11">
        <f>'P&amp;L'!H5</f>
        <v>10353.3154809888</v>
      </c>
      <c r="G8" s="11">
        <f>'P&amp;L'!I5</f>
        <v>11021.703480988801</v>
      </c>
    </row>
    <row r="9" spans="1:9" ht="14.25" customHeight="1" x14ac:dyDescent="0.25">
      <c r="A9" s="1" t="s">
        <v>14</v>
      </c>
      <c r="B9" s="11">
        <f>'P&amp;L'!D26</f>
        <v>692.18399999999997</v>
      </c>
      <c r="C9" s="11">
        <f>'P&amp;L'!E26</f>
        <v>2288.6528248827549</v>
      </c>
      <c r="D9" s="11">
        <f>'P&amp;L'!F26</f>
        <v>5667.771419189613</v>
      </c>
      <c r="E9" s="11">
        <f>'P&amp;L'!G26</f>
        <v>7636.8088371487447</v>
      </c>
      <c r="F9" s="11">
        <f>'P&amp;L'!H26</f>
        <v>9828.8171854097091</v>
      </c>
      <c r="G9" s="11">
        <f>'P&amp;L'!I26</f>
        <v>10453.644856771487</v>
      </c>
    </row>
    <row r="10" spans="1:9" ht="14.25" customHeight="1" x14ac:dyDescent="0.25">
      <c r="A10" s="1" t="s">
        <v>15</v>
      </c>
      <c r="B10" s="12">
        <f>'P&amp;L'!D27</f>
        <v>0.85993067720174432</v>
      </c>
      <c r="C10" s="12">
        <f>'P&amp;L'!E27</f>
        <v>0.90536116674942335</v>
      </c>
      <c r="D10" s="12">
        <f>'P&amp;L'!F27</f>
        <v>0.93962953069355748</v>
      </c>
      <c r="E10" s="12">
        <f>'P&amp;L'!G27</f>
        <v>0.93838096901726686</v>
      </c>
      <c r="F10" s="12">
        <f>'P&amp;L'!H27</f>
        <v>0.93985118140574886</v>
      </c>
      <c r="G10" s="12">
        <f>'P&amp;L'!I27</f>
        <v>0.93910827337034553</v>
      </c>
    </row>
    <row r="11" spans="1:9" ht="14.25" customHeight="1" x14ac:dyDescent="0.25">
      <c r="A11" s="1" t="s">
        <v>16</v>
      </c>
      <c r="B11" s="11">
        <f>'P&amp;L'!D38</f>
        <v>40.463999999999999</v>
      </c>
      <c r="C11" s="11">
        <f>'P&amp;L'!E38</f>
        <v>327.01351355800045</v>
      </c>
      <c r="D11" s="11">
        <f>'P&amp;L'!F38</f>
        <v>1272.2070362409163</v>
      </c>
      <c r="E11" s="11">
        <f>'P&amp;L'!G38</f>
        <v>1907.7001060521784</v>
      </c>
      <c r="F11" s="11">
        <f>'P&amp;L'!H38</f>
        <v>3169.1666252406726</v>
      </c>
      <c r="G11" s="11">
        <f>'P&amp;L'!I38</f>
        <v>3621.1844063119834</v>
      </c>
    </row>
    <row r="12" spans="1:9" ht="14.25" customHeight="1" x14ac:dyDescent="0.25">
      <c r="A12" s="1" t="s">
        <v>17</v>
      </c>
      <c r="B12" s="13">
        <f>Ratios!D14</f>
        <v>2.793040533219155</v>
      </c>
      <c r="C12" s="13">
        <f>Ratios!E14</f>
        <v>4.5342091537876188</v>
      </c>
      <c r="D12" s="13">
        <f>Ratios!F14</f>
        <v>4.5118082658426628</v>
      </c>
      <c r="E12" s="13">
        <f>Ratios!G14</f>
        <v>3.4990782209921014</v>
      </c>
      <c r="F12" s="13">
        <f>Ratios!H14</f>
        <v>2.1831351622520656</v>
      </c>
      <c r="G12" s="13">
        <f>Ratios!I14</f>
        <v>1.2986758165830505</v>
      </c>
    </row>
    <row r="14" spans="1:9" ht="14.25" customHeight="1" x14ac:dyDescent="0.25">
      <c r="A14" s="60" t="s">
        <v>18</v>
      </c>
      <c r="B14" s="60"/>
      <c r="C14" s="60"/>
      <c r="D14" s="60"/>
      <c r="E14" s="60"/>
      <c r="F14" s="60"/>
      <c r="G14" s="60"/>
      <c r="H14" s="60"/>
      <c r="I14" s="60"/>
    </row>
    <row r="15" spans="1:9" ht="14.25" customHeight="1" x14ac:dyDescent="0.25">
      <c r="A15" s="1" t="s">
        <v>19</v>
      </c>
      <c r="B15" s="65">
        <f>Valuation!$B$17</f>
        <v>328.63564005554355</v>
      </c>
    </row>
    <row r="16" spans="1:9" ht="14.25" customHeight="1" x14ac:dyDescent="0.25">
      <c r="A16" s="1" t="s">
        <v>379</v>
      </c>
      <c r="B16" s="15">
        <v>256</v>
      </c>
    </row>
    <row r="17" spans="1:9" ht="14.25" customHeight="1" x14ac:dyDescent="0.25">
      <c r="A17" s="1" t="s">
        <v>20</v>
      </c>
      <c r="B17" s="58">
        <f>Valuation!$B$19</f>
        <v>0.28373296896696698</v>
      </c>
    </row>
    <row r="18" spans="1:9" ht="14.25" customHeight="1" x14ac:dyDescent="0.25">
      <c r="A18" s="1" t="s">
        <v>21</v>
      </c>
      <c r="B18" s="13">
        <f>Valuation!E32</f>
        <v>10.542957679234773</v>
      </c>
    </row>
    <row r="19" spans="1:9" ht="14.25" customHeight="1" x14ac:dyDescent="0.25">
      <c r="A19" s="1" t="s">
        <v>22</v>
      </c>
      <c r="B19" s="13">
        <f>Valuation!E35</f>
        <v>44.5428866737536</v>
      </c>
    </row>
    <row r="21" spans="1:9" ht="14.25" customHeight="1" x14ac:dyDescent="0.25">
      <c r="A21" s="60" t="s">
        <v>23</v>
      </c>
      <c r="B21" s="60"/>
      <c r="C21" s="60"/>
      <c r="D21" s="60"/>
      <c r="E21" s="60"/>
      <c r="F21" s="60"/>
      <c r="G21" s="60"/>
      <c r="H21" s="60"/>
      <c r="I21" s="60"/>
    </row>
    <row r="22" spans="1:9" ht="14.25" customHeight="1" x14ac:dyDescent="0.25">
      <c r="A22" s="61" t="s">
        <v>24</v>
      </c>
      <c r="B22" s="61"/>
      <c r="C22" s="61"/>
      <c r="D22" s="61"/>
      <c r="E22" s="61"/>
      <c r="F22" s="61"/>
      <c r="G22" s="61"/>
      <c r="H22" s="61"/>
      <c r="I22" s="61"/>
    </row>
    <row r="23" spans="1:9" ht="14.25" customHeight="1" x14ac:dyDescent="0.25">
      <c r="A23" s="61"/>
      <c r="B23" s="61"/>
      <c r="C23" s="61"/>
      <c r="D23" s="61"/>
      <c r="E23" s="61"/>
      <c r="F23" s="61"/>
      <c r="G23" s="61"/>
      <c r="H23" s="61"/>
      <c r="I23" s="61"/>
    </row>
    <row r="25" spans="1:9" ht="14.25" customHeight="1" x14ac:dyDescent="0.25">
      <c r="B25" s="10" t="s">
        <v>3</v>
      </c>
      <c r="C25" s="10" t="s">
        <v>4</v>
      </c>
      <c r="D25" s="10" t="s">
        <v>5</v>
      </c>
    </row>
    <row r="26" spans="1:9" ht="14.25" customHeight="1" x14ac:dyDescent="0.25">
      <c r="A26" s="1" t="s">
        <v>25</v>
      </c>
      <c r="B26" s="12">
        <f>Assumptions!B40</f>
        <v>0.35</v>
      </c>
      <c r="C26" s="12">
        <f>Assumptions!C40</f>
        <v>0.4</v>
      </c>
      <c r="D26" s="12">
        <f>Assumptions!D40</f>
        <v>0.45</v>
      </c>
    </row>
    <row r="27" spans="1:9" ht="14.25" customHeight="1" x14ac:dyDescent="0.25">
      <c r="A27" s="1" t="s">
        <v>26</v>
      </c>
      <c r="B27" s="15">
        <f>Assumptions!B49</f>
        <v>2.2999999999999998</v>
      </c>
      <c r="C27" s="15">
        <f>Assumptions!C49</f>
        <v>2.83</v>
      </c>
      <c r="D27" s="15">
        <f>Assumptions!D49</f>
        <v>3.4</v>
      </c>
    </row>
    <row r="29" spans="1:9" ht="14.25" customHeight="1" x14ac:dyDescent="0.25">
      <c r="A29" s="2" t="s">
        <v>27</v>
      </c>
      <c r="C29" s="11">
        <v>7442.2886550000003</v>
      </c>
    </row>
    <row r="30" spans="1:9" ht="14.25" customHeight="1" x14ac:dyDescent="0.25">
      <c r="A30" s="1" t="s">
        <v>28</v>
      </c>
      <c r="B30" s="11">
        <f>5875.4*8760*1000*(Assumptions!B40-Assumptions!$C$40)*3.939/10000000</f>
        <v>-1013.6721862800009</v>
      </c>
      <c r="D30" s="11">
        <f>5875.4*8760*1000*(Assumptions!D40-Assumptions!$C$40)*3.939/10000000</f>
        <v>1013.6721862799998</v>
      </c>
    </row>
    <row r="31" spans="1:9" ht="14.25" customHeight="1" x14ac:dyDescent="0.25">
      <c r="A31" s="1" t="s">
        <v>29</v>
      </c>
      <c r="B31" s="11">
        <f>170*8760*1000*0.2448*(Assumptions!B49-Assumptions!$C$49)/10000000</f>
        <v>-19.321476480000012</v>
      </c>
      <c r="D31" s="11">
        <f>170*8760*1000*0.2448*(Assumptions!D49-Assumptions!$C$49)/10000000</f>
        <v>20.779701119999991</v>
      </c>
    </row>
    <row r="32" spans="1:9" ht="14.25" customHeight="1" x14ac:dyDescent="0.25">
      <c r="A32" s="2" t="s">
        <v>30</v>
      </c>
      <c r="B32" s="16">
        <f>$C$29+B30+B31</f>
        <v>6409.2949922399994</v>
      </c>
      <c r="C32" s="16">
        <f>$C$29</f>
        <v>7442.2886550000003</v>
      </c>
      <c r="D32" s="16">
        <f>$C$29+D30+D31</f>
        <v>8476.7405424000008</v>
      </c>
    </row>
    <row r="34" spans="1:4" ht="14.25" customHeight="1" x14ac:dyDescent="0.25">
      <c r="A34" s="2" t="s">
        <v>31</v>
      </c>
      <c r="B34" s="16">
        <f>B32*$C$10</f>
        <v>5802.7267922156425</v>
      </c>
      <c r="C34" s="16">
        <f>C32*$C$10</f>
        <v>6737.9591399767969</v>
      </c>
      <c r="D34" s="16">
        <f>D32*$C$10</f>
        <v>7674.5117076994047</v>
      </c>
    </row>
    <row r="35" spans="1:4" ht="14.25" customHeight="1" x14ac:dyDescent="0.25">
      <c r="A35" s="2" t="s">
        <v>32</v>
      </c>
      <c r="B35" s="16">
        <f>B32*($C$11/$C$8)</f>
        <v>859.83411793934476</v>
      </c>
      <c r="C35" s="16">
        <f>C32*($C$11/$C$8)</f>
        <v>998.41460080548882</v>
      </c>
      <c r="D35" s="16">
        <f>D32*($C$11/$C$8)</f>
        <v>1137.1907106943568</v>
      </c>
    </row>
    <row r="37" spans="1:4" ht="14.25" customHeight="1" x14ac:dyDescent="0.25">
      <c r="A37" s="2" t="s">
        <v>33</v>
      </c>
      <c r="B37" s="17">
        <v>235.57336736443301</v>
      </c>
      <c r="C37" s="18">
        <v>386.472387511774</v>
      </c>
      <c r="D37" s="19">
        <v>553.07614176881998</v>
      </c>
    </row>
  </sheetData>
  <mergeCells count="5">
    <mergeCell ref="A1:I1"/>
    <mergeCell ref="A6:I6"/>
    <mergeCell ref="A14:I14"/>
    <mergeCell ref="A21:I21"/>
    <mergeCell ref="A22:I23"/>
  </mergeCells>
  <conditionalFormatting sqref="B17">
    <cfRule type="colorScale" priority="2">
      <colorScale>
        <cfvo type="num" val="-0.2"/>
        <cfvo type="num" val="0"/>
        <cfvo type="num" val="1.5"/>
        <color rgb="FFFC2C2C"/>
        <color rgb="FF92D050"/>
        <color rgb="FF08A826"/>
      </colorScale>
    </cfRule>
  </conditionalFormatting>
  <conditionalFormatting sqref="G4:I4">
    <cfRule type="colorScale" priority="1">
      <colorScale>
        <cfvo type="num" val="-0.2"/>
        <cfvo type="num" val="0"/>
        <cfvo type="num" val="1.5"/>
        <color rgb="FFFC2C2C"/>
        <color rgb="FF92D050"/>
        <color rgb="FF08A826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2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83"/>
  <sheetViews>
    <sheetView showGridLines="0" zoomScaleNormal="100" workbookViewId="0">
      <selection activeCell="E14" sqref="E14"/>
    </sheetView>
  </sheetViews>
  <sheetFormatPr defaultColWidth="8.5703125" defaultRowHeight="15" x14ac:dyDescent="0.25"/>
  <cols>
    <col min="1" max="1" width="42" style="1" customWidth="1"/>
    <col min="2" max="2" width="16" style="1" customWidth="1"/>
    <col min="3" max="5" width="14" style="1" customWidth="1"/>
    <col min="6" max="6" width="4" style="1" customWidth="1"/>
    <col min="7" max="7" width="50" style="1" customWidth="1"/>
    <col min="8" max="8" width="14" style="1" customWidth="1"/>
  </cols>
  <sheetData>
    <row r="1" spans="1:10" ht="21.75" customHeight="1" x14ac:dyDescent="0.25">
      <c r="A1" s="62" t="s">
        <v>34</v>
      </c>
      <c r="B1" s="62"/>
      <c r="C1" s="62"/>
      <c r="D1" s="62"/>
      <c r="E1" s="62"/>
      <c r="F1" s="62"/>
      <c r="G1" s="62"/>
      <c r="H1" s="62"/>
    </row>
    <row r="3" spans="1:10" ht="15" customHeight="1" x14ac:dyDescent="0.25">
      <c r="A3" s="60" t="s">
        <v>35</v>
      </c>
      <c r="B3" s="60"/>
      <c r="C3" s="60"/>
      <c r="D3" s="60"/>
      <c r="E3" s="60"/>
      <c r="F3" s="60"/>
      <c r="G3" s="60"/>
      <c r="H3" s="60"/>
      <c r="I3" s="1">
        <v>2</v>
      </c>
      <c r="J3" s="20" t="s">
        <v>3</v>
      </c>
    </row>
    <row r="4" spans="1:10" ht="15" customHeight="1" x14ac:dyDescent="0.25">
      <c r="A4" s="2" t="s">
        <v>36</v>
      </c>
      <c r="B4" s="56" t="str">
        <f>INDEX(J3:J5,I3)</f>
        <v>Base</v>
      </c>
      <c r="J4" s="20" t="s">
        <v>4</v>
      </c>
    </row>
    <row r="5" spans="1:10" ht="15" customHeight="1" x14ac:dyDescent="0.25">
      <c r="A5" s="4" t="s">
        <v>37</v>
      </c>
      <c r="J5" s="20" t="s">
        <v>5</v>
      </c>
    </row>
    <row r="7" spans="1:10" ht="15" customHeight="1" x14ac:dyDescent="0.25">
      <c r="A7" s="60" t="s">
        <v>38</v>
      </c>
      <c r="B7" s="60"/>
      <c r="C7" s="60"/>
      <c r="D7" s="60"/>
      <c r="E7" s="60"/>
      <c r="F7" s="60"/>
      <c r="G7" s="60"/>
      <c r="H7" s="60"/>
    </row>
    <row r="8" spans="1:10" ht="15" customHeight="1" x14ac:dyDescent="0.25">
      <c r="A8" s="1" t="s">
        <v>39</v>
      </c>
      <c r="B8" s="21">
        <v>6.7699999999999996E-2</v>
      </c>
    </row>
    <row r="9" spans="1:10" ht="15" customHeight="1" x14ac:dyDescent="0.25">
      <c r="A9" s="1" t="s">
        <v>40</v>
      </c>
      <c r="B9" s="31">
        <v>7.0800000000000002E-2</v>
      </c>
    </row>
    <row r="10" spans="1:10" ht="15" customHeight="1" x14ac:dyDescent="0.25">
      <c r="A10" s="1" t="s">
        <v>41</v>
      </c>
      <c r="B10" s="22">
        <v>1.45</v>
      </c>
    </row>
    <row r="11" spans="1:10" ht="15" customHeight="1" x14ac:dyDescent="0.25">
      <c r="A11" s="2" t="s">
        <v>42</v>
      </c>
      <c r="B11" s="23">
        <f>B8+B9*B10</f>
        <v>0.17036000000000001</v>
      </c>
    </row>
    <row r="13" spans="1:10" ht="15" customHeight="1" x14ac:dyDescent="0.25">
      <c r="A13" s="60" t="s">
        <v>43</v>
      </c>
      <c r="B13" s="60"/>
      <c r="C13" s="60"/>
      <c r="D13" s="60"/>
      <c r="E13" s="60"/>
      <c r="F13" s="60"/>
      <c r="G13" s="60"/>
      <c r="H13" s="60"/>
    </row>
    <row r="14" spans="1:10" ht="15" customHeight="1" x14ac:dyDescent="0.25">
      <c r="A14" s="1" t="s">
        <v>44</v>
      </c>
      <c r="B14" s="21">
        <v>0.255</v>
      </c>
    </row>
    <row r="16" spans="1:10" ht="15" customHeight="1" x14ac:dyDescent="0.25">
      <c r="A16" s="60" t="s">
        <v>45</v>
      </c>
      <c r="B16" s="60"/>
      <c r="C16" s="60"/>
      <c r="D16" s="60"/>
      <c r="E16" s="60"/>
      <c r="F16" s="60"/>
      <c r="G16" s="60"/>
      <c r="H16" s="60"/>
    </row>
    <row r="17" spans="1:8" ht="15" customHeight="1" x14ac:dyDescent="0.25">
      <c r="A17" s="1" t="s">
        <v>46</v>
      </c>
      <c r="B17" s="21">
        <v>0.05</v>
      </c>
    </row>
    <row r="18" spans="1:8" ht="15" customHeight="1" x14ac:dyDescent="0.25">
      <c r="A18" s="1" t="s">
        <v>47</v>
      </c>
      <c r="B18" s="21">
        <v>0.08</v>
      </c>
    </row>
    <row r="19" spans="1:8" ht="15" customHeight="1" x14ac:dyDescent="0.25">
      <c r="A19" s="1" t="s">
        <v>48</v>
      </c>
      <c r="B19" s="21">
        <v>0.05</v>
      </c>
    </row>
    <row r="21" spans="1:8" ht="15" customHeight="1" x14ac:dyDescent="0.25">
      <c r="A21" s="60" t="s">
        <v>49</v>
      </c>
      <c r="B21" s="60"/>
      <c r="C21" s="60"/>
      <c r="D21" s="60"/>
      <c r="E21" s="60"/>
      <c r="F21" s="60"/>
      <c r="G21" s="60"/>
      <c r="H21" s="60"/>
    </row>
    <row r="22" spans="1:8" ht="15" customHeight="1" x14ac:dyDescent="0.25">
      <c r="A22" s="1" t="s">
        <v>50</v>
      </c>
      <c r="B22" s="21">
        <v>0.8</v>
      </c>
    </row>
    <row r="23" spans="1:8" ht="15" customHeight="1" x14ac:dyDescent="0.25">
      <c r="A23" s="1" t="s">
        <v>51</v>
      </c>
      <c r="B23" s="24">
        <f>1-B22</f>
        <v>0.19999999999999996</v>
      </c>
    </row>
    <row r="24" spans="1:8" ht="15" customHeight="1" x14ac:dyDescent="0.25">
      <c r="A24" s="1" t="s">
        <v>52</v>
      </c>
      <c r="B24" s="21">
        <v>0.09</v>
      </c>
    </row>
    <row r="25" spans="1:8" ht="15" customHeight="1" x14ac:dyDescent="0.25">
      <c r="A25" s="1" t="s">
        <v>53</v>
      </c>
      <c r="B25" s="21">
        <v>8.7499999999999994E-2</v>
      </c>
    </row>
    <row r="26" spans="1:8" ht="15" customHeight="1" x14ac:dyDescent="0.25">
      <c r="A26" s="1" t="s">
        <v>54</v>
      </c>
      <c r="B26" s="25">
        <v>15</v>
      </c>
    </row>
    <row r="27" spans="1:8" ht="14.25" customHeight="1" x14ac:dyDescent="0.25">
      <c r="B27" s="26"/>
    </row>
    <row r="28" spans="1:8" ht="15" customHeight="1" x14ac:dyDescent="0.25">
      <c r="A28" s="60" t="s">
        <v>55</v>
      </c>
      <c r="B28" s="60"/>
      <c r="C28" s="60"/>
      <c r="D28" s="60"/>
      <c r="E28" s="60"/>
      <c r="F28" s="60"/>
      <c r="G28" s="60"/>
      <c r="H28" s="60"/>
    </row>
    <row r="29" spans="1:8" ht="15" customHeight="1" x14ac:dyDescent="0.25">
      <c r="A29" s="1" t="s">
        <v>56</v>
      </c>
      <c r="B29" s="25">
        <v>25</v>
      </c>
    </row>
    <row r="30" spans="1:8" ht="15" customHeight="1" x14ac:dyDescent="0.25">
      <c r="A30" s="1" t="s">
        <v>57</v>
      </c>
      <c r="B30" s="25">
        <v>22</v>
      </c>
    </row>
    <row r="31" spans="1:8" ht="15" customHeight="1" x14ac:dyDescent="0.25">
      <c r="A31" s="1" t="s">
        <v>58</v>
      </c>
      <c r="B31" s="25">
        <v>29</v>
      </c>
    </row>
    <row r="33" spans="1:11" ht="15" customHeight="1" x14ac:dyDescent="0.25">
      <c r="A33" s="60" t="s">
        <v>59</v>
      </c>
      <c r="B33" s="60"/>
      <c r="C33" s="60"/>
      <c r="D33" s="60"/>
      <c r="E33" s="60"/>
      <c r="F33" s="60"/>
      <c r="G33" s="60"/>
      <c r="H33" s="60"/>
    </row>
    <row r="34" spans="1:11" ht="15" customHeight="1" x14ac:dyDescent="0.25">
      <c r="A34" s="1" t="s">
        <v>60</v>
      </c>
      <c r="B34" s="21">
        <v>0.24479999999999999</v>
      </c>
      <c r="K34" s="20">
        <f>IF(B34="Solar",Assumptions!$B$34,IF(B34="Wind",Assumptions!$B$35,IF(A34="Operational",Assumptions!$B$36,IF(B34="WSH",Assumptions!$E$40,))))</f>
        <v>0</v>
      </c>
    </row>
    <row r="35" spans="1:11" ht="15" customHeight="1" x14ac:dyDescent="0.25">
      <c r="A35" s="1" t="s">
        <v>61</v>
      </c>
      <c r="B35" s="21">
        <v>0.31840000000000002</v>
      </c>
    </row>
    <row r="36" spans="1:11" ht="15" customHeight="1" x14ac:dyDescent="0.25">
      <c r="A36" s="1" t="s">
        <v>62</v>
      </c>
      <c r="B36" s="24">
        <f>B34</f>
        <v>0.24479999999999999</v>
      </c>
    </row>
    <row r="37" spans="1:11" ht="15" customHeight="1" x14ac:dyDescent="0.25">
      <c r="A37" s="1" t="s">
        <v>63</v>
      </c>
      <c r="B37" s="26">
        <v>2.8</v>
      </c>
    </row>
    <row r="38" spans="1:11" ht="15" customHeight="1" x14ac:dyDescent="0.25">
      <c r="A38" s="2" t="s">
        <v>64</v>
      </c>
    </row>
    <row r="39" spans="1:11" ht="15" customHeight="1" x14ac:dyDescent="0.25">
      <c r="B39" s="2" t="s">
        <v>3</v>
      </c>
      <c r="C39" s="2" t="s">
        <v>4</v>
      </c>
      <c r="D39" s="2" t="s">
        <v>5</v>
      </c>
      <c r="E39" s="2" t="s">
        <v>65</v>
      </c>
    </row>
    <row r="40" spans="1:11" ht="15" customHeight="1" x14ac:dyDescent="0.25">
      <c r="A40" s="1" t="s">
        <v>66</v>
      </c>
      <c r="B40" s="21">
        <v>0.35</v>
      </c>
      <c r="C40" s="21">
        <v>0.4</v>
      </c>
      <c r="D40" s="21">
        <v>0.45</v>
      </c>
      <c r="E40" s="27">
        <f>IF($B$4="Bear",B40,IF($B$4="Base",C40,D40))</f>
        <v>0.4</v>
      </c>
    </row>
    <row r="41" spans="1:11" x14ac:dyDescent="0.25">
      <c r="A41" s="1" t="s">
        <v>67</v>
      </c>
      <c r="B41" s="21">
        <v>0.4</v>
      </c>
      <c r="C41" s="21">
        <v>0.5</v>
      </c>
      <c r="D41" s="21">
        <v>0.6</v>
      </c>
      <c r="E41" s="27">
        <f>IF($B$4="Bear",B41,IF($B$4="Base",C41,D41))</f>
        <v>0.5</v>
      </c>
    </row>
    <row r="42" spans="1:11" ht="15" customHeight="1" x14ac:dyDescent="0.25">
      <c r="A42" s="60" t="s">
        <v>68</v>
      </c>
      <c r="B42" s="60"/>
      <c r="C42" s="60"/>
      <c r="D42" s="60"/>
      <c r="E42" s="60"/>
      <c r="F42" s="60"/>
      <c r="G42" s="60"/>
      <c r="H42" s="60"/>
    </row>
    <row r="43" spans="1:11" ht="15" customHeight="1" x14ac:dyDescent="0.25">
      <c r="B43" s="2" t="s">
        <v>3</v>
      </c>
      <c r="C43" s="2" t="s">
        <v>4</v>
      </c>
      <c r="D43" s="2" t="s">
        <v>5</v>
      </c>
      <c r="E43" s="2" t="s">
        <v>65</v>
      </c>
    </row>
    <row r="44" spans="1:11" ht="15" customHeight="1" x14ac:dyDescent="0.25">
      <c r="A44" s="1" t="s">
        <v>69</v>
      </c>
      <c r="B44" s="28">
        <v>54</v>
      </c>
      <c r="C44" s="28">
        <v>48</v>
      </c>
      <c r="D44" s="28">
        <v>40</v>
      </c>
      <c r="E44" s="29">
        <f>IF($B$4="Bear",B44,IF($B$4="Base",C44,D44))</f>
        <v>48</v>
      </c>
    </row>
    <row r="45" spans="1:11" ht="15" customHeight="1" x14ac:dyDescent="0.25">
      <c r="A45" s="1" t="s">
        <v>70</v>
      </c>
      <c r="B45" s="28">
        <v>60</v>
      </c>
      <c r="C45" s="28">
        <v>54</v>
      </c>
      <c r="D45" s="28">
        <v>48</v>
      </c>
      <c r="E45" s="29">
        <f>IF($B$4="Bear",B45,IF($B$4="Base",C45,D45))</f>
        <v>54</v>
      </c>
    </row>
    <row r="47" spans="1:11" ht="15" customHeight="1" x14ac:dyDescent="0.25">
      <c r="A47" s="60" t="s">
        <v>71</v>
      </c>
      <c r="B47" s="60"/>
      <c r="C47" s="60"/>
      <c r="D47" s="60"/>
      <c r="E47" s="60"/>
      <c r="F47" s="60"/>
      <c r="G47" s="60"/>
      <c r="H47" s="60"/>
    </row>
    <row r="48" spans="1:11" ht="15" customHeight="1" x14ac:dyDescent="0.25">
      <c r="B48" s="2" t="s">
        <v>3</v>
      </c>
      <c r="C48" s="2" t="s">
        <v>4</v>
      </c>
      <c r="D48" s="2" t="s">
        <v>5</v>
      </c>
      <c r="E48" s="2" t="s">
        <v>65</v>
      </c>
    </row>
    <row r="49" spans="1:8" ht="15" customHeight="1" x14ac:dyDescent="0.25">
      <c r="A49" s="1" t="s">
        <v>72</v>
      </c>
      <c r="B49" s="26">
        <v>2.2999999999999998</v>
      </c>
      <c r="C49" s="26">
        <v>2.83</v>
      </c>
      <c r="D49" s="26">
        <v>3.4</v>
      </c>
      <c r="E49" s="14">
        <f>IF($B$4="Bear",B49,IF($B$4="Base",C49,D49))</f>
        <v>2.83</v>
      </c>
    </row>
    <row r="51" spans="1:8" ht="15" customHeight="1" x14ac:dyDescent="0.25">
      <c r="A51" s="60" t="s">
        <v>73</v>
      </c>
      <c r="B51" s="60"/>
      <c r="C51" s="60"/>
      <c r="D51" s="60"/>
      <c r="E51" s="60"/>
      <c r="F51" s="60"/>
      <c r="G51" s="60"/>
      <c r="H51" s="60"/>
    </row>
    <row r="52" spans="1:8" ht="15" customHeight="1" x14ac:dyDescent="0.25">
      <c r="A52" s="1" t="s">
        <v>74</v>
      </c>
      <c r="B52" s="30">
        <f>24764.952/2875.4</f>
        <v>8.6126980594004312</v>
      </c>
    </row>
    <row r="53" spans="1:8" ht="15" customHeight="1" x14ac:dyDescent="0.25">
      <c r="A53" s="1" t="s">
        <v>75</v>
      </c>
      <c r="B53" s="30">
        <f>19050.366/3240</f>
        <v>5.879742592592593</v>
      </c>
    </row>
    <row r="54" spans="1:8" ht="15" customHeight="1" x14ac:dyDescent="0.25">
      <c r="A54" s="1" t="s">
        <v>76</v>
      </c>
      <c r="B54" s="31">
        <v>0.36323385565213301</v>
      </c>
    </row>
    <row r="55" spans="1:8" ht="15" customHeight="1" x14ac:dyDescent="0.25">
      <c r="A55" s="60" t="s">
        <v>77</v>
      </c>
      <c r="B55" s="60"/>
      <c r="C55" s="60"/>
      <c r="D55" s="60"/>
      <c r="E55" s="60"/>
      <c r="F55" s="60"/>
      <c r="G55" s="60"/>
      <c r="H55" s="60"/>
    </row>
    <row r="56" spans="1:8" ht="15" customHeight="1" x14ac:dyDescent="0.25">
      <c r="A56" s="1" t="s">
        <v>78</v>
      </c>
      <c r="B56" s="26">
        <v>21.88</v>
      </c>
    </row>
    <row r="57" spans="1:8" ht="15" customHeight="1" x14ac:dyDescent="0.25">
      <c r="A57" s="1" t="s">
        <v>79</v>
      </c>
      <c r="B57" s="26">
        <v>45</v>
      </c>
    </row>
    <row r="59" spans="1:8" ht="15" customHeight="1" x14ac:dyDescent="0.25">
      <c r="A59" s="60" t="s">
        <v>80</v>
      </c>
      <c r="B59" s="60"/>
      <c r="C59" s="60"/>
      <c r="D59" s="60"/>
      <c r="E59" s="60"/>
      <c r="F59" s="60"/>
      <c r="G59" s="60"/>
      <c r="H59" s="60"/>
    </row>
    <row r="60" spans="1:8" ht="15" customHeight="1" x14ac:dyDescent="0.25">
      <c r="A60" s="1" t="s">
        <v>81</v>
      </c>
      <c r="B60" s="32">
        <v>488989292</v>
      </c>
    </row>
    <row r="61" spans="1:8" ht="15" customHeight="1" x14ac:dyDescent="0.25">
      <c r="A61" s="1" t="s">
        <v>82</v>
      </c>
      <c r="B61" s="26">
        <v>225</v>
      </c>
    </row>
    <row r="62" spans="1:8" ht="15" customHeight="1" x14ac:dyDescent="0.25">
      <c r="A62" s="1" t="s">
        <v>83</v>
      </c>
      <c r="B62" s="32">
        <v>1800</v>
      </c>
    </row>
    <row r="63" spans="1:8" ht="15" customHeight="1" x14ac:dyDescent="0.25">
      <c r="A63" s="1" t="s">
        <v>84</v>
      </c>
      <c r="B63" s="33">
        <f>B62*10000000/B61</f>
        <v>80000000</v>
      </c>
    </row>
    <row r="64" spans="1:8" ht="15" customHeight="1" x14ac:dyDescent="0.25">
      <c r="A64" s="2" t="s">
        <v>85</v>
      </c>
      <c r="B64" s="34">
        <f>B60+B63</f>
        <v>568989292</v>
      </c>
    </row>
    <row r="65" spans="1:8" ht="15" customHeight="1" x14ac:dyDescent="0.25">
      <c r="A65" s="2" t="s">
        <v>86</v>
      </c>
      <c r="B65" s="35">
        <f>B64*B61/10000000</f>
        <v>12802.25907</v>
      </c>
    </row>
    <row r="66" spans="1:8" ht="15" customHeight="1" x14ac:dyDescent="0.25">
      <c r="A66" s="1" t="s">
        <v>87</v>
      </c>
      <c r="B66" s="36">
        <v>683.23500000000001</v>
      </c>
    </row>
    <row r="67" spans="1:8" ht="15" customHeight="1" x14ac:dyDescent="0.25">
      <c r="A67" s="1" t="s">
        <v>88</v>
      </c>
      <c r="B67" s="36">
        <v>728.68600000000004</v>
      </c>
    </row>
    <row r="68" spans="1:8" ht="15" customHeight="1" x14ac:dyDescent="0.25">
      <c r="A68" s="2" t="s">
        <v>89</v>
      </c>
      <c r="B68" s="16">
        <f>B66+B67</f>
        <v>1411.921</v>
      </c>
    </row>
    <row r="70" spans="1:8" ht="15" customHeight="1" x14ac:dyDescent="0.25">
      <c r="A70" s="60" t="s">
        <v>90</v>
      </c>
      <c r="B70" s="60"/>
      <c r="C70" s="60"/>
      <c r="D70" s="60"/>
      <c r="E70" s="60"/>
      <c r="F70" s="60"/>
      <c r="G70" s="60"/>
      <c r="H70" s="60"/>
    </row>
    <row r="71" spans="1:8" ht="15" customHeight="1" x14ac:dyDescent="0.25">
      <c r="A71" s="1" t="s">
        <v>91</v>
      </c>
      <c r="B71" s="21">
        <v>0.02</v>
      </c>
    </row>
    <row r="73" spans="1:8" ht="15" customHeight="1" x14ac:dyDescent="0.25">
      <c r="A73" s="60" t="s">
        <v>92</v>
      </c>
      <c r="B73" s="60"/>
      <c r="C73" s="60"/>
      <c r="D73" s="60"/>
      <c r="E73" s="60"/>
      <c r="F73" s="60"/>
      <c r="G73" s="60"/>
      <c r="H73" s="60"/>
    </row>
    <row r="74" spans="1:8" ht="15" customHeight="1" x14ac:dyDescent="0.25">
      <c r="A74" s="1" t="s">
        <v>93</v>
      </c>
      <c r="B74" s="37">
        <v>46113</v>
      </c>
    </row>
    <row r="76" spans="1:8" ht="15" customHeight="1" x14ac:dyDescent="0.25">
      <c r="A76" s="1" t="s">
        <v>94</v>
      </c>
      <c r="B76" s="26">
        <v>1324.2</v>
      </c>
    </row>
    <row r="77" spans="1:8" ht="15" customHeight="1" x14ac:dyDescent="0.25">
      <c r="A77" s="1" t="s">
        <v>95</v>
      </c>
      <c r="B77" s="31">
        <v>0.14879999999999999</v>
      </c>
    </row>
    <row r="78" spans="1:8" ht="15" customHeight="1" x14ac:dyDescent="0.25">
      <c r="A78" s="1" t="s">
        <v>96</v>
      </c>
      <c r="B78" s="36">
        <v>40.064</v>
      </c>
    </row>
    <row r="79" spans="1:8" ht="15" customHeight="1" x14ac:dyDescent="0.25">
      <c r="A79" s="1" t="s">
        <v>97</v>
      </c>
      <c r="B79" s="36">
        <v>36.478000000000002</v>
      </c>
    </row>
    <row r="81" spans="1:8" x14ac:dyDescent="0.25">
      <c r="A81" s="60" t="s">
        <v>98</v>
      </c>
      <c r="B81" s="60"/>
      <c r="C81" s="60"/>
      <c r="D81" s="60"/>
      <c r="E81" s="60"/>
      <c r="F81" s="60"/>
      <c r="G81" s="60"/>
      <c r="H81" s="60"/>
    </row>
    <row r="82" spans="1:8" x14ac:dyDescent="0.25">
      <c r="A82" s="1" t="s">
        <v>99</v>
      </c>
      <c r="B82" s="31">
        <v>9.5000000000000001E-2</v>
      </c>
    </row>
    <row r="83" spans="1:8" x14ac:dyDescent="0.25">
      <c r="A83" s="1" t="s">
        <v>100</v>
      </c>
      <c r="B83" s="38">
        <f>'Balance Sheet'!D8/B76</f>
        <v>0.81044857272315352</v>
      </c>
    </row>
  </sheetData>
  <mergeCells count="16">
    <mergeCell ref="A81:H81"/>
    <mergeCell ref="A51:H51"/>
    <mergeCell ref="A55:H55"/>
    <mergeCell ref="A59:H59"/>
    <mergeCell ref="A70:H70"/>
    <mergeCell ref="A73:H73"/>
    <mergeCell ref="A21:H21"/>
    <mergeCell ref="A28:H28"/>
    <mergeCell ref="A33:H33"/>
    <mergeCell ref="A42:H42"/>
    <mergeCell ref="A47:H47"/>
    <mergeCell ref="A1:H1"/>
    <mergeCell ref="A3:H3"/>
    <mergeCell ref="A7:H7"/>
    <mergeCell ref="A13:H13"/>
    <mergeCell ref="A16:H16"/>
  </mergeCells>
  <dataValidations count="1">
    <dataValidation type="list" sqref="B4">
      <formula1>"Bear,Base,Bull"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Drop Down 2">
              <controlPr defaultSize="0" autoLine="0" autoPict="0">
                <anchor moveWithCells="1">
                  <from>
                    <xdr:col>1</xdr:col>
                    <xdr:colOff>0</xdr:colOff>
                    <xdr:row>3</xdr:row>
                    <xdr:rowOff>0</xdr:rowOff>
                  </from>
                  <to>
                    <xdr:col>2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showGridLines="0" zoomScale="70" zoomScaleNormal="70" workbookViewId="0">
      <selection activeCell="V19" sqref="V19"/>
    </sheetView>
  </sheetViews>
  <sheetFormatPr defaultColWidth="8.5703125" defaultRowHeight="15" x14ac:dyDescent="0.25"/>
  <cols>
    <col min="1" max="1" width="10" style="1" customWidth="1"/>
    <col min="2" max="2" width="9" style="1" customWidth="1"/>
    <col min="3" max="3" width="42" style="1" customWidth="1"/>
    <col min="4" max="4" width="10" style="1" customWidth="1"/>
    <col min="5" max="5" width="9" style="1" customWidth="1"/>
    <col min="6" max="7" width="10" style="1" customWidth="1"/>
    <col min="8" max="9" width="14.85546875" style="1" bestFit="1" customWidth="1"/>
    <col min="10" max="10" width="10" style="1" customWidth="1"/>
    <col min="11" max="12" width="9" style="1" customWidth="1"/>
    <col min="13" max="13" width="12.5703125" style="1" bestFit="1" customWidth="1"/>
    <col min="14" max="14" width="10.5703125" style="1" customWidth="1"/>
    <col min="15" max="15" width="12.5703125" style="1" bestFit="1" customWidth="1"/>
    <col min="16" max="20" width="13" style="1" customWidth="1"/>
    <col min="21" max="21" width="13" style="1" bestFit="1" customWidth="1"/>
  </cols>
  <sheetData>
    <row r="1" spans="1:21" ht="17.25" customHeight="1" x14ac:dyDescent="0.25">
      <c r="A1" s="63" t="s">
        <v>101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21" ht="15" customHeight="1" x14ac:dyDescent="0.25">
      <c r="A2" s="64" t="s">
        <v>102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</row>
    <row r="4" spans="1:21" ht="55.5" customHeight="1" x14ac:dyDescent="0.25">
      <c r="A4" s="39" t="s">
        <v>103</v>
      </c>
      <c r="B4" s="39" t="s">
        <v>104</v>
      </c>
      <c r="C4" s="39" t="s">
        <v>105</v>
      </c>
      <c r="D4" s="39" t="s">
        <v>106</v>
      </c>
      <c r="E4" s="39" t="s">
        <v>107</v>
      </c>
      <c r="F4" s="39" t="s">
        <v>108</v>
      </c>
      <c r="G4" s="39" t="s">
        <v>109</v>
      </c>
      <c r="H4" s="39" t="s">
        <v>110</v>
      </c>
      <c r="I4" s="39" t="s">
        <v>111</v>
      </c>
      <c r="J4" s="39" t="s">
        <v>112</v>
      </c>
      <c r="K4" s="39" t="s">
        <v>113</v>
      </c>
      <c r="L4" s="39" t="s">
        <v>114</v>
      </c>
      <c r="M4" s="39" t="s">
        <v>115</v>
      </c>
      <c r="N4" s="39" t="s">
        <v>116</v>
      </c>
      <c r="O4" s="39" t="s">
        <v>117</v>
      </c>
      <c r="P4" s="39" t="s">
        <v>118</v>
      </c>
      <c r="Q4" s="39" t="s">
        <v>119</v>
      </c>
      <c r="R4" s="39" t="s">
        <v>120</v>
      </c>
      <c r="S4" s="39" t="s">
        <v>121</v>
      </c>
      <c r="T4" s="39" t="s">
        <v>122</v>
      </c>
      <c r="U4" s="39" t="s">
        <v>123</v>
      </c>
    </row>
    <row r="5" spans="1:21" ht="15" customHeight="1" x14ac:dyDescent="0.25">
      <c r="A5" s="1" t="s">
        <v>124</v>
      </c>
      <c r="B5" s="1" t="s">
        <v>125</v>
      </c>
      <c r="C5" s="1" t="s">
        <v>126</v>
      </c>
      <c r="D5" s="1" t="s">
        <v>127</v>
      </c>
      <c r="E5" s="26">
        <v>100</v>
      </c>
      <c r="F5" s="26">
        <v>3.15</v>
      </c>
      <c r="G5" s="15">
        <f>IF(D5="Merchant",Assumptions!$E$49,IF(AND(A5="Operational",OR(B5="WSH",B5="FDRE")),Assumptions!$B$37,F5))</f>
        <v>3.15</v>
      </c>
      <c r="H5" s="37">
        <v>43461</v>
      </c>
      <c r="I5" s="37">
        <v>43831</v>
      </c>
      <c r="J5" s="40">
        <f>MAX(0,(YEAR(I5)-YEAR(Assumptions!$B$74))*12+(MONTH(I5)-MONTH(Assumptions!$B$74)))</f>
        <v>0</v>
      </c>
      <c r="K5" s="12">
        <f>IF(B5="Solar",Assumptions!$B$34,IF(B5="Wind",Assumptions!$B$35,IF(B5="WSH",Assumptions!$E$40,Assumptions!$E$41)))</f>
        <v>0.24479999999999999</v>
      </c>
      <c r="L5" s="41">
        <f t="shared" ref="L5:L52" si="0">MAX(0,MIN(12,60)-MAX(0,$J5))</f>
        <v>12</v>
      </c>
      <c r="M5" s="11">
        <f t="shared" ref="M5:M52" si="1">$E5*1000*8760*$K5*$G5*L5/12/10000000</f>
        <v>67.550111999999999</v>
      </c>
      <c r="N5" s="41">
        <f t="shared" ref="N5:N52" si="2">MAX(0,MIN(24,60)-MAX(12,$J5))</f>
        <v>12</v>
      </c>
      <c r="O5" s="11">
        <f t="shared" ref="O5:O52" si="3">$E5*1000*8760*$K5*$G5*N5/12/10000000</f>
        <v>67.550111999999999</v>
      </c>
      <c r="P5" s="41">
        <f t="shared" ref="P5:P52" si="4">MAX(0,MIN(36,60)-MAX(24,$J5))</f>
        <v>12</v>
      </c>
      <c r="Q5" s="11">
        <f t="shared" ref="Q5:Q52" si="5">$E5*1000*8760*$K5*$G5*P5/12/10000000</f>
        <v>67.550111999999999</v>
      </c>
      <c r="R5" s="41">
        <f t="shared" ref="R5:R52" si="6">MAX(0,MIN(48,60)-MAX(36,$J5))</f>
        <v>12</v>
      </c>
      <c r="S5" s="11">
        <f t="shared" ref="S5:S52" si="7">$E5*1000*8760*$K5*$G5*R5/12/10000000</f>
        <v>67.550111999999999</v>
      </c>
      <c r="T5" s="41">
        <f t="shared" ref="T5:T52" si="8">MAX(0,MIN(60,60)-MAX(48,$J5))</f>
        <v>12</v>
      </c>
      <c r="U5" s="11">
        <f t="shared" ref="U5:U52" si="9">$E5*1000*8760*$K5*$G5*T5/12/10000000</f>
        <v>67.550111999999999</v>
      </c>
    </row>
    <row r="6" spans="1:21" ht="15" customHeight="1" x14ac:dyDescent="0.25">
      <c r="A6" s="1" t="s">
        <v>124</v>
      </c>
      <c r="B6" s="1" t="s">
        <v>125</v>
      </c>
      <c r="C6" s="1" t="s">
        <v>128</v>
      </c>
      <c r="D6" s="1" t="s">
        <v>129</v>
      </c>
      <c r="E6" s="26">
        <v>120</v>
      </c>
      <c r="F6" s="26">
        <v>2.67</v>
      </c>
      <c r="G6" s="15">
        <f>IF(D6="Merchant",Assumptions!$E$49,IF(AND(A6="Operational",OR(B6="WSH",B6="FDRE")),Assumptions!$B$37,F6))</f>
        <v>2.67</v>
      </c>
      <c r="H6" s="37">
        <v>43606</v>
      </c>
      <c r="I6" s="37">
        <v>43831</v>
      </c>
      <c r="J6" s="40">
        <f>MAX(0,(YEAR(I6)-YEAR(Assumptions!$B$74))*12+(MONTH(I6)-MONTH(Assumptions!$B$74)))</f>
        <v>0</v>
      </c>
      <c r="K6" s="12">
        <f>IF(B6="Solar",Assumptions!$B$34,IF(B6="Wind",Assumptions!$B$35,IF(B6="WSH",Assumptions!$E$40,Assumptions!$E$41)))</f>
        <v>0.24479999999999999</v>
      </c>
      <c r="L6" s="41">
        <f t="shared" si="0"/>
        <v>12</v>
      </c>
      <c r="M6" s="11">
        <f t="shared" si="1"/>
        <v>68.708113919999988</v>
      </c>
      <c r="N6" s="41">
        <f t="shared" si="2"/>
        <v>12</v>
      </c>
      <c r="O6" s="11">
        <f t="shared" si="3"/>
        <v>68.708113919999988</v>
      </c>
      <c r="P6" s="41">
        <f t="shared" si="4"/>
        <v>12</v>
      </c>
      <c r="Q6" s="11">
        <f t="shared" si="5"/>
        <v>68.708113919999988</v>
      </c>
      <c r="R6" s="41">
        <f t="shared" si="6"/>
        <v>12</v>
      </c>
      <c r="S6" s="11">
        <f t="shared" si="7"/>
        <v>68.708113919999988</v>
      </c>
      <c r="T6" s="41">
        <f t="shared" si="8"/>
        <v>12</v>
      </c>
      <c r="U6" s="11">
        <f t="shared" si="9"/>
        <v>68.708113919999988</v>
      </c>
    </row>
    <row r="7" spans="1:21" ht="15" customHeight="1" x14ac:dyDescent="0.25">
      <c r="A7" s="1" t="s">
        <v>124</v>
      </c>
      <c r="B7" s="1" t="s">
        <v>125</v>
      </c>
      <c r="C7" s="1" t="s">
        <v>130</v>
      </c>
      <c r="D7" s="1" t="s">
        <v>129</v>
      </c>
      <c r="E7" s="26">
        <v>190</v>
      </c>
      <c r="F7" s="26">
        <v>2.63</v>
      </c>
      <c r="G7" s="15">
        <f>IF(D7="Merchant",Assumptions!$E$49,IF(AND(A7="Operational",OR(B7="WSH",B7="FDRE")),Assumptions!$B$37,F7))</f>
        <v>2.63</v>
      </c>
      <c r="H7" s="37">
        <v>44020</v>
      </c>
      <c r="I7" s="37">
        <v>43831</v>
      </c>
      <c r="J7" s="40">
        <f>MAX(0,(YEAR(I7)-YEAR(Assumptions!$B$74))*12+(MONTH(I7)-MONTH(Assumptions!$B$74)))</f>
        <v>0</v>
      </c>
      <c r="K7" s="12">
        <f>IF(B7="Solar",Assumptions!$B$34,IF(B7="Wind",Assumptions!$B$35,IF(B7="WSH",Assumptions!$E$40,Assumptions!$E$41)))</f>
        <v>0.24479999999999999</v>
      </c>
      <c r="L7" s="41">
        <f t="shared" si="0"/>
        <v>12</v>
      </c>
      <c r="M7" s="11">
        <f t="shared" si="1"/>
        <v>107.15806655999999</v>
      </c>
      <c r="N7" s="41">
        <f t="shared" si="2"/>
        <v>12</v>
      </c>
      <c r="O7" s="11">
        <f t="shared" si="3"/>
        <v>107.15806655999999</v>
      </c>
      <c r="P7" s="41">
        <f t="shared" si="4"/>
        <v>12</v>
      </c>
      <c r="Q7" s="11">
        <f t="shared" si="5"/>
        <v>107.15806655999999</v>
      </c>
      <c r="R7" s="41">
        <f t="shared" si="6"/>
        <v>12</v>
      </c>
      <c r="S7" s="11">
        <f t="shared" si="7"/>
        <v>107.15806655999999</v>
      </c>
      <c r="T7" s="41">
        <f t="shared" si="8"/>
        <v>12</v>
      </c>
      <c r="U7" s="11">
        <f t="shared" si="9"/>
        <v>107.15806655999999</v>
      </c>
    </row>
    <row r="8" spans="1:21" ht="15" customHeight="1" x14ac:dyDescent="0.25">
      <c r="A8" s="1" t="s">
        <v>124</v>
      </c>
      <c r="B8" s="1" t="s">
        <v>125</v>
      </c>
      <c r="C8" s="1" t="s">
        <v>131</v>
      </c>
      <c r="D8" s="1" t="s">
        <v>127</v>
      </c>
      <c r="E8" s="26">
        <v>150</v>
      </c>
      <c r="F8" s="26">
        <v>2.89</v>
      </c>
      <c r="G8" s="15">
        <f>IF(D8="Merchant",Assumptions!$E$49,IF(AND(A8="Operational",OR(B8="WSH",B8="FDRE")),Assumptions!$B$37,F8))</f>
        <v>2.89</v>
      </c>
      <c r="H8" s="37">
        <v>44092</v>
      </c>
      <c r="I8" s="37">
        <v>43831</v>
      </c>
      <c r="J8" s="40">
        <f>MAX(0,(YEAR(I8)-YEAR(Assumptions!$B$74))*12+(MONTH(I8)-MONTH(Assumptions!$B$74)))</f>
        <v>0</v>
      </c>
      <c r="K8" s="12">
        <f>IF(B8="Solar",Assumptions!$B$34,IF(B8="Wind",Assumptions!$B$35,IF(B8="WSH",Assumptions!$E$40,Assumptions!$E$41)))</f>
        <v>0.24479999999999999</v>
      </c>
      <c r="L8" s="41">
        <f t="shared" si="0"/>
        <v>12</v>
      </c>
      <c r="M8" s="11">
        <f t="shared" si="1"/>
        <v>92.961820799999998</v>
      </c>
      <c r="N8" s="41">
        <f t="shared" si="2"/>
        <v>12</v>
      </c>
      <c r="O8" s="11">
        <f t="shared" si="3"/>
        <v>92.961820799999998</v>
      </c>
      <c r="P8" s="41">
        <f t="shared" si="4"/>
        <v>12</v>
      </c>
      <c r="Q8" s="11">
        <f t="shared" si="5"/>
        <v>92.961820799999998</v>
      </c>
      <c r="R8" s="41">
        <f t="shared" si="6"/>
        <v>12</v>
      </c>
      <c r="S8" s="11">
        <f t="shared" si="7"/>
        <v>92.961820799999998</v>
      </c>
      <c r="T8" s="41">
        <f t="shared" si="8"/>
        <v>12</v>
      </c>
      <c r="U8" s="11">
        <f t="shared" si="9"/>
        <v>92.961820799999998</v>
      </c>
    </row>
    <row r="9" spans="1:21" ht="15" customHeight="1" x14ac:dyDescent="0.25">
      <c r="A9" s="1" t="s">
        <v>124</v>
      </c>
      <c r="B9" s="1" t="s">
        <v>125</v>
      </c>
      <c r="C9" s="1" t="s">
        <v>132</v>
      </c>
      <c r="D9" s="1" t="s">
        <v>127</v>
      </c>
      <c r="E9" s="26">
        <v>75</v>
      </c>
      <c r="F9" s="26">
        <v>2.9</v>
      </c>
      <c r="G9" s="15">
        <f>IF(D9="Merchant",Assumptions!$E$49,IF(AND(A9="Operational",OR(B9="WSH",B9="FDRE")),Assumptions!$B$37,F9))</f>
        <v>2.9</v>
      </c>
      <c r="H9" s="37">
        <v>45111</v>
      </c>
      <c r="I9" s="37">
        <v>43831</v>
      </c>
      <c r="J9" s="40">
        <f>MAX(0,(YEAR(I9)-YEAR(Assumptions!$B$74))*12+(MONTH(I9)-MONTH(Assumptions!$B$74)))</f>
        <v>0</v>
      </c>
      <c r="K9" s="12">
        <f>IF(B9="Solar",Assumptions!$B$34,IF(B9="Wind",Assumptions!$B$35,IF(B9="WSH",Assumptions!$E$40,Assumptions!$E$41)))</f>
        <v>0.24479999999999999</v>
      </c>
      <c r="L9" s="41">
        <f t="shared" si="0"/>
        <v>12</v>
      </c>
      <c r="M9" s="11">
        <f t="shared" si="1"/>
        <v>46.641744000000003</v>
      </c>
      <c r="N9" s="41">
        <f t="shared" si="2"/>
        <v>12</v>
      </c>
      <c r="O9" s="11">
        <f t="shared" si="3"/>
        <v>46.641744000000003</v>
      </c>
      <c r="P9" s="41">
        <f t="shared" si="4"/>
        <v>12</v>
      </c>
      <c r="Q9" s="11">
        <f t="shared" si="5"/>
        <v>46.641744000000003</v>
      </c>
      <c r="R9" s="41">
        <f t="shared" si="6"/>
        <v>12</v>
      </c>
      <c r="S9" s="11">
        <f t="shared" si="7"/>
        <v>46.641744000000003</v>
      </c>
      <c r="T9" s="41">
        <f t="shared" si="8"/>
        <v>12</v>
      </c>
      <c r="U9" s="11">
        <f t="shared" si="9"/>
        <v>46.641744000000003</v>
      </c>
    </row>
    <row r="10" spans="1:21" ht="15" customHeight="1" x14ac:dyDescent="0.25">
      <c r="A10" s="1" t="s">
        <v>124</v>
      </c>
      <c r="B10" s="1" t="s">
        <v>125</v>
      </c>
      <c r="C10" s="1" t="s">
        <v>133</v>
      </c>
      <c r="D10" s="1" t="s">
        <v>134</v>
      </c>
      <c r="E10" s="26">
        <v>100</v>
      </c>
      <c r="G10" s="15">
        <f>IF(D10="Merchant",Assumptions!$E$49,IF(AND(A10="Operational",OR(B10="WSH",B10="FDRE")),Assumptions!$B$37,F10))</f>
        <v>2.83</v>
      </c>
      <c r="H10" s="37">
        <v>45575</v>
      </c>
      <c r="I10" s="37">
        <v>43831</v>
      </c>
      <c r="J10" s="40">
        <f>MAX(0,(YEAR(I10)-YEAR(Assumptions!$B$74))*12+(MONTH(I10)-MONTH(Assumptions!$B$74)))</f>
        <v>0</v>
      </c>
      <c r="K10" s="12">
        <f>IF(B10="Solar",Assumptions!$B$34,IF(B10="Wind",Assumptions!$B$35,IF(B10="WSH",Assumptions!$E$40,Assumptions!$E$41)))</f>
        <v>0.24479999999999999</v>
      </c>
      <c r="L10" s="41">
        <f t="shared" si="0"/>
        <v>12</v>
      </c>
      <c r="M10" s="11">
        <f t="shared" si="1"/>
        <v>60.687878400000002</v>
      </c>
      <c r="N10" s="41">
        <f t="shared" si="2"/>
        <v>12</v>
      </c>
      <c r="O10" s="11">
        <f t="shared" si="3"/>
        <v>60.687878400000002</v>
      </c>
      <c r="P10" s="41">
        <f t="shared" si="4"/>
        <v>12</v>
      </c>
      <c r="Q10" s="11">
        <f t="shared" si="5"/>
        <v>60.687878400000002</v>
      </c>
      <c r="R10" s="41">
        <f t="shared" si="6"/>
        <v>12</v>
      </c>
      <c r="S10" s="11">
        <f t="shared" si="7"/>
        <v>60.687878400000002</v>
      </c>
      <c r="T10" s="41">
        <f t="shared" si="8"/>
        <v>12</v>
      </c>
      <c r="U10" s="11">
        <f t="shared" si="9"/>
        <v>60.687878400000002</v>
      </c>
    </row>
    <row r="11" spans="1:21" ht="15" customHeight="1" x14ac:dyDescent="0.25">
      <c r="A11" s="1" t="s">
        <v>124</v>
      </c>
      <c r="B11" s="1" t="s">
        <v>125</v>
      </c>
      <c r="C11" s="1" t="s">
        <v>135</v>
      </c>
      <c r="D11" s="1" t="s">
        <v>134</v>
      </c>
      <c r="E11" s="26">
        <v>50</v>
      </c>
      <c r="G11" s="15">
        <f>IF(D11="Merchant",Assumptions!$E$49,IF(AND(A11="Operational",OR(B11="WSH",B11="FDRE")),Assumptions!$B$37,F11))</f>
        <v>2.83</v>
      </c>
      <c r="H11" s="37">
        <v>45739</v>
      </c>
      <c r="I11" s="37">
        <v>43831</v>
      </c>
      <c r="J11" s="40">
        <f>MAX(0,(YEAR(I11)-YEAR(Assumptions!$B$74))*12+(MONTH(I11)-MONTH(Assumptions!$B$74)))</f>
        <v>0</v>
      </c>
      <c r="K11" s="12">
        <f>IF(B11="Solar",Assumptions!$B$34,IF(B11="Wind",Assumptions!$B$35,IF(B11="WSH",Assumptions!$E$40,Assumptions!$E$41)))</f>
        <v>0.24479999999999999</v>
      </c>
      <c r="L11" s="41">
        <f t="shared" si="0"/>
        <v>12</v>
      </c>
      <c r="M11" s="11">
        <f t="shared" si="1"/>
        <v>30.343939200000001</v>
      </c>
      <c r="N11" s="41">
        <f t="shared" si="2"/>
        <v>12</v>
      </c>
      <c r="O11" s="11">
        <f t="shared" si="3"/>
        <v>30.343939200000001</v>
      </c>
      <c r="P11" s="41">
        <f t="shared" si="4"/>
        <v>12</v>
      </c>
      <c r="Q11" s="11">
        <f t="shared" si="5"/>
        <v>30.343939200000001</v>
      </c>
      <c r="R11" s="41">
        <f t="shared" si="6"/>
        <v>12</v>
      </c>
      <c r="S11" s="11">
        <f t="shared" si="7"/>
        <v>30.343939200000001</v>
      </c>
      <c r="T11" s="41">
        <f t="shared" si="8"/>
        <v>12</v>
      </c>
      <c r="U11" s="11">
        <f t="shared" si="9"/>
        <v>30.343939200000001</v>
      </c>
    </row>
    <row r="12" spans="1:21" ht="15" customHeight="1" x14ac:dyDescent="0.25">
      <c r="A12" s="1" t="s">
        <v>124</v>
      </c>
      <c r="B12" s="1" t="s">
        <v>125</v>
      </c>
      <c r="C12" s="1" t="s">
        <v>136</v>
      </c>
      <c r="D12" s="1" t="s">
        <v>127</v>
      </c>
      <c r="E12" s="26">
        <v>150</v>
      </c>
      <c r="F12" s="26">
        <v>2.75</v>
      </c>
      <c r="G12" s="15">
        <f>IF(D12="Merchant",Assumptions!$E$49,IF(AND(A12="Operational",OR(B12="WSH",B12="FDRE")),Assumptions!$B$37,F12))</f>
        <v>2.75</v>
      </c>
      <c r="H12" s="37">
        <v>45784</v>
      </c>
      <c r="I12" s="37">
        <v>43831</v>
      </c>
      <c r="J12" s="40">
        <f>MAX(0,(YEAR(I12)-YEAR(Assumptions!$B$74))*12+(MONTH(I12)-MONTH(Assumptions!$B$74)))</f>
        <v>0</v>
      </c>
      <c r="K12" s="12">
        <f>IF(B12="Solar",Assumptions!$B$34,IF(B12="Wind",Assumptions!$B$35,IF(B12="WSH",Assumptions!$E$40,Assumptions!$E$41)))</f>
        <v>0.24479999999999999</v>
      </c>
      <c r="L12" s="41">
        <f t="shared" si="0"/>
        <v>12</v>
      </c>
      <c r="M12" s="11">
        <f t="shared" si="1"/>
        <v>88.458479999999994</v>
      </c>
      <c r="N12" s="41">
        <f t="shared" si="2"/>
        <v>12</v>
      </c>
      <c r="O12" s="11">
        <f t="shared" si="3"/>
        <v>88.458479999999994</v>
      </c>
      <c r="P12" s="41">
        <f t="shared" si="4"/>
        <v>12</v>
      </c>
      <c r="Q12" s="11">
        <f t="shared" si="5"/>
        <v>88.458479999999994</v>
      </c>
      <c r="R12" s="41">
        <f t="shared" si="6"/>
        <v>12</v>
      </c>
      <c r="S12" s="11">
        <f t="shared" si="7"/>
        <v>88.458479999999994</v>
      </c>
      <c r="T12" s="41">
        <f t="shared" si="8"/>
        <v>12</v>
      </c>
      <c r="U12" s="11">
        <f t="shared" si="9"/>
        <v>88.458479999999994</v>
      </c>
    </row>
    <row r="13" spans="1:21" ht="15" customHeight="1" x14ac:dyDescent="0.25">
      <c r="A13" s="1" t="s">
        <v>124</v>
      </c>
      <c r="B13" s="1" t="s">
        <v>137</v>
      </c>
      <c r="C13" s="1" t="s">
        <v>138</v>
      </c>
      <c r="D13" s="1" t="s">
        <v>129</v>
      </c>
      <c r="E13" s="26">
        <v>69.3</v>
      </c>
      <c r="F13" s="26">
        <v>2.9</v>
      </c>
      <c r="G13" s="15">
        <f>IF(D13="Merchant",Assumptions!$E$49,IF(AND(A13="Operational",OR(B13="WSH",B13="FDRE")),Assumptions!$B$37,F13))</f>
        <v>2.9</v>
      </c>
      <c r="H13" s="37">
        <v>44909</v>
      </c>
      <c r="I13" s="37">
        <v>43831</v>
      </c>
      <c r="J13" s="40">
        <f>MAX(0,(YEAR(I13)-YEAR(Assumptions!$B$74))*12+(MONTH(I13)-MONTH(Assumptions!$B$74)))</f>
        <v>0</v>
      </c>
      <c r="K13" s="12">
        <f>IF(B13="Solar",Assumptions!$B$34,IF(B13="Wind",Assumptions!$B$35,IF(B13="WSH",Assumptions!$E$40,Assumptions!$E$41)))</f>
        <v>0.31840000000000002</v>
      </c>
      <c r="L13" s="41">
        <f t="shared" si="0"/>
        <v>12</v>
      </c>
      <c r="M13" s="11">
        <f t="shared" si="1"/>
        <v>56.054230848000003</v>
      </c>
      <c r="N13" s="41">
        <f t="shared" si="2"/>
        <v>12</v>
      </c>
      <c r="O13" s="11">
        <f t="shared" si="3"/>
        <v>56.054230848000003</v>
      </c>
      <c r="P13" s="41">
        <f t="shared" si="4"/>
        <v>12</v>
      </c>
      <c r="Q13" s="11">
        <f t="shared" si="5"/>
        <v>56.054230848000003</v>
      </c>
      <c r="R13" s="41">
        <f t="shared" si="6"/>
        <v>12</v>
      </c>
      <c r="S13" s="11">
        <f t="shared" si="7"/>
        <v>56.054230848000003</v>
      </c>
      <c r="T13" s="41">
        <f t="shared" si="8"/>
        <v>12</v>
      </c>
      <c r="U13" s="11">
        <f t="shared" si="9"/>
        <v>56.054230848000003</v>
      </c>
    </row>
    <row r="14" spans="1:21" ht="15" customHeight="1" x14ac:dyDescent="0.25">
      <c r="A14" s="1" t="s">
        <v>124</v>
      </c>
      <c r="B14" s="1" t="s">
        <v>137</v>
      </c>
      <c r="C14" s="1" t="s">
        <v>138</v>
      </c>
      <c r="D14" s="1" t="s">
        <v>129</v>
      </c>
      <c r="E14" s="26">
        <v>50.4</v>
      </c>
      <c r="F14" s="26">
        <v>2.95</v>
      </c>
      <c r="G14" s="15">
        <f>IF(D14="Merchant",Assumptions!$E$49,IF(AND(A14="Operational",OR(B14="WSH",B14="FDRE")),Assumptions!$B$37,F14))</f>
        <v>2.95</v>
      </c>
      <c r="H14" s="37">
        <v>45056</v>
      </c>
      <c r="I14" s="37">
        <v>43831</v>
      </c>
      <c r="J14" s="40">
        <f>MAX(0,(YEAR(I14)-YEAR(Assumptions!$B$74))*12+(MONTH(I14)-MONTH(Assumptions!$B$74)))</f>
        <v>0</v>
      </c>
      <c r="K14" s="12">
        <f>IF(B14="Solar",Assumptions!$B$34,IF(B14="Wind",Assumptions!$B$35,IF(B14="WSH",Assumptions!$E$40,Assumptions!$E$41)))</f>
        <v>0.31840000000000002</v>
      </c>
      <c r="L14" s="41">
        <f t="shared" si="0"/>
        <v>12</v>
      </c>
      <c r="M14" s="11">
        <f t="shared" si="1"/>
        <v>41.469587712000006</v>
      </c>
      <c r="N14" s="41">
        <f t="shared" si="2"/>
        <v>12</v>
      </c>
      <c r="O14" s="11">
        <f t="shared" si="3"/>
        <v>41.469587712000006</v>
      </c>
      <c r="P14" s="41">
        <f t="shared" si="4"/>
        <v>12</v>
      </c>
      <c r="Q14" s="11">
        <f t="shared" si="5"/>
        <v>41.469587712000006</v>
      </c>
      <c r="R14" s="41">
        <f t="shared" si="6"/>
        <v>12</v>
      </c>
      <c r="S14" s="11">
        <f t="shared" si="7"/>
        <v>41.469587712000006</v>
      </c>
      <c r="T14" s="41">
        <f t="shared" si="8"/>
        <v>12</v>
      </c>
      <c r="U14" s="11">
        <f t="shared" si="9"/>
        <v>41.469587712000006</v>
      </c>
    </row>
    <row r="15" spans="1:21" ht="15" customHeight="1" x14ac:dyDescent="0.25">
      <c r="A15" s="1" t="s">
        <v>124</v>
      </c>
      <c r="B15" s="1" t="s">
        <v>137</v>
      </c>
      <c r="C15" s="1" t="s">
        <v>139</v>
      </c>
      <c r="D15" s="1" t="s">
        <v>129</v>
      </c>
      <c r="E15" s="26">
        <v>72.45</v>
      </c>
      <c r="F15" s="26">
        <v>3.11</v>
      </c>
      <c r="G15" s="15">
        <f>IF(D15="Merchant",Assumptions!$E$49,IF(AND(A15="Operational",OR(B15="WSH",B15="FDRE")),Assumptions!$B$37,F15))</f>
        <v>3.11</v>
      </c>
      <c r="H15" s="37">
        <v>45330</v>
      </c>
      <c r="I15" s="37">
        <v>43831</v>
      </c>
      <c r="J15" s="40">
        <f>MAX(0,(YEAR(I15)-YEAR(Assumptions!$B$74))*12+(MONTH(I15)-MONTH(Assumptions!$B$74)))</f>
        <v>0</v>
      </c>
      <c r="K15" s="12">
        <f>IF(B15="Solar",Assumptions!$B$34,IF(B15="Wind",Assumptions!$B$35,IF(B15="WSH",Assumptions!$E$40,Assumptions!$E$41)))</f>
        <v>0.31840000000000002</v>
      </c>
      <c r="L15" s="41">
        <f t="shared" si="0"/>
        <v>12</v>
      </c>
      <c r="M15" s="11">
        <f t="shared" si="1"/>
        <v>62.845754428799999</v>
      </c>
      <c r="N15" s="41">
        <f t="shared" si="2"/>
        <v>12</v>
      </c>
      <c r="O15" s="11">
        <f t="shared" si="3"/>
        <v>62.845754428799999</v>
      </c>
      <c r="P15" s="41">
        <f t="shared" si="4"/>
        <v>12</v>
      </c>
      <c r="Q15" s="11">
        <f t="shared" si="5"/>
        <v>62.845754428799999</v>
      </c>
      <c r="R15" s="41">
        <f t="shared" si="6"/>
        <v>12</v>
      </c>
      <c r="S15" s="11">
        <f t="shared" si="7"/>
        <v>62.845754428799999</v>
      </c>
      <c r="T15" s="41">
        <f t="shared" si="8"/>
        <v>12</v>
      </c>
      <c r="U15" s="11">
        <f t="shared" si="9"/>
        <v>62.845754428799999</v>
      </c>
    </row>
    <row r="16" spans="1:21" ht="15" customHeight="1" x14ac:dyDescent="0.25">
      <c r="A16" s="1" t="s">
        <v>124</v>
      </c>
      <c r="B16" s="1" t="s">
        <v>137</v>
      </c>
      <c r="C16" s="1" t="s">
        <v>139</v>
      </c>
      <c r="D16" s="1" t="s">
        <v>129</v>
      </c>
      <c r="E16" s="26">
        <v>20</v>
      </c>
      <c r="F16" s="26">
        <v>3.44</v>
      </c>
      <c r="G16" s="15">
        <f>IF(D16="Merchant",Assumptions!$E$49,IF(AND(A16="Operational",OR(B16="WSH",B16="FDRE")),Assumptions!$B$37,F16))</f>
        <v>3.44</v>
      </c>
      <c r="H16" s="37">
        <v>45463</v>
      </c>
      <c r="I16" s="37">
        <v>43831</v>
      </c>
      <c r="J16" s="40">
        <f>MAX(0,(YEAR(I16)-YEAR(Assumptions!$B$74))*12+(MONTH(I16)-MONTH(Assumptions!$B$74)))</f>
        <v>0</v>
      </c>
      <c r="K16" s="12">
        <f>IF(B16="Solar",Assumptions!$B$34,IF(B16="Wind",Assumptions!$B$35,IF(B16="WSH",Assumptions!$E$40,Assumptions!$E$41)))</f>
        <v>0.31840000000000002</v>
      </c>
      <c r="L16" s="41">
        <f t="shared" si="0"/>
        <v>12</v>
      </c>
      <c r="M16" s="11">
        <f t="shared" si="1"/>
        <v>19.189585919999995</v>
      </c>
      <c r="N16" s="41">
        <f t="shared" si="2"/>
        <v>12</v>
      </c>
      <c r="O16" s="11">
        <f t="shared" si="3"/>
        <v>19.189585919999995</v>
      </c>
      <c r="P16" s="41">
        <f t="shared" si="4"/>
        <v>12</v>
      </c>
      <c r="Q16" s="11">
        <f t="shared" si="5"/>
        <v>19.189585919999995</v>
      </c>
      <c r="R16" s="41">
        <f t="shared" si="6"/>
        <v>12</v>
      </c>
      <c r="S16" s="11">
        <f t="shared" si="7"/>
        <v>19.189585919999995</v>
      </c>
      <c r="T16" s="41">
        <f t="shared" si="8"/>
        <v>12</v>
      </c>
      <c r="U16" s="11">
        <f t="shared" si="9"/>
        <v>19.189585919999995</v>
      </c>
    </row>
    <row r="17" spans="1:21" ht="15" customHeight="1" x14ac:dyDescent="0.25">
      <c r="A17" s="1" t="s">
        <v>124</v>
      </c>
      <c r="B17" s="1" t="s">
        <v>140</v>
      </c>
      <c r="C17" s="1" t="s">
        <v>141</v>
      </c>
      <c r="D17" s="1" t="s">
        <v>127</v>
      </c>
      <c r="E17" s="26">
        <v>75</v>
      </c>
      <c r="F17" s="26">
        <v>3.6</v>
      </c>
      <c r="G17" s="15">
        <f>IF(D17="Merchant",Assumptions!$E$49,IF(AND(A17="Operational",OR(B17="WSH",B17="FDRE")),Assumptions!$B$37,F17))</f>
        <v>2.8</v>
      </c>
      <c r="H17" s="37">
        <v>44909</v>
      </c>
      <c r="I17" s="37">
        <v>43831</v>
      </c>
      <c r="J17" s="40">
        <f>MAX(0,(YEAR(I17)-YEAR(Assumptions!$B$74))*12+(MONTH(I17)-MONTH(Assumptions!$B$74)))</f>
        <v>0</v>
      </c>
      <c r="K17" s="12">
        <f>IF(B17="Solar",Assumptions!$B$34,IF(B17="Wind",Assumptions!$B$35,IF(B17="WSH",Assumptions!$E$40,Assumptions!$E$41)))</f>
        <v>0.4</v>
      </c>
      <c r="L17" s="41">
        <f t="shared" si="0"/>
        <v>12</v>
      </c>
      <c r="M17" s="11">
        <f t="shared" si="1"/>
        <v>73.584000000000003</v>
      </c>
      <c r="N17" s="41">
        <f t="shared" si="2"/>
        <v>12</v>
      </c>
      <c r="O17" s="11">
        <f t="shared" si="3"/>
        <v>73.584000000000003</v>
      </c>
      <c r="P17" s="41">
        <f t="shared" si="4"/>
        <v>12</v>
      </c>
      <c r="Q17" s="11">
        <f t="shared" si="5"/>
        <v>73.584000000000003</v>
      </c>
      <c r="R17" s="41">
        <f t="shared" si="6"/>
        <v>12</v>
      </c>
      <c r="S17" s="11">
        <f t="shared" si="7"/>
        <v>73.584000000000003</v>
      </c>
      <c r="T17" s="41">
        <f t="shared" si="8"/>
        <v>12</v>
      </c>
      <c r="U17" s="11">
        <f t="shared" si="9"/>
        <v>73.584000000000003</v>
      </c>
    </row>
    <row r="18" spans="1:21" ht="15" customHeight="1" x14ac:dyDescent="0.25">
      <c r="A18" s="1" t="s">
        <v>124</v>
      </c>
      <c r="B18" s="1" t="s">
        <v>140</v>
      </c>
      <c r="C18" s="1" t="s">
        <v>142</v>
      </c>
      <c r="D18" s="1" t="s">
        <v>127</v>
      </c>
      <c r="E18" s="26">
        <v>75</v>
      </c>
      <c r="F18" s="26">
        <v>3.6</v>
      </c>
      <c r="G18" s="15">
        <f>IF(D18="Merchant",Assumptions!$E$49,IF(AND(A18="Operational",OR(B18="WSH",B18="FDRE")),Assumptions!$B$37,F18))</f>
        <v>2.8</v>
      </c>
      <c r="H18" s="37">
        <v>44909</v>
      </c>
      <c r="I18" s="37">
        <v>43831</v>
      </c>
      <c r="J18" s="40">
        <f>MAX(0,(YEAR(I18)-YEAR(Assumptions!$B$74))*12+(MONTH(I18)-MONTH(Assumptions!$B$74)))</f>
        <v>0</v>
      </c>
      <c r="K18" s="12">
        <f>IF(B18="Solar",Assumptions!$B$34,IF(B18="Wind",Assumptions!$B$35,IF(B18="WSH",Assumptions!$E$40,Assumptions!$E$41)))</f>
        <v>0.4</v>
      </c>
      <c r="L18" s="41">
        <f t="shared" si="0"/>
        <v>12</v>
      </c>
      <c r="M18" s="11">
        <f t="shared" si="1"/>
        <v>73.584000000000003</v>
      </c>
      <c r="N18" s="41">
        <f t="shared" si="2"/>
        <v>12</v>
      </c>
      <c r="O18" s="11">
        <f t="shared" si="3"/>
        <v>73.584000000000003</v>
      </c>
      <c r="P18" s="41">
        <f t="shared" si="4"/>
        <v>12</v>
      </c>
      <c r="Q18" s="11">
        <f t="shared" si="5"/>
        <v>73.584000000000003</v>
      </c>
      <c r="R18" s="41">
        <f t="shared" si="6"/>
        <v>12</v>
      </c>
      <c r="S18" s="11">
        <f t="shared" si="7"/>
        <v>73.584000000000003</v>
      </c>
      <c r="T18" s="41">
        <f t="shared" si="8"/>
        <v>12</v>
      </c>
      <c r="U18" s="11">
        <f t="shared" si="9"/>
        <v>73.584000000000003</v>
      </c>
    </row>
    <row r="19" spans="1:21" ht="15" customHeight="1" x14ac:dyDescent="0.25">
      <c r="A19" s="1" t="s">
        <v>124</v>
      </c>
      <c r="B19" s="1" t="s">
        <v>140</v>
      </c>
      <c r="C19" s="1" t="s">
        <v>143</v>
      </c>
      <c r="D19" s="1" t="s">
        <v>129</v>
      </c>
      <c r="E19" s="26">
        <v>100.45</v>
      </c>
      <c r="F19" s="26">
        <v>3.04</v>
      </c>
      <c r="G19" s="15">
        <f>IF(D19="Merchant",Assumptions!$E$49,IF(AND(A19="Operational",OR(B19="WSH",B19="FDRE")),Assumptions!$B$37,F19))</f>
        <v>2.8</v>
      </c>
      <c r="H19" s="37">
        <v>45477</v>
      </c>
      <c r="I19" s="37">
        <v>43831</v>
      </c>
      <c r="J19" s="40">
        <f>MAX(0,(YEAR(I19)-YEAR(Assumptions!$B$74))*12+(MONTH(I19)-MONTH(Assumptions!$B$74)))</f>
        <v>0</v>
      </c>
      <c r="K19" s="12">
        <f>IF(B19="Solar",Assumptions!$B$34,IF(B19="Wind",Assumptions!$B$35,IF(B19="WSH",Assumptions!$E$40,Assumptions!$E$41)))</f>
        <v>0.4</v>
      </c>
      <c r="L19" s="41">
        <f t="shared" si="0"/>
        <v>12</v>
      </c>
      <c r="M19" s="11">
        <f t="shared" si="1"/>
        <v>98.55350399999999</v>
      </c>
      <c r="N19" s="41">
        <f t="shared" si="2"/>
        <v>12</v>
      </c>
      <c r="O19" s="11">
        <f t="shared" si="3"/>
        <v>98.55350399999999</v>
      </c>
      <c r="P19" s="41">
        <f t="shared" si="4"/>
        <v>12</v>
      </c>
      <c r="Q19" s="11">
        <f t="shared" si="5"/>
        <v>98.55350399999999</v>
      </c>
      <c r="R19" s="41">
        <f t="shared" si="6"/>
        <v>12</v>
      </c>
      <c r="S19" s="11">
        <f t="shared" si="7"/>
        <v>98.55350399999999</v>
      </c>
      <c r="T19" s="41">
        <f t="shared" si="8"/>
        <v>12</v>
      </c>
      <c r="U19" s="11">
        <f t="shared" si="9"/>
        <v>98.55350399999999</v>
      </c>
    </row>
    <row r="20" spans="1:21" ht="15" customHeight="1" x14ac:dyDescent="0.25">
      <c r="A20" s="1" t="s">
        <v>124</v>
      </c>
      <c r="B20" s="1" t="s">
        <v>140</v>
      </c>
      <c r="C20" s="1" t="s">
        <v>144</v>
      </c>
      <c r="D20" s="1" t="s">
        <v>129</v>
      </c>
      <c r="E20" s="26">
        <v>30.3</v>
      </c>
      <c r="F20" s="26">
        <v>3.3</v>
      </c>
      <c r="G20" s="15">
        <f>IF(D20="Merchant",Assumptions!$E$49,IF(AND(A20="Operational",OR(B20="WSH",B20="FDRE")),Assumptions!$B$37,F20))</f>
        <v>2.8</v>
      </c>
      <c r="H20" s="37">
        <v>45575</v>
      </c>
      <c r="I20" s="37">
        <v>43831</v>
      </c>
      <c r="J20" s="40">
        <f>MAX(0,(YEAR(I20)-YEAR(Assumptions!$B$74))*12+(MONTH(I20)-MONTH(Assumptions!$B$74)))</f>
        <v>0</v>
      </c>
      <c r="K20" s="12">
        <f>IF(B20="Solar",Assumptions!$B$34,IF(B20="Wind",Assumptions!$B$35,IF(B20="WSH",Assumptions!$E$40,Assumptions!$E$41)))</f>
        <v>0.4</v>
      </c>
      <c r="L20" s="41">
        <f t="shared" si="0"/>
        <v>12</v>
      </c>
      <c r="M20" s="11">
        <f t="shared" si="1"/>
        <v>29.727936</v>
      </c>
      <c r="N20" s="41">
        <f t="shared" si="2"/>
        <v>12</v>
      </c>
      <c r="O20" s="11">
        <f t="shared" si="3"/>
        <v>29.727936</v>
      </c>
      <c r="P20" s="41">
        <f t="shared" si="4"/>
        <v>12</v>
      </c>
      <c r="Q20" s="11">
        <f t="shared" si="5"/>
        <v>29.727936</v>
      </c>
      <c r="R20" s="41">
        <f t="shared" si="6"/>
        <v>12</v>
      </c>
      <c r="S20" s="11">
        <f t="shared" si="7"/>
        <v>29.727936</v>
      </c>
      <c r="T20" s="41">
        <f t="shared" si="8"/>
        <v>12</v>
      </c>
      <c r="U20" s="11">
        <f t="shared" si="9"/>
        <v>29.727936</v>
      </c>
    </row>
    <row r="21" spans="1:21" ht="15" customHeight="1" x14ac:dyDescent="0.25">
      <c r="A21" s="1" t="s">
        <v>124</v>
      </c>
      <c r="B21" s="1" t="s">
        <v>145</v>
      </c>
      <c r="C21" s="1" t="s">
        <v>146</v>
      </c>
      <c r="D21" s="1" t="s">
        <v>147</v>
      </c>
      <c r="E21" s="26">
        <v>266.89999999999998</v>
      </c>
      <c r="F21" s="26">
        <v>4.38</v>
      </c>
      <c r="G21" s="15">
        <f>IF(D21="Merchant",Assumptions!$E$49,IF(AND(A21="Operational",OR(B21="WSH",B21="FDRE")),Assumptions!$B$37,F21))</f>
        <v>2.8</v>
      </c>
      <c r="H21" s="37">
        <v>45412</v>
      </c>
      <c r="I21" s="37">
        <v>43831</v>
      </c>
      <c r="J21" s="40">
        <f>MAX(0,(YEAR(I21)-YEAR(Assumptions!$B$74))*12+(MONTH(I21)-MONTH(Assumptions!$B$74)))</f>
        <v>0</v>
      </c>
      <c r="K21" s="12">
        <f>IF(B21="Solar",Assumptions!$B$34,IF(B21="Wind",Assumptions!$B$35,IF(B21="WSH",Assumptions!$E$40,Assumptions!$E$41)))</f>
        <v>0.5</v>
      </c>
      <c r="L21" s="41">
        <f t="shared" si="0"/>
        <v>12</v>
      </c>
      <c r="M21" s="11">
        <f t="shared" si="1"/>
        <v>327.32616000000002</v>
      </c>
      <c r="N21" s="41">
        <f t="shared" si="2"/>
        <v>12</v>
      </c>
      <c r="O21" s="11">
        <f t="shared" si="3"/>
        <v>327.32616000000002</v>
      </c>
      <c r="P21" s="41">
        <f t="shared" si="4"/>
        <v>12</v>
      </c>
      <c r="Q21" s="11">
        <f t="shared" si="5"/>
        <v>327.32616000000002</v>
      </c>
      <c r="R21" s="41">
        <f t="shared" si="6"/>
        <v>12</v>
      </c>
      <c r="S21" s="11">
        <f t="shared" si="7"/>
        <v>327.32616000000002</v>
      </c>
      <c r="T21" s="41">
        <f t="shared" si="8"/>
        <v>12</v>
      </c>
      <c r="U21" s="11">
        <f t="shared" si="9"/>
        <v>327.32616000000002</v>
      </c>
    </row>
    <row r="22" spans="1:21" ht="15" customHeight="1" x14ac:dyDescent="0.25">
      <c r="A22" s="1" t="s">
        <v>124</v>
      </c>
      <c r="B22" s="1" t="s">
        <v>145</v>
      </c>
      <c r="C22" s="1" t="s">
        <v>146</v>
      </c>
      <c r="D22" s="1" t="s">
        <v>147</v>
      </c>
      <c r="E22" s="26">
        <v>100</v>
      </c>
      <c r="F22" s="26">
        <v>4.38</v>
      </c>
      <c r="G22" s="15">
        <f>IF(D22="Merchant",Assumptions!$E$49,IF(AND(A22="Operational",OR(B22="WSH",B22="FDRE")),Assumptions!$B$37,F22))</f>
        <v>2.8</v>
      </c>
      <c r="H22" s="37">
        <v>45412</v>
      </c>
      <c r="I22" s="37">
        <v>43831</v>
      </c>
      <c r="J22" s="40">
        <f>MAX(0,(YEAR(I22)-YEAR(Assumptions!$B$74))*12+(MONTH(I22)-MONTH(Assumptions!$B$74)))</f>
        <v>0</v>
      </c>
      <c r="K22" s="12">
        <f>IF(B22="Solar",Assumptions!$B$34,IF(B22="Wind",Assumptions!$B$35,IF(B22="WSH",Assumptions!$E$40,Assumptions!$E$41)))</f>
        <v>0.5</v>
      </c>
      <c r="L22" s="41">
        <f t="shared" si="0"/>
        <v>12</v>
      </c>
      <c r="M22" s="11">
        <f t="shared" si="1"/>
        <v>122.64</v>
      </c>
      <c r="N22" s="41">
        <f t="shared" si="2"/>
        <v>12</v>
      </c>
      <c r="O22" s="11">
        <f t="shared" si="3"/>
        <v>122.64</v>
      </c>
      <c r="P22" s="41">
        <f t="shared" si="4"/>
        <v>12</v>
      </c>
      <c r="Q22" s="11">
        <f t="shared" si="5"/>
        <v>122.64</v>
      </c>
      <c r="R22" s="41">
        <f t="shared" si="6"/>
        <v>12</v>
      </c>
      <c r="S22" s="11">
        <f t="shared" si="7"/>
        <v>122.64</v>
      </c>
      <c r="T22" s="41">
        <f t="shared" si="8"/>
        <v>12</v>
      </c>
      <c r="U22" s="11">
        <f t="shared" si="9"/>
        <v>122.64</v>
      </c>
    </row>
    <row r="23" spans="1:21" ht="15" customHeight="1" x14ac:dyDescent="0.25">
      <c r="A23" s="1" t="s">
        <v>148</v>
      </c>
      <c r="B23" s="1" t="s">
        <v>125</v>
      </c>
      <c r="C23" s="1" t="s">
        <v>149</v>
      </c>
      <c r="D23" s="1" t="s">
        <v>134</v>
      </c>
      <c r="E23" s="26">
        <v>20</v>
      </c>
      <c r="G23" s="15">
        <f>IF(D23="Merchant",Assumptions!$E$49,IF(AND(A23="Operational",OR(B23="WSH",B23="FDRE")),Assumptions!$B$37,F23))</f>
        <v>2.83</v>
      </c>
      <c r="H23" s="37">
        <v>45292</v>
      </c>
      <c r="I23" s="37">
        <v>46192</v>
      </c>
      <c r="J23" s="40">
        <f>MAX(0,(YEAR(I23)-YEAR(Assumptions!$B$74))*12+(MONTH(I23)-MONTH(Assumptions!$B$74)))</f>
        <v>2</v>
      </c>
      <c r="K23" s="12">
        <f>IF(B23="Solar",Assumptions!$B$34,IF(B23="Wind",Assumptions!$B$35,IF(B23="WSH",Assumptions!$E$40,Assumptions!$E$41)))</f>
        <v>0.24479999999999999</v>
      </c>
      <c r="L23" s="41">
        <f t="shared" si="0"/>
        <v>10</v>
      </c>
      <c r="M23" s="11">
        <f t="shared" si="1"/>
        <v>10.1146464</v>
      </c>
      <c r="N23" s="41">
        <f t="shared" si="2"/>
        <v>12</v>
      </c>
      <c r="O23" s="11">
        <f t="shared" si="3"/>
        <v>12.137575679999999</v>
      </c>
      <c r="P23" s="41">
        <f t="shared" si="4"/>
        <v>12</v>
      </c>
      <c r="Q23" s="11">
        <f t="shared" si="5"/>
        <v>12.137575679999999</v>
      </c>
      <c r="R23" s="41">
        <f t="shared" si="6"/>
        <v>12</v>
      </c>
      <c r="S23" s="11">
        <f t="shared" si="7"/>
        <v>12.137575679999999</v>
      </c>
      <c r="T23" s="41">
        <f t="shared" si="8"/>
        <v>12</v>
      </c>
      <c r="U23" s="11">
        <f t="shared" si="9"/>
        <v>12.137575679999999</v>
      </c>
    </row>
    <row r="24" spans="1:21" ht="15" customHeight="1" x14ac:dyDescent="0.25">
      <c r="A24" s="1" t="s">
        <v>148</v>
      </c>
      <c r="B24" s="1" t="s">
        <v>137</v>
      </c>
      <c r="C24" s="1" t="s">
        <v>139</v>
      </c>
      <c r="D24" s="1" t="s">
        <v>129</v>
      </c>
      <c r="E24" s="26">
        <v>70</v>
      </c>
      <c r="F24" s="26">
        <v>3.44</v>
      </c>
      <c r="G24" s="15">
        <f>IF(D24="Merchant",Assumptions!$E$49,IF(AND(A24="Operational",OR(B24="WSH",B24="FDRE")),Assumptions!$B$37,F24))</f>
        <v>3.44</v>
      </c>
      <c r="H24" s="37">
        <v>45463</v>
      </c>
      <c r="I24" s="37">
        <v>46192</v>
      </c>
      <c r="J24" s="40">
        <f>MAX(0,(YEAR(I24)-YEAR(Assumptions!$B$74))*12+(MONTH(I24)-MONTH(Assumptions!$B$74)))</f>
        <v>2</v>
      </c>
      <c r="K24" s="12">
        <f>IF(B24="Solar",Assumptions!$B$34,IF(B24="Wind",Assumptions!$B$35,IF(B24="WSH",Assumptions!$E$40,Assumptions!$E$41)))</f>
        <v>0.31840000000000002</v>
      </c>
      <c r="L24" s="41">
        <f t="shared" si="0"/>
        <v>10</v>
      </c>
      <c r="M24" s="11">
        <f t="shared" si="1"/>
        <v>55.969625600000001</v>
      </c>
      <c r="N24" s="41">
        <f t="shared" si="2"/>
        <v>12</v>
      </c>
      <c r="O24" s="11">
        <f t="shared" si="3"/>
        <v>67.163550720000003</v>
      </c>
      <c r="P24" s="41">
        <f t="shared" si="4"/>
        <v>12</v>
      </c>
      <c r="Q24" s="11">
        <f t="shared" si="5"/>
        <v>67.163550720000003</v>
      </c>
      <c r="R24" s="41">
        <f t="shared" si="6"/>
        <v>12</v>
      </c>
      <c r="S24" s="11">
        <f t="shared" si="7"/>
        <v>67.163550720000003</v>
      </c>
      <c r="T24" s="41">
        <f t="shared" si="8"/>
        <v>12</v>
      </c>
      <c r="U24" s="11">
        <f t="shared" si="9"/>
        <v>67.163550720000003</v>
      </c>
    </row>
    <row r="25" spans="1:21" ht="15" customHeight="1" x14ac:dyDescent="0.25">
      <c r="A25" s="1" t="s">
        <v>148</v>
      </c>
      <c r="B25" s="1" t="s">
        <v>137</v>
      </c>
      <c r="C25" s="1" t="s">
        <v>150</v>
      </c>
      <c r="D25" s="1" t="s">
        <v>129</v>
      </c>
      <c r="E25" s="26">
        <v>100</v>
      </c>
      <c r="F25" s="26">
        <v>3.56</v>
      </c>
      <c r="G25" s="15">
        <f>IF(D25="Merchant",Assumptions!$E$49,IF(AND(A25="Operational",OR(B25="WSH",B25="FDRE")),Assumptions!$B$37,F25))</f>
        <v>3.56</v>
      </c>
      <c r="H25" s="37">
        <v>45856</v>
      </c>
      <c r="I25" s="37">
        <v>46585</v>
      </c>
      <c r="J25" s="40">
        <f>MAX(0,(YEAR(I25)-YEAR(Assumptions!$B$74))*12+(MONTH(I25)-MONTH(Assumptions!$B$74)))</f>
        <v>15</v>
      </c>
      <c r="K25" s="12">
        <f>IF(B25="Solar",Assumptions!$B$34,IF(B25="Wind",Assumptions!$B$35,IF(B25="WSH",Assumptions!$E$40,Assumptions!$E$41)))</f>
        <v>0.31840000000000002</v>
      </c>
      <c r="L25" s="41">
        <f t="shared" si="0"/>
        <v>0</v>
      </c>
      <c r="M25" s="11">
        <f t="shared" si="1"/>
        <v>0</v>
      </c>
      <c r="N25" s="41">
        <f t="shared" si="2"/>
        <v>9</v>
      </c>
      <c r="O25" s="11">
        <f t="shared" si="3"/>
        <v>74.471212800000004</v>
      </c>
      <c r="P25" s="41">
        <f t="shared" si="4"/>
        <v>12</v>
      </c>
      <c r="Q25" s="11">
        <f t="shared" si="5"/>
        <v>99.294950400000005</v>
      </c>
      <c r="R25" s="41">
        <f t="shared" si="6"/>
        <v>12</v>
      </c>
      <c r="S25" s="11">
        <f t="shared" si="7"/>
        <v>99.294950400000005</v>
      </c>
      <c r="T25" s="41">
        <f t="shared" si="8"/>
        <v>12</v>
      </c>
      <c r="U25" s="11">
        <f t="shared" si="9"/>
        <v>99.294950400000005</v>
      </c>
    </row>
    <row r="26" spans="1:21" ht="15" customHeight="1" x14ac:dyDescent="0.25">
      <c r="A26" s="1" t="s">
        <v>148</v>
      </c>
      <c r="B26" s="1" t="s">
        <v>137</v>
      </c>
      <c r="C26" s="1" t="s">
        <v>151</v>
      </c>
      <c r="D26" s="1" t="s">
        <v>129</v>
      </c>
      <c r="E26" s="26">
        <v>50</v>
      </c>
      <c r="F26" s="26">
        <v>3.65</v>
      </c>
      <c r="G26" s="15">
        <f>IF(D26="Merchant",Assumptions!$E$49,IF(AND(A26="Operational",OR(B26="WSH",B26="FDRE")),Assumptions!$B$37,F26))</f>
        <v>3.65</v>
      </c>
      <c r="H26" s="37">
        <v>45852</v>
      </c>
      <c r="I26" s="37">
        <v>46697</v>
      </c>
      <c r="J26" s="40">
        <f>MAX(0,(YEAR(I26)-YEAR(Assumptions!$B$74))*12+(MONTH(I26)-MONTH(Assumptions!$B$74)))</f>
        <v>19</v>
      </c>
      <c r="K26" s="12">
        <f>IF(B26="Solar",Assumptions!$B$34,IF(B26="Wind",Assumptions!$B$35,IF(B26="WSH",Assumptions!$E$40,Assumptions!$E$41)))</f>
        <v>0.31840000000000002</v>
      </c>
      <c r="L26" s="41">
        <f t="shared" si="0"/>
        <v>0</v>
      </c>
      <c r="M26" s="11">
        <f t="shared" si="1"/>
        <v>0</v>
      </c>
      <c r="N26" s="41">
        <f t="shared" si="2"/>
        <v>5</v>
      </c>
      <c r="O26" s="11">
        <f t="shared" si="3"/>
        <v>21.209420000000001</v>
      </c>
      <c r="P26" s="41">
        <f t="shared" si="4"/>
        <v>12</v>
      </c>
      <c r="Q26" s="11">
        <f t="shared" si="5"/>
        <v>50.902608000000001</v>
      </c>
      <c r="R26" s="41">
        <f t="shared" si="6"/>
        <v>12</v>
      </c>
      <c r="S26" s="11">
        <f t="shared" si="7"/>
        <v>50.902608000000001</v>
      </c>
      <c r="T26" s="41">
        <f t="shared" si="8"/>
        <v>12</v>
      </c>
      <c r="U26" s="11">
        <f t="shared" si="9"/>
        <v>50.902608000000001</v>
      </c>
    </row>
    <row r="27" spans="1:21" ht="15" customHeight="1" x14ac:dyDescent="0.25">
      <c r="A27" s="1" t="s">
        <v>148</v>
      </c>
      <c r="B27" s="1" t="s">
        <v>140</v>
      </c>
      <c r="C27" s="1" t="s">
        <v>152</v>
      </c>
      <c r="D27" s="1" t="s">
        <v>153</v>
      </c>
      <c r="E27" s="26">
        <v>75</v>
      </c>
      <c r="F27" s="26">
        <v>3.27</v>
      </c>
      <c r="G27" s="15">
        <f>IF(D27="Merchant",Assumptions!$E$49,IF(AND(A27="Operational",OR(B27="WSH",B27="FDRE")),Assumptions!$B$37,F27))</f>
        <v>3.27</v>
      </c>
      <c r="H27" s="37">
        <v>45380</v>
      </c>
      <c r="I27" s="37">
        <v>46134</v>
      </c>
      <c r="J27" s="40">
        <f>MAX(0,(YEAR(I27)-YEAR(Assumptions!$B$74))*12+(MONTH(I27)-MONTH(Assumptions!$B$74)))</f>
        <v>0</v>
      </c>
      <c r="K27" s="12">
        <f>IF(B27="Solar",Assumptions!$B$34,IF(B27="Wind",Assumptions!$B$35,IF(B27="WSH",Assumptions!$E$40,Assumptions!$E$41)))</f>
        <v>0.4</v>
      </c>
      <c r="L27" s="41">
        <f t="shared" si="0"/>
        <v>12</v>
      </c>
      <c r="M27" s="11">
        <f t="shared" si="1"/>
        <v>85.935599999999994</v>
      </c>
      <c r="N27" s="41">
        <f t="shared" si="2"/>
        <v>12</v>
      </c>
      <c r="O27" s="11">
        <f t="shared" si="3"/>
        <v>85.935599999999994</v>
      </c>
      <c r="P27" s="41">
        <f t="shared" si="4"/>
        <v>12</v>
      </c>
      <c r="Q27" s="11">
        <f t="shared" si="5"/>
        <v>85.935599999999994</v>
      </c>
      <c r="R27" s="41">
        <f t="shared" si="6"/>
        <v>12</v>
      </c>
      <c r="S27" s="11">
        <f t="shared" si="7"/>
        <v>85.935599999999994</v>
      </c>
      <c r="T27" s="41">
        <f t="shared" si="8"/>
        <v>12</v>
      </c>
      <c r="U27" s="11">
        <f t="shared" si="9"/>
        <v>85.935599999999994</v>
      </c>
    </row>
    <row r="28" spans="1:21" ht="15" customHeight="1" x14ac:dyDescent="0.25">
      <c r="A28" s="1" t="s">
        <v>148</v>
      </c>
      <c r="B28" s="1" t="s">
        <v>140</v>
      </c>
      <c r="C28" s="1" t="s">
        <v>143</v>
      </c>
      <c r="D28" s="1" t="s">
        <v>129</v>
      </c>
      <c r="E28" s="26">
        <v>50</v>
      </c>
      <c r="F28" s="26">
        <v>3.04</v>
      </c>
      <c r="G28" s="15">
        <f>IF(D28="Merchant",Assumptions!$E$49,IF(AND(A28="Operational",OR(B28="WSH",B28="FDRE")),Assumptions!$B$37,F28))</f>
        <v>3.04</v>
      </c>
      <c r="H28" s="37">
        <v>45477</v>
      </c>
      <c r="I28" s="37">
        <v>46206</v>
      </c>
      <c r="J28" s="40">
        <f>MAX(0,(YEAR(I28)-YEAR(Assumptions!$B$74))*12+(MONTH(I28)-MONTH(Assumptions!$B$74)))</f>
        <v>3</v>
      </c>
      <c r="K28" s="12">
        <f>IF(B28="Solar",Assumptions!$B$34,IF(B28="Wind",Assumptions!$B$35,IF(B28="WSH",Assumptions!$E$40,Assumptions!$E$41)))</f>
        <v>0.4</v>
      </c>
      <c r="L28" s="41">
        <f t="shared" si="0"/>
        <v>9</v>
      </c>
      <c r="M28" s="11">
        <f t="shared" si="1"/>
        <v>39.945599999999999</v>
      </c>
      <c r="N28" s="41">
        <f t="shared" si="2"/>
        <v>12</v>
      </c>
      <c r="O28" s="11">
        <f t="shared" si="3"/>
        <v>53.260800000000003</v>
      </c>
      <c r="P28" s="41">
        <f t="shared" si="4"/>
        <v>12</v>
      </c>
      <c r="Q28" s="11">
        <f t="shared" si="5"/>
        <v>53.260800000000003</v>
      </c>
      <c r="R28" s="41">
        <f t="shared" si="6"/>
        <v>12</v>
      </c>
      <c r="S28" s="11">
        <f t="shared" si="7"/>
        <v>53.260800000000003</v>
      </c>
      <c r="T28" s="41">
        <f t="shared" si="8"/>
        <v>12</v>
      </c>
      <c r="U28" s="11">
        <f t="shared" si="9"/>
        <v>53.260800000000003</v>
      </c>
    </row>
    <row r="29" spans="1:21" ht="15" customHeight="1" x14ac:dyDescent="0.25">
      <c r="A29" s="1" t="s">
        <v>148</v>
      </c>
      <c r="B29" s="1" t="s">
        <v>140</v>
      </c>
      <c r="C29" s="1" t="s">
        <v>149</v>
      </c>
      <c r="D29" s="1" t="s">
        <v>154</v>
      </c>
      <c r="E29" s="26">
        <v>185</v>
      </c>
      <c r="F29" s="26">
        <v>3.21</v>
      </c>
      <c r="G29" s="15">
        <f>IF(D29="Merchant",Assumptions!$E$49,IF(AND(A29="Operational",OR(B29="WSH",B29="FDRE")),Assumptions!$B$37,F29))</f>
        <v>3.21</v>
      </c>
      <c r="H29" s="37">
        <v>45463</v>
      </c>
      <c r="I29" s="37">
        <v>46396</v>
      </c>
      <c r="J29" s="40">
        <f>MAX(0,(YEAR(I29)-YEAR(Assumptions!$B$74))*12+(MONTH(I29)-MONTH(Assumptions!$B$74)))</f>
        <v>9</v>
      </c>
      <c r="K29" s="12">
        <f>IF(B29="Solar",Assumptions!$B$34,IF(B29="Wind",Assumptions!$B$35,IF(B29="WSH",Assumptions!$E$40,Assumptions!$E$41)))</f>
        <v>0.4</v>
      </c>
      <c r="L29" s="41">
        <f t="shared" si="0"/>
        <v>3</v>
      </c>
      <c r="M29" s="11">
        <f t="shared" si="1"/>
        <v>52.021259999999998</v>
      </c>
      <c r="N29" s="41">
        <f t="shared" si="2"/>
        <v>12</v>
      </c>
      <c r="O29" s="11">
        <f t="shared" si="3"/>
        <v>208.08503999999999</v>
      </c>
      <c r="P29" s="41">
        <f t="shared" si="4"/>
        <v>12</v>
      </c>
      <c r="Q29" s="11">
        <f t="shared" si="5"/>
        <v>208.08503999999999</v>
      </c>
      <c r="R29" s="41">
        <f t="shared" si="6"/>
        <v>12</v>
      </c>
      <c r="S29" s="11">
        <f t="shared" si="7"/>
        <v>208.08503999999999</v>
      </c>
      <c r="T29" s="41">
        <f t="shared" si="8"/>
        <v>12</v>
      </c>
      <c r="U29" s="11">
        <f t="shared" si="9"/>
        <v>208.08503999999999</v>
      </c>
    </row>
    <row r="30" spans="1:21" ht="15" customHeight="1" x14ac:dyDescent="0.25">
      <c r="A30" s="1" t="s">
        <v>148</v>
      </c>
      <c r="B30" s="1" t="s">
        <v>140</v>
      </c>
      <c r="C30" s="1" t="s">
        <v>149</v>
      </c>
      <c r="D30" s="1" t="s">
        <v>155</v>
      </c>
      <c r="E30" s="26">
        <v>238.1</v>
      </c>
      <c r="F30" s="26">
        <v>3.36</v>
      </c>
      <c r="G30" s="15">
        <f>IF(D30="Merchant",Assumptions!$E$49,IF(AND(A30="Operational",OR(B30="WSH",B30="FDRE")),Assumptions!$B$37,F30))</f>
        <v>3.36</v>
      </c>
      <c r="H30" s="37">
        <v>45472</v>
      </c>
      <c r="I30" s="37">
        <v>46201</v>
      </c>
      <c r="J30" s="40">
        <f>MAX(0,(YEAR(I30)-YEAR(Assumptions!$B$74))*12+(MONTH(I30)-MONTH(Assumptions!$B$74)))</f>
        <v>2</v>
      </c>
      <c r="K30" s="12">
        <f>IF(B30="Solar",Assumptions!$B$34,IF(B30="Wind",Assumptions!$B$35,IF(B30="WSH",Assumptions!$E$40,Assumptions!$E$41)))</f>
        <v>0.4</v>
      </c>
      <c r="L30" s="41">
        <f t="shared" si="0"/>
        <v>10</v>
      </c>
      <c r="M30" s="11">
        <f t="shared" si="1"/>
        <v>233.60467199999999</v>
      </c>
      <c r="N30" s="41">
        <f t="shared" si="2"/>
        <v>12</v>
      </c>
      <c r="O30" s="11">
        <f t="shared" si="3"/>
        <v>280.32560640000003</v>
      </c>
      <c r="P30" s="41">
        <f t="shared" si="4"/>
        <v>12</v>
      </c>
      <c r="Q30" s="11">
        <f t="shared" si="5"/>
        <v>280.32560640000003</v>
      </c>
      <c r="R30" s="41">
        <f t="shared" si="6"/>
        <v>12</v>
      </c>
      <c r="S30" s="11">
        <f t="shared" si="7"/>
        <v>280.32560640000003</v>
      </c>
      <c r="T30" s="41">
        <f t="shared" si="8"/>
        <v>12</v>
      </c>
      <c r="U30" s="11">
        <f t="shared" si="9"/>
        <v>280.32560640000003</v>
      </c>
    </row>
    <row r="31" spans="1:21" ht="15" customHeight="1" x14ac:dyDescent="0.25">
      <c r="A31" s="1" t="s">
        <v>148</v>
      </c>
      <c r="B31" s="1" t="s">
        <v>140</v>
      </c>
      <c r="C31" s="1" t="s">
        <v>156</v>
      </c>
      <c r="D31" s="1" t="s">
        <v>127</v>
      </c>
      <c r="E31" s="26">
        <v>127.8</v>
      </c>
      <c r="F31" s="26">
        <v>3.6</v>
      </c>
      <c r="G31" s="15">
        <f>IF(D31="Merchant",Assumptions!$E$49,IF(AND(A31="Operational",OR(B31="WSH",B31="FDRE")),Assumptions!$B$37,F31))</f>
        <v>3.6</v>
      </c>
      <c r="H31" s="37">
        <v>45614</v>
      </c>
      <c r="I31" s="37">
        <v>46343</v>
      </c>
      <c r="J31" s="40">
        <f>MAX(0,(YEAR(I31)-YEAR(Assumptions!$B$74))*12+(MONTH(I31)-MONTH(Assumptions!$B$74)))</f>
        <v>7</v>
      </c>
      <c r="K31" s="12">
        <f>IF(B31="Solar",Assumptions!$B$34,IF(B31="Wind",Assumptions!$B$35,IF(B31="WSH",Assumptions!$E$40,Assumptions!$E$41)))</f>
        <v>0.4</v>
      </c>
      <c r="L31" s="41">
        <f t="shared" si="0"/>
        <v>5</v>
      </c>
      <c r="M31" s="11">
        <f t="shared" si="1"/>
        <v>67.171679999999995</v>
      </c>
      <c r="N31" s="41">
        <f t="shared" si="2"/>
        <v>12</v>
      </c>
      <c r="O31" s="11">
        <f t="shared" si="3"/>
        <v>161.21203199999999</v>
      </c>
      <c r="P31" s="41">
        <f t="shared" si="4"/>
        <v>12</v>
      </c>
      <c r="Q31" s="11">
        <f t="shared" si="5"/>
        <v>161.21203199999999</v>
      </c>
      <c r="R31" s="41">
        <f t="shared" si="6"/>
        <v>12</v>
      </c>
      <c r="S31" s="11">
        <f t="shared" si="7"/>
        <v>161.21203199999999</v>
      </c>
      <c r="T31" s="41">
        <f t="shared" si="8"/>
        <v>12</v>
      </c>
      <c r="U31" s="11">
        <f t="shared" si="9"/>
        <v>161.21203199999999</v>
      </c>
    </row>
    <row r="32" spans="1:21" ht="15" customHeight="1" x14ac:dyDescent="0.25">
      <c r="A32" s="1" t="s">
        <v>148</v>
      </c>
      <c r="B32" s="1" t="s">
        <v>140</v>
      </c>
      <c r="C32" s="1" t="s">
        <v>142</v>
      </c>
      <c r="D32" s="1" t="s">
        <v>127</v>
      </c>
      <c r="E32" s="26">
        <v>25</v>
      </c>
      <c r="F32" s="26">
        <v>3.6</v>
      </c>
      <c r="G32" s="15">
        <f>IF(D32="Merchant",Assumptions!$E$49,IF(AND(A32="Operational",OR(B32="WSH",B32="FDRE")),Assumptions!$B$37,F32))</f>
        <v>3.6</v>
      </c>
      <c r="H32" s="37">
        <v>45614</v>
      </c>
      <c r="I32" s="37">
        <v>46343</v>
      </c>
      <c r="J32" s="40">
        <f>MAX(0,(YEAR(I32)-YEAR(Assumptions!$B$74))*12+(MONTH(I32)-MONTH(Assumptions!$B$74)))</f>
        <v>7</v>
      </c>
      <c r="K32" s="12">
        <f>IF(B32="Solar",Assumptions!$B$34,IF(B32="Wind",Assumptions!$B$35,IF(B32="WSH",Assumptions!$E$40,Assumptions!$E$41)))</f>
        <v>0.4</v>
      </c>
      <c r="L32" s="41">
        <f t="shared" si="0"/>
        <v>5</v>
      </c>
      <c r="M32" s="11">
        <f t="shared" si="1"/>
        <v>13.14</v>
      </c>
      <c r="N32" s="41">
        <f t="shared" si="2"/>
        <v>12</v>
      </c>
      <c r="O32" s="11">
        <f t="shared" si="3"/>
        <v>31.536000000000001</v>
      </c>
      <c r="P32" s="41">
        <f t="shared" si="4"/>
        <v>12</v>
      </c>
      <c r="Q32" s="11">
        <f t="shared" si="5"/>
        <v>31.536000000000001</v>
      </c>
      <c r="R32" s="41">
        <f t="shared" si="6"/>
        <v>12</v>
      </c>
      <c r="S32" s="11">
        <f t="shared" si="7"/>
        <v>31.536000000000001</v>
      </c>
      <c r="T32" s="41">
        <f t="shared" si="8"/>
        <v>12</v>
      </c>
      <c r="U32" s="11">
        <f t="shared" si="9"/>
        <v>31.536000000000001</v>
      </c>
    </row>
    <row r="33" spans="1:21" ht="15" customHeight="1" x14ac:dyDescent="0.25">
      <c r="A33" s="1" t="s">
        <v>148</v>
      </c>
      <c r="B33" s="1" t="s">
        <v>140</v>
      </c>
      <c r="C33" s="1" t="s">
        <v>144</v>
      </c>
      <c r="D33" s="1" t="s">
        <v>129</v>
      </c>
      <c r="E33" s="26">
        <v>90</v>
      </c>
      <c r="F33" s="26">
        <v>3.3</v>
      </c>
      <c r="G33" s="15">
        <f>IF(D33="Merchant",Assumptions!$E$49,IF(AND(A33="Operational",OR(B33="WSH",B33="FDRE")),Assumptions!$B$37,F33))</f>
        <v>3.3</v>
      </c>
      <c r="H33" s="37">
        <v>45575</v>
      </c>
      <c r="I33" s="37">
        <v>46304</v>
      </c>
      <c r="J33" s="40">
        <f>MAX(0,(YEAR(I33)-YEAR(Assumptions!$B$74))*12+(MONTH(I33)-MONTH(Assumptions!$B$74)))</f>
        <v>6</v>
      </c>
      <c r="K33" s="12">
        <f>IF(B33="Solar",Assumptions!$B$34,IF(B33="Wind",Assumptions!$B$35,IF(B33="WSH",Assumptions!$E$40,Assumptions!$E$41)))</f>
        <v>0.4</v>
      </c>
      <c r="L33" s="41">
        <f t="shared" si="0"/>
        <v>6</v>
      </c>
      <c r="M33" s="11">
        <f t="shared" si="1"/>
        <v>52.034399999999998</v>
      </c>
      <c r="N33" s="41">
        <f t="shared" si="2"/>
        <v>12</v>
      </c>
      <c r="O33" s="11">
        <f t="shared" si="3"/>
        <v>104.0688</v>
      </c>
      <c r="P33" s="41">
        <f t="shared" si="4"/>
        <v>12</v>
      </c>
      <c r="Q33" s="11">
        <f t="shared" si="5"/>
        <v>104.0688</v>
      </c>
      <c r="R33" s="41">
        <f t="shared" si="6"/>
        <v>12</v>
      </c>
      <c r="S33" s="11">
        <f t="shared" si="7"/>
        <v>104.0688</v>
      </c>
      <c r="T33" s="41">
        <f t="shared" si="8"/>
        <v>12</v>
      </c>
      <c r="U33" s="11">
        <f t="shared" si="9"/>
        <v>104.0688</v>
      </c>
    </row>
    <row r="34" spans="1:21" ht="15" customHeight="1" x14ac:dyDescent="0.25">
      <c r="A34" s="1" t="s">
        <v>148</v>
      </c>
      <c r="B34" s="1" t="s">
        <v>145</v>
      </c>
      <c r="C34" s="1" t="s">
        <v>146</v>
      </c>
      <c r="D34" s="1" t="s">
        <v>147</v>
      </c>
      <c r="E34" s="26">
        <v>209.7</v>
      </c>
      <c r="F34" s="26">
        <v>4.38</v>
      </c>
      <c r="G34" s="15">
        <f>IF(D34="Merchant",Assumptions!$E$49,IF(AND(A34="Operational",OR(B34="WSH",B34="FDRE")),Assumptions!$B$37,F34))</f>
        <v>4.38</v>
      </c>
      <c r="H34" s="37">
        <v>45412</v>
      </c>
      <c r="I34" s="37">
        <v>46356</v>
      </c>
      <c r="J34" s="40">
        <f>MAX(0,(YEAR(I34)-YEAR(Assumptions!$B$74))*12+(MONTH(I34)-MONTH(Assumptions!$B$74)))</f>
        <v>7</v>
      </c>
      <c r="K34" s="12">
        <f>IF(B34="Solar",Assumptions!$B$34,IF(B34="Wind",Assumptions!$B$35,IF(B34="WSH",Assumptions!$E$40,Assumptions!$E$41)))</f>
        <v>0.5</v>
      </c>
      <c r="L34" s="41">
        <f t="shared" si="0"/>
        <v>5</v>
      </c>
      <c r="M34" s="11">
        <f t="shared" si="1"/>
        <v>167.623695</v>
      </c>
      <c r="N34" s="41">
        <f t="shared" si="2"/>
        <v>12</v>
      </c>
      <c r="O34" s="11">
        <f t="shared" si="3"/>
        <v>402.29686800000002</v>
      </c>
      <c r="P34" s="41">
        <f t="shared" si="4"/>
        <v>12</v>
      </c>
      <c r="Q34" s="11">
        <f t="shared" si="5"/>
        <v>402.29686800000002</v>
      </c>
      <c r="R34" s="41">
        <f t="shared" si="6"/>
        <v>12</v>
      </c>
      <c r="S34" s="11">
        <f t="shared" si="7"/>
        <v>402.29686800000002</v>
      </c>
      <c r="T34" s="41">
        <f t="shared" si="8"/>
        <v>12</v>
      </c>
      <c r="U34" s="11">
        <f t="shared" si="9"/>
        <v>402.29686800000002</v>
      </c>
    </row>
    <row r="35" spans="1:21" ht="15" customHeight="1" x14ac:dyDescent="0.25">
      <c r="A35" s="1" t="s">
        <v>148</v>
      </c>
      <c r="B35" s="1" t="s">
        <v>145</v>
      </c>
      <c r="C35" s="1" t="s">
        <v>146</v>
      </c>
      <c r="D35" s="1" t="s">
        <v>147</v>
      </c>
      <c r="E35" s="26">
        <v>92.4</v>
      </c>
      <c r="F35" s="26">
        <v>4.38</v>
      </c>
      <c r="G35" s="15">
        <f>IF(D35="Merchant",Assumptions!$E$49,IF(AND(A35="Operational",OR(B35="WSH",B35="FDRE")),Assumptions!$B$37,F35))</f>
        <v>4.38</v>
      </c>
      <c r="H35" s="37">
        <v>45412</v>
      </c>
      <c r="I35" s="37">
        <v>46356</v>
      </c>
      <c r="J35" s="40">
        <f>MAX(0,(YEAR(I35)-YEAR(Assumptions!$B$74))*12+(MONTH(I35)-MONTH(Assumptions!$B$74)))</f>
        <v>7</v>
      </c>
      <c r="K35" s="12">
        <f>IF(B35="Solar",Assumptions!$B$34,IF(B35="Wind",Assumptions!$B$35,IF(B35="WSH",Assumptions!$E$40,Assumptions!$E$41)))</f>
        <v>0.5</v>
      </c>
      <c r="L35" s="41">
        <f t="shared" si="0"/>
        <v>5</v>
      </c>
      <c r="M35" s="11">
        <f t="shared" si="1"/>
        <v>73.859939999999995</v>
      </c>
      <c r="N35" s="41">
        <f t="shared" si="2"/>
        <v>12</v>
      </c>
      <c r="O35" s="11">
        <f t="shared" si="3"/>
        <v>177.263856</v>
      </c>
      <c r="P35" s="41">
        <f t="shared" si="4"/>
        <v>12</v>
      </c>
      <c r="Q35" s="11">
        <f t="shared" si="5"/>
        <v>177.263856</v>
      </c>
      <c r="R35" s="41">
        <f t="shared" si="6"/>
        <v>12</v>
      </c>
      <c r="S35" s="11">
        <f t="shared" si="7"/>
        <v>177.263856</v>
      </c>
      <c r="T35" s="41">
        <f t="shared" si="8"/>
        <v>12</v>
      </c>
      <c r="U35" s="11">
        <f t="shared" si="9"/>
        <v>177.263856</v>
      </c>
    </row>
    <row r="36" spans="1:21" ht="15" customHeight="1" x14ac:dyDescent="0.25">
      <c r="A36" s="1" t="s">
        <v>148</v>
      </c>
      <c r="B36" s="1" t="s">
        <v>145</v>
      </c>
      <c r="C36" s="1" t="s">
        <v>157</v>
      </c>
      <c r="D36" s="1" t="s">
        <v>158</v>
      </c>
      <c r="E36" s="26">
        <v>350.4</v>
      </c>
      <c r="F36" s="26">
        <v>4.6399999999999997</v>
      </c>
      <c r="G36" s="15">
        <f>IF(D36="Merchant",Assumptions!$E$49,IF(AND(A36="Operational",OR(B36="WSH",B36="FDRE")),Assumptions!$B$37,F36))</f>
        <v>4.6399999999999997</v>
      </c>
      <c r="H36" s="37">
        <v>45650</v>
      </c>
      <c r="I36" s="37">
        <v>46443</v>
      </c>
      <c r="J36" s="40">
        <f>MAX(0,(YEAR(I36)-YEAR(Assumptions!$B$74))*12+(MONTH(I36)-MONTH(Assumptions!$B$74)))</f>
        <v>10</v>
      </c>
      <c r="K36" s="12">
        <f>IF(B36="Solar",Assumptions!$B$34,IF(B36="Wind",Assumptions!$B$35,IF(B36="WSH",Assumptions!$E$40,Assumptions!$E$41)))</f>
        <v>0.5</v>
      </c>
      <c r="L36" s="41">
        <f t="shared" si="0"/>
        <v>2</v>
      </c>
      <c r="M36" s="11">
        <f t="shared" si="1"/>
        <v>118.68748799999997</v>
      </c>
      <c r="N36" s="41">
        <f t="shared" si="2"/>
        <v>12</v>
      </c>
      <c r="O36" s="11">
        <f t="shared" si="3"/>
        <v>712.12492799999995</v>
      </c>
      <c r="P36" s="41">
        <f t="shared" si="4"/>
        <v>12</v>
      </c>
      <c r="Q36" s="11">
        <f t="shared" si="5"/>
        <v>712.12492799999995</v>
      </c>
      <c r="R36" s="41">
        <f t="shared" si="6"/>
        <v>12</v>
      </c>
      <c r="S36" s="11">
        <f t="shared" si="7"/>
        <v>712.12492799999995</v>
      </c>
      <c r="T36" s="41">
        <f t="shared" si="8"/>
        <v>12</v>
      </c>
      <c r="U36" s="11">
        <f t="shared" si="9"/>
        <v>712.12492799999995</v>
      </c>
    </row>
    <row r="37" spans="1:21" ht="15" customHeight="1" x14ac:dyDescent="0.25">
      <c r="A37" s="1" t="s">
        <v>148</v>
      </c>
      <c r="B37" s="1" t="s">
        <v>145</v>
      </c>
      <c r="C37" s="1" t="s">
        <v>159</v>
      </c>
      <c r="D37" s="1" t="s">
        <v>155</v>
      </c>
      <c r="E37" s="26">
        <v>350.4</v>
      </c>
      <c r="F37" s="26">
        <v>4.6900000000000004</v>
      </c>
      <c r="G37" s="15">
        <f>IF(D37="Merchant",Assumptions!$E$49,IF(AND(A37="Operational",OR(B37="WSH",B37="FDRE")),Assumptions!$B$37,F37))</f>
        <v>4.6900000000000004</v>
      </c>
      <c r="H37" s="37">
        <v>45758</v>
      </c>
      <c r="I37" s="37">
        <v>46487</v>
      </c>
      <c r="J37" s="40">
        <f>MAX(0,(YEAR(I37)-YEAR(Assumptions!$B$74))*12+(MONTH(I37)-MONTH(Assumptions!$B$74)))</f>
        <v>12</v>
      </c>
      <c r="K37" s="12">
        <f>IF(B37="Solar",Assumptions!$B$34,IF(B37="Wind",Assumptions!$B$35,IF(B37="WSH",Assumptions!$E$40,Assumptions!$E$41)))</f>
        <v>0.5</v>
      </c>
      <c r="L37" s="41">
        <f t="shared" si="0"/>
        <v>0</v>
      </c>
      <c r="M37" s="11">
        <f t="shared" si="1"/>
        <v>0</v>
      </c>
      <c r="N37" s="41">
        <f t="shared" si="2"/>
        <v>12</v>
      </c>
      <c r="O37" s="11">
        <f t="shared" si="3"/>
        <v>719.79868800000008</v>
      </c>
      <c r="P37" s="41">
        <f t="shared" si="4"/>
        <v>12</v>
      </c>
      <c r="Q37" s="11">
        <f t="shared" si="5"/>
        <v>719.79868800000008</v>
      </c>
      <c r="R37" s="41">
        <f t="shared" si="6"/>
        <v>12</v>
      </c>
      <c r="S37" s="11">
        <f t="shared" si="7"/>
        <v>719.79868800000008</v>
      </c>
      <c r="T37" s="41">
        <f t="shared" si="8"/>
        <v>12</v>
      </c>
      <c r="U37" s="11">
        <f t="shared" si="9"/>
        <v>719.79868800000008</v>
      </c>
    </row>
    <row r="38" spans="1:21" ht="15" customHeight="1" x14ac:dyDescent="0.25">
      <c r="A38" s="1" t="s">
        <v>148</v>
      </c>
      <c r="B38" s="1" t="s">
        <v>145</v>
      </c>
      <c r="C38" s="1" t="s">
        <v>160</v>
      </c>
      <c r="D38" s="1" t="s">
        <v>147</v>
      </c>
      <c r="E38" s="26">
        <v>351.2</v>
      </c>
      <c r="F38" s="26">
        <v>4.25</v>
      </c>
      <c r="G38" s="15">
        <f>IF(D38="Merchant",Assumptions!$E$49,IF(AND(A38="Operational",OR(B38="WSH",B38="FDRE")),Assumptions!$B$37,F38))</f>
        <v>4.25</v>
      </c>
      <c r="H38" s="37">
        <v>45737</v>
      </c>
      <c r="I38" s="37">
        <v>46534</v>
      </c>
      <c r="J38" s="40">
        <f>MAX(0,(YEAR(I38)-YEAR(Assumptions!$B$74))*12+(MONTH(I38)-MONTH(Assumptions!$B$74)))</f>
        <v>13</v>
      </c>
      <c r="K38" s="12">
        <f>IF(B38="Solar",Assumptions!$B$34,IF(B38="Wind",Assumptions!$B$35,IF(B38="WSH",Assumptions!$E$40,Assumptions!$E$41)))</f>
        <v>0.5</v>
      </c>
      <c r="L38" s="41">
        <f t="shared" si="0"/>
        <v>0</v>
      </c>
      <c r="M38" s="11">
        <f t="shared" si="1"/>
        <v>0</v>
      </c>
      <c r="N38" s="41">
        <f t="shared" si="2"/>
        <v>11</v>
      </c>
      <c r="O38" s="11">
        <f t="shared" si="3"/>
        <v>599.27890000000002</v>
      </c>
      <c r="P38" s="41">
        <f t="shared" si="4"/>
        <v>12</v>
      </c>
      <c r="Q38" s="11">
        <f t="shared" si="5"/>
        <v>653.75879999999995</v>
      </c>
      <c r="R38" s="41">
        <f t="shared" si="6"/>
        <v>12</v>
      </c>
      <c r="S38" s="11">
        <f t="shared" si="7"/>
        <v>653.75879999999995</v>
      </c>
      <c r="T38" s="41">
        <f t="shared" si="8"/>
        <v>12</v>
      </c>
      <c r="U38" s="11">
        <f t="shared" si="9"/>
        <v>653.75879999999995</v>
      </c>
    </row>
    <row r="39" spans="1:21" ht="15" customHeight="1" x14ac:dyDescent="0.25">
      <c r="A39" s="1" t="s">
        <v>148</v>
      </c>
      <c r="B39" s="1" t="s">
        <v>145</v>
      </c>
      <c r="C39" s="1" t="s">
        <v>133</v>
      </c>
      <c r="D39" s="1" t="s">
        <v>158</v>
      </c>
      <c r="E39" s="26">
        <v>350.4</v>
      </c>
      <c r="F39" s="26">
        <v>4.37</v>
      </c>
      <c r="G39" s="15">
        <f>IF(D39="Merchant",Assumptions!$E$49,IF(AND(A39="Operational",OR(B39="WSH",B39="FDRE")),Assumptions!$B$37,F39))</f>
        <v>4.37</v>
      </c>
      <c r="H39" s="37">
        <v>45836</v>
      </c>
      <c r="I39" s="37">
        <v>46565</v>
      </c>
      <c r="J39" s="40">
        <f>MAX(0,(YEAR(I39)-YEAR(Assumptions!$B$74))*12+(MONTH(I39)-MONTH(Assumptions!$B$74)))</f>
        <v>14</v>
      </c>
      <c r="K39" s="12">
        <f>IF(B39="Solar",Assumptions!$B$34,IF(B39="Wind",Assumptions!$B$35,IF(B39="WSH",Assumptions!$E$40,Assumptions!$E$41)))</f>
        <v>0.5</v>
      </c>
      <c r="L39" s="41">
        <f t="shared" si="0"/>
        <v>0</v>
      </c>
      <c r="M39" s="11">
        <f t="shared" si="1"/>
        <v>0</v>
      </c>
      <c r="N39" s="41">
        <f t="shared" si="2"/>
        <v>10</v>
      </c>
      <c r="O39" s="11">
        <f t="shared" si="3"/>
        <v>558.90552000000002</v>
      </c>
      <c r="P39" s="41">
        <f t="shared" si="4"/>
        <v>12</v>
      </c>
      <c r="Q39" s="11">
        <f t="shared" si="5"/>
        <v>670.68662400000005</v>
      </c>
      <c r="R39" s="41">
        <f t="shared" si="6"/>
        <v>12</v>
      </c>
      <c r="S39" s="11">
        <f t="shared" si="7"/>
        <v>670.68662400000005</v>
      </c>
      <c r="T39" s="41">
        <f t="shared" si="8"/>
        <v>12</v>
      </c>
      <c r="U39" s="11">
        <f t="shared" si="9"/>
        <v>670.68662400000005</v>
      </c>
    </row>
    <row r="40" spans="1:21" ht="15" customHeight="1" x14ac:dyDescent="0.25">
      <c r="A40" s="1" t="s">
        <v>148</v>
      </c>
      <c r="B40" s="1" t="s">
        <v>145</v>
      </c>
      <c r="C40" s="1" t="s">
        <v>161</v>
      </c>
      <c r="D40" s="1" t="s">
        <v>153</v>
      </c>
      <c r="E40" s="26">
        <v>140</v>
      </c>
      <c r="F40" s="26">
        <v>4.76</v>
      </c>
      <c r="G40" s="15">
        <f>IF(D40="Merchant",Assumptions!$E$49,IF(AND(A40="Operational",OR(B40="WSH",B40="FDRE")),Assumptions!$B$37,F40))</f>
        <v>4.76</v>
      </c>
      <c r="H40" s="37">
        <v>45923</v>
      </c>
      <c r="I40" s="37">
        <v>46676</v>
      </c>
      <c r="J40" s="40">
        <f>MAX(0,(YEAR(I40)-YEAR(Assumptions!$B$74))*12+(MONTH(I40)-MONTH(Assumptions!$B$74)))</f>
        <v>18</v>
      </c>
      <c r="K40" s="12">
        <f>IF(B40="Solar",Assumptions!$B$34,IF(B40="Wind",Assumptions!$B$35,IF(B40="WSH",Assumptions!$E$40,Assumptions!$E$41)))</f>
        <v>0.5</v>
      </c>
      <c r="L40" s="41">
        <f t="shared" si="0"/>
        <v>0</v>
      </c>
      <c r="M40" s="11">
        <f t="shared" si="1"/>
        <v>0</v>
      </c>
      <c r="N40" s="41">
        <f t="shared" si="2"/>
        <v>6</v>
      </c>
      <c r="O40" s="11">
        <f t="shared" si="3"/>
        <v>145.94159999999999</v>
      </c>
      <c r="P40" s="41">
        <f t="shared" si="4"/>
        <v>12</v>
      </c>
      <c r="Q40" s="11">
        <f t="shared" si="5"/>
        <v>291.88319999999999</v>
      </c>
      <c r="R40" s="41">
        <f t="shared" si="6"/>
        <v>12</v>
      </c>
      <c r="S40" s="11">
        <f t="shared" si="7"/>
        <v>291.88319999999999</v>
      </c>
      <c r="T40" s="41">
        <f t="shared" si="8"/>
        <v>12</v>
      </c>
      <c r="U40" s="11">
        <f t="shared" si="9"/>
        <v>291.88319999999999</v>
      </c>
    </row>
    <row r="41" spans="1:21" ht="15" customHeight="1" x14ac:dyDescent="0.25">
      <c r="A41" s="1" t="s">
        <v>162</v>
      </c>
      <c r="B41" s="1" t="s">
        <v>140</v>
      </c>
      <c r="C41" s="1" t="s">
        <v>163</v>
      </c>
      <c r="D41" s="1" t="s">
        <v>154</v>
      </c>
      <c r="E41" s="26">
        <v>180</v>
      </c>
      <c r="F41" s="26">
        <v>3.25</v>
      </c>
      <c r="G41" s="15">
        <f>IF(D41="Merchant",Assumptions!$E$49,IF(AND(A41="Operational",OR(B41="WSH",B41="FDRE")),Assumptions!$B$37,F41))</f>
        <v>3.25</v>
      </c>
      <c r="H41" s="37">
        <v>45580</v>
      </c>
      <c r="I41" s="42">
        <f>EDATE(H41,ROUND(Assumptions!$E$44,0))</f>
        <v>47041</v>
      </c>
      <c r="J41" s="40">
        <f>MAX(0,(YEAR(I41)-YEAR(Assumptions!$B$74))*12+(MONTH(I41)-MONTH(Assumptions!$B$74)))</f>
        <v>30</v>
      </c>
      <c r="K41" s="12">
        <f>IF(B41="Solar",Assumptions!$B$34,IF(B41="Wind",Assumptions!$B$35,IF(B41="WSH",Assumptions!$E$40,Assumptions!$E$41)))</f>
        <v>0.4</v>
      </c>
      <c r="L41" s="41">
        <f t="shared" si="0"/>
        <v>0</v>
      </c>
      <c r="M41" s="11">
        <f t="shared" si="1"/>
        <v>0</v>
      </c>
      <c r="N41" s="41">
        <f t="shared" si="2"/>
        <v>0</v>
      </c>
      <c r="O41" s="11">
        <f t="shared" si="3"/>
        <v>0</v>
      </c>
      <c r="P41" s="41">
        <f t="shared" si="4"/>
        <v>6</v>
      </c>
      <c r="Q41" s="11">
        <f t="shared" si="5"/>
        <v>102.492</v>
      </c>
      <c r="R41" s="41">
        <f t="shared" si="6"/>
        <v>12</v>
      </c>
      <c r="S41" s="11">
        <f t="shared" si="7"/>
        <v>204.98400000000001</v>
      </c>
      <c r="T41" s="41">
        <f t="shared" si="8"/>
        <v>12</v>
      </c>
      <c r="U41" s="11">
        <f t="shared" si="9"/>
        <v>204.98400000000001</v>
      </c>
    </row>
    <row r="42" spans="1:21" ht="15" customHeight="1" x14ac:dyDescent="0.25">
      <c r="A42" s="1" t="s">
        <v>162</v>
      </c>
      <c r="B42" s="1" t="s">
        <v>140</v>
      </c>
      <c r="C42" s="1" t="s">
        <v>164</v>
      </c>
      <c r="D42" s="1" t="s">
        <v>147</v>
      </c>
      <c r="E42" s="26">
        <v>180</v>
      </c>
      <c r="F42" s="26">
        <v>3.43</v>
      </c>
      <c r="G42" s="15">
        <f>IF(D42="Merchant",Assumptions!$E$49,IF(AND(A42="Operational",OR(B42="WSH",B42="FDRE")),Assumptions!$B$37,F42))</f>
        <v>3.43</v>
      </c>
      <c r="H42" s="37">
        <v>45357</v>
      </c>
      <c r="I42" s="42">
        <f>EDATE(H42,ROUND(Assumptions!$E$44,0))</f>
        <v>46818</v>
      </c>
      <c r="J42" s="40">
        <f>MAX(0,(YEAR(I42)-YEAR(Assumptions!$B$74))*12+(MONTH(I42)-MONTH(Assumptions!$B$74)))</f>
        <v>23</v>
      </c>
      <c r="K42" s="12">
        <f>IF(B42="Solar",Assumptions!$B$34,IF(B42="Wind",Assumptions!$B$35,IF(B42="WSH",Assumptions!$E$40,Assumptions!$E$41)))</f>
        <v>0.4</v>
      </c>
      <c r="L42" s="41">
        <f t="shared" si="0"/>
        <v>0</v>
      </c>
      <c r="M42" s="11">
        <f t="shared" si="1"/>
        <v>0</v>
      </c>
      <c r="N42" s="41">
        <f t="shared" si="2"/>
        <v>1</v>
      </c>
      <c r="O42" s="11">
        <f t="shared" si="3"/>
        <v>18.028079999999999</v>
      </c>
      <c r="P42" s="41">
        <f t="shared" si="4"/>
        <v>12</v>
      </c>
      <c r="Q42" s="11">
        <f t="shared" si="5"/>
        <v>216.33696</v>
      </c>
      <c r="R42" s="41">
        <f t="shared" si="6"/>
        <v>12</v>
      </c>
      <c r="S42" s="11">
        <f t="shared" si="7"/>
        <v>216.33696</v>
      </c>
      <c r="T42" s="41">
        <f t="shared" si="8"/>
        <v>12</v>
      </c>
      <c r="U42" s="11">
        <f t="shared" si="9"/>
        <v>216.33696</v>
      </c>
    </row>
    <row r="43" spans="1:21" ht="15" customHeight="1" x14ac:dyDescent="0.25">
      <c r="A43" s="1" t="s">
        <v>162</v>
      </c>
      <c r="B43" s="1" t="s">
        <v>140</v>
      </c>
      <c r="C43" s="1" t="s">
        <v>165</v>
      </c>
      <c r="D43" s="1" t="s">
        <v>147</v>
      </c>
      <c r="E43" s="26">
        <v>360</v>
      </c>
      <c r="F43" s="26">
        <v>3.19</v>
      </c>
      <c r="G43" s="15">
        <f>IF(D43="Merchant",Assumptions!$E$49,IF(AND(A43="Operational",OR(B43="WSH",B43="FDRE")),Assumptions!$B$37,F43))</f>
        <v>3.19</v>
      </c>
      <c r="H43" s="37">
        <v>45630</v>
      </c>
      <c r="I43" s="42">
        <f>EDATE(H43,ROUND(Assumptions!$E$44,0))</f>
        <v>47091</v>
      </c>
      <c r="J43" s="40">
        <f>MAX(0,(YEAR(I43)-YEAR(Assumptions!$B$74))*12+(MONTH(I43)-MONTH(Assumptions!$B$74)))</f>
        <v>32</v>
      </c>
      <c r="K43" s="12">
        <f>IF(B43="Solar",Assumptions!$B$34,IF(B43="Wind",Assumptions!$B$35,IF(B43="WSH",Assumptions!$E$40,Assumptions!$E$41)))</f>
        <v>0.4</v>
      </c>
      <c r="L43" s="41">
        <f t="shared" si="0"/>
        <v>0</v>
      </c>
      <c r="M43" s="11">
        <f t="shared" si="1"/>
        <v>0</v>
      </c>
      <c r="N43" s="41">
        <f t="shared" si="2"/>
        <v>0</v>
      </c>
      <c r="O43" s="11">
        <f t="shared" si="3"/>
        <v>0</v>
      </c>
      <c r="P43" s="41">
        <f t="shared" si="4"/>
        <v>4</v>
      </c>
      <c r="Q43" s="11">
        <f t="shared" si="5"/>
        <v>134.13311999999999</v>
      </c>
      <c r="R43" s="41">
        <f t="shared" si="6"/>
        <v>12</v>
      </c>
      <c r="S43" s="11">
        <f t="shared" si="7"/>
        <v>402.39936</v>
      </c>
      <c r="T43" s="41">
        <f t="shared" si="8"/>
        <v>12</v>
      </c>
      <c r="U43" s="11">
        <f t="shared" si="9"/>
        <v>402.39936</v>
      </c>
    </row>
    <row r="44" spans="1:21" ht="15" customHeight="1" x14ac:dyDescent="0.25">
      <c r="A44" s="1" t="s">
        <v>162</v>
      </c>
      <c r="B44" s="1" t="s">
        <v>140</v>
      </c>
      <c r="C44" s="1" t="s">
        <v>143</v>
      </c>
      <c r="D44" s="1" t="s">
        <v>155</v>
      </c>
      <c r="E44" s="26">
        <v>360</v>
      </c>
      <c r="F44" s="26">
        <v>3.29</v>
      </c>
      <c r="G44" s="15">
        <f>IF(D44="Merchant",Assumptions!$E$49,IF(AND(A44="Operational",OR(B44="WSH",B44="FDRE")),Assumptions!$B$37,F44))</f>
        <v>3.29</v>
      </c>
      <c r="H44" s="37">
        <v>45405</v>
      </c>
      <c r="I44" s="42">
        <f>EDATE(H44,ROUND(Assumptions!$E$44,0))</f>
        <v>46866</v>
      </c>
      <c r="J44" s="40">
        <f>MAX(0,(YEAR(I44)-YEAR(Assumptions!$B$74))*12+(MONTH(I44)-MONTH(Assumptions!$B$74)))</f>
        <v>24</v>
      </c>
      <c r="K44" s="12">
        <f>IF(B44="Solar",Assumptions!$B$34,IF(B44="Wind",Assumptions!$B$35,IF(B44="WSH",Assumptions!$E$40,Assumptions!$E$41)))</f>
        <v>0.4</v>
      </c>
      <c r="L44" s="41">
        <f t="shared" si="0"/>
        <v>0</v>
      </c>
      <c r="M44" s="11">
        <f t="shared" si="1"/>
        <v>0</v>
      </c>
      <c r="N44" s="41">
        <f t="shared" si="2"/>
        <v>0</v>
      </c>
      <c r="O44" s="11">
        <f t="shared" si="3"/>
        <v>0</v>
      </c>
      <c r="P44" s="41">
        <f t="shared" si="4"/>
        <v>12</v>
      </c>
      <c r="Q44" s="11">
        <f t="shared" si="5"/>
        <v>415.01375999999999</v>
      </c>
      <c r="R44" s="41">
        <f t="shared" si="6"/>
        <v>12</v>
      </c>
      <c r="S44" s="11">
        <f t="shared" si="7"/>
        <v>415.01375999999999</v>
      </c>
      <c r="T44" s="41">
        <f t="shared" si="8"/>
        <v>12</v>
      </c>
      <c r="U44" s="11">
        <f t="shared" si="9"/>
        <v>415.01375999999999</v>
      </c>
    </row>
    <row r="45" spans="1:21" ht="15" customHeight="1" x14ac:dyDescent="0.25">
      <c r="A45" s="1" t="s">
        <v>162</v>
      </c>
      <c r="B45" s="1" t="s">
        <v>140</v>
      </c>
      <c r="C45" s="1" t="s">
        <v>166</v>
      </c>
      <c r="D45" s="1" t="s">
        <v>158</v>
      </c>
      <c r="E45" s="26">
        <v>180</v>
      </c>
      <c r="F45" s="26">
        <v>3.48</v>
      </c>
      <c r="G45" s="15">
        <f>IF(D45="Merchant",Assumptions!$E$49,IF(AND(A45="Operational",OR(B45="WSH",B45="FDRE")),Assumptions!$B$37,F45))</f>
        <v>3.48</v>
      </c>
      <c r="H45" s="37">
        <v>45341</v>
      </c>
      <c r="I45" s="42">
        <f>EDATE(H45,ROUND(Assumptions!$E$44,0))</f>
        <v>46802</v>
      </c>
      <c r="J45" s="40">
        <f>MAX(0,(YEAR(I45)-YEAR(Assumptions!$B$74))*12+(MONTH(I45)-MONTH(Assumptions!$B$74)))</f>
        <v>22</v>
      </c>
      <c r="K45" s="12">
        <f>IF(B45="Solar",Assumptions!$B$34,IF(B45="Wind",Assumptions!$B$35,IF(B45="WSH",Assumptions!$E$40,Assumptions!$E$41)))</f>
        <v>0.4</v>
      </c>
      <c r="L45" s="41">
        <f t="shared" si="0"/>
        <v>0</v>
      </c>
      <c r="M45" s="11">
        <f t="shared" si="1"/>
        <v>0</v>
      </c>
      <c r="N45" s="41">
        <f t="shared" si="2"/>
        <v>2</v>
      </c>
      <c r="O45" s="11">
        <f t="shared" si="3"/>
        <v>36.581760000000003</v>
      </c>
      <c r="P45" s="41">
        <f t="shared" si="4"/>
        <v>12</v>
      </c>
      <c r="Q45" s="11">
        <f t="shared" si="5"/>
        <v>219.49055999999999</v>
      </c>
      <c r="R45" s="41">
        <f t="shared" si="6"/>
        <v>12</v>
      </c>
      <c r="S45" s="11">
        <f t="shared" si="7"/>
        <v>219.49055999999999</v>
      </c>
      <c r="T45" s="41">
        <f t="shared" si="8"/>
        <v>12</v>
      </c>
      <c r="U45" s="11">
        <f t="shared" si="9"/>
        <v>219.49055999999999</v>
      </c>
    </row>
    <row r="46" spans="1:21" ht="15" customHeight="1" x14ac:dyDescent="0.25">
      <c r="A46" s="1" t="s">
        <v>162</v>
      </c>
      <c r="B46" s="1" t="s">
        <v>140</v>
      </c>
      <c r="C46" s="1" t="s">
        <v>167</v>
      </c>
      <c r="D46" s="1" t="s">
        <v>154</v>
      </c>
      <c r="E46" s="26">
        <v>180</v>
      </c>
      <c r="F46" s="26">
        <v>3.43</v>
      </c>
      <c r="G46" s="15">
        <f>IF(D46="Merchant",Assumptions!$E$49,IF(AND(A46="Operational",OR(B46="WSH",B46="FDRE")),Assumptions!$B$37,F46))</f>
        <v>3.43</v>
      </c>
      <c r="H46" s="37">
        <v>45463</v>
      </c>
      <c r="I46" s="42">
        <f>EDATE(H46,ROUND(Assumptions!$E$44,0))</f>
        <v>46924</v>
      </c>
      <c r="J46" s="40">
        <f>MAX(0,(YEAR(I46)-YEAR(Assumptions!$B$74))*12+(MONTH(I46)-MONTH(Assumptions!$B$74)))</f>
        <v>26</v>
      </c>
      <c r="K46" s="12">
        <f>IF(B46="Solar",Assumptions!$B$34,IF(B46="Wind",Assumptions!$B$35,IF(B46="WSH",Assumptions!$E$40,Assumptions!$E$41)))</f>
        <v>0.4</v>
      </c>
      <c r="L46" s="41">
        <f t="shared" si="0"/>
        <v>0</v>
      </c>
      <c r="M46" s="11">
        <f t="shared" si="1"/>
        <v>0</v>
      </c>
      <c r="N46" s="41">
        <f t="shared" si="2"/>
        <v>0</v>
      </c>
      <c r="O46" s="11">
        <f t="shared" si="3"/>
        <v>0</v>
      </c>
      <c r="P46" s="41">
        <f t="shared" si="4"/>
        <v>10</v>
      </c>
      <c r="Q46" s="11">
        <f t="shared" si="5"/>
        <v>180.2808</v>
      </c>
      <c r="R46" s="41">
        <f t="shared" si="6"/>
        <v>12</v>
      </c>
      <c r="S46" s="11">
        <f t="shared" si="7"/>
        <v>216.33696</v>
      </c>
      <c r="T46" s="41">
        <f t="shared" si="8"/>
        <v>12</v>
      </c>
      <c r="U46" s="11">
        <f t="shared" si="9"/>
        <v>216.33696</v>
      </c>
    </row>
    <row r="47" spans="1:21" ht="15" customHeight="1" x14ac:dyDescent="0.25">
      <c r="A47" s="1" t="s">
        <v>162</v>
      </c>
      <c r="B47" s="1" t="s">
        <v>140</v>
      </c>
      <c r="C47" s="1" t="s">
        <v>168</v>
      </c>
      <c r="D47" s="1" t="s">
        <v>155</v>
      </c>
      <c r="E47" s="26">
        <v>180</v>
      </c>
      <c r="F47" s="26">
        <v>3.43</v>
      </c>
      <c r="G47" s="15">
        <f>IF(D47="Merchant",Assumptions!$E$49,IF(AND(A47="Operational",OR(B47="WSH",B47="FDRE")),Assumptions!$B$37,F47))</f>
        <v>3.43</v>
      </c>
      <c r="H47" s="37">
        <v>45427</v>
      </c>
      <c r="I47" s="42">
        <f>EDATE(H47,ROUND(Assumptions!$E$44,0))</f>
        <v>46888</v>
      </c>
      <c r="J47" s="40">
        <f>MAX(0,(YEAR(I47)-YEAR(Assumptions!$B$74))*12+(MONTH(I47)-MONTH(Assumptions!$B$74)))</f>
        <v>25</v>
      </c>
      <c r="K47" s="12">
        <f>IF(B47="Solar",Assumptions!$B$34,IF(B47="Wind",Assumptions!$B$35,IF(B47="WSH",Assumptions!$E$40,Assumptions!$E$41)))</f>
        <v>0.4</v>
      </c>
      <c r="L47" s="41">
        <f t="shared" si="0"/>
        <v>0</v>
      </c>
      <c r="M47" s="11">
        <f t="shared" si="1"/>
        <v>0</v>
      </c>
      <c r="N47" s="41">
        <f t="shared" si="2"/>
        <v>0</v>
      </c>
      <c r="O47" s="11">
        <f t="shared" si="3"/>
        <v>0</v>
      </c>
      <c r="P47" s="41">
        <f t="shared" si="4"/>
        <v>11</v>
      </c>
      <c r="Q47" s="11">
        <f t="shared" si="5"/>
        <v>198.30887999999999</v>
      </c>
      <c r="R47" s="41">
        <f t="shared" si="6"/>
        <v>12</v>
      </c>
      <c r="S47" s="11">
        <f t="shared" si="7"/>
        <v>216.33696</v>
      </c>
      <c r="T47" s="41">
        <f t="shared" si="8"/>
        <v>12</v>
      </c>
      <c r="U47" s="11">
        <f t="shared" si="9"/>
        <v>216.33696</v>
      </c>
    </row>
    <row r="48" spans="1:21" ht="15" customHeight="1" x14ac:dyDescent="0.25">
      <c r="A48" s="1" t="s">
        <v>162</v>
      </c>
      <c r="B48" s="1" t="s">
        <v>140</v>
      </c>
      <c r="C48" s="1" t="s">
        <v>169</v>
      </c>
      <c r="D48" s="1" t="s">
        <v>155</v>
      </c>
      <c r="E48" s="26">
        <v>180</v>
      </c>
      <c r="F48" s="26">
        <v>3.43</v>
      </c>
      <c r="G48" s="15">
        <f>IF(D48="Merchant",Assumptions!$E$49,IF(AND(A48="Operational",OR(B48="WSH",B48="FDRE")),Assumptions!$B$37,F48))</f>
        <v>3.43</v>
      </c>
      <c r="H48" s="37">
        <v>45526</v>
      </c>
      <c r="I48" s="42">
        <f>EDATE(H48,ROUND(Assumptions!$E$44,0))</f>
        <v>46987</v>
      </c>
      <c r="J48" s="40">
        <f>MAX(0,(YEAR(I48)-YEAR(Assumptions!$B$74))*12+(MONTH(I48)-MONTH(Assumptions!$B$74)))</f>
        <v>28</v>
      </c>
      <c r="K48" s="12">
        <f>IF(B48="Solar",Assumptions!$B$34,IF(B48="Wind",Assumptions!$B$35,IF(B48="WSH",Assumptions!$E$40,Assumptions!$E$41)))</f>
        <v>0.4</v>
      </c>
      <c r="L48" s="41">
        <f t="shared" si="0"/>
        <v>0</v>
      </c>
      <c r="M48" s="11">
        <f t="shared" si="1"/>
        <v>0</v>
      </c>
      <c r="N48" s="41">
        <f t="shared" si="2"/>
        <v>0</v>
      </c>
      <c r="O48" s="11">
        <f t="shared" si="3"/>
        <v>0</v>
      </c>
      <c r="P48" s="41">
        <f t="shared" si="4"/>
        <v>8</v>
      </c>
      <c r="Q48" s="11">
        <f t="shared" si="5"/>
        <v>144.22463999999999</v>
      </c>
      <c r="R48" s="41">
        <f t="shared" si="6"/>
        <v>12</v>
      </c>
      <c r="S48" s="11">
        <f t="shared" si="7"/>
        <v>216.33696</v>
      </c>
      <c r="T48" s="41">
        <f t="shared" si="8"/>
        <v>12</v>
      </c>
      <c r="U48" s="11">
        <f t="shared" si="9"/>
        <v>216.33696</v>
      </c>
    </row>
    <row r="49" spans="1:21" ht="15" customHeight="1" x14ac:dyDescent="0.25">
      <c r="A49" s="1" t="s">
        <v>162</v>
      </c>
      <c r="B49" s="1" t="s">
        <v>140</v>
      </c>
      <c r="C49" s="1" t="s">
        <v>170</v>
      </c>
      <c r="D49" s="1" t="s">
        <v>147</v>
      </c>
      <c r="E49" s="26">
        <v>180</v>
      </c>
      <c r="F49" s="26">
        <v>3.41</v>
      </c>
      <c r="G49" s="15">
        <f>IF(D49="Merchant",Assumptions!$E$49,IF(AND(A49="Operational",OR(B49="WSH",B49="FDRE")),Assumptions!$B$37,F49))</f>
        <v>3.41</v>
      </c>
      <c r="H49" s="37">
        <v>45469</v>
      </c>
      <c r="I49" s="42">
        <f>EDATE(H49,ROUND(Assumptions!$E$44,0))</f>
        <v>46930</v>
      </c>
      <c r="J49" s="40">
        <f>MAX(0,(YEAR(I49)-YEAR(Assumptions!$B$74))*12+(MONTH(I49)-MONTH(Assumptions!$B$74)))</f>
        <v>26</v>
      </c>
      <c r="K49" s="12">
        <f>IF(B49="Solar",Assumptions!$B$34,IF(B49="Wind",Assumptions!$B$35,IF(B49="WSH",Assumptions!$E$40,Assumptions!$E$41)))</f>
        <v>0.4</v>
      </c>
      <c r="L49" s="41">
        <f t="shared" si="0"/>
        <v>0</v>
      </c>
      <c r="M49" s="11">
        <f t="shared" si="1"/>
        <v>0</v>
      </c>
      <c r="N49" s="41">
        <f t="shared" si="2"/>
        <v>0</v>
      </c>
      <c r="O49" s="11">
        <f t="shared" si="3"/>
        <v>0</v>
      </c>
      <c r="P49" s="41">
        <f t="shared" si="4"/>
        <v>10</v>
      </c>
      <c r="Q49" s="11">
        <f t="shared" si="5"/>
        <v>179.2296</v>
      </c>
      <c r="R49" s="41">
        <f t="shared" si="6"/>
        <v>12</v>
      </c>
      <c r="S49" s="11">
        <f t="shared" si="7"/>
        <v>215.07552000000001</v>
      </c>
      <c r="T49" s="41">
        <f t="shared" si="8"/>
        <v>12</v>
      </c>
      <c r="U49" s="11">
        <f t="shared" si="9"/>
        <v>215.07552000000001</v>
      </c>
    </row>
    <row r="50" spans="1:21" ht="15" customHeight="1" x14ac:dyDescent="0.25">
      <c r="A50" s="1" t="s">
        <v>162</v>
      </c>
      <c r="B50" s="1" t="s">
        <v>145</v>
      </c>
      <c r="C50" s="1" t="s">
        <v>171</v>
      </c>
      <c r="D50" s="1" t="s">
        <v>158</v>
      </c>
      <c r="E50" s="26">
        <v>400</v>
      </c>
      <c r="F50" s="26">
        <v>4.5599999999999996</v>
      </c>
      <c r="G50" s="15">
        <f>IF(D50="Merchant",Assumptions!$E$49,IF(AND(A50="Operational",OR(B50="WSH",B50="FDRE")),Assumptions!$B$37,F50))</f>
        <v>4.5599999999999996</v>
      </c>
      <c r="H50" s="37">
        <v>45687</v>
      </c>
      <c r="I50" s="42">
        <f>EDATE(H50,ROUND(Assumptions!$E$45,0))</f>
        <v>47329</v>
      </c>
      <c r="J50" s="40">
        <f>MAX(0,(YEAR(I50)-YEAR(Assumptions!$B$74))*12+(MONTH(I50)-MONTH(Assumptions!$B$74)))</f>
        <v>39</v>
      </c>
      <c r="K50" s="12">
        <f>IF(B50="Solar",Assumptions!$B$34,IF(B50="Wind",Assumptions!$B$35,IF(B50="WSH",Assumptions!$E$40,Assumptions!$E$41)))</f>
        <v>0.5</v>
      </c>
      <c r="L50" s="41">
        <f t="shared" si="0"/>
        <v>0</v>
      </c>
      <c r="M50" s="11">
        <f t="shared" si="1"/>
        <v>0</v>
      </c>
      <c r="N50" s="41">
        <f t="shared" si="2"/>
        <v>0</v>
      </c>
      <c r="O50" s="11">
        <f t="shared" si="3"/>
        <v>0</v>
      </c>
      <c r="P50" s="41">
        <f t="shared" si="4"/>
        <v>0</v>
      </c>
      <c r="Q50" s="11">
        <f t="shared" si="5"/>
        <v>0</v>
      </c>
      <c r="R50" s="41">
        <f t="shared" si="6"/>
        <v>9</v>
      </c>
      <c r="S50" s="11">
        <f t="shared" si="7"/>
        <v>599.18399999999986</v>
      </c>
      <c r="T50" s="41">
        <f t="shared" si="8"/>
        <v>12</v>
      </c>
      <c r="U50" s="11">
        <f t="shared" si="9"/>
        <v>798.91199999999992</v>
      </c>
    </row>
    <row r="51" spans="1:21" ht="15" customHeight="1" x14ac:dyDescent="0.25">
      <c r="A51" s="1" t="s">
        <v>162</v>
      </c>
      <c r="B51" s="1" t="s">
        <v>145</v>
      </c>
      <c r="C51" s="1" t="s">
        <v>172</v>
      </c>
      <c r="D51" s="1" t="s">
        <v>158</v>
      </c>
      <c r="E51" s="26">
        <v>500</v>
      </c>
      <c r="F51" s="26">
        <v>4.4800000000000004</v>
      </c>
      <c r="G51" s="15">
        <f>IF(D51="Merchant",Assumptions!$E$49,IF(AND(A51="Operational",OR(B51="WSH",B51="FDRE")),Assumptions!$B$37,F51))</f>
        <v>4.4800000000000004</v>
      </c>
      <c r="H51" s="37">
        <v>45687</v>
      </c>
      <c r="I51" s="42">
        <f>EDATE(H51,ROUND(Assumptions!$E$45,0))</f>
        <v>47329</v>
      </c>
      <c r="J51" s="40">
        <f>MAX(0,(YEAR(I51)-YEAR(Assumptions!$B$74))*12+(MONTH(I51)-MONTH(Assumptions!$B$74)))</f>
        <v>39</v>
      </c>
      <c r="K51" s="12">
        <f>IF(B51="Solar",Assumptions!$B$34,IF(B51="Wind",Assumptions!$B$35,IF(B51="WSH",Assumptions!$E$40,Assumptions!$E$41)))</f>
        <v>0.5</v>
      </c>
      <c r="L51" s="41">
        <f t="shared" si="0"/>
        <v>0</v>
      </c>
      <c r="M51" s="11">
        <f t="shared" si="1"/>
        <v>0</v>
      </c>
      <c r="N51" s="41">
        <f t="shared" si="2"/>
        <v>0</v>
      </c>
      <c r="O51" s="11">
        <f t="shared" si="3"/>
        <v>0</v>
      </c>
      <c r="P51" s="41">
        <f t="shared" si="4"/>
        <v>0</v>
      </c>
      <c r="Q51" s="11">
        <f t="shared" si="5"/>
        <v>0</v>
      </c>
      <c r="R51" s="41">
        <f t="shared" si="6"/>
        <v>9</v>
      </c>
      <c r="S51" s="11">
        <f t="shared" si="7"/>
        <v>735.84</v>
      </c>
      <c r="T51" s="41">
        <f t="shared" si="8"/>
        <v>12</v>
      </c>
      <c r="U51" s="11">
        <f t="shared" si="9"/>
        <v>981.12</v>
      </c>
    </row>
    <row r="52" spans="1:21" ht="15" customHeight="1" x14ac:dyDescent="0.25">
      <c r="A52" s="1" t="s">
        <v>162</v>
      </c>
      <c r="B52" s="1" t="s">
        <v>145</v>
      </c>
      <c r="C52" s="1" t="s">
        <v>173</v>
      </c>
      <c r="D52" s="1" t="s">
        <v>147</v>
      </c>
      <c r="E52" s="26">
        <v>360</v>
      </c>
      <c r="F52" s="26">
        <v>4.25</v>
      </c>
      <c r="G52" s="15">
        <f>IF(D52="Merchant",Assumptions!$E$49,IF(AND(A52="Operational",OR(B52="WSH",B52="FDRE")),Assumptions!$B$37,F52))</f>
        <v>4.25</v>
      </c>
      <c r="H52" s="37">
        <v>45691</v>
      </c>
      <c r="I52" s="42">
        <f>EDATE(H52,ROUND(Assumptions!$E$45,0))</f>
        <v>47333</v>
      </c>
      <c r="J52" s="40">
        <f>MAX(0,(YEAR(I52)-YEAR(Assumptions!$B$74))*12+(MONTH(I52)-MONTH(Assumptions!$B$74)))</f>
        <v>40</v>
      </c>
      <c r="K52" s="12">
        <f>IF(B52="Solar",Assumptions!$B$34,IF(B52="Wind",Assumptions!$B$35,IF(B52="WSH",Assumptions!$E$40,Assumptions!$E$41)))</f>
        <v>0.5</v>
      </c>
      <c r="L52" s="41">
        <f t="shared" si="0"/>
        <v>0</v>
      </c>
      <c r="M52" s="11">
        <f t="shared" si="1"/>
        <v>0</v>
      </c>
      <c r="N52" s="41">
        <f t="shared" si="2"/>
        <v>0</v>
      </c>
      <c r="O52" s="11">
        <f t="shared" si="3"/>
        <v>0</v>
      </c>
      <c r="P52" s="41">
        <f t="shared" si="4"/>
        <v>0</v>
      </c>
      <c r="Q52" s="11">
        <f t="shared" si="5"/>
        <v>0</v>
      </c>
      <c r="R52" s="41">
        <f t="shared" si="6"/>
        <v>8</v>
      </c>
      <c r="S52" s="11">
        <f t="shared" si="7"/>
        <v>446.76</v>
      </c>
      <c r="T52" s="41">
        <f t="shared" si="8"/>
        <v>12</v>
      </c>
      <c r="U52" s="11">
        <f t="shared" si="9"/>
        <v>670.14</v>
      </c>
    </row>
    <row r="54" spans="1:21" ht="15" customHeight="1" x14ac:dyDescent="0.25">
      <c r="C54" s="2" t="s">
        <v>174</v>
      </c>
      <c r="M54" s="43">
        <f>SUM(M5:M52)</f>
        <v>2437.5935207887997</v>
      </c>
      <c r="O54" s="43">
        <f>SUM(O5:O52)</f>
        <v>5937.110751388801</v>
      </c>
      <c r="Q54" s="43">
        <f>SUM(Q5:Q52)</f>
        <v>8038.7307609887994</v>
      </c>
      <c r="S54" s="43">
        <f>SUM(S5:S52)</f>
        <v>10353.3154809888</v>
      </c>
      <c r="U54" s="43">
        <f>SUM(U5:U52)</f>
        <v>11021.703480988801</v>
      </c>
    </row>
    <row r="56" spans="1:21" ht="15" customHeight="1" x14ac:dyDescent="0.25">
      <c r="C56" s="2" t="s">
        <v>175</v>
      </c>
      <c r="M56" s="44">
        <f>SUMIF($J$5:$J$52,"&lt;12",$E$5:$E$52)</f>
        <v>3328.2000000000003</v>
      </c>
      <c r="O56" s="44">
        <f>SUMIF($J$5:$J$52,"&lt;24",$E$5:$E$52)</f>
        <v>5030.2</v>
      </c>
      <c r="Q56" s="44">
        <f>SUMIF($J$5:$J$52,"&lt;36",$E$5:$E$52)</f>
        <v>6650.2</v>
      </c>
      <c r="S56" s="44">
        <f>SUMIF($J$5:$J$52,"&lt;48",$E$5:$E$52)</f>
        <v>7910.2</v>
      </c>
      <c r="U56" s="44">
        <f>SUMIF($J$5:$J$52,"&lt;60",$E$5:$E$52)</f>
        <v>7910.2</v>
      </c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showGridLines="0" zoomScale="70" zoomScaleNormal="70" workbookViewId="0">
      <pane xSplit="2" ySplit="4" topLeftCell="C14" activePane="bottomRight" state="frozen"/>
      <selection pane="topRight" activeCell="C1" sqref="C1"/>
      <selection pane="bottomLeft" activeCell="A11" sqref="A11"/>
      <selection pane="bottomRight" activeCell="L21" sqref="L21"/>
    </sheetView>
  </sheetViews>
  <sheetFormatPr defaultColWidth="8.5703125" defaultRowHeight="15" x14ac:dyDescent="0.25"/>
  <cols>
    <col min="1" max="1" width="10" style="1" customWidth="1"/>
    <col min="2" max="2" width="9" style="1" customWidth="1"/>
    <col min="3" max="3" width="42" style="1" customWidth="1"/>
    <col min="4" max="4" width="11" style="1" customWidth="1"/>
    <col min="5" max="5" width="13" style="1" customWidth="1"/>
    <col min="6" max="6" width="15" style="1" customWidth="1"/>
    <col min="7" max="7" width="14.85546875" style="1" bestFit="1" customWidth="1"/>
    <col min="8" max="8" width="14" style="1" customWidth="1"/>
    <col min="9" max="10" width="10" style="1" customWidth="1"/>
    <col min="11" max="11" width="9" style="1" customWidth="1"/>
    <col min="12" max="18" width="13" style="1" customWidth="1"/>
  </cols>
  <sheetData>
    <row r="1" spans="1:18" ht="17.25" customHeight="1" x14ac:dyDescent="0.25">
      <c r="A1" s="63" t="s">
        <v>176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2" spans="1:18" ht="15" customHeight="1" x14ac:dyDescent="0.25">
      <c r="A2" s="64" t="s">
        <v>177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</row>
    <row r="4" spans="1:18" ht="30" customHeight="1" x14ac:dyDescent="0.25">
      <c r="A4" s="39" t="s">
        <v>103</v>
      </c>
      <c r="B4" s="39" t="s">
        <v>104</v>
      </c>
      <c r="C4" s="39" t="s">
        <v>105</v>
      </c>
      <c r="D4" s="39" t="s">
        <v>178</v>
      </c>
      <c r="E4" s="39" t="s">
        <v>179</v>
      </c>
      <c r="F4" s="39" t="s">
        <v>180</v>
      </c>
      <c r="G4" s="39" t="s">
        <v>181</v>
      </c>
      <c r="H4" s="39" t="s">
        <v>111</v>
      </c>
      <c r="I4" s="39" t="s">
        <v>182</v>
      </c>
      <c r="J4" s="39" t="s">
        <v>112</v>
      </c>
      <c r="K4" s="39" t="s">
        <v>183</v>
      </c>
      <c r="L4" s="39" t="s">
        <v>184</v>
      </c>
      <c r="M4" s="39" t="s">
        <v>185</v>
      </c>
      <c r="N4" s="39" t="s">
        <v>186</v>
      </c>
      <c r="O4" s="39" t="s">
        <v>187</v>
      </c>
      <c r="P4" s="39" t="s">
        <v>188</v>
      </c>
      <c r="Q4" s="39" t="s">
        <v>189</v>
      </c>
      <c r="R4" s="39" t="s">
        <v>190</v>
      </c>
    </row>
    <row r="5" spans="1:18" ht="15" customHeight="1" x14ac:dyDescent="0.25">
      <c r="A5" s="1" t="s">
        <v>148</v>
      </c>
      <c r="B5" s="1" t="s">
        <v>125</v>
      </c>
      <c r="C5" s="1" t="s">
        <v>149</v>
      </c>
      <c r="D5" s="26">
        <v>20</v>
      </c>
      <c r="E5" s="15">
        <f>Assumptions!$B$52</f>
        <v>8.6126980594004312</v>
      </c>
      <c r="F5" s="11">
        <f t="shared" ref="F5:F34" si="0">D5*E5</f>
        <v>172.25396118800862</v>
      </c>
      <c r="G5" s="37">
        <v>45292</v>
      </c>
      <c r="H5" s="45">
        <f>'Revenue Model'!I23</f>
        <v>46192</v>
      </c>
      <c r="I5" s="40">
        <f>MAX(0,(YEAR(G5)-YEAR(Assumptions!$B$74))*12+(MONTH(G5)-MONTH(Assumptions!$B$74)))</f>
        <v>0</v>
      </c>
      <c r="J5" s="40">
        <f>'Revenue Model'!J23</f>
        <v>2</v>
      </c>
      <c r="K5" s="46">
        <f t="shared" ref="K5:K34" si="1">MAX(1,MAX($J5,$I5+1)-$I5)</f>
        <v>2</v>
      </c>
      <c r="L5" s="11">
        <f t="shared" ref="L5:L34" si="2">MAX(0,MIN(12,MAX($J5,$I5+1))-MAX(0,$I5))/$K5*$R5</f>
        <v>62.568470473673244</v>
      </c>
      <c r="M5" s="11">
        <f t="shared" ref="M5:M34" si="3">MAX(0,MIN(24,MAX($J5,$I5+1))-MAX(12,$I5))/$K5*$R5</f>
        <v>0</v>
      </c>
      <c r="N5" s="11">
        <f t="shared" ref="N5:N34" si="4">MAX(0,MIN(36,MAX($J5,$I5+1))-MAX(24,$I5))/$K5*$R5</f>
        <v>0</v>
      </c>
      <c r="O5" s="11">
        <f t="shared" ref="O5:O34" si="5">MAX(0,MIN(48,MAX($J5,$I5+1))-MAX(36,$I5))/$K5*$R5</f>
        <v>0</v>
      </c>
      <c r="P5" s="11">
        <f t="shared" ref="P5:P34" si="6">MAX(0,MIN(60,MAX($J5,$I5+1))-MAX(48,$I5))/$K5*$R5</f>
        <v>0</v>
      </c>
      <c r="Q5" s="1" t="str">
        <f t="shared" ref="Q5:Q34" si="7">IF(AND($J5&gt;=0,$J5&lt;12),"FY27",IF($J5&lt;24,"FY28",IF($J5&lt;36,"FY29",IF($J5&lt;48,"FY30",IF($J5&lt;60,"FY31","Beyond")))))</f>
        <v>FY27</v>
      </c>
      <c r="R5" s="11">
        <f>IF(A5="UCC",F5*Assumptions!$B$54,F5)</f>
        <v>62.568470473673244</v>
      </c>
    </row>
    <row r="6" spans="1:18" ht="15" customHeight="1" x14ac:dyDescent="0.25">
      <c r="A6" s="1" t="s">
        <v>148</v>
      </c>
      <c r="B6" s="1" t="s">
        <v>137</v>
      </c>
      <c r="C6" s="1" t="s">
        <v>139</v>
      </c>
      <c r="D6" s="26">
        <v>70</v>
      </c>
      <c r="E6" s="15">
        <f>Assumptions!$B$52</f>
        <v>8.6126980594004312</v>
      </c>
      <c r="F6" s="11">
        <f t="shared" si="0"/>
        <v>602.88886415803017</v>
      </c>
      <c r="G6" s="37">
        <v>45463</v>
      </c>
      <c r="H6" s="45">
        <f>'Revenue Model'!I24</f>
        <v>46192</v>
      </c>
      <c r="I6" s="40">
        <f>MAX(0,(YEAR(G6)-YEAR(Assumptions!$B$74))*12+(MONTH(G6)-MONTH(Assumptions!$B$74)))</f>
        <v>0</v>
      </c>
      <c r="J6" s="40">
        <f>'Revenue Model'!J24</f>
        <v>2</v>
      </c>
      <c r="K6" s="46">
        <f t="shared" si="1"/>
        <v>2</v>
      </c>
      <c r="L6" s="11">
        <f t="shared" si="2"/>
        <v>218.98964665785635</v>
      </c>
      <c r="M6" s="11">
        <f t="shared" si="3"/>
        <v>0</v>
      </c>
      <c r="N6" s="11">
        <f t="shared" si="4"/>
        <v>0</v>
      </c>
      <c r="O6" s="11">
        <f t="shared" si="5"/>
        <v>0</v>
      </c>
      <c r="P6" s="11">
        <f t="shared" si="6"/>
        <v>0</v>
      </c>
      <c r="Q6" s="1" t="str">
        <f t="shared" si="7"/>
        <v>FY27</v>
      </c>
      <c r="R6" s="11">
        <f>IF(A6="UCC",F6*Assumptions!$B$54,F6)</f>
        <v>218.98964665785635</v>
      </c>
    </row>
    <row r="7" spans="1:18" ht="15" customHeight="1" x14ac:dyDescent="0.25">
      <c r="A7" s="1" t="s">
        <v>148</v>
      </c>
      <c r="B7" s="1" t="s">
        <v>137</v>
      </c>
      <c r="C7" s="1" t="s">
        <v>150</v>
      </c>
      <c r="D7" s="26">
        <v>100</v>
      </c>
      <c r="E7" s="15">
        <f>Assumptions!$B$52</f>
        <v>8.6126980594004312</v>
      </c>
      <c r="F7" s="11">
        <f t="shared" si="0"/>
        <v>861.26980594004317</v>
      </c>
      <c r="G7" s="37">
        <v>45856</v>
      </c>
      <c r="H7" s="45">
        <f>'Revenue Model'!I25</f>
        <v>46585</v>
      </c>
      <c r="I7" s="40">
        <f>MAX(0,(YEAR(G7)-YEAR(Assumptions!$B$74))*12+(MONTH(G7)-MONTH(Assumptions!$B$74)))</f>
        <v>0</v>
      </c>
      <c r="J7" s="40">
        <f>'Revenue Model'!J25</f>
        <v>15</v>
      </c>
      <c r="K7" s="46">
        <f t="shared" si="1"/>
        <v>15</v>
      </c>
      <c r="L7" s="11">
        <f t="shared" si="2"/>
        <v>250.27388189469298</v>
      </c>
      <c r="M7" s="11">
        <f t="shared" si="3"/>
        <v>62.568470473673244</v>
      </c>
      <c r="N7" s="11">
        <f t="shared" si="4"/>
        <v>0</v>
      </c>
      <c r="O7" s="11">
        <f t="shared" si="5"/>
        <v>0</v>
      </c>
      <c r="P7" s="11">
        <f t="shared" si="6"/>
        <v>0</v>
      </c>
      <c r="Q7" s="1" t="str">
        <f t="shared" si="7"/>
        <v>FY28</v>
      </c>
      <c r="R7" s="11">
        <f>IF(A7="UCC",F7*Assumptions!$B$54,F7)</f>
        <v>312.84235236836622</v>
      </c>
    </row>
    <row r="8" spans="1:18" ht="15" customHeight="1" x14ac:dyDescent="0.25">
      <c r="A8" s="1" t="s">
        <v>148</v>
      </c>
      <c r="B8" s="1" t="s">
        <v>137</v>
      </c>
      <c r="C8" s="1" t="s">
        <v>151</v>
      </c>
      <c r="D8" s="26">
        <v>50</v>
      </c>
      <c r="E8" s="15">
        <f>Assumptions!$B$52</f>
        <v>8.6126980594004312</v>
      </c>
      <c r="F8" s="11">
        <f t="shared" si="0"/>
        <v>430.63490297002159</v>
      </c>
      <c r="G8" s="37">
        <v>45852</v>
      </c>
      <c r="H8" s="45">
        <f>'Revenue Model'!I26</f>
        <v>46697</v>
      </c>
      <c r="I8" s="40">
        <f>MAX(0,(YEAR(G8)-YEAR(Assumptions!$B$74))*12+(MONTH(G8)-MONTH(Assumptions!$B$74)))</f>
        <v>0</v>
      </c>
      <c r="J8" s="40">
        <f>'Revenue Model'!J26</f>
        <v>19</v>
      </c>
      <c r="K8" s="46">
        <f t="shared" si="1"/>
        <v>19</v>
      </c>
      <c r="L8" s="11">
        <f t="shared" si="2"/>
        <v>98.792321800536698</v>
      </c>
      <c r="M8" s="11">
        <f t="shared" si="3"/>
        <v>57.628854383646406</v>
      </c>
      <c r="N8" s="11">
        <f t="shared" si="4"/>
        <v>0</v>
      </c>
      <c r="O8" s="11">
        <f t="shared" si="5"/>
        <v>0</v>
      </c>
      <c r="P8" s="11">
        <f t="shared" si="6"/>
        <v>0</v>
      </c>
      <c r="Q8" s="1" t="str">
        <f t="shared" si="7"/>
        <v>FY28</v>
      </c>
      <c r="R8" s="11">
        <f>IF(A8="UCC",F8*Assumptions!$B$54,F8)</f>
        <v>156.42117618418311</v>
      </c>
    </row>
    <row r="9" spans="1:18" ht="15" customHeight="1" x14ac:dyDescent="0.25">
      <c r="A9" s="1" t="s">
        <v>148</v>
      </c>
      <c r="B9" s="1" t="s">
        <v>140</v>
      </c>
      <c r="C9" s="1" t="s">
        <v>152</v>
      </c>
      <c r="D9" s="26">
        <v>75</v>
      </c>
      <c r="E9" s="15">
        <f>Assumptions!$B$52</f>
        <v>8.6126980594004312</v>
      </c>
      <c r="F9" s="11">
        <f t="shared" si="0"/>
        <v>645.95235445503238</v>
      </c>
      <c r="G9" s="37">
        <v>45380</v>
      </c>
      <c r="H9" s="45">
        <f>'Revenue Model'!I27</f>
        <v>46134</v>
      </c>
      <c r="I9" s="40">
        <f>MAX(0,(YEAR(G9)-YEAR(Assumptions!$B$74))*12+(MONTH(G9)-MONTH(Assumptions!$B$74)))</f>
        <v>0</v>
      </c>
      <c r="J9" s="40">
        <f>'Revenue Model'!J27</f>
        <v>0</v>
      </c>
      <c r="K9" s="46">
        <f t="shared" si="1"/>
        <v>1</v>
      </c>
      <c r="L9" s="11">
        <f t="shared" si="2"/>
        <v>234.63176427627468</v>
      </c>
      <c r="M9" s="11">
        <f t="shared" si="3"/>
        <v>0</v>
      </c>
      <c r="N9" s="11">
        <f t="shared" si="4"/>
        <v>0</v>
      </c>
      <c r="O9" s="11">
        <f t="shared" si="5"/>
        <v>0</v>
      </c>
      <c r="P9" s="11">
        <f t="shared" si="6"/>
        <v>0</v>
      </c>
      <c r="Q9" s="1" t="str">
        <f t="shared" si="7"/>
        <v>FY27</v>
      </c>
      <c r="R9" s="11">
        <f>IF(A9="UCC",F9*Assumptions!$B$54,F9)</f>
        <v>234.63176427627468</v>
      </c>
    </row>
    <row r="10" spans="1:18" ht="15" customHeight="1" x14ac:dyDescent="0.25">
      <c r="A10" s="1" t="s">
        <v>148</v>
      </c>
      <c r="B10" s="1" t="s">
        <v>140</v>
      </c>
      <c r="C10" s="1" t="s">
        <v>143</v>
      </c>
      <c r="D10" s="26">
        <v>50</v>
      </c>
      <c r="E10" s="15">
        <f>Assumptions!$B$52</f>
        <v>8.6126980594004312</v>
      </c>
      <c r="F10" s="11">
        <f t="shared" si="0"/>
        <v>430.63490297002159</v>
      </c>
      <c r="G10" s="37">
        <v>45477</v>
      </c>
      <c r="H10" s="45">
        <f>'Revenue Model'!I28</f>
        <v>46206</v>
      </c>
      <c r="I10" s="40">
        <f>MAX(0,(YEAR(G10)-YEAR(Assumptions!$B$74))*12+(MONTH(G10)-MONTH(Assumptions!$B$74)))</f>
        <v>0</v>
      </c>
      <c r="J10" s="40">
        <f>'Revenue Model'!J28</f>
        <v>3</v>
      </c>
      <c r="K10" s="46">
        <f t="shared" si="1"/>
        <v>3</v>
      </c>
      <c r="L10" s="11">
        <f t="shared" si="2"/>
        <v>156.42117618418311</v>
      </c>
      <c r="M10" s="11">
        <f t="shared" si="3"/>
        <v>0</v>
      </c>
      <c r="N10" s="11">
        <f t="shared" si="4"/>
        <v>0</v>
      </c>
      <c r="O10" s="11">
        <f t="shared" si="5"/>
        <v>0</v>
      </c>
      <c r="P10" s="11">
        <f t="shared" si="6"/>
        <v>0</v>
      </c>
      <c r="Q10" s="1" t="str">
        <f t="shared" si="7"/>
        <v>FY27</v>
      </c>
      <c r="R10" s="11">
        <f>IF(A10="UCC",F10*Assumptions!$B$54,F10)</f>
        <v>156.42117618418311</v>
      </c>
    </row>
    <row r="11" spans="1:18" ht="15" customHeight="1" x14ac:dyDescent="0.25">
      <c r="A11" s="1" t="s">
        <v>148</v>
      </c>
      <c r="B11" s="1" t="s">
        <v>140</v>
      </c>
      <c r="C11" s="1" t="s">
        <v>149</v>
      </c>
      <c r="D11" s="26">
        <v>185</v>
      </c>
      <c r="E11" s="15">
        <f>Assumptions!$B$52</f>
        <v>8.6126980594004312</v>
      </c>
      <c r="F11" s="11">
        <f t="shared" si="0"/>
        <v>1593.3491409890798</v>
      </c>
      <c r="G11" s="37">
        <v>45463</v>
      </c>
      <c r="H11" s="45">
        <f>'Revenue Model'!I29</f>
        <v>46396</v>
      </c>
      <c r="I11" s="40">
        <f>MAX(0,(YEAR(G11)-YEAR(Assumptions!$B$74))*12+(MONTH(G11)-MONTH(Assumptions!$B$74)))</f>
        <v>0</v>
      </c>
      <c r="J11" s="40">
        <f>'Revenue Model'!J29</f>
        <v>9</v>
      </c>
      <c r="K11" s="46">
        <f t="shared" si="1"/>
        <v>9</v>
      </c>
      <c r="L11" s="11">
        <f t="shared" si="2"/>
        <v>578.75835188147755</v>
      </c>
      <c r="M11" s="11">
        <f t="shared" si="3"/>
        <v>0</v>
      </c>
      <c r="N11" s="11">
        <f t="shared" si="4"/>
        <v>0</v>
      </c>
      <c r="O11" s="11">
        <f t="shared" si="5"/>
        <v>0</v>
      </c>
      <c r="P11" s="11">
        <f t="shared" si="6"/>
        <v>0</v>
      </c>
      <c r="Q11" s="1" t="str">
        <f t="shared" si="7"/>
        <v>FY27</v>
      </c>
      <c r="R11" s="11">
        <f>IF(A11="UCC",F11*Assumptions!$B$54,F11)</f>
        <v>578.75835188147755</v>
      </c>
    </row>
    <row r="12" spans="1:18" ht="15" customHeight="1" x14ac:dyDescent="0.25">
      <c r="A12" s="1" t="s">
        <v>148</v>
      </c>
      <c r="B12" s="1" t="s">
        <v>140</v>
      </c>
      <c r="C12" s="1" t="s">
        <v>149</v>
      </c>
      <c r="D12" s="26">
        <v>238.1</v>
      </c>
      <c r="E12" s="15">
        <f>Assumptions!$B$52</f>
        <v>8.6126980594004312</v>
      </c>
      <c r="F12" s="11">
        <f t="shared" si="0"/>
        <v>2050.6834079432424</v>
      </c>
      <c r="G12" s="37">
        <v>45472</v>
      </c>
      <c r="H12" s="45">
        <f>'Revenue Model'!I30</f>
        <v>46201</v>
      </c>
      <c r="I12" s="40">
        <f>MAX(0,(YEAR(G12)-YEAR(Assumptions!$B$74))*12+(MONTH(G12)-MONTH(Assumptions!$B$74)))</f>
        <v>0</v>
      </c>
      <c r="J12" s="40">
        <f>'Revenue Model'!J30</f>
        <v>2</v>
      </c>
      <c r="K12" s="46">
        <f t="shared" si="1"/>
        <v>2</v>
      </c>
      <c r="L12" s="11">
        <f t="shared" si="2"/>
        <v>744.87764098907985</v>
      </c>
      <c r="M12" s="11">
        <f t="shared" si="3"/>
        <v>0</v>
      </c>
      <c r="N12" s="11">
        <f t="shared" si="4"/>
        <v>0</v>
      </c>
      <c r="O12" s="11">
        <f t="shared" si="5"/>
        <v>0</v>
      </c>
      <c r="P12" s="11">
        <f t="shared" si="6"/>
        <v>0</v>
      </c>
      <c r="Q12" s="1" t="str">
        <f t="shared" si="7"/>
        <v>FY27</v>
      </c>
      <c r="R12" s="11">
        <f>IF(A12="UCC",F12*Assumptions!$B$54,F12)</f>
        <v>744.87764098907985</v>
      </c>
    </row>
    <row r="13" spans="1:18" ht="15" customHeight="1" x14ac:dyDescent="0.25">
      <c r="A13" s="1" t="s">
        <v>148</v>
      </c>
      <c r="B13" s="1" t="s">
        <v>140</v>
      </c>
      <c r="C13" s="1" t="s">
        <v>156</v>
      </c>
      <c r="D13" s="26">
        <v>127.8</v>
      </c>
      <c r="E13" s="15">
        <f>Assumptions!$B$52</f>
        <v>8.6126980594004312</v>
      </c>
      <c r="F13" s="11">
        <f t="shared" si="0"/>
        <v>1100.702811991375</v>
      </c>
      <c r="G13" s="37">
        <v>45614</v>
      </c>
      <c r="H13" s="45">
        <f>'Revenue Model'!I31</f>
        <v>46343</v>
      </c>
      <c r="I13" s="40">
        <f>MAX(0,(YEAR(G13)-YEAR(Assumptions!$B$74))*12+(MONTH(G13)-MONTH(Assumptions!$B$74)))</f>
        <v>0</v>
      </c>
      <c r="J13" s="40">
        <f>'Revenue Model'!J31</f>
        <v>7</v>
      </c>
      <c r="K13" s="46">
        <f t="shared" si="1"/>
        <v>7</v>
      </c>
      <c r="L13" s="11">
        <f t="shared" si="2"/>
        <v>399.812526326772</v>
      </c>
      <c r="M13" s="11">
        <f t="shared" si="3"/>
        <v>0</v>
      </c>
      <c r="N13" s="11">
        <f t="shared" si="4"/>
        <v>0</v>
      </c>
      <c r="O13" s="11">
        <f t="shared" si="5"/>
        <v>0</v>
      </c>
      <c r="P13" s="11">
        <f t="shared" si="6"/>
        <v>0</v>
      </c>
      <c r="Q13" s="1" t="str">
        <f t="shared" si="7"/>
        <v>FY27</v>
      </c>
      <c r="R13" s="11">
        <f>IF(A13="UCC",F13*Assumptions!$B$54,F13)</f>
        <v>399.812526326772</v>
      </c>
    </row>
    <row r="14" spans="1:18" ht="15" customHeight="1" x14ac:dyDescent="0.25">
      <c r="A14" s="1" t="s">
        <v>148</v>
      </c>
      <c r="B14" s="1" t="s">
        <v>140</v>
      </c>
      <c r="C14" s="1" t="s">
        <v>142</v>
      </c>
      <c r="D14" s="26">
        <v>25</v>
      </c>
      <c r="E14" s="15">
        <f>Assumptions!$B$52</f>
        <v>8.6126980594004312</v>
      </c>
      <c r="F14" s="11">
        <f t="shared" si="0"/>
        <v>215.31745148501079</v>
      </c>
      <c r="G14" s="37">
        <v>45614</v>
      </c>
      <c r="H14" s="45">
        <f>'Revenue Model'!I32</f>
        <v>46343</v>
      </c>
      <c r="I14" s="40">
        <f>MAX(0,(YEAR(G14)-YEAR(Assumptions!$B$74))*12+(MONTH(G14)-MONTH(Assumptions!$B$74)))</f>
        <v>0</v>
      </c>
      <c r="J14" s="40">
        <f>'Revenue Model'!J32</f>
        <v>7</v>
      </c>
      <c r="K14" s="46">
        <f t="shared" si="1"/>
        <v>7</v>
      </c>
      <c r="L14" s="11">
        <f t="shared" si="2"/>
        <v>78.210588092091555</v>
      </c>
      <c r="M14" s="11">
        <f t="shared" si="3"/>
        <v>0</v>
      </c>
      <c r="N14" s="11">
        <f t="shared" si="4"/>
        <v>0</v>
      </c>
      <c r="O14" s="11">
        <f t="shared" si="5"/>
        <v>0</v>
      </c>
      <c r="P14" s="11">
        <f t="shared" si="6"/>
        <v>0</v>
      </c>
      <c r="Q14" s="1" t="str">
        <f t="shared" si="7"/>
        <v>FY27</v>
      </c>
      <c r="R14" s="11">
        <f>IF(A14="UCC",F14*Assumptions!$B$54,F14)</f>
        <v>78.210588092091555</v>
      </c>
    </row>
    <row r="15" spans="1:18" ht="15" customHeight="1" x14ac:dyDescent="0.25">
      <c r="A15" s="1" t="s">
        <v>148</v>
      </c>
      <c r="B15" s="1" t="s">
        <v>140</v>
      </c>
      <c r="C15" s="1" t="s">
        <v>144</v>
      </c>
      <c r="D15" s="26">
        <v>90</v>
      </c>
      <c r="E15" s="15">
        <f>Assumptions!$B$52</f>
        <v>8.6126980594004312</v>
      </c>
      <c r="F15" s="11">
        <f t="shared" si="0"/>
        <v>775.14282534603876</v>
      </c>
      <c r="G15" s="37">
        <v>45575</v>
      </c>
      <c r="H15" s="45">
        <f>'Revenue Model'!I33</f>
        <v>46304</v>
      </c>
      <c r="I15" s="40">
        <f>MAX(0,(YEAR(G15)-YEAR(Assumptions!$B$74))*12+(MONTH(G15)-MONTH(Assumptions!$B$74)))</f>
        <v>0</v>
      </c>
      <c r="J15" s="40">
        <f>'Revenue Model'!J33</f>
        <v>6</v>
      </c>
      <c r="K15" s="46">
        <f t="shared" si="1"/>
        <v>6</v>
      </c>
      <c r="L15" s="11">
        <f t="shared" si="2"/>
        <v>281.55811713152957</v>
      </c>
      <c r="M15" s="11">
        <f t="shared" si="3"/>
        <v>0</v>
      </c>
      <c r="N15" s="11">
        <f t="shared" si="4"/>
        <v>0</v>
      </c>
      <c r="O15" s="11">
        <f t="shared" si="5"/>
        <v>0</v>
      </c>
      <c r="P15" s="11">
        <f t="shared" si="6"/>
        <v>0</v>
      </c>
      <c r="Q15" s="1" t="str">
        <f t="shared" si="7"/>
        <v>FY27</v>
      </c>
      <c r="R15" s="11">
        <f>IF(A15="UCC",F15*Assumptions!$B$54,F15)</f>
        <v>281.55811713152957</v>
      </c>
    </row>
    <row r="16" spans="1:18" ht="15" customHeight="1" x14ac:dyDescent="0.25">
      <c r="A16" s="1" t="s">
        <v>148</v>
      </c>
      <c r="B16" s="1" t="s">
        <v>145</v>
      </c>
      <c r="C16" s="1" t="s">
        <v>146</v>
      </c>
      <c r="D16" s="26">
        <v>209.7</v>
      </c>
      <c r="E16" s="15">
        <f>Assumptions!$B$52</f>
        <v>8.6126980594004312</v>
      </c>
      <c r="F16" s="11">
        <f t="shared" si="0"/>
        <v>1806.0827830562703</v>
      </c>
      <c r="G16" s="37">
        <v>45412</v>
      </c>
      <c r="H16" s="45">
        <f>'Revenue Model'!I34</f>
        <v>46356</v>
      </c>
      <c r="I16" s="40">
        <f>MAX(0,(YEAR(G16)-YEAR(Assumptions!$B$74))*12+(MONTH(G16)-MONTH(Assumptions!$B$74)))</f>
        <v>0</v>
      </c>
      <c r="J16" s="40">
        <f>'Revenue Model'!J34</f>
        <v>7</v>
      </c>
      <c r="K16" s="46">
        <f t="shared" si="1"/>
        <v>7</v>
      </c>
      <c r="L16" s="11">
        <f t="shared" si="2"/>
        <v>656.03041291646389</v>
      </c>
      <c r="M16" s="11">
        <f t="shared" si="3"/>
        <v>0</v>
      </c>
      <c r="N16" s="11">
        <f t="shared" si="4"/>
        <v>0</v>
      </c>
      <c r="O16" s="11">
        <f t="shared" si="5"/>
        <v>0</v>
      </c>
      <c r="P16" s="11">
        <f t="shared" si="6"/>
        <v>0</v>
      </c>
      <c r="Q16" s="1" t="str">
        <f t="shared" si="7"/>
        <v>FY27</v>
      </c>
      <c r="R16" s="11">
        <f>IF(A16="UCC",F16*Assumptions!$B$54,F16)</f>
        <v>656.03041291646389</v>
      </c>
    </row>
    <row r="17" spans="1:18" ht="15" customHeight="1" x14ac:dyDescent="0.25">
      <c r="A17" s="1" t="s">
        <v>148</v>
      </c>
      <c r="B17" s="1" t="s">
        <v>145</v>
      </c>
      <c r="C17" s="1" t="s">
        <v>146</v>
      </c>
      <c r="D17" s="26">
        <v>92.4</v>
      </c>
      <c r="E17" s="15">
        <f>Assumptions!$B$52</f>
        <v>8.6126980594004312</v>
      </c>
      <c r="F17" s="11">
        <f t="shared" si="0"/>
        <v>795.81330068859984</v>
      </c>
      <c r="G17" s="37">
        <v>45412</v>
      </c>
      <c r="H17" s="45">
        <f>'Revenue Model'!I35</f>
        <v>46356</v>
      </c>
      <c r="I17" s="40">
        <f>MAX(0,(YEAR(G17)-YEAR(Assumptions!$B$74))*12+(MONTH(G17)-MONTH(Assumptions!$B$74)))</f>
        <v>0</v>
      </c>
      <c r="J17" s="40">
        <f>'Revenue Model'!J35</f>
        <v>7</v>
      </c>
      <c r="K17" s="46">
        <f t="shared" si="1"/>
        <v>7</v>
      </c>
      <c r="L17" s="11">
        <f t="shared" si="2"/>
        <v>289.06633358837041</v>
      </c>
      <c r="M17" s="11">
        <f t="shared" si="3"/>
        <v>0</v>
      </c>
      <c r="N17" s="11">
        <f t="shared" si="4"/>
        <v>0</v>
      </c>
      <c r="O17" s="11">
        <f t="shared" si="5"/>
        <v>0</v>
      </c>
      <c r="P17" s="11">
        <f t="shared" si="6"/>
        <v>0</v>
      </c>
      <c r="Q17" s="1" t="str">
        <f t="shared" si="7"/>
        <v>FY27</v>
      </c>
      <c r="R17" s="11">
        <f>IF(A17="UCC",F17*Assumptions!$B$54,F17)</f>
        <v>289.06633358837041</v>
      </c>
    </row>
    <row r="18" spans="1:18" ht="15" customHeight="1" x14ac:dyDescent="0.25">
      <c r="A18" s="1" t="s">
        <v>148</v>
      </c>
      <c r="B18" s="1" t="s">
        <v>145</v>
      </c>
      <c r="C18" s="1" t="s">
        <v>157</v>
      </c>
      <c r="D18" s="26">
        <v>350.4</v>
      </c>
      <c r="E18" s="15">
        <f>Assumptions!$B$52</f>
        <v>8.6126980594004312</v>
      </c>
      <c r="F18" s="11">
        <f t="shared" si="0"/>
        <v>3017.8894000139107</v>
      </c>
      <c r="G18" s="37">
        <v>45650</v>
      </c>
      <c r="H18" s="45">
        <f>'Revenue Model'!I36</f>
        <v>46443</v>
      </c>
      <c r="I18" s="40">
        <f>MAX(0,(YEAR(G18)-YEAR(Assumptions!$B$74))*12+(MONTH(G18)-MONTH(Assumptions!$B$74)))</f>
        <v>0</v>
      </c>
      <c r="J18" s="40">
        <f>'Revenue Model'!J36</f>
        <v>10</v>
      </c>
      <c r="K18" s="46">
        <f t="shared" si="1"/>
        <v>10</v>
      </c>
      <c r="L18" s="11">
        <f t="shared" si="2"/>
        <v>1096.1996026987551</v>
      </c>
      <c r="M18" s="11">
        <f t="shared" si="3"/>
        <v>0</v>
      </c>
      <c r="N18" s="11">
        <f t="shared" si="4"/>
        <v>0</v>
      </c>
      <c r="O18" s="11">
        <f t="shared" si="5"/>
        <v>0</v>
      </c>
      <c r="P18" s="11">
        <f t="shared" si="6"/>
        <v>0</v>
      </c>
      <c r="Q18" s="1" t="str">
        <f t="shared" si="7"/>
        <v>FY27</v>
      </c>
      <c r="R18" s="11">
        <f>IF(A18="UCC",F18*Assumptions!$B$54,F18)</f>
        <v>1096.1996026987551</v>
      </c>
    </row>
    <row r="19" spans="1:18" ht="15" customHeight="1" x14ac:dyDescent="0.25">
      <c r="A19" s="1" t="s">
        <v>148</v>
      </c>
      <c r="B19" s="1" t="s">
        <v>145</v>
      </c>
      <c r="C19" s="1" t="s">
        <v>159</v>
      </c>
      <c r="D19" s="26">
        <v>350.4</v>
      </c>
      <c r="E19" s="15">
        <f>Assumptions!$B$52</f>
        <v>8.6126980594004312</v>
      </c>
      <c r="F19" s="11">
        <f t="shared" si="0"/>
        <v>3017.8894000139107</v>
      </c>
      <c r="G19" s="37">
        <v>45758</v>
      </c>
      <c r="H19" s="45">
        <f>'Revenue Model'!I37</f>
        <v>46487</v>
      </c>
      <c r="I19" s="40">
        <f>MAX(0,(YEAR(G19)-YEAR(Assumptions!$B$74))*12+(MONTH(G19)-MONTH(Assumptions!$B$74)))</f>
        <v>0</v>
      </c>
      <c r="J19" s="40">
        <f>'Revenue Model'!J37</f>
        <v>12</v>
      </c>
      <c r="K19" s="46">
        <f t="shared" si="1"/>
        <v>12</v>
      </c>
      <c r="L19" s="11">
        <f t="shared" si="2"/>
        <v>1096.1996026987551</v>
      </c>
      <c r="M19" s="11">
        <f t="shared" si="3"/>
        <v>0</v>
      </c>
      <c r="N19" s="11">
        <f t="shared" si="4"/>
        <v>0</v>
      </c>
      <c r="O19" s="11">
        <f t="shared" si="5"/>
        <v>0</v>
      </c>
      <c r="P19" s="11">
        <f t="shared" si="6"/>
        <v>0</v>
      </c>
      <c r="Q19" s="1" t="str">
        <f t="shared" si="7"/>
        <v>FY28</v>
      </c>
      <c r="R19" s="11">
        <f>IF(A19="UCC",F19*Assumptions!$B$54,F19)</f>
        <v>1096.1996026987551</v>
      </c>
    </row>
    <row r="20" spans="1:18" ht="15" customHeight="1" x14ac:dyDescent="0.25">
      <c r="A20" s="1" t="s">
        <v>148</v>
      </c>
      <c r="B20" s="1" t="s">
        <v>145</v>
      </c>
      <c r="C20" s="1" t="s">
        <v>160</v>
      </c>
      <c r="D20" s="26">
        <v>351.2</v>
      </c>
      <c r="E20" s="15">
        <f>Assumptions!$B$52</f>
        <v>8.6126980594004312</v>
      </c>
      <c r="F20" s="11">
        <f t="shared" si="0"/>
        <v>3024.7795584614314</v>
      </c>
      <c r="G20" s="37">
        <v>45737</v>
      </c>
      <c r="H20" s="45">
        <f>'Revenue Model'!I38</f>
        <v>46534</v>
      </c>
      <c r="I20" s="40">
        <f>MAX(0,(YEAR(G20)-YEAR(Assumptions!$B$74))*12+(MONTH(G20)-MONTH(Assumptions!$B$74)))</f>
        <v>0</v>
      </c>
      <c r="J20" s="40">
        <f>'Revenue Model'!J38</f>
        <v>13</v>
      </c>
      <c r="K20" s="46">
        <f t="shared" si="1"/>
        <v>13</v>
      </c>
      <c r="L20" s="11">
        <f t="shared" si="2"/>
        <v>1014.1867767855714</v>
      </c>
      <c r="M20" s="11">
        <f t="shared" si="3"/>
        <v>84.515564732130954</v>
      </c>
      <c r="N20" s="11">
        <f t="shared" si="4"/>
        <v>0</v>
      </c>
      <c r="O20" s="11">
        <f t="shared" si="5"/>
        <v>0</v>
      </c>
      <c r="P20" s="11">
        <f t="shared" si="6"/>
        <v>0</v>
      </c>
      <c r="Q20" s="1" t="str">
        <f t="shared" si="7"/>
        <v>FY28</v>
      </c>
      <c r="R20" s="11">
        <f>IF(A20="UCC",F20*Assumptions!$B$54,F20)</f>
        <v>1098.7023415177023</v>
      </c>
    </row>
    <row r="21" spans="1:18" ht="15" customHeight="1" x14ac:dyDescent="0.25">
      <c r="A21" s="1" t="s">
        <v>148</v>
      </c>
      <c r="B21" s="1" t="s">
        <v>145</v>
      </c>
      <c r="C21" s="1" t="s">
        <v>133</v>
      </c>
      <c r="D21" s="26">
        <v>350.4</v>
      </c>
      <c r="E21" s="15">
        <f>Assumptions!$B$52</f>
        <v>8.6126980594004312</v>
      </c>
      <c r="F21" s="11">
        <f t="shared" si="0"/>
        <v>3017.8894000139107</v>
      </c>
      <c r="G21" s="37">
        <v>45836</v>
      </c>
      <c r="H21" s="45">
        <f>'Revenue Model'!I39</f>
        <v>46565</v>
      </c>
      <c r="I21" s="40">
        <f>MAX(0,(YEAR(G21)-YEAR(Assumptions!$B$74))*12+(MONTH(G21)-MONTH(Assumptions!$B$74)))</f>
        <v>0</v>
      </c>
      <c r="J21" s="40">
        <f>'Revenue Model'!J39</f>
        <v>14</v>
      </c>
      <c r="K21" s="46">
        <f t="shared" si="1"/>
        <v>14</v>
      </c>
      <c r="L21" s="11">
        <f t="shared" si="2"/>
        <v>939.59965945607576</v>
      </c>
      <c r="M21" s="11">
        <f t="shared" si="3"/>
        <v>156.5999432426793</v>
      </c>
      <c r="N21" s="11">
        <f t="shared" si="4"/>
        <v>0</v>
      </c>
      <c r="O21" s="11">
        <f t="shared" si="5"/>
        <v>0</v>
      </c>
      <c r="P21" s="11">
        <f t="shared" si="6"/>
        <v>0</v>
      </c>
      <c r="Q21" s="1" t="str">
        <f t="shared" si="7"/>
        <v>FY28</v>
      </c>
      <c r="R21" s="11">
        <f>IF(A21="UCC",F21*Assumptions!$B$54,F21)</f>
        <v>1096.1996026987551</v>
      </c>
    </row>
    <row r="22" spans="1:18" ht="15" customHeight="1" x14ac:dyDescent="0.25">
      <c r="A22" s="1" t="s">
        <v>148</v>
      </c>
      <c r="B22" s="1" t="s">
        <v>145</v>
      </c>
      <c r="C22" s="1" t="s">
        <v>161</v>
      </c>
      <c r="D22" s="26">
        <v>140</v>
      </c>
      <c r="E22" s="15">
        <f>Assumptions!$B$52</f>
        <v>8.6126980594004312</v>
      </c>
      <c r="F22" s="11">
        <f t="shared" si="0"/>
        <v>1205.7777283160603</v>
      </c>
      <c r="G22" s="37">
        <v>45923</v>
      </c>
      <c r="H22" s="45">
        <f>'Revenue Model'!I40</f>
        <v>46676</v>
      </c>
      <c r="I22" s="40">
        <f>MAX(0,(YEAR(G22)-YEAR(Assumptions!$B$74))*12+(MONTH(G22)-MONTH(Assumptions!$B$74)))</f>
        <v>0</v>
      </c>
      <c r="J22" s="40">
        <f>'Revenue Model'!J40</f>
        <v>18</v>
      </c>
      <c r="K22" s="46">
        <f t="shared" si="1"/>
        <v>18</v>
      </c>
      <c r="L22" s="11">
        <f t="shared" si="2"/>
        <v>291.98619554380844</v>
      </c>
      <c r="M22" s="11">
        <f t="shared" si="3"/>
        <v>145.99309777190422</v>
      </c>
      <c r="N22" s="11">
        <f t="shared" si="4"/>
        <v>0</v>
      </c>
      <c r="O22" s="11">
        <f t="shared" si="5"/>
        <v>0</v>
      </c>
      <c r="P22" s="11">
        <f t="shared" si="6"/>
        <v>0</v>
      </c>
      <c r="Q22" s="1" t="str">
        <f t="shared" si="7"/>
        <v>FY28</v>
      </c>
      <c r="R22" s="11">
        <f>IF(A22="UCC",F22*Assumptions!$B$54,F22)</f>
        <v>437.97929331571271</v>
      </c>
    </row>
    <row r="23" spans="1:18" ht="15" customHeight="1" x14ac:dyDescent="0.25">
      <c r="A23" s="1" t="s">
        <v>162</v>
      </c>
      <c r="B23" s="1" t="s">
        <v>140</v>
      </c>
      <c r="C23" s="1" t="s">
        <v>163</v>
      </c>
      <c r="D23" s="26">
        <v>180</v>
      </c>
      <c r="E23" s="15">
        <f>Assumptions!$B$53</f>
        <v>5.879742592592593</v>
      </c>
      <c r="F23" s="11">
        <f t="shared" si="0"/>
        <v>1058.3536666666666</v>
      </c>
      <c r="G23" s="37">
        <v>45580</v>
      </c>
      <c r="H23" s="45">
        <f>'Revenue Model'!I41</f>
        <v>47041</v>
      </c>
      <c r="I23" s="40">
        <f>MAX(0,(YEAR(G23)-YEAR(Assumptions!$B$74))*12+(MONTH(G23)-MONTH(Assumptions!$B$74)))</f>
        <v>0</v>
      </c>
      <c r="J23" s="40">
        <f>'Revenue Model'!J41</f>
        <v>30</v>
      </c>
      <c r="K23" s="46">
        <f t="shared" si="1"/>
        <v>30</v>
      </c>
      <c r="L23" s="47">
        <f t="shared" si="2"/>
        <v>423.34146666666669</v>
      </c>
      <c r="M23" s="47">
        <f t="shared" si="3"/>
        <v>423.34146666666669</v>
      </c>
      <c r="N23" s="47">
        <f t="shared" si="4"/>
        <v>211.67073333333335</v>
      </c>
      <c r="O23" s="11">
        <f t="shared" si="5"/>
        <v>0</v>
      </c>
      <c r="P23" s="11">
        <f t="shared" si="6"/>
        <v>0</v>
      </c>
      <c r="Q23" s="1" t="str">
        <f t="shared" si="7"/>
        <v>FY29</v>
      </c>
      <c r="R23" s="11">
        <f>IF(A23="UCC",F23*Assumptions!$B$54,F23)</f>
        <v>1058.3536666666666</v>
      </c>
    </row>
    <row r="24" spans="1:18" ht="15" customHeight="1" x14ac:dyDescent="0.25">
      <c r="A24" s="1" t="s">
        <v>162</v>
      </c>
      <c r="B24" s="1" t="s">
        <v>140</v>
      </c>
      <c r="C24" s="1" t="s">
        <v>164</v>
      </c>
      <c r="D24" s="26">
        <v>180</v>
      </c>
      <c r="E24" s="15">
        <f>Assumptions!$B$53</f>
        <v>5.879742592592593</v>
      </c>
      <c r="F24" s="11">
        <f t="shared" si="0"/>
        <v>1058.3536666666666</v>
      </c>
      <c r="G24" s="37">
        <v>45357</v>
      </c>
      <c r="H24" s="45">
        <f>'Revenue Model'!I42</f>
        <v>46818</v>
      </c>
      <c r="I24" s="40">
        <f>MAX(0,(YEAR(G24)-YEAR(Assumptions!$B$74))*12+(MONTH(G24)-MONTH(Assumptions!$B$74)))</f>
        <v>0</v>
      </c>
      <c r="J24" s="40">
        <f>'Revenue Model'!J42</f>
        <v>23</v>
      </c>
      <c r="K24" s="46">
        <f t="shared" si="1"/>
        <v>23</v>
      </c>
      <c r="L24" s="47">
        <f t="shared" si="2"/>
        <v>552.18452173913045</v>
      </c>
      <c r="M24" s="47">
        <f t="shared" si="3"/>
        <v>506.16914492753625</v>
      </c>
      <c r="N24" s="47">
        <f t="shared" si="4"/>
        <v>0</v>
      </c>
      <c r="O24" s="11">
        <f t="shared" si="5"/>
        <v>0</v>
      </c>
      <c r="P24" s="11">
        <f t="shared" si="6"/>
        <v>0</v>
      </c>
      <c r="Q24" s="1" t="str">
        <f t="shared" si="7"/>
        <v>FY28</v>
      </c>
      <c r="R24" s="11">
        <f>IF(A24="UCC",F24*Assumptions!$B$54,F24)</f>
        <v>1058.3536666666666</v>
      </c>
    </row>
    <row r="25" spans="1:18" ht="15" customHeight="1" x14ac:dyDescent="0.25">
      <c r="A25" s="1" t="s">
        <v>162</v>
      </c>
      <c r="B25" s="1" t="s">
        <v>140</v>
      </c>
      <c r="C25" s="1" t="s">
        <v>165</v>
      </c>
      <c r="D25" s="26">
        <v>360</v>
      </c>
      <c r="E25" s="15">
        <f>Assumptions!$B$53</f>
        <v>5.879742592592593</v>
      </c>
      <c r="F25" s="11">
        <f t="shared" si="0"/>
        <v>2116.7073333333333</v>
      </c>
      <c r="G25" s="37">
        <v>45630</v>
      </c>
      <c r="H25" s="45">
        <f>'Revenue Model'!I43</f>
        <v>47091</v>
      </c>
      <c r="I25" s="40">
        <f>MAX(0,(YEAR(G25)-YEAR(Assumptions!$B$74))*12+(MONTH(G25)-MONTH(Assumptions!$B$74)))</f>
        <v>0</v>
      </c>
      <c r="J25" s="40">
        <f>'Revenue Model'!J43</f>
        <v>32</v>
      </c>
      <c r="K25" s="46">
        <f t="shared" si="1"/>
        <v>32</v>
      </c>
      <c r="L25" s="47">
        <f t="shared" si="2"/>
        <v>793.76524999999992</v>
      </c>
      <c r="M25" s="47">
        <f t="shared" si="3"/>
        <v>793.76524999999992</v>
      </c>
      <c r="N25" s="47">
        <f t="shared" si="4"/>
        <v>529.17683333333332</v>
      </c>
      <c r="O25" s="11">
        <f t="shared" si="5"/>
        <v>0</v>
      </c>
      <c r="P25" s="11">
        <f t="shared" si="6"/>
        <v>0</v>
      </c>
      <c r="Q25" s="1" t="str">
        <f t="shared" si="7"/>
        <v>FY29</v>
      </c>
      <c r="R25" s="11">
        <f>IF(A25="UCC",F25*Assumptions!$B$54,F25)</f>
        <v>2116.7073333333333</v>
      </c>
    </row>
    <row r="26" spans="1:18" ht="15" customHeight="1" x14ac:dyDescent="0.25">
      <c r="A26" s="1" t="s">
        <v>162</v>
      </c>
      <c r="B26" s="1" t="s">
        <v>140</v>
      </c>
      <c r="C26" s="1" t="s">
        <v>143</v>
      </c>
      <c r="D26" s="26">
        <v>360</v>
      </c>
      <c r="E26" s="15">
        <f>Assumptions!$B$53</f>
        <v>5.879742592592593</v>
      </c>
      <c r="F26" s="11">
        <f t="shared" si="0"/>
        <v>2116.7073333333333</v>
      </c>
      <c r="G26" s="37">
        <v>45405</v>
      </c>
      <c r="H26" s="45">
        <f>'Revenue Model'!I44</f>
        <v>46866</v>
      </c>
      <c r="I26" s="40">
        <f>MAX(0,(YEAR(G26)-YEAR(Assumptions!$B$74))*12+(MONTH(G26)-MONTH(Assumptions!$B$74)))</f>
        <v>0</v>
      </c>
      <c r="J26" s="40">
        <f>'Revenue Model'!J44</f>
        <v>24</v>
      </c>
      <c r="K26" s="46">
        <f t="shared" si="1"/>
        <v>24</v>
      </c>
      <c r="L26" s="47">
        <f t="shared" si="2"/>
        <v>1058.3536666666666</v>
      </c>
      <c r="M26" s="47">
        <f t="shared" si="3"/>
        <v>1058.3536666666666</v>
      </c>
      <c r="N26" s="47">
        <f t="shared" si="4"/>
        <v>0</v>
      </c>
      <c r="O26" s="11">
        <f t="shared" si="5"/>
        <v>0</v>
      </c>
      <c r="P26" s="11">
        <f t="shared" si="6"/>
        <v>0</v>
      </c>
      <c r="Q26" s="1" t="str">
        <f t="shared" si="7"/>
        <v>FY29</v>
      </c>
      <c r="R26" s="11">
        <f>IF(A26="UCC",F26*Assumptions!$B$54,F26)</f>
        <v>2116.7073333333333</v>
      </c>
    </row>
    <row r="27" spans="1:18" ht="15" customHeight="1" x14ac:dyDescent="0.25">
      <c r="A27" s="1" t="s">
        <v>162</v>
      </c>
      <c r="B27" s="1" t="s">
        <v>140</v>
      </c>
      <c r="C27" s="1" t="s">
        <v>166</v>
      </c>
      <c r="D27" s="26">
        <v>180</v>
      </c>
      <c r="E27" s="15">
        <f>Assumptions!$B$53</f>
        <v>5.879742592592593</v>
      </c>
      <c r="F27" s="11">
        <f t="shared" si="0"/>
        <v>1058.3536666666666</v>
      </c>
      <c r="G27" s="37">
        <v>45341</v>
      </c>
      <c r="H27" s="45">
        <f>'Revenue Model'!I45</f>
        <v>46802</v>
      </c>
      <c r="I27" s="40">
        <f>MAX(0,(YEAR(G27)-YEAR(Assumptions!$B$74))*12+(MONTH(G27)-MONTH(Assumptions!$B$74)))</f>
        <v>0</v>
      </c>
      <c r="J27" s="40">
        <f>'Revenue Model'!J45</f>
        <v>22</v>
      </c>
      <c r="K27" s="46">
        <f t="shared" si="1"/>
        <v>22</v>
      </c>
      <c r="L27" s="47">
        <f t="shared" si="2"/>
        <v>577.28381818181811</v>
      </c>
      <c r="M27" s="47">
        <f t="shared" si="3"/>
        <v>481.06984848484848</v>
      </c>
      <c r="N27" s="47">
        <f t="shared" si="4"/>
        <v>0</v>
      </c>
      <c r="O27" s="11">
        <f t="shared" si="5"/>
        <v>0</v>
      </c>
      <c r="P27" s="11">
        <f t="shared" si="6"/>
        <v>0</v>
      </c>
      <c r="Q27" s="1" t="str">
        <f t="shared" si="7"/>
        <v>FY28</v>
      </c>
      <c r="R27" s="11">
        <f>IF(A27="UCC",F27*Assumptions!$B$54,F27)</f>
        <v>1058.3536666666666</v>
      </c>
    </row>
    <row r="28" spans="1:18" ht="15" customHeight="1" x14ac:dyDescent="0.25">
      <c r="A28" s="1" t="s">
        <v>162</v>
      </c>
      <c r="B28" s="1" t="s">
        <v>140</v>
      </c>
      <c r="C28" s="1" t="s">
        <v>167</v>
      </c>
      <c r="D28" s="26">
        <v>180</v>
      </c>
      <c r="E28" s="15">
        <f>Assumptions!$B$53</f>
        <v>5.879742592592593</v>
      </c>
      <c r="F28" s="11">
        <f t="shared" si="0"/>
        <v>1058.3536666666666</v>
      </c>
      <c r="G28" s="37">
        <v>45463</v>
      </c>
      <c r="H28" s="45">
        <f>'Revenue Model'!I46</f>
        <v>46924</v>
      </c>
      <c r="I28" s="40">
        <f>MAX(0,(YEAR(G28)-YEAR(Assumptions!$B$74))*12+(MONTH(G28)-MONTH(Assumptions!$B$74)))</f>
        <v>0</v>
      </c>
      <c r="J28" s="40">
        <f>'Revenue Model'!J46</f>
        <v>26</v>
      </c>
      <c r="K28" s="46">
        <f t="shared" si="1"/>
        <v>26</v>
      </c>
      <c r="L28" s="47">
        <f t="shared" si="2"/>
        <v>488.4709230769231</v>
      </c>
      <c r="M28" s="47">
        <f t="shared" si="3"/>
        <v>488.4709230769231</v>
      </c>
      <c r="N28" s="47">
        <f t="shared" si="4"/>
        <v>81.411820512820512</v>
      </c>
      <c r="O28" s="11">
        <f t="shared" si="5"/>
        <v>0</v>
      </c>
      <c r="P28" s="11">
        <f t="shared" si="6"/>
        <v>0</v>
      </c>
      <c r="Q28" s="1" t="str">
        <f t="shared" si="7"/>
        <v>FY29</v>
      </c>
      <c r="R28" s="11">
        <f>IF(A28="UCC",F28*Assumptions!$B$54,F28)</f>
        <v>1058.3536666666666</v>
      </c>
    </row>
    <row r="29" spans="1:18" ht="15" customHeight="1" x14ac:dyDescent="0.25">
      <c r="A29" s="1" t="s">
        <v>162</v>
      </c>
      <c r="B29" s="1" t="s">
        <v>140</v>
      </c>
      <c r="C29" s="1" t="s">
        <v>168</v>
      </c>
      <c r="D29" s="26">
        <v>180</v>
      </c>
      <c r="E29" s="15">
        <f>Assumptions!$B$53</f>
        <v>5.879742592592593</v>
      </c>
      <c r="F29" s="11">
        <f t="shared" si="0"/>
        <v>1058.3536666666666</v>
      </c>
      <c r="G29" s="37">
        <v>45427</v>
      </c>
      <c r="H29" s="45">
        <f>'Revenue Model'!I47</f>
        <v>46888</v>
      </c>
      <c r="I29" s="40">
        <f>MAX(0,(YEAR(G29)-YEAR(Assumptions!$B$74))*12+(MONTH(G29)-MONTH(Assumptions!$B$74)))</f>
        <v>0</v>
      </c>
      <c r="J29" s="40">
        <f>'Revenue Model'!J47</f>
        <v>25</v>
      </c>
      <c r="K29" s="46">
        <f t="shared" si="1"/>
        <v>25</v>
      </c>
      <c r="L29" s="47">
        <f t="shared" si="2"/>
        <v>508.00975999999997</v>
      </c>
      <c r="M29" s="47">
        <f t="shared" si="3"/>
        <v>508.00975999999997</v>
      </c>
      <c r="N29" s="47">
        <f t="shared" si="4"/>
        <v>42.334146666666669</v>
      </c>
      <c r="O29" s="11">
        <f t="shared" si="5"/>
        <v>0</v>
      </c>
      <c r="P29" s="11">
        <f t="shared" si="6"/>
        <v>0</v>
      </c>
      <c r="Q29" s="1" t="str">
        <f t="shared" si="7"/>
        <v>FY29</v>
      </c>
      <c r="R29" s="11">
        <f>IF(A29="UCC",F29*Assumptions!$B$54,F29)</f>
        <v>1058.3536666666666</v>
      </c>
    </row>
    <row r="30" spans="1:18" ht="15" customHeight="1" x14ac:dyDescent="0.25">
      <c r="A30" s="1" t="s">
        <v>162</v>
      </c>
      <c r="B30" s="1" t="s">
        <v>140</v>
      </c>
      <c r="C30" s="1" t="s">
        <v>169</v>
      </c>
      <c r="D30" s="26">
        <v>180</v>
      </c>
      <c r="E30" s="15">
        <f>Assumptions!$B$53</f>
        <v>5.879742592592593</v>
      </c>
      <c r="F30" s="11">
        <f t="shared" si="0"/>
        <v>1058.3536666666666</v>
      </c>
      <c r="G30" s="37">
        <v>45526</v>
      </c>
      <c r="H30" s="45">
        <f>'Revenue Model'!I48</f>
        <v>46987</v>
      </c>
      <c r="I30" s="40">
        <f>MAX(0,(YEAR(G30)-YEAR(Assumptions!$B$74))*12+(MONTH(G30)-MONTH(Assumptions!$B$74)))</f>
        <v>0</v>
      </c>
      <c r="J30" s="40">
        <f>'Revenue Model'!J48</f>
        <v>28</v>
      </c>
      <c r="K30" s="46">
        <f t="shared" si="1"/>
        <v>28</v>
      </c>
      <c r="L30" s="47">
        <f t="shared" si="2"/>
        <v>453.58014285714285</v>
      </c>
      <c r="M30" s="47">
        <f t="shared" si="3"/>
        <v>453.58014285714285</v>
      </c>
      <c r="N30" s="47">
        <f t="shared" si="4"/>
        <v>151.19338095238095</v>
      </c>
      <c r="O30" s="11">
        <f t="shared" si="5"/>
        <v>0</v>
      </c>
      <c r="P30" s="11">
        <f t="shared" si="6"/>
        <v>0</v>
      </c>
      <c r="Q30" s="1" t="str">
        <f t="shared" si="7"/>
        <v>FY29</v>
      </c>
      <c r="R30" s="11">
        <f>IF(A30="UCC",F30*Assumptions!$B$54,F30)</f>
        <v>1058.3536666666666</v>
      </c>
    </row>
    <row r="31" spans="1:18" ht="15" customHeight="1" x14ac:dyDescent="0.25">
      <c r="A31" s="1" t="s">
        <v>162</v>
      </c>
      <c r="B31" s="1" t="s">
        <v>140</v>
      </c>
      <c r="C31" s="1" t="s">
        <v>170</v>
      </c>
      <c r="D31" s="26">
        <v>180</v>
      </c>
      <c r="E31" s="15">
        <f>Assumptions!$B$53</f>
        <v>5.879742592592593</v>
      </c>
      <c r="F31" s="11">
        <f t="shared" si="0"/>
        <v>1058.3536666666666</v>
      </c>
      <c r="G31" s="37">
        <v>45469</v>
      </c>
      <c r="H31" s="45">
        <f>'Revenue Model'!I49</f>
        <v>46930</v>
      </c>
      <c r="I31" s="40">
        <f>MAX(0,(YEAR(G31)-YEAR(Assumptions!$B$74))*12+(MONTH(G31)-MONTH(Assumptions!$B$74)))</f>
        <v>0</v>
      </c>
      <c r="J31" s="40">
        <f>'Revenue Model'!J49</f>
        <v>26</v>
      </c>
      <c r="K31" s="46">
        <f t="shared" si="1"/>
        <v>26</v>
      </c>
      <c r="L31" s="47">
        <f t="shared" si="2"/>
        <v>488.4709230769231</v>
      </c>
      <c r="M31" s="47">
        <f t="shared" si="3"/>
        <v>488.4709230769231</v>
      </c>
      <c r="N31" s="47">
        <f t="shared" si="4"/>
        <v>81.411820512820512</v>
      </c>
      <c r="O31" s="11">
        <f t="shared" si="5"/>
        <v>0</v>
      </c>
      <c r="P31" s="11">
        <f t="shared" si="6"/>
        <v>0</v>
      </c>
      <c r="Q31" s="1" t="str">
        <f t="shared" si="7"/>
        <v>FY29</v>
      </c>
      <c r="R31" s="11">
        <f>IF(A31="UCC",F31*Assumptions!$B$54,F31)</f>
        <v>1058.3536666666666</v>
      </c>
    </row>
    <row r="32" spans="1:18" ht="15" customHeight="1" x14ac:dyDescent="0.25">
      <c r="A32" s="1" t="s">
        <v>162</v>
      </c>
      <c r="B32" s="1" t="s">
        <v>145</v>
      </c>
      <c r="C32" s="1" t="s">
        <v>171</v>
      </c>
      <c r="D32" s="26">
        <v>400</v>
      </c>
      <c r="E32" s="15">
        <f>Assumptions!$B$53</f>
        <v>5.879742592592593</v>
      </c>
      <c r="F32" s="11">
        <f t="shared" si="0"/>
        <v>2351.8970370370371</v>
      </c>
      <c r="G32" s="37">
        <v>45687</v>
      </c>
      <c r="H32" s="45">
        <f>'Revenue Model'!I50</f>
        <v>47329</v>
      </c>
      <c r="I32" s="40">
        <f>MAX(0,(YEAR(G32)-YEAR(Assumptions!$B$74))*12+(MONTH(G32)-MONTH(Assumptions!$B$74)))</f>
        <v>0</v>
      </c>
      <c r="J32" s="40">
        <f>'Revenue Model'!J50</f>
        <v>39</v>
      </c>
      <c r="K32" s="46">
        <f t="shared" si="1"/>
        <v>39</v>
      </c>
      <c r="L32" s="47">
        <f t="shared" si="2"/>
        <v>723.66062678062679</v>
      </c>
      <c r="M32" s="47">
        <f t="shared" si="3"/>
        <v>723.66062678062679</v>
      </c>
      <c r="N32" s="47">
        <f t="shared" si="4"/>
        <v>723.66062678062679</v>
      </c>
      <c r="O32" s="11">
        <f t="shared" si="5"/>
        <v>180.9151566951567</v>
      </c>
      <c r="P32" s="11">
        <f t="shared" si="6"/>
        <v>0</v>
      </c>
      <c r="Q32" s="1" t="str">
        <f t="shared" si="7"/>
        <v>FY30</v>
      </c>
      <c r="R32" s="11">
        <f>IF(A32="UCC",F32*Assumptions!$B$54,F32)</f>
        <v>2351.8970370370371</v>
      </c>
    </row>
    <row r="33" spans="1:18" ht="15" customHeight="1" x14ac:dyDescent="0.25">
      <c r="A33" s="1" t="s">
        <v>162</v>
      </c>
      <c r="B33" s="1" t="s">
        <v>145</v>
      </c>
      <c r="C33" s="1" t="s">
        <v>172</v>
      </c>
      <c r="D33" s="26">
        <v>500</v>
      </c>
      <c r="E33" s="15">
        <f>Assumptions!$B$53</f>
        <v>5.879742592592593</v>
      </c>
      <c r="F33" s="11">
        <f t="shared" si="0"/>
        <v>2939.8712962962964</v>
      </c>
      <c r="G33" s="37">
        <v>45687</v>
      </c>
      <c r="H33" s="45">
        <f>'Revenue Model'!I51</f>
        <v>47329</v>
      </c>
      <c r="I33" s="40">
        <f>MAX(0,(YEAR(G33)-YEAR(Assumptions!$B$74))*12+(MONTH(G33)-MONTH(Assumptions!$B$74)))</f>
        <v>0</v>
      </c>
      <c r="J33" s="40">
        <f>'Revenue Model'!J51</f>
        <v>39</v>
      </c>
      <c r="K33" s="46">
        <f t="shared" si="1"/>
        <v>39</v>
      </c>
      <c r="L33" s="47">
        <f t="shared" si="2"/>
        <v>904.57578347578351</v>
      </c>
      <c r="M33" s="47">
        <f t="shared" si="3"/>
        <v>904.57578347578351</v>
      </c>
      <c r="N33" s="47">
        <f t="shared" si="4"/>
        <v>904.57578347578351</v>
      </c>
      <c r="O33" s="11">
        <f t="shared" si="5"/>
        <v>226.14394586894588</v>
      </c>
      <c r="P33" s="11">
        <f t="shared" si="6"/>
        <v>0</v>
      </c>
      <c r="Q33" s="1" t="str">
        <f t="shared" si="7"/>
        <v>FY30</v>
      </c>
      <c r="R33" s="11">
        <f>IF(A33="UCC",F33*Assumptions!$B$54,F33)</f>
        <v>2939.8712962962964</v>
      </c>
    </row>
    <row r="34" spans="1:18" ht="15" customHeight="1" x14ac:dyDescent="0.25">
      <c r="A34" s="1" t="s">
        <v>162</v>
      </c>
      <c r="B34" s="1" t="s">
        <v>145</v>
      </c>
      <c r="C34" s="1" t="s">
        <v>173</v>
      </c>
      <c r="D34" s="26">
        <v>360</v>
      </c>
      <c r="E34" s="15">
        <f>Assumptions!$B$53</f>
        <v>5.879742592592593</v>
      </c>
      <c r="F34" s="11">
        <f t="shared" si="0"/>
        <v>2116.7073333333333</v>
      </c>
      <c r="G34" s="37">
        <v>45691</v>
      </c>
      <c r="H34" s="45">
        <f>'Revenue Model'!I52</f>
        <v>47333</v>
      </c>
      <c r="I34" s="40">
        <f>MAX(0,(YEAR(G34)-YEAR(Assumptions!$B$74))*12+(MONTH(G34)-MONTH(Assumptions!$B$74)))</f>
        <v>0</v>
      </c>
      <c r="J34" s="40">
        <f>'Revenue Model'!J52</f>
        <v>40</v>
      </c>
      <c r="K34" s="46">
        <f t="shared" si="1"/>
        <v>40</v>
      </c>
      <c r="L34" s="47">
        <f t="shared" si="2"/>
        <v>635.01220000000001</v>
      </c>
      <c r="M34" s="47">
        <f t="shared" si="3"/>
        <v>635.01220000000001</v>
      </c>
      <c r="N34" s="47">
        <f t="shared" si="4"/>
        <v>635.01220000000001</v>
      </c>
      <c r="O34" s="11">
        <f t="shared" si="5"/>
        <v>211.67073333333335</v>
      </c>
      <c r="P34" s="11">
        <f t="shared" si="6"/>
        <v>0</v>
      </c>
      <c r="Q34" s="1" t="str">
        <f t="shared" si="7"/>
        <v>FY30</v>
      </c>
      <c r="R34" s="11">
        <f>IF(A34="UCC",F34*Assumptions!$B$54,F34)</f>
        <v>2116.7073333333333</v>
      </c>
    </row>
    <row r="36" spans="1:18" ht="15" customHeight="1" x14ac:dyDescent="0.25">
      <c r="C36" s="2" t="s">
        <v>191</v>
      </c>
      <c r="L36" s="43">
        <f>SUM(L5:L34)</f>
        <v>16094.872151917651</v>
      </c>
      <c r="M36" s="43">
        <f>SUM(M5:M34)</f>
        <v>7971.785666617151</v>
      </c>
      <c r="N36" s="43">
        <f>SUM(N5:N34)</f>
        <v>3360.4473455677662</v>
      </c>
      <c r="O36" s="43">
        <f>SUM(O5:O34)</f>
        <v>618.72983589743592</v>
      </c>
      <c r="P36" s="43">
        <f>SUM(P5:P34)</f>
        <v>0</v>
      </c>
    </row>
    <row r="37" spans="1:18" ht="15" customHeight="1" x14ac:dyDescent="0.25">
      <c r="L37" s="2" t="s">
        <v>192</v>
      </c>
      <c r="M37" s="2" t="s">
        <v>193</v>
      </c>
      <c r="N37" s="2" t="s">
        <v>194</v>
      </c>
      <c r="O37" s="2" t="s">
        <v>195</v>
      </c>
      <c r="P37" s="2" t="s">
        <v>196</v>
      </c>
    </row>
    <row r="38" spans="1:18" ht="15" customHeight="1" x14ac:dyDescent="0.25">
      <c r="C38" s="2" t="s">
        <v>197</v>
      </c>
      <c r="L38" s="43">
        <f>SUMIF($Q$5:$Q$34,"FY27",$F$5:$F$34)</f>
        <v>13206.71120428462</v>
      </c>
      <c r="M38" s="43">
        <f>SUMIF($Q$5:$Q$34,"FY28",$F$5:$F$34)</f>
        <v>13674.948129048709</v>
      </c>
      <c r="N38" s="43">
        <f>SUMIF($Q$5:$Q$34,"FY29",$F$5:$F$34)</f>
        <v>9525.1829999999991</v>
      </c>
      <c r="O38" s="43">
        <f>SUMIF($Q$5:$Q$34,"FY30",$F$5:$F$34)</f>
        <v>7408.4756666666672</v>
      </c>
      <c r="P38" s="43">
        <f>SUMIF($Q$5:$Q$34,"FY31",$F$5:$F$34)</f>
        <v>0</v>
      </c>
    </row>
    <row r="40" spans="1:18" ht="15" customHeight="1" x14ac:dyDescent="0.25">
      <c r="C40" s="1" t="s">
        <v>198</v>
      </c>
      <c r="L40" s="11">
        <f>SUMIFS($F$5:$F$34,$Q$5:$Q$34,"FY27",$B$5:$B$34,"Solar")</f>
        <v>172.25396118800862</v>
      </c>
      <c r="M40" s="11">
        <f>SUMIFS($F$5:$F$34,$Q$5:$Q$34,"FY28",$B$5:$B$34,"Solar")</f>
        <v>0</v>
      </c>
      <c r="N40" s="11">
        <f>SUMIFS($F$5:$F$34,$Q$5:$Q$34,"FY29",$B$5:$B$34,"Solar")</f>
        <v>0</v>
      </c>
      <c r="O40" s="11">
        <f>SUMIFS($F$5:$F$34,$Q$5:$Q$34,"FY30",$B$5:$B$34,"Solar")</f>
        <v>0</v>
      </c>
      <c r="P40" s="11">
        <f>SUMIFS($F$5:$F$34,$Q$5:$Q$34,"FY31",$B$5:$B$34,"Solar")</f>
        <v>0</v>
      </c>
    </row>
    <row r="41" spans="1:18" ht="15" customHeight="1" x14ac:dyDescent="0.25">
      <c r="C41" s="1" t="s">
        <v>199</v>
      </c>
      <c r="L41" s="11">
        <f>SUMIFS($F$5:$F$34,$Q$5:$Q$34,"FY27",$B$5:$B$34,"&lt;&gt;Solar")</f>
        <v>13034.457243096611</v>
      </c>
      <c r="M41" s="11">
        <f>SUMIFS($F$5:$F$34,$Q$5:$Q$34,"FY28",$B$5:$B$34,"&lt;&gt;Solar")</f>
        <v>13674.948129048709</v>
      </c>
      <c r="N41" s="11">
        <f>SUMIFS($F$5:$F$34,$Q$5:$Q$34,"FY29",$B$5:$B$34,"&lt;&gt;Solar")</f>
        <v>9525.1829999999991</v>
      </c>
      <c r="O41" s="11">
        <f>SUMIFS($F$5:$F$34,$Q$5:$Q$34,"FY30",$B$5:$B$34,"&lt;&gt;Solar")</f>
        <v>7408.4756666666672</v>
      </c>
      <c r="P41" s="11">
        <f>SUMIFS($F$5:$F$34,$Q$5:$Q$34,"FY31",$B$5:$B$34,"&lt;&gt;Solar")</f>
        <v>0</v>
      </c>
    </row>
  </sheetData>
  <mergeCells count="2">
    <mergeCell ref="A1:Q1"/>
    <mergeCell ref="A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zoomScale="130" zoomScaleNormal="130" workbookViewId="0">
      <selection activeCell="F16" sqref="F16"/>
    </sheetView>
  </sheetViews>
  <sheetFormatPr defaultColWidth="8.5703125" defaultRowHeight="15" x14ac:dyDescent="0.25"/>
  <cols>
    <col min="1" max="1" width="48" style="1" customWidth="1"/>
    <col min="2" max="6" width="15" style="1" customWidth="1"/>
  </cols>
  <sheetData>
    <row r="1" spans="1:6" ht="17.25" customHeight="1" x14ac:dyDescent="0.25">
      <c r="A1" s="63" t="s">
        <v>200</v>
      </c>
      <c r="B1" s="63"/>
      <c r="C1" s="63"/>
      <c r="D1" s="63"/>
      <c r="E1" s="63"/>
      <c r="F1" s="63"/>
    </row>
    <row r="2" spans="1:6" ht="15" customHeight="1" x14ac:dyDescent="0.25">
      <c r="A2" s="64" t="s">
        <v>201</v>
      </c>
      <c r="B2" s="64"/>
      <c r="C2" s="64"/>
      <c r="D2" s="64"/>
      <c r="E2" s="64"/>
      <c r="F2" s="64"/>
    </row>
    <row r="4" spans="1:6" ht="15" customHeight="1" x14ac:dyDescent="0.25">
      <c r="B4" s="10" t="s">
        <v>192</v>
      </c>
      <c r="C4" s="10" t="s">
        <v>193</v>
      </c>
      <c r="D4" s="10" t="s">
        <v>194</v>
      </c>
      <c r="E4" s="10" t="s">
        <v>195</v>
      </c>
      <c r="F4" s="10" t="s">
        <v>196</v>
      </c>
    </row>
    <row r="5" spans="1:6" ht="15" customHeight="1" x14ac:dyDescent="0.25">
      <c r="A5" s="1" t="s">
        <v>202</v>
      </c>
      <c r="B5" s="36">
        <v>12920.540999999999</v>
      </c>
      <c r="C5" s="11">
        <f>B10</f>
        <v>28051.548649477569</v>
      </c>
      <c r="D5" s="11">
        <f>C10</f>
        <v>33479.50411662447</v>
      </c>
      <c r="E5" s="11">
        <f>D10</f>
        <v>33935.895051970379</v>
      </c>
      <c r="F5" s="11">
        <f>E10</f>
        <v>32168.485917223639</v>
      </c>
    </row>
    <row r="6" spans="1:6" ht="15" customHeight="1" x14ac:dyDescent="0.25">
      <c r="A6" s="1" t="s">
        <v>203</v>
      </c>
      <c r="B6" s="11">
        <f>Assumptions!$B$22*'Capex Model'!L$36</f>
        <v>12875.897721534122</v>
      </c>
      <c r="C6" s="11">
        <f>Assumptions!$B$22*'Capex Model'!M$36</f>
        <v>6377.4285332937216</v>
      </c>
      <c r="D6" s="11">
        <f>Assumptions!$B$22*'Capex Model'!N$36</f>
        <v>2688.3578764542131</v>
      </c>
      <c r="E6" s="11">
        <f>Assumptions!$B$22*'Capex Model'!O$36</f>
        <v>494.98386871794878</v>
      </c>
      <c r="F6" s="11">
        <f>Assumptions!$B$22*'Capex Model'!P$36</f>
        <v>0</v>
      </c>
    </row>
    <row r="7" spans="1:6" ht="15" customHeight="1" x14ac:dyDescent="0.25">
      <c r="A7" s="1" t="s">
        <v>204</v>
      </c>
      <c r="B7" s="48">
        <f>MAX(0,B14-B16)</f>
        <v>4528.4003279434455</v>
      </c>
      <c r="C7" s="48">
        <f>MAX(0,C14-C16)</f>
        <v>920.63017715167757</v>
      </c>
      <c r="D7" s="48">
        <f>MAX(0,D14-D16)</f>
        <v>0</v>
      </c>
      <c r="E7" s="48">
        <f>MAX(0,E14-E16)</f>
        <v>0</v>
      </c>
      <c r="F7" s="48">
        <f>MAX(0,F14-F16)</f>
        <v>0</v>
      </c>
    </row>
    <row r="8" spans="1:6" ht="15" customHeight="1" x14ac:dyDescent="0.25">
      <c r="A8" s="1" t="s">
        <v>205</v>
      </c>
      <c r="B8" s="11">
        <f>Assumptions!$B$68</f>
        <v>1411.921</v>
      </c>
      <c r="C8" s="11">
        <v>0</v>
      </c>
      <c r="D8" s="11">
        <v>0</v>
      </c>
      <c r="E8" s="11">
        <v>0</v>
      </c>
      <c r="F8" s="11">
        <v>0</v>
      </c>
    </row>
    <row r="9" spans="1:6" ht="15" customHeight="1" x14ac:dyDescent="0.25">
      <c r="A9" s="1" t="s">
        <v>206</v>
      </c>
      <c r="B9" s="11">
        <f>B5/Assumptions!$B$26</f>
        <v>861.36939999999993</v>
      </c>
      <c r="C9" s="11">
        <f>C5/Assumptions!$B$26</f>
        <v>1870.1032432985046</v>
      </c>
      <c r="D9" s="11">
        <f>D5/Assumptions!$B$26</f>
        <v>2231.9669411082982</v>
      </c>
      <c r="E9" s="11">
        <f>E5/Assumptions!$B$26</f>
        <v>2262.3930034646919</v>
      </c>
      <c r="F9" s="11">
        <f>F5/Assumptions!$B$26</f>
        <v>2144.5657278149092</v>
      </c>
    </row>
    <row r="10" spans="1:6" ht="15" customHeight="1" x14ac:dyDescent="0.25">
      <c r="A10" s="2" t="s">
        <v>207</v>
      </c>
      <c r="B10" s="43">
        <f>B5+B6+B7-B8-B9</f>
        <v>28051.548649477569</v>
      </c>
      <c r="C10" s="43">
        <f>C5+C6+C7-C8-C9</f>
        <v>33479.50411662447</v>
      </c>
      <c r="D10" s="43">
        <f>D5+D6+D7-D8-D9</f>
        <v>33935.895051970379</v>
      </c>
      <c r="E10" s="43">
        <f>E5+E6+E7-E8-E9</f>
        <v>32168.485917223639</v>
      </c>
      <c r="F10" s="43">
        <f>F5+F6+F7-F8-F9</f>
        <v>30023.920189408731</v>
      </c>
    </row>
    <row r="12" spans="1:6" ht="15" customHeight="1" x14ac:dyDescent="0.25">
      <c r="A12" s="2" t="s">
        <v>208</v>
      </c>
      <c r="B12" s="11">
        <f>B5*Assumptions!$B$25</f>
        <v>1130.5473374999999</v>
      </c>
      <c r="C12" s="11">
        <f>C5*Assumptions!$B$25</f>
        <v>2454.5105068292869</v>
      </c>
      <c r="D12" s="11">
        <f>D5*Assumptions!$B$25</f>
        <v>2929.456610204641</v>
      </c>
      <c r="E12" s="11">
        <f>E5*Assumptions!$B$25</f>
        <v>2969.3908170474078</v>
      </c>
      <c r="F12" s="11">
        <f>F5*Assumptions!$B$25</f>
        <v>2814.7425177570681</v>
      </c>
    </row>
    <row r="14" spans="1:6" ht="15" customHeight="1" x14ac:dyDescent="0.25">
      <c r="A14" s="1" t="s">
        <v>209</v>
      </c>
      <c r="B14" s="11">
        <f>Assumptions!$B$23*'Capex Model'!L$36</f>
        <v>3218.9744303835296</v>
      </c>
      <c r="C14" s="11">
        <f>Assumptions!$B$23*'Capex Model'!M$36</f>
        <v>1594.3571333234299</v>
      </c>
      <c r="D14" s="11">
        <f>Assumptions!$B$23*'Capex Model'!N$36</f>
        <v>672.08946911355304</v>
      </c>
      <c r="E14" s="11">
        <f>Assumptions!$B$23*'Capex Model'!O$36</f>
        <v>123.74596717948715</v>
      </c>
      <c r="F14" s="11">
        <f>Assumptions!$B$23*'Capex Model'!P$36</f>
        <v>0</v>
      </c>
    </row>
    <row r="15" spans="1:6" ht="15" customHeight="1" x14ac:dyDescent="0.25">
      <c r="A15" s="1" t="s">
        <v>210</v>
      </c>
      <c r="B15" s="11">
        <f>'P&amp;L'!E38+'P&amp;L'!E29</f>
        <v>963.86450244008358</v>
      </c>
      <c r="C15" s="11">
        <f>'P&amp;L'!F38+'P&amp;L'!F29</f>
        <v>2543.830199470257</v>
      </c>
      <c r="D15" s="11">
        <f>'P&amp;L'!G38+'P&amp;L'!G29</f>
        <v>3697.2076993074506</v>
      </c>
      <c r="E15" s="11">
        <f>'P&amp;L'!H38+'P&amp;L'!H29</f>
        <v>5304.8590512487181</v>
      </c>
      <c r="F15" s="11">
        <f>'P&amp;L'!I38+'P&amp;L'!I29</f>
        <v>5848.5618445741138</v>
      </c>
    </row>
    <row r="16" spans="1:6" ht="15" customHeight="1" x14ac:dyDescent="0.25">
      <c r="A16" s="1" t="s">
        <v>211</v>
      </c>
      <c r="B16" s="11">
        <f>B15-B9-B8</f>
        <v>-1309.4258975599164</v>
      </c>
      <c r="C16" s="11">
        <f>C15-C9-C8</f>
        <v>673.72695617175236</v>
      </c>
      <c r="D16" s="11">
        <f>D15-D9-D8</f>
        <v>1465.2407581991524</v>
      </c>
      <c r="E16" s="11">
        <f>E15-E9-E8</f>
        <v>3042.4660477840262</v>
      </c>
      <c r="F16" s="11">
        <f>F15-F9-F8</f>
        <v>3703.9961167592046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1"/>
  <sheetViews>
    <sheetView showGridLines="0" topLeftCell="A55" zoomScale="115" zoomScaleNormal="115" workbookViewId="0">
      <selection activeCell="I71" sqref="I71"/>
    </sheetView>
  </sheetViews>
  <sheetFormatPr defaultColWidth="8.5703125" defaultRowHeight="15" x14ac:dyDescent="0.25"/>
  <cols>
    <col min="1" max="1" width="55" style="1" customWidth="1"/>
    <col min="2" max="9" width="13" style="1" customWidth="1"/>
  </cols>
  <sheetData>
    <row r="1" spans="1:9" ht="17.25" customHeight="1" x14ac:dyDescent="0.25">
      <c r="A1" s="63" t="s">
        <v>212</v>
      </c>
      <c r="B1" s="63"/>
      <c r="C1" s="63"/>
      <c r="D1" s="63"/>
      <c r="E1" s="63"/>
      <c r="F1" s="63"/>
      <c r="G1" s="63"/>
      <c r="H1" s="63"/>
      <c r="I1" s="63"/>
    </row>
    <row r="3" spans="1:9" ht="15" customHeight="1" x14ac:dyDescent="0.25">
      <c r="B3" s="10" t="s">
        <v>213</v>
      </c>
      <c r="C3" s="10" t="s">
        <v>214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</row>
    <row r="5" spans="1:9" ht="15" customHeight="1" x14ac:dyDescent="0.25">
      <c r="A5" s="2" t="s">
        <v>215</v>
      </c>
      <c r="B5" s="36">
        <v>391.55</v>
      </c>
      <c r="C5" s="36">
        <v>508.678</v>
      </c>
      <c r="D5" s="36">
        <v>718.93399999999997</v>
      </c>
      <c r="E5" s="11">
        <f>'Revenue Model'!M54</f>
        <v>2437.5935207887997</v>
      </c>
      <c r="F5" s="11">
        <f>'Revenue Model'!O54</f>
        <v>5937.110751388801</v>
      </c>
      <c r="G5" s="11">
        <f>'Revenue Model'!Q54</f>
        <v>8038.7307609887994</v>
      </c>
      <c r="H5" s="11">
        <f>'Revenue Model'!S54</f>
        <v>10353.3154809888</v>
      </c>
      <c r="I5" s="11">
        <f>'Revenue Model'!U54</f>
        <v>11021.703480988801</v>
      </c>
    </row>
    <row r="7" spans="1:9" ht="15" customHeight="1" x14ac:dyDescent="0.25">
      <c r="A7" s="1" t="s">
        <v>216</v>
      </c>
      <c r="B7" s="36">
        <v>32.896999999999998</v>
      </c>
      <c r="C7" s="36">
        <v>61.101999999999997</v>
      </c>
      <c r="D7" s="36">
        <v>85.995999999999995</v>
      </c>
      <c r="E7" s="11">
        <f>D7*(1+Assumptions!$B$17)</f>
        <v>90.2958</v>
      </c>
      <c r="F7" s="11">
        <f>E7*(1+Assumptions!$B$17)</f>
        <v>94.810590000000005</v>
      </c>
      <c r="G7" s="11">
        <f>F7*(1+Assumptions!$B$17)</f>
        <v>99.551119500000013</v>
      </c>
      <c r="H7" s="11">
        <f>G7*(1+Assumptions!$B$17)</f>
        <v>104.52867547500001</v>
      </c>
      <c r="I7" s="11">
        <f>H7*(1+Assumptions!$B$17)</f>
        <v>109.75510924875002</v>
      </c>
    </row>
    <row r="8" spans="1:9" ht="15" customHeight="1" x14ac:dyDescent="0.25">
      <c r="A8" s="2" t="s">
        <v>217</v>
      </c>
      <c r="B8" s="16">
        <f t="shared" ref="B8:I8" si="0">B5+B7</f>
        <v>424.447</v>
      </c>
      <c r="C8" s="16">
        <f t="shared" si="0"/>
        <v>569.78</v>
      </c>
      <c r="D8" s="16">
        <f t="shared" si="0"/>
        <v>804.93</v>
      </c>
      <c r="E8" s="16">
        <f t="shared" si="0"/>
        <v>2527.8893207887995</v>
      </c>
      <c r="F8" s="16">
        <f t="shared" si="0"/>
        <v>6031.921341388801</v>
      </c>
      <c r="G8" s="16">
        <f t="shared" si="0"/>
        <v>8138.2818804887993</v>
      </c>
      <c r="H8" s="16">
        <f t="shared" si="0"/>
        <v>10457.8441564638</v>
      </c>
      <c r="I8" s="16">
        <f t="shared" si="0"/>
        <v>11131.458590237551</v>
      </c>
    </row>
    <row r="10" spans="1:9" ht="15" customHeight="1" x14ac:dyDescent="0.25">
      <c r="A10" s="1" t="s">
        <v>218</v>
      </c>
      <c r="B10" s="36">
        <v>0</v>
      </c>
      <c r="C10" s="36">
        <v>0</v>
      </c>
      <c r="D10" s="36">
        <v>2.323</v>
      </c>
      <c r="E10" s="11">
        <f>D10*(1+Assumptions!$B$17)</f>
        <v>2.4391500000000002</v>
      </c>
      <c r="F10" s="11">
        <f>E10*(1+Assumptions!$B$17)</f>
        <v>2.5611075000000003</v>
      </c>
      <c r="G10" s="11">
        <f>F10*(1+Assumptions!$B$17)</f>
        <v>2.6891628750000005</v>
      </c>
      <c r="H10" s="11">
        <f>G10*(1+Assumptions!$B$17)</f>
        <v>2.8236210187500008</v>
      </c>
      <c r="I10" s="11">
        <f>H10*(1+Assumptions!$B$17)</f>
        <v>2.9648020696875008</v>
      </c>
    </row>
    <row r="12" spans="1:9" ht="15" customHeight="1" x14ac:dyDescent="0.25">
      <c r="A12" s="2" t="s">
        <v>219</v>
      </c>
    </row>
    <row r="13" spans="1:9" ht="15" customHeight="1" x14ac:dyDescent="0.25">
      <c r="A13" s="1" t="s">
        <v>220</v>
      </c>
      <c r="B13" s="36">
        <v>11.308</v>
      </c>
      <c r="C13" s="36">
        <v>19.050999999999998</v>
      </c>
      <c r="D13" s="36">
        <v>16.663</v>
      </c>
      <c r="E13" s="11">
        <f>D13*('Revenue Model'!M56/Assumptions!$B$76)*(1+Assumptions!$B$17)</f>
        <v>43.974238355233354</v>
      </c>
      <c r="F13" s="11">
        <f>E13*('Revenue Model'!O56/'Revenue Model'!M56)*(1+Assumptions!$B$17)</f>
        <v>69.785221580199362</v>
      </c>
      <c r="G13" s="11">
        <f>F13*('Revenue Model'!Q56/'Revenue Model'!O56)*(1+Assumptions!$B$17)</f>
        <v>96.872880716526964</v>
      </c>
      <c r="H13" s="11">
        <f>G13*('Revenue Model'!S56/'Revenue Model'!Q56)*(1+Assumptions!$B$17)</f>
        <v>120.98854983249603</v>
      </c>
      <c r="I13" s="11">
        <f>H13*('Revenue Model'!U56/'Revenue Model'!S56)*(1+Assumptions!$B$17)</f>
        <v>127.03797732412085</v>
      </c>
    </row>
    <row r="14" spans="1:9" ht="15" customHeight="1" x14ac:dyDescent="0.25">
      <c r="A14" s="1" t="s">
        <v>221</v>
      </c>
      <c r="B14" s="36">
        <v>1.29</v>
      </c>
      <c r="C14" s="36">
        <v>2.2130000000000001</v>
      </c>
      <c r="D14" s="36">
        <v>2.48</v>
      </c>
      <c r="E14" s="11">
        <f>E13*Assumptions!$B$77</f>
        <v>6.5433666672587227</v>
      </c>
      <c r="F14" s="11">
        <f>F13*Assumptions!$B$77</f>
        <v>10.384040971133665</v>
      </c>
      <c r="G14" s="11">
        <f>G13*Assumptions!$B$77</f>
        <v>14.414684650619211</v>
      </c>
      <c r="H14" s="11">
        <f>H13*Assumptions!$B$77</f>
        <v>18.003096215075409</v>
      </c>
      <c r="I14" s="11">
        <f>I13*Assumptions!$B$77</f>
        <v>18.903251025829181</v>
      </c>
    </row>
    <row r="15" spans="1:9" ht="15" customHeight="1" x14ac:dyDescent="0.25">
      <c r="A15" s="1" t="s">
        <v>222</v>
      </c>
      <c r="B15" s="36">
        <v>1.522</v>
      </c>
      <c r="C15" s="36">
        <v>2.1779999999999999</v>
      </c>
      <c r="D15" s="36">
        <v>2.5139999999999998</v>
      </c>
      <c r="E15" s="11">
        <f>D15*('Revenue Model'!M56/Assumptions!$B$76)*(1+Assumptions!$B$17)</f>
        <v>6.6345337109198015</v>
      </c>
      <c r="F15" s="11">
        <f>E15*('Revenue Model'!O56/'Revenue Model'!M56)*(1+Assumptions!$B$17)</f>
        <v>10.528719141368374</v>
      </c>
      <c r="G15" s="11">
        <f>F15*('Revenue Model'!Q56/'Revenue Model'!O56)*(1+Assumptions!$B$17)</f>
        <v>14.615520741844135</v>
      </c>
      <c r="H15" s="11">
        <f>G15*('Revenue Model'!S56/'Revenue Model'!Q56)*(1+Assumptions!$B$17)</f>
        <v>18.253928721052336</v>
      </c>
      <c r="I15" s="11">
        <f>H15*('Revenue Model'!U56/'Revenue Model'!S56)*(1+Assumptions!$B$17)</f>
        <v>19.166625157104953</v>
      </c>
    </row>
    <row r="16" spans="1:9" ht="15" customHeight="1" x14ac:dyDescent="0.25">
      <c r="A16" s="1" t="s">
        <v>223</v>
      </c>
      <c r="B16" s="36">
        <v>0</v>
      </c>
      <c r="C16" s="36">
        <v>0</v>
      </c>
      <c r="D16" s="36">
        <v>8.8659999999999997</v>
      </c>
      <c r="E16" s="11">
        <f>D16</f>
        <v>8.8659999999999997</v>
      </c>
      <c r="F16" s="11">
        <f>E16</f>
        <v>8.8659999999999997</v>
      </c>
      <c r="G16" s="11">
        <f>F16</f>
        <v>8.8659999999999997</v>
      </c>
      <c r="H16" s="11">
        <f>G16</f>
        <v>8.8659999999999997</v>
      </c>
      <c r="I16" s="11">
        <f>H16</f>
        <v>8.8659999999999997</v>
      </c>
    </row>
    <row r="17" spans="1:9" ht="15" customHeight="1" x14ac:dyDescent="0.25">
      <c r="A17" s="2" t="s">
        <v>224</v>
      </c>
      <c r="B17" s="16">
        <f t="shared" ref="B17:I17" si="1">SUM(B13:B16)</f>
        <v>14.12</v>
      </c>
      <c r="C17" s="16">
        <f t="shared" si="1"/>
        <v>23.442</v>
      </c>
      <c r="D17" s="16">
        <f t="shared" si="1"/>
        <v>30.523</v>
      </c>
      <c r="E17" s="16">
        <f t="shared" si="1"/>
        <v>66.018138733411888</v>
      </c>
      <c r="F17" s="16">
        <f t="shared" si="1"/>
        <v>99.56398169270139</v>
      </c>
      <c r="G17" s="16">
        <f t="shared" si="1"/>
        <v>134.76908610899031</v>
      </c>
      <c r="H17" s="16">
        <f t="shared" si="1"/>
        <v>166.11157476862377</v>
      </c>
      <c r="I17" s="16">
        <f t="shared" si="1"/>
        <v>173.97385350705497</v>
      </c>
    </row>
    <row r="19" spans="1:9" ht="15" customHeight="1" x14ac:dyDescent="0.25">
      <c r="A19" s="2" t="s">
        <v>225</v>
      </c>
    </row>
    <row r="20" spans="1:9" ht="15" customHeight="1" x14ac:dyDescent="0.25">
      <c r="A20" s="1" t="s">
        <v>226</v>
      </c>
      <c r="B20" s="36">
        <v>8.5220000000000002</v>
      </c>
      <c r="C20" s="36">
        <v>12.898</v>
      </c>
      <c r="D20" s="36">
        <v>18.533999999999999</v>
      </c>
      <c r="E20" s="11">
        <f>D20*(1+Assumptions!$B$17)</f>
        <v>19.460699999999999</v>
      </c>
      <c r="F20" s="11">
        <f>E20*(1+Assumptions!$B$17)</f>
        <v>20.433734999999999</v>
      </c>
      <c r="G20" s="11">
        <f>F20*(1+Assumptions!$B$17)</f>
        <v>21.455421749999999</v>
      </c>
      <c r="H20" s="11">
        <f>G20*(1+Assumptions!$B$17)</f>
        <v>22.528192837500001</v>
      </c>
      <c r="I20" s="11">
        <f>H20*(1+Assumptions!$B$17)</f>
        <v>23.654602479375001</v>
      </c>
    </row>
    <row r="21" spans="1:9" ht="15" customHeight="1" x14ac:dyDescent="0.25">
      <c r="A21" s="1" t="s">
        <v>227</v>
      </c>
      <c r="B21" s="36">
        <v>28.652000000000001</v>
      </c>
      <c r="C21" s="36">
        <v>46.180999999999997</v>
      </c>
      <c r="D21" s="36">
        <v>57.042999999999999</v>
      </c>
      <c r="E21" s="11">
        <f>D21*('Revenue Model'!M56/Assumptions!$B$76)*(1+Assumptions!$B$17)</f>
        <v>150.53846717263255</v>
      </c>
      <c r="F21" s="11">
        <f>E21*('Revenue Model'!O56/'Revenue Model'!M56)*(1+Assumptions!$B$17)</f>
        <v>238.8980612494336</v>
      </c>
      <c r="G21" s="11">
        <f>F21*('Revenue Model'!Q56/'Revenue Model'!O56)*(1+Assumptions!$B$17)</f>
        <v>331.62814227407114</v>
      </c>
      <c r="H21" s="11">
        <f>G21*('Revenue Model'!S56/'Revenue Model'!Q56)*(1+Assumptions!$B$17)</f>
        <v>414.18411139021009</v>
      </c>
      <c r="I21" s="11">
        <f>H21*('Revenue Model'!U56/'Revenue Model'!S56)*(1+Assumptions!$B$17)</f>
        <v>434.89331695972061</v>
      </c>
    </row>
    <row r="22" spans="1:9" ht="15" customHeight="1" x14ac:dyDescent="0.25">
      <c r="A22" s="1" t="s">
        <v>228</v>
      </c>
      <c r="B22" s="36">
        <v>0.54200000000000004</v>
      </c>
      <c r="C22" s="36">
        <v>0.99399999999999999</v>
      </c>
      <c r="D22" s="36">
        <v>1.405</v>
      </c>
      <c r="E22" s="11">
        <f>Assumptions!$B$71*AVERAGE(B38,C38,D38)</f>
        <v>0.78004000000000007</v>
      </c>
      <c r="F22" s="11">
        <f>Assumptions!$B$71*AVERAGE(C38,D38,E38)</f>
        <v>2.6930367570533367</v>
      </c>
      <c r="G22" s="11">
        <f>Assumptions!$B$71*AVERAGE(D38,E38,F38)</f>
        <v>10.931230331992779</v>
      </c>
      <c r="H22" s="11">
        <f>Assumptions!$B$71*AVERAGE(E38,F38,G38)</f>
        <v>23.379471039007299</v>
      </c>
      <c r="I22" s="11">
        <f>Assumptions!$B$71*AVERAGE(F38,G38,H38)</f>
        <v>42.327158450225113</v>
      </c>
    </row>
    <row r="23" spans="1:9" ht="15" customHeight="1" x14ac:dyDescent="0.25">
      <c r="A23" s="1" t="s">
        <v>229</v>
      </c>
      <c r="B23" s="36">
        <v>1.758</v>
      </c>
      <c r="C23" s="36">
        <v>0.57999999999999996</v>
      </c>
      <c r="D23" s="36">
        <v>2.9180000000000001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</row>
    <row r="24" spans="1:9" ht="15" customHeight="1" x14ac:dyDescent="0.25">
      <c r="A24" s="2" t="s">
        <v>230</v>
      </c>
      <c r="B24" s="16">
        <f t="shared" ref="B24:I24" si="2">SUM(B20:B23)</f>
        <v>39.474000000000004</v>
      </c>
      <c r="C24" s="16">
        <f t="shared" si="2"/>
        <v>60.652999999999992</v>
      </c>
      <c r="D24" s="16">
        <f t="shared" si="2"/>
        <v>79.900000000000006</v>
      </c>
      <c r="E24" s="16">
        <f t="shared" si="2"/>
        <v>170.77920717263257</v>
      </c>
      <c r="F24" s="16">
        <f t="shared" si="2"/>
        <v>262.02483300648692</v>
      </c>
      <c r="G24" s="16">
        <f t="shared" si="2"/>
        <v>364.01479435606393</v>
      </c>
      <c r="H24" s="16">
        <f t="shared" si="2"/>
        <v>460.09177526671738</v>
      </c>
      <c r="I24" s="16">
        <f t="shared" si="2"/>
        <v>500.87507788932072</v>
      </c>
    </row>
    <row r="26" spans="1:9" ht="15" customHeight="1" x14ac:dyDescent="0.25">
      <c r="A26" s="2" t="s">
        <v>231</v>
      </c>
      <c r="B26" s="16">
        <f t="shared" ref="B26:I26" si="3">B8-B10-B17-B24</f>
        <v>370.85300000000001</v>
      </c>
      <c r="C26" s="16">
        <f t="shared" si="3"/>
        <v>485.68499999999995</v>
      </c>
      <c r="D26" s="16">
        <f t="shared" si="3"/>
        <v>692.18399999999997</v>
      </c>
      <c r="E26" s="16">
        <f t="shared" si="3"/>
        <v>2288.6528248827549</v>
      </c>
      <c r="F26" s="16">
        <f t="shared" si="3"/>
        <v>5667.771419189613</v>
      </c>
      <c r="G26" s="16">
        <f t="shared" si="3"/>
        <v>7636.8088371487447</v>
      </c>
      <c r="H26" s="16">
        <f t="shared" si="3"/>
        <v>9828.8171854097091</v>
      </c>
      <c r="I26" s="16">
        <f t="shared" si="3"/>
        <v>10453.644856771487</v>
      </c>
    </row>
    <row r="27" spans="1:9" ht="15" customHeight="1" x14ac:dyDescent="0.25">
      <c r="A27" s="1" t="s">
        <v>15</v>
      </c>
      <c r="B27" s="12">
        <f t="shared" ref="B27:I27" si="4">B26/B8</f>
        <v>0.87373217386387469</v>
      </c>
      <c r="C27" s="12">
        <f t="shared" si="4"/>
        <v>0.85240794692688404</v>
      </c>
      <c r="D27" s="12">
        <f t="shared" si="4"/>
        <v>0.85993067720174432</v>
      </c>
      <c r="E27" s="12">
        <f t="shared" si="4"/>
        <v>0.90536116674942335</v>
      </c>
      <c r="F27" s="12">
        <f t="shared" si="4"/>
        <v>0.93962953069355748</v>
      </c>
      <c r="G27" s="12">
        <f t="shared" si="4"/>
        <v>0.93838096901726686</v>
      </c>
      <c r="H27" s="12">
        <f t="shared" si="4"/>
        <v>0.93985118140574886</v>
      </c>
      <c r="I27" s="12">
        <f t="shared" si="4"/>
        <v>0.93910827337034553</v>
      </c>
    </row>
    <row r="28" spans="1:9" ht="18.75" customHeight="1" x14ac:dyDescent="0.3">
      <c r="A28" s="49" t="s">
        <v>232</v>
      </c>
      <c r="B28" s="16">
        <f t="shared" ref="B28:I28" si="5">B26*10</f>
        <v>3708.53</v>
      </c>
      <c r="C28" s="16">
        <f t="shared" si="5"/>
        <v>4856.8499999999995</v>
      </c>
      <c r="D28" s="16">
        <f t="shared" si="5"/>
        <v>6921.84</v>
      </c>
      <c r="E28" s="16">
        <f t="shared" si="5"/>
        <v>22886.528248827548</v>
      </c>
      <c r="F28" s="16">
        <f t="shared" si="5"/>
        <v>56677.714191896128</v>
      </c>
      <c r="G28" s="16">
        <f t="shared" si="5"/>
        <v>76368.088371487451</v>
      </c>
      <c r="H28" s="16">
        <f t="shared" si="5"/>
        <v>98288.171854097091</v>
      </c>
      <c r="I28" s="16">
        <f t="shared" si="5"/>
        <v>104536.44856771486</v>
      </c>
    </row>
    <row r="29" spans="1:9" ht="15" customHeight="1" x14ac:dyDescent="0.25">
      <c r="A29" s="1" t="s">
        <v>233</v>
      </c>
      <c r="B29" s="36">
        <v>122.152</v>
      </c>
      <c r="C29" s="36">
        <v>166.37799999999999</v>
      </c>
      <c r="D29" s="36">
        <v>236.864</v>
      </c>
      <c r="E29" s="11">
        <f>E55</f>
        <v>636.85098888208313</v>
      </c>
      <c r="F29" s="11">
        <f>F55</f>
        <v>1271.6231632293407</v>
      </c>
      <c r="G29" s="11">
        <f>G55</f>
        <v>1789.5075932552725</v>
      </c>
      <c r="H29" s="11">
        <f>H55</f>
        <v>2135.6924260080455</v>
      </c>
      <c r="I29" s="11">
        <f>I55</f>
        <v>2227.3774382621305</v>
      </c>
    </row>
    <row r="30" spans="1:9" ht="15" customHeight="1" x14ac:dyDescent="0.25">
      <c r="A30" s="2" t="s">
        <v>234</v>
      </c>
      <c r="B30" s="16">
        <f t="shared" ref="B30:I30" si="6">B26-B29</f>
        <v>248.70100000000002</v>
      </c>
      <c r="C30" s="16">
        <f t="shared" si="6"/>
        <v>319.30699999999996</v>
      </c>
      <c r="D30" s="16">
        <f t="shared" si="6"/>
        <v>455.31999999999994</v>
      </c>
      <c r="E30" s="16">
        <f t="shared" si="6"/>
        <v>1651.8018360006718</v>
      </c>
      <c r="F30" s="16">
        <f t="shared" si="6"/>
        <v>4396.1482559602719</v>
      </c>
      <c r="G30" s="16">
        <f t="shared" si="6"/>
        <v>5847.301243893472</v>
      </c>
      <c r="H30" s="16">
        <f t="shared" si="6"/>
        <v>7693.1247594016641</v>
      </c>
      <c r="I30" s="16">
        <f t="shared" si="6"/>
        <v>8226.2674185093565</v>
      </c>
    </row>
    <row r="32" spans="1:9" ht="15" customHeight="1" x14ac:dyDescent="0.25">
      <c r="A32" s="1" t="s">
        <v>235</v>
      </c>
      <c r="B32" s="36">
        <v>178.22300000000001</v>
      </c>
      <c r="C32" s="36">
        <v>245.07</v>
      </c>
      <c r="D32" s="36">
        <v>360.57400000000001</v>
      </c>
      <c r="E32" s="11">
        <f>'Debt Model'!B12</f>
        <v>1130.5473374999999</v>
      </c>
      <c r="F32" s="11">
        <f>'Debt Model'!C12</f>
        <v>2454.5105068292869</v>
      </c>
      <c r="G32" s="11">
        <f>'Debt Model'!D12</f>
        <v>2929.456610204641</v>
      </c>
      <c r="H32" s="11">
        <f>'Debt Model'!E12</f>
        <v>2969.3908170474078</v>
      </c>
      <c r="I32" s="11">
        <f>'Debt Model'!F12</f>
        <v>2814.7425177570681</v>
      </c>
    </row>
    <row r="33" spans="1:9" ht="15" customHeight="1" x14ac:dyDescent="0.25">
      <c r="A33" s="1" t="s">
        <v>236</v>
      </c>
      <c r="B33" s="36">
        <v>12.973000000000001</v>
      </c>
      <c r="C33" s="36">
        <v>19.338999999999999</v>
      </c>
      <c r="D33" s="36">
        <v>39.552</v>
      </c>
      <c r="E33" s="11">
        <f>E71</f>
        <v>82.310185000000004</v>
      </c>
      <c r="F33" s="11">
        <f>F71</f>
        <v>233.97729780089605</v>
      </c>
      <c r="G33" s="11">
        <f>G71</f>
        <v>357.17335039731665</v>
      </c>
      <c r="H33" s="11">
        <f>H71</f>
        <v>469.81900914529984</v>
      </c>
      <c r="I33" s="11">
        <f>I71</f>
        <v>550.87469093754521</v>
      </c>
    </row>
    <row r="34" spans="1:9" ht="15" customHeight="1" x14ac:dyDescent="0.25">
      <c r="A34" s="2" t="s">
        <v>237</v>
      </c>
      <c r="B34" s="16">
        <f t="shared" ref="B34:I34" si="7">B32+B33</f>
        <v>191.19600000000003</v>
      </c>
      <c r="C34" s="16">
        <f t="shared" si="7"/>
        <v>264.40899999999999</v>
      </c>
      <c r="D34" s="16">
        <f t="shared" si="7"/>
        <v>400.12600000000003</v>
      </c>
      <c r="E34" s="16">
        <f t="shared" si="7"/>
        <v>1212.8575225</v>
      </c>
      <c r="F34" s="16">
        <f t="shared" si="7"/>
        <v>2688.4878046301828</v>
      </c>
      <c r="G34" s="16">
        <f t="shared" si="7"/>
        <v>3286.6299606019575</v>
      </c>
      <c r="H34" s="16">
        <f t="shared" si="7"/>
        <v>3439.2098261927076</v>
      </c>
      <c r="I34" s="16">
        <f t="shared" si="7"/>
        <v>3365.6172086946135</v>
      </c>
    </row>
    <row r="36" spans="1:9" ht="15" customHeight="1" x14ac:dyDescent="0.25">
      <c r="A36" s="2" t="s">
        <v>238</v>
      </c>
      <c r="B36" s="16">
        <f t="shared" ref="B36:I36" si="8">B30-B34</f>
        <v>57.504999999999995</v>
      </c>
      <c r="C36" s="16">
        <f t="shared" si="8"/>
        <v>54.897999999999968</v>
      </c>
      <c r="D36" s="16">
        <f t="shared" si="8"/>
        <v>55.193999999999903</v>
      </c>
      <c r="E36" s="16">
        <f t="shared" si="8"/>
        <v>438.9443135006718</v>
      </c>
      <c r="F36" s="16">
        <f t="shared" si="8"/>
        <v>1707.660451330089</v>
      </c>
      <c r="G36" s="16">
        <f t="shared" si="8"/>
        <v>2560.6712832915146</v>
      </c>
      <c r="H36" s="16">
        <f t="shared" si="8"/>
        <v>4253.9149332089564</v>
      </c>
      <c r="I36" s="16">
        <f t="shared" si="8"/>
        <v>4860.650209814743</v>
      </c>
    </row>
    <row r="37" spans="1:9" ht="15" customHeight="1" x14ac:dyDescent="0.25">
      <c r="A37" s="1" t="s">
        <v>239</v>
      </c>
      <c r="B37" s="36">
        <v>17.431000000000001</v>
      </c>
      <c r="C37" s="36">
        <v>18.420000000000002</v>
      </c>
      <c r="D37" s="36">
        <v>14.73</v>
      </c>
      <c r="E37" s="11">
        <f>E36*Assumptions!$B$14</f>
        <v>111.93079994267131</v>
      </c>
      <c r="F37" s="11">
        <f>F36*Assumptions!$B$14</f>
        <v>435.45341508917272</v>
      </c>
      <c r="G37" s="11">
        <f>G36*Assumptions!$B$14</f>
        <v>652.97117723933627</v>
      </c>
      <c r="H37" s="11">
        <f>H36*Assumptions!$B$14</f>
        <v>1084.7483079682838</v>
      </c>
      <c r="I37" s="11">
        <f>I36*Assumptions!$B$14</f>
        <v>1239.4658035027594</v>
      </c>
    </row>
    <row r="38" spans="1:9" ht="15" customHeight="1" x14ac:dyDescent="0.25">
      <c r="A38" s="2" t="s">
        <v>240</v>
      </c>
      <c r="B38" s="36">
        <v>40.064</v>
      </c>
      <c r="C38" s="36">
        <v>36.478000000000002</v>
      </c>
      <c r="D38" s="36">
        <v>40.463999999999999</v>
      </c>
      <c r="E38" s="16">
        <f>E36-E37</f>
        <v>327.01351355800045</v>
      </c>
      <c r="F38" s="16">
        <f>F36-F37</f>
        <v>1272.2070362409163</v>
      </c>
      <c r="G38" s="16">
        <f>G36-G37</f>
        <v>1907.7001060521784</v>
      </c>
      <c r="H38" s="16">
        <f>H36-H37</f>
        <v>3169.1666252406726</v>
      </c>
      <c r="I38" s="16">
        <f>I36-I37</f>
        <v>3621.1844063119834</v>
      </c>
    </row>
    <row r="39" spans="1:9" x14ac:dyDescent="0.25">
      <c r="A39" s="1" t="s">
        <v>241</v>
      </c>
      <c r="B39" s="57">
        <f t="shared" ref="B39:I39" si="9">B38*20</f>
        <v>801.28</v>
      </c>
      <c r="C39" s="57">
        <f t="shared" si="9"/>
        <v>729.56000000000006</v>
      </c>
      <c r="D39" s="57">
        <f t="shared" si="9"/>
        <v>809.28</v>
      </c>
      <c r="E39" s="57">
        <f t="shared" si="9"/>
        <v>6540.2702711600086</v>
      </c>
      <c r="F39" s="57">
        <f t="shared" si="9"/>
        <v>25444.140724818324</v>
      </c>
      <c r="G39" s="57">
        <f t="shared" si="9"/>
        <v>38154.002121043566</v>
      </c>
      <c r="H39" s="57">
        <f t="shared" si="9"/>
        <v>63383.33250481345</v>
      </c>
      <c r="I39" s="57">
        <f t="shared" si="9"/>
        <v>72423.688126239664</v>
      </c>
    </row>
    <row r="42" spans="1:9" ht="15" customHeight="1" x14ac:dyDescent="0.25">
      <c r="A42" s="2" t="s">
        <v>242</v>
      </c>
    </row>
    <row r="44" spans="1:9" ht="15" customHeight="1" x14ac:dyDescent="0.25">
      <c r="B44" s="2" t="s">
        <v>213</v>
      </c>
      <c r="C44" s="2" t="s">
        <v>214</v>
      </c>
      <c r="D44" s="2" t="s">
        <v>7</v>
      </c>
      <c r="E44" s="2" t="s">
        <v>8</v>
      </c>
      <c r="F44" s="2" t="s">
        <v>9</v>
      </c>
      <c r="G44" s="2" t="s">
        <v>10</v>
      </c>
      <c r="H44" s="2" t="s">
        <v>11</v>
      </c>
      <c r="I44" s="2" t="s">
        <v>12</v>
      </c>
    </row>
    <row r="45" spans="1:9" ht="15" customHeight="1" x14ac:dyDescent="0.25">
      <c r="A45" s="1" t="s">
        <v>243</v>
      </c>
      <c r="E45" s="11">
        <f>D48</f>
        <v>3327.5</v>
      </c>
      <c r="F45" s="11">
        <f>E48</f>
        <v>3363.2088819642486</v>
      </c>
      <c r="G45" s="11">
        <f>F48</f>
        <v>3228.6805266856786</v>
      </c>
      <c r="H45" s="11">
        <f>G48</f>
        <v>3099.5333056182517</v>
      </c>
      <c r="I45" s="11">
        <f>H48</f>
        <v>2975.5519733935216</v>
      </c>
    </row>
    <row r="46" spans="1:9" ht="15" customHeight="1" x14ac:dyDescent="0.25">
      <c r="A46" s="1" t="s">
        <v>244</v>
      </c>
      <c r="E46" s="11">
        <f>'Capex Model'!L40</f>
        <v>172.25396118800862</v>
      </c>
      <c r="F46" s="11">
        <f>'Capex Model'!M40</f>
        <v>0</v>
      </c>
      <c r="G46" s="11">
        <f>'Capex Model'!N40</f>
        <v>0</v>
      </c>
      <c r="H46" s="11">
        <f>'Capex Model'!O40</f>
        <v>0</v>
      </c>
      <c r="I46" s="11">
        <f>'Capex Model'!P40</f>
        <v>0</v>
      </c>
    </row>
    <row r="47" spans="1:9" ht="15" customHeight="1" x14ac:dyDescent="0.25">
      <c r="A47" s="1" t="s">
        <v>245</v>
      </c>
      <c r="E47" s="11">
        <f>E45/Assumptions!$B$29+E46/Assumptions!$B$29*0.5</f>
        <v>136.54507922376015</v>
      </c>
      <c r="F47" s="11">
        <f>F45/Assumptions!$B$29+F46/Assumptions!$B$29*0.5</f>
        <v>134.52835527856993</v>
      </c>
      <c r="G47" s="11">
        <f>G45/Assumptions!$B$29+G46/Assumptions!$B$29*0.5</f>
        <v>129.14722106742715</v>
      </c>
      <c r="H47" s="11">
        <f>H45/Assumptions!$B$29+H46/Assumptions!$B$29*0.5</f>
        <v>123.98133222473007</v>
      </c>
      <c r="I47" s="11">
        <f>I45/Assumptions!$B$29+I46/Assumptions!$B$29*0.5</f>
        <v>119.02207893574086</v>
      </c>
    </row>
    <row r="48" spans="1:9" ht="15" customHeight="1" x14ac:dyDescent="0.25">
      <c r="A48" s="1" t="s">
        <v>246</v>
      </c>
      <c r="D48" s="36">
        <v>3327.5</v>
      </c>
      <c r="E48" s="11">
        <f>E45+E46-E47</f>
        <v>3363.2088819642486</v>
      </c>
      <c r="F48" s="11">
        <f>F45+F46-F47</f>
        <v>3228.6805266856786</v>
      </c>
      <c r="G48" s="11">
        <f>G45+G46-G47</f>
        <v>3099.5333056182517</v>
      </c>
      <c r="H48" s="11">
        <f>H45+H46-H47</f>
        <v>2975.5519733935216</v>
      </c>
      <c r="I48" s="11">
        <f>I45+I46-I47</f>
        <v>2856.5298944577808</v>
      </c>
    </row>
    <row r="50" spans="1:9" ht="15" customHeight="1" x14ac:dyDescent="0.25">
      <c r="A50" s="1" t="s">
        <v>247</v>
      </c>
      <c r="E50" s="11">
        <f>D53</f>
        <v>3059.3</v>
      </c>
      <c r="F50" s="11">
        <f>E53</f>
        <v>15658.460487571687</v>
      </c>
      <c r="G50" s="11">
        <f>F53</f>
        <v>28310.866136979668</v>
      </c>
      <c r="H50" s="11">
        <f>G53</f>
        <v>36332.710153480592</v>
      </c>
      <c r="I50" s="11">
        <f>H53</f>
        <v>41921.324548019351</v>
      </c>
    </row>
    <row r="51" spans="1:9" ht="15" customHeight="1" x14ac:dyDescent="0.25">
      <c r="A51" s="1" t="s">
        <v>248</v>
      </c>
      <c r="E51" s="11">
        <f>'Capex Model'!L41</f>
        <v>13034.457243096611</v>
      </c>
      <c r="F51" s="11">
        <f>'Capex Model'!M41</f>
        <v>13674.948129048709</v>
      </c>
      <c r="G51" s="11">
        <f>'Capex Model'!N41</f>
        <v>9525.1829999999991</v>
      </c>
      <c r="H51" s="11">
        <f>'Capex Model'!O41</f>
        <v>7408.4756666666672</v>
      </c>
      <c r="I51" s="11">
        <f>'Capex Model'!P41</f>
        <v>0</v>
      </c>
    </row>
    <row r="52" spans="1:9" ht="15" customHeight="1" x14ac:dyDescent="0.25">
      <c r="A52" s="1" t="s">
        <v>249</v>
      </c>
      <c r="E52" s="11">
        <f>E50/Assumptions!$B$30+E51/Assumptions!$B$30*0.5</f>
        <v>435.29675552492296</v>
      </c>
      <c r="F52" s="11">
        <f>F50/Assumptions!$B$30+F51/Assumptions!$B$30*0.5</f>
        <v>1022.5424796407292</v>
      </c>
      <c r="G52" s="11">
        <f>G50/Assumptions!$B$30+G51/Assumptions!$B$30*0.5</f>
        <v>1503.3389834990758</v>
      </c>
      <c r="H52" s="11">
        <f>H50/Assumptions!$B$30+H51/Assumptions!$B$30*0.5</f>
        <v>1819.8612721279055</v>
      </c>
      <c r="I52" s="11">
        <f>I50/Assumptions!$B$30+I51/Assumptions!$B$30*0.5</f>
        <v>1905.5147521826977</v>
      </c>
    </row>
    <row r="53" spans="1:9" ht="15" customHeight="1" x14ac:dyDescent="0.25">
      <c r="A53" s="1" t="s">
        <v>250</v>
      </c>
      <c r="D53" s="36">
        <v>3059.3</v>
      </c>
      <c r="E53" s="11">
        <f>E50+E51-E52</f>
        <v>15658.460487571687</v>
      </c>
      <c r="F53" s="11">
        <f>F50+F51-F52</f>
        <v>28310.866136979668</v>
      </c>
      <c r="G53" s="11">
        <f>G50+G51-G52</f>
        <v>36332.710153480592</v>
      </c>
      <c r="H53" s="11">
        <f>H50+H51-H52</f>
        <v>41921.324548019351</v>
      </c>
      <c r="I53" s="11">
        <f>I50+I51-I52</f>
        <v>40015.809795836656</v>
      </c>
    </row>
    <row r="55" spans="1:9" ht="15" customHeight="1" x14ac:dyDescent="0.25">
      <c r="A55" s="2" t="s">
        <v>251</v>
      </c>
      <c r="E55" s="16">
        <f>E47+E52+E61</f>
        <v>636.85098888208313</v>
      </c>
      <c r="F55" s="16">
        <f>F47+F52+F61</f>
        <v>1271.6231632293407</v>
      </c>
      <c r="G55" s="16">
        <f>G47+G52+G61</f>
        <v>1789.5075932552725</v>
      </c>
      <c r="H55" s="16">
        <f>H47+H52+H61</f>
        <v>2135.6924260080455</v>
      </c>
      <c r="I55" s="16">
        <f>I47+I52+I61</f>
        <v>2227.3774382621305</v>
      </c>
    </row>
    <row r="57" spans="1:9" x14ac:dyDescent="0.25">
      <c r="A57" s="2" t="s">
        <v>252</v>
      </c>
    </row>
    <row r="58" spans="1:9" x14ac:dyDescent="0.25">
      <c r="A58" s="1" t="s">
        <v>253</v>
      </c>
      <c r="E58" s="15">
        <f>'Revenue Model'!M56-Assumptions!$B$76</f>
        <v>2004.0000000000002</v>
      </c>
      <c r="F58" s="15">
        <f>'Revenue Model'!O56-'Revenue Model'!M56</f>
        <v>1701.9999999999995</v>
      </c>
      <c r="G58" s="15">
        <f>'Revenue Model'!Q56-'Revenue Model'!O56</f>
        <v>1620</v>
      </c>
      <c r="H58" s="15">
        <f>'Revenue Model'!S56-'Revenue Model'!Q56</f>
        <v>1260</v>
      </c>
      <c r="I58" s="15">
        <f>'Revenue Model'!U56-'Revenue Model'!S56</f>
        <v>0</v>
      </c>
    </row>
    <row r="59" spans="1:9" x14ac:dyDescent="0.25">
      <c r="A59" s="1" t="s">
        <v>254</v>
      </c>
      <c r="D59" s="36">
        <v>0</v>
      </c>
      <c r="E59" s="11">
        <f>D62</f>
        <v>1073.1959999999999</v>
      </c>
      <c r="F59" s="11">
        <f>E62</f>
        <v>2632.3257856037994</v>
      </c>
      <c r="G59" s="11">
        <f>F62</f>
        <v>3897.1569280685649</v>
      </c>
      <c r="H59" s="11">
        <f>G62</f>
        <v>5053.0622271913044</v>
      </c>
      <c r="I59" s="11">
        <f>H62</f>
        <v>5882.3776071670682</v>
      </c>
    </row>
    <row r="60" spans="1:9" x14ac:dyDescent="0.25">
      <c r="A60" s="1" t="s">
        <v>255</v>
      </c>
      <c r="E60" s="11">
        <f>E58*Assumptions!$B$83</f>
        <v>1624.1389397371997</v>
      </c>
      <c r="F60" s="11">
        <f>F58*Assumptions!$B$83</f>
        <v>1379.3834707748069</v>
      </c>
      <c r="G60" s="11">
        <f>G58*Assumptions!$B$83</f>
        <v>1312.9266878115086</v>
      </c>
      <c r="H60" s="11">
        <f>H58*Assumptions!$B$83</f>
        <v>1021.1652016311734</v>
      </c>
      <c r="I60" s="11">
        <f>I58*Assumptions!$B$83</f>
        <v>0</v>
      </c>
    </row>
    <row r="61" spans="1:9" x14ac:dyDescent="0.25">
      <c r="A61" s="1" t="s">
        <v>256</v>
      </c>
      <c r="E61" s="11">
        <f>E59/Assumptions!$B$31+E60/Assumptions!$B$31*0.5</f>
        <v>65.009154133399988</v>
      </c>
      <c r="F61" s="11">
        <f>F59/Assumptions!$B$31+F60/Assumptions!$B$31*0.5</f>
        <v>114.55232831004147</v>
      </c>
      <c r="G61" s="11">
        <f>G59/Assumptions!$B$31+G60/Assumptions!$B$31*0.5</f>
        <v>157.02138868876963</v>
      </c>
      <c r="H61" s="11">
        <f>H59/Assumptions!$B$31+H60/Assumptions!$B$31*0.5</f>
        <v>191.84982165541004</v>
      </c>
      <c r="I61" s="11">
        <f>I59/Assumptions!$B$31+I60/Assumptions!$B$31*0.5</f>
        <v>202.84060714369201</v>
      </c>
    </row>
    <row r="62" spans="1:9" x14ac:dyDescent="0.25">
      <c r="A62" s="2" t="s">
        <v>257</v>
      </c>
      <c r="D62" s="11">
        <f>'Balance Sheet'!D8</f>
        <v>1073.1959999999999</v>
      </c>
      <c r="E62" s="16">
        <f>E59+E60-E61</f>
        <v>2632.3257856037994</v>
      </c>
      <c r="F62" s="16">
        <f>F59+F60-F61</f>
        <v>3897.1569280685649</v>
      </c>
      <c r="G62" s="16">
        <f>G59+G60-G61</f>
        <v>5053.0622271913044</v>
      </c>
      <c r="H62" s="16">
        <f>H59+H60-H61</f>
        <v>5882.3776071670682</v>
      </c>
      <c r="I62" s="16">
        <f>I59+I60-I61</f>
        <v>5679.5370000233761</v>
      </c>
    </row>
    <row r="64" spans="1:9" x14ac:dyDescent="0.25">
      <c r="A64" s="1" t="s">
        <v>258</v>
      </c>
      <c r="E64" s="11">
        <f>D67</f>
        <v>839.98400000000004</v>
      </c>
      <c r="F64" s="11">
        <f>E67</f>
        <v>2435.1579742199583</v>
      </c>
      <c r="G64" s="11">
        <f>F67</f>
        <v>3730.5704803664908</v>
      </c>
      <c r="H64" s="11">
        <f>G67</f>
        <v>4914.8568067860506</v>
      </c>
      <c r="I64" s="11">
        <f>H67</f>
        <v>5766.5441874935677</v>
      </c>
    </row>
    <row r="65" spans="1:9" x14ac:dyDescent="0.25">
      <c r="A65" s="1" t="s">
        <v>259</v>
      </c>
      <c r="E65" s="11">
        <f>E60</f>
        <v>1624.1389397371997</v>
      </c>
      <c r="F65" s="11">
        <f>F60</f>
        <v>1379.3834707748069</v>
      </c>
      <c r="G65" s="11">
        <f>G60</f>
        <v>1312.9266878115086</v>
      </c>
      <c r="H65" s="11">
        <f>H60</f>
        <v>1021.1652016311734</v>
      </c>
      <c r="I65" s="11">
        <f>I60</f>
        <v>0</v>
      </c>
    </row>
    <row r="66" spans="1:9" x14ac:dyDescent="0.25">
      <c r="A66" s="1" t="s">
        <v>260</v>
      </c>
      <c r="E66" s="11">
        <f>E64/Assumptions!$B$31</f>
        <v>28.964965517241382</v>
      </c>
      <c r="F66" s="11">
        <f>F64/Assumptions!$B$31</f>
        <v>83.97096462827443</v>
      </c>
      <c r="G66" s="11">
        <f>G64/Assumptions!$B$31</f>
        <v>128.64036139194795</v>
      </c>
      <c r="H66" s="11">
        <f>H64/Assumptions!$B$31</f>
        <v>169.47782092365691</v>
      </c>
      <c r="I66" s="11">
        <f>I64/Assumptions!$B$31</f>
        <v>198.84635129288165</v>
      </c>
    </row>
    <row r="67" spans="1:9" x14ac:dyDescent="0.25">
      <c r="A67" s="2" t="s">
        <v>261</v>
      </c>
      <c r="D67" s="11">
        <f>'Balance Sheet'!D20</f>
        <v>839.98400000000004</v>
      </c>
      <c r="E67" s="16">
        <f>E64+E65-E66</f>
        <v>2435.1579742199583</v>
      </c>
      <c r="F67" s="16">
        <f>F64+F65-F66</f>
        <v>3730.5704803664908</v>
      </c>
      <c r="G67" s="16">
        <f>G64+G65-G66</f>
        <v>4914.8568067860506</v>
      </c>
      <c r="H67" s="16">
        <f>H64+H65-H66</f>
        <v>5766.5441874935677</v>
      </c>
      <c r="I67" s="16">
        <f>I64+I65-I66</f>
        <v>5567.6978362006857</v>
      </c>
    </row>
    <row r="69" spans="1:9" x14ac:dyDescent="0.25">
      <c r="A69" s="2" t="s">
        <v>262</v>
      </c>
      <c r="E69" s="16">
        <f>E64*Assumptions!$B$82</f>
        <v>79.798479999999998</v>
      </c>
      <c r="F69" s="16">
        <f>F64*Assumptions!$B$82</f>
        <v>231.34000755089605</v>
      </c>
      <c r="G69" s="16">
        <f>G64*Assumptions!$B$82</f>
        <v>354.40419563481663</v>
      </c>
      <c r="H69" s="16">
        <f>H64*Assumptions!$B$82</f>
        <v>466.91139664467482</v>
      </c>
      <c r="I69" s="16">
        <f>I64*Assumptions!$B$82</f>
        <v>547.82169781188895</v>
      </c>
    </row>
    <row r="70" spans="1:9" x14ac:dyDescent="0.25">
      <c r="A70" s="1" t="s">
        <v>263</v>
      </c>
      <c r="D70" s="36">
        <v>2.3921000000000001</v>
      </c>
      <c r="E70" s="11">
        <f>D70*(1+Assumptions!$B$17)</f>
        <v>2.5117050000000001</v>
      </c>
      <c r="F70" s="11">
        <f>E70*(1+Assumptions!$B$17)</f>
        <v>2.6372902500000004</v>
      </c>
      <c r="G70" s="11">
        <f>F70*(1+Assumptions!$B$17)</f>
        <v>2.7691547625000004</v>
      </c>
      <c r="H70" s="11">
        <f>G70*(1+Assumptions!$B$17)</f>
        <v>2.9076125006250004</v>
      </c>
      <c r="I70" s="11">
        <f>H70*(1+Assumptions!$B$17)</f>
        <v>3.0529931256562506</v>
      </c>
    </row>
    <row r="71" spans="1:9" x14ac:dyDescent="0.25">
      <c r="A71" s="2" t="s">
        <v>264</v>
      </c>
      <c r="E71" s="16">
        <f>E69+E70</f>
        <v>82.310185000000004</v>
      </c>
      <c r="F71" s="16">
        <f>F69+F70</f>
        <v>233.97729780089605</v>
      </c>
      <c r="G71" s="16">
        <f>G69+G70</f>
        <v>357.17335039731665</v>
      </c>
      <c r="H71" s="16">
        <f>H69+H70</f>
        <v>469.81900914529984</v>
      </c>
      <c r="I71" s="16">
        <f>I69+I70</f>
        <v>550.87469093754521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2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8"/>
  <sheetViews>
    <sheetView showGridLines="0" zoomScaleNormal="100" workbookViewId="0">
      <selection activeCell="B2" sqref="B2"/>
    </sheetView>
  </sheetViews>
  <sheetFormatPr defaultColWidth="8.5703125" defaultRowHeight="15" x14ac:dyDescent="0.25"/>
  <cols>
    <col min="1" max="1" width="52" style="1" customWidth="1"/>
    <col min="2" max="9" width="13" style="1" customWidth="1"/>
  </cols>
  <sheetData>
    <row r="1" spans="1:9" ht="17.25" customHeight="1" x14ac:dyDescent="0.25">
      <c r="A1" s="63" t="s">
        <v>265</v>
      </c>
      <c r="B1" s="63"/>
      <c r="C1" s="63"/>
      <c r="D1" s="63"/>
      <c r="E1" s="63"/>
      <c r="F1" s="63"/>
      <c r="G1" s="63"/>
      <c r="H1" s="63"/>
      <c r="I1" s="63"/>
    </row>
    <row r="3" spans="1:9" ht="15" customHeight="1" x14ac:dyDescent="0.25">
      <c r="B3" s="10" t="s">
        <v>213</v>
      </c>
      <c r="C3" s="10" t="s">
        <v>214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</row>
    <row r="5" spans="1:9" ht="15" customHeight="1" x14ac:dyDescent="0.25">
      <c r="A5" s="2" t="s">
        <v>266</v>
      </c>
    </row>
    <row r="6" spans="1:9" ht="15" customHeight="1" x14ac:dyDescent="0.25">
      <c r="A6" s="1" t="s">
        <v>267</v>
      </c>
      <c r="B6" s="36">
        <v>3143.6080000000002</v>
      </c>
      <c r="C6" s="36">
        <v>3976.9380000000001</v>
      </c>
      <c r="D6" s="36">
        <v>6386.7619999999997</v>
      </c>
      <c r="E6" s="11">
        <f>'P&amp;L'!E48+'P&amp;L'!E53</f>
        <v>19021.669369535935</v>
      </c>
      <c r="F6" s="11">
        <f>'P&amp;L'!F48+'P&amp;L'!F53</f>
        <v>31539.546663665347</v>
      </c>
      <c r="G6" s="11">
        <f>'P&amp;L'!G48+'P&amp;L'!G53</f>
        <v>39432.243459098841</v>
      </c>
      <c r="H6" s="11">
        <f>'P&amp;L'!H48+'P&amp;L'!H53</f>
        <v>44896.876521412873</v>
      </c>
      <c r="I6" s="11">
        <f>'P&amp;L'!I48+'P&amp;L'!I53</f>
        <v>42872.339690294437</v>
      </c>
    </row>
    <row r="7" spans="1:9" ht="15" customHeight="1" x14ac:dyDescent="0.25">
      <c r="A7" s="1" t="s">
        <v>268</v>
      </c>
      <c r="B7" s="36">
        <v>412.709</v>
      </c>
      <c r="C7" s="36">
        <v>2019.251</v>
      </c>
      <c r="D7" s="36">
        <v>7373.0780000000004</v>
      </c>
      <c r="E7" s="11">
        <f>MAX(0,D7+'Capex Model'!L36-('Capex Model'!L40+'Capex Model'!L41))</f>
        <v>10261.238947633032</v>
      </c>
      <c r="F7" s="11">
        <f>MAX(0,E7+'Capex Model'!M36-('Capex Model'!M40+'Capex Model'!M41))</f>
        <v>4558.0764852014727</v>
      </c>
      <c r="G7" s="11">
        <f>MAX(0,F7+'Capex Model'!N36-('Capex Model'!N40+'Capex Model'!N41))</f>
        <v>0</v>
      </c>
      <c r="H7" s="11">
        <f>MAX(0,G7+'Capex Model'!O36-('Capex Model'!O40+'Capex Model'!O41))</f>
        <v>0</v>
      </c>
      <c r="I7" s="11">
        <f>MAX(0,H7+'Capex Model'!P36-('Capex Model'!P40+'Capex Model'!P41))</f>
        <v>0</v>
      </c>
    </row>
    <row r="8" spans="1:9" ht="15" customHeight="1" x14ac:dyDescent="0.25">
      <c r="A8" s="1" t="s">
        <v>269</v>
      </c>
      <c r="B8" s="36">
        <v>299.16699999999997</v>
      </c>
      <c r="C8" s="36">
        <v>622.07100000000003</v>
      </c>
      <c r="D8" s="36">
        <v>1073.1959999999999</v>
      </c>
      <c r="E8" s="11">
        <f>'P&amp;L'!E62</f>
        <v>2632.3257856037994</v>
      </c>
      <c r="F8" s="11">
        <f>'P&amp;L'!F62</f>
        <v>3897.1569280685649</v>
      </c>
      <c r="G8" s="11">
        <f>'P&amp;L'!G62</f>
        <v>5053.0622271913044</v>
      </c>
      <c r="H8" s="11">
        <f>'P&amp;L'!H62</f>
        <v>5882.3776071670682</v>
      </c>
      <c r="I8" s="11">
        <f>'P&amp;L'!I62</f>
        <v>5679.5370000233761</v>
      </c>
    </row>
    <row r="9" spans="1:9" ht="15" customHeight="1" x14ac:dyDescent="0.25">
      <c r="A9" s="1" t="s">
        <v>270</v>
      </c>
      <c r="B9" s="36">
        <v>62.887</v>
      </c>
      <c r="C9" s="36">
        <v>72.379000000000005</v>
      </c>
      <c r="D9" s="36">
        <v>111.937</v>
      </c>
      <c r="E9" s="11">
        <f>'P&amp;L'!E5*Assumptions!$B$56/365</f>
        <v>146.12204447906558</v>
      </c>
      <c r="F9" s="11">
        <f>'P&amp;L'!F5*Assumptions!$B$56/365</f>
        <v>355.90132394626568</v>
      </c>
      <c r="G9" s="11">
        <f>'P&amp;L'!G5*Assumptions!$B$56/365</f>
        <v>481.88336726146559</v>
      </c>
      <c r="H9" s="11">
        <f>'P&amp;L'!H5*Assumptions!$B$56/365</f>
        <v>620.63162390146556</v>
      </c>
      <c r="I9" s="11">
        <f>'P&amp;L'!I5*Assumptions!$B$56/365</f>
        <v>660.69827990146564</v>
      </c>
    </row>
    <row r="10" spans="1:9" ht="15" customHeight="1" x14ac:dyDescent="0.25">
      <c r="A10" s="1" t="s">
        <v>271</v>
      </c>
      <c r="B10" s="36">
        <v>857.57399999999996</v>
      </c>
      <c r="C10" s="36">
        <v>2652.51</v>
      </c>
      <c r="D10" s="36">
        <v>3357.4969999999998</v>
      </c>
      <c r="E10" s="11">
        <f>'Cash Flow &amp; FCFE'!E27</f>
        <v>2882.6228659751077</v>
      </c>
      <c r="F10" s="11">
        <f>'Cash Flow &amp; FCFE'!F27</f>
        <v>2694.9691219413089</v>
      </c>
      <c r="G10" s="11">
        <f>'Cash Flow &amp; FCFE'!G27</f>
        <v>3386.1301280235957</v>
      </c>
      <c r="H10" s="11">
        <f>'Cash Flow &amp; FCFE'!H27</f>
        <v>6189.2423668176043</v>
      </c>
      <c r="I10" s="11">
        <f>'Cash Flow &amp; FCFE'!I27</f>
        <v>9866.9719514328226</v>
      </c>
    </row>
    <row r="11" spans="1:9" ht="15" customHeight="1" x14ac:dyDescent="0.25">
      <c r="A11" s="1" t="s">
        <v>272</v>
      </c>
      <c r="B11" s="36">
        <v>210.499</v>
      </c>
      <c r="C11" s="36">
        <v>1013.657</v>
      </c>
      <c r="D11" s="36">
        <v>1235.9829999999999</v>
      </c>
      <c r="E11" s="11">
        <f>D11</f>
        <v>1235.9829999999999</v>
      </c>
      <c r="F11" s="11">
        <f>E11</f>
        <v>1235.9829999999999</v>
      </c>
      <c r="G11" s="11">
        <f>F11</f>
        <v>1235.9829999999999</v>
      </c>
      <c r="H11" s="11">
        <f>G11</f>
        <v>1235.9829999999999</v>
      </c>
      <c r="I11" s="11">
        <f>H11</f>
        <v>1235.9829999999999</v>
      </c>
    </row>
    <row r="12" spans="1:9" ht="15" customHeight="1" x14ac:dyDescent="0.25">
      <c r="A12" s="2" t="s">
        <v>273</v>
      </c>
      <c r="B12" s="16">
        <f t="shared" ref="B12:I12" si="0">SUM(B6:B11)</f>
        <v>4986.4439999999995</v>
      </c>
      <c r="C12" s="16">
        <f t="shared" si="0"/>
        <v>10356.806</v>
      </c>
      <c r="D12" s="16">
        <f t="shared" si="0"/>
        <v>19538.453000000001</v>
      </c>
      <c r="E12" s="16">
        <f t="shared" si="0"/>
        <v>36179.962013226941</v>
      </c>
      <c r="F12" s="16">
        <f t="shared" si="0"/>
        <v>44281.633522822958</v>
      </c>
      <c r="G12" s="16">
        <f t="shared" si="0"/>
        <v>49589.3021815752</v>
      </c>
      <c r="H12" s="16">
        <f t="shared" si="0"/>
        <v>58825.111119299007</v>
      </c>
      <c r="I12" s="16">
        <f t="shared" si="0"/>
        <v>60315.529921652102</v>
      </c>
    </row>
    <row r="14" spans="1:9" ht="15" customHeight="1" x14ac:dyDescent="0.25">
      <c r="A14" s="2" t="s">
        <v>274</v>
      </c>
    </row>
    <row r="15" spans="1:9" ht="15" customHeight="1" x14ac:dyDescent="0.25">
      <c r="A15" s="1" t="s">
        <v>275</v>
      </c>
      <c r="B15" s="36">
        <v>25.905999999999999</v>
      </c>
      <c r="C15" s="36">
        <v>488.99</v>
      </c>
      <c r="D15" s="36">
        <v>488.99</v>
      </c>
      <c r="E15" s="11">
        <f>$D$15+Assumptions!$B$63*10/10000000</f>
        <v>568.99</v>
      </c>
      <c r="F15" s="11">
        <f>E15</f>
        <v>568.99</v>
      </c>
      <c r="G15" s="11">
        <f>F15</f>
        <v>568.99</v>
      </c>
      <c r="H15" s="11">
        <f>G15</f>
        <v>568.99</v>
      </c>
      <c r="I15" s="11">
        <f>H15</f>
        <v>568.99</v>
      </c>
    </row>
    <row r="16" spans="1:9" ht="15" customHeight="1" x14ac:dyDescent="0.25">
      <c r="A16" s="1" t="s">
        <v>276</v>
      </c>
      <c r="B16" s="36">
        <v>1705.771</v>
      </c>
      <c r="C16" s="36">
        <v>2870.9079999999999</v>
      </c>
      <c r="D16" s="36">
        <v>2934.893</v>
      </c>
      <c r="E16" s="11">
        <f>D16+'P&amp;L'!E38+(Assumptions!$B$62-Assumptions!$B$63*10/10000000)</f>
        <v>4981.9065135580004</v>
      </c>
      <c r="F16" s="11">
        <f>E16+'P&amp;L'!F38</f>
        <v>6254.1135497989162</v>
      </c>
      <c r="G16" s="11">
        <f>F16+'P&amp;L'!G38</f>
        <v>8161.8136558510942</v>
      </c>
      <c r="H16" s="11">
        <f>G16+'P&amp;L'!H38</f>
        <v>11330.980281091766</v>
      </c>
      <c r="I16" s="11">
        <f>H16+'P&amp;L'!I38</f>
        <v>14952.164687403751</v>
      </c>
    </row>
    <row r="17" spans="1:9" ht="15" customHeight="1" x14ac:dyDescent="0.25">
      <c r="A17" s="2" t="s">
        <v>277</v>
      </c>
      <c r="B17" s="16">
        <f t="shared" ref="B17:I17" si="1">B15+B16</f>
        <v>1731.6769999999999</v>
      </c>
      <c r="C17" s="16">
        <f t="shared" si="1"/>
        <v>3359.8980000000001</v>
      </c>
      <c r="D17" s="16">
        <f t="shared" si="1"/>
        <v>3423.8829999999998</v>
      </c>
      <c r="E17" s="16">
        <f t="shared" si="1"/>
        <v>5550.8965135580002</v>
      </c>
      <c r="F17" s="16">
        <f t="shared" si="1"/>
        <v>6823.103549798916</v>
      </c>
      <c r="G17" s="16">
        <f t="shared" si="1"/>
        <v>8730.8036558510939</v>
      </c>
      <c r="H17" s="16">
        <f t="shared" si="1"/>
        <v>11899.970281091766</v>
      </c>
      <c r="I17" s="16">
        <f t="shared" si="1"/>
        <v>15521.15468740375</v>
      </c>
    </row>
    <row r="19" spans="1:9" ht="15" customHeight="1" x14ac:dyDescent="0.25">
      <c r="A19" s="1" t="s">
        <v>278</v>
      </c>
      <c r="B19" s="36">
        <v>2671.701</v>
      </c>
      <c r="C19" s="36">
        <v>5502.5290000000005</v>
      </c>
      <c r="D19" s="36">
        <v>12920.540999999999</v>
      </c>
      <c r="E19" s="11">
        <f>'Debt Model'!B10</f>
        <v>28051.548649477569</v>
      </c>
      <c r="F19" s="11">
        <f>'Debt Model'!C10</f>
        <v>33479.50411662447</v>
      </c>
      <c r="G19" s="11">
        <f>'Debt Model'!D10</f>
        <v>33935.895051970379</v>
      </c>
      <c r="H19" s="11">
        <f>'Debt Model'!E10</f>
        <v>32168.485917223639</v>
      </c>
      <c r="I19" s="11">
        <f>'Debt Model'!F10</f>
        <v>30023.920189408731</v>
      </c>
    </row>
    <row r="20" spans="1:9" ht="15" customHeight="1" x14ac:dyDescent="0.25">
      <c r="A20" s="1" t="s">
        <v>279</v>
      </c>
      <c r="B20" s="36">
        <v>222.429</v>
      </c>
      <c r="C20" s="36">
        <v>468.15100000000001</v>
      </c>
      <c r="D20" s="36">
        <v>839.98400000000004</v>
      </c>
      <c r="E20" s="11">
        <f>'P&amp;L'!E67</f>
        <v>2435.1579742199583</v>
      </c>
      <c r="F20" s="11">
        <f>'P&amp;L'!F67</f>
        <v>3730.5704803664908</v>
      </c>
      <c r="G20" s="11">
        <f>'P&amp;L'!G67</f>
        <v>4914.8568067860506</v>
      </c>
      <c r="H20" s="11">
        <f>'P&amp;L'!H67</f>
        <v>5766.5441874935677</v>
      </c>
      <c r="I20" s="11">
        <f>'P&amp;L'!I67</f>
        <v>5567.6978362006857</v>
      </c>
    </row>
    <row r="21" spans="1:9" ht="15" customHeight="1" x14ac:dyDescent="0.25">
      <c r="A21" s="1" t="s">
        <v>280</v>
      </c>
      <c r="B21" s="36">
        <v>56.173000000000002</v>
      </c>
      <c r="C21" s="36">
        <v>76.236000000000004</v>
      </c>
      <c r="D21" s="36">
        <v>88.259</v>
      </c>
      <c r="E21" s="11">
        <f>D21+(E6-D6)*0.01</f>
        <v>214.60807369535937</v>
      </c>
      <c r="F21" s="11">
        <f>E21+(F6-E6)*0.01</f>
        <v>339.78684663665348</v>
      </c>
      <c r="G21" s="11">
        <f>F21+(G6-F6)*0.01</f>
        <v>418.71381459098842</v>
      </c>
      <c r="H21" s="11">
        <f>G21+(H6-G6)*0.01</f>
        <v>473.36014521412875</v>
      </c>
      <c r="I21" s="11">
        <f>H21+(I6-H6)*0.01</f>
        <v>453.11477690294441</v>
      </c>
    </row>
    <row r="22" spans="1:9" ht="15" customHeight="1" x14ac:dyDescent="0.25">
      <c r="A22" s="1" t="s">
        <v>281</v>
      </c>
      <c r="B22" s="36">
        <v>9.0180000000000007</v>
      </c>
      <c r="C22" s="36">
        <v>14.183999999999999</v>
      </c>
      <c r="D22" s="36">
        <v>21.079000000000001</v>
      </c>
      <c r="E22" s="11">
        <f>('P&amp;L'!E10+'P&amp;L'!E17+'P&amp;L'!E24)*Assumptions!$B$57/365</f>
        <v>29.494910454169869</v>
      </c>
      <c r="F22" s="11">
        <f>('P&amp;L'!F10+'P&amp;L'!F17+'P&amp;L'!F24)*Assumptions!$B$57/365</f>
        <v>44.895195887571163</v>
      </c>
      <c r="G22" s="11">
        <f>('P&amp;L'!G10+'P&amp;L'!G17+'P&amp;L'!G24)*Assumptions!$B$57/365</f>
        <v>61.825443699458745</v>
      </c>
      <c r="H22" s="11">
        <f>('P&amp;L'!H10+'P&amp;L'!H17+'P&amp;L'!H24)*Assumptions!$B$57/365</f>
        <v>77.551270403929053</v>
      </c>
      <c r="I22" s="11">
        <f>('P&amp;L'!I10+'P&amp;L'!I17+'P&amp;L'!I24)*Assumptions!$B$57/365</f>
        <v>83.566076728692735</v>
      </c>
    </row>
    <row r="23" spans="1:9" ht="15" customHeight="1" x14ac:dyDescent="0.25">
      <c r="A23" s="1" t="s">
        <v>282</v>
      </c>
      <c r="B23" s="36">
        <v>38.994</v>
      </c>
      <c r="C23" s="36">
        <v>50.366</v>
      </c>
      <c r="D23" s="36">
        <v>47.692999999999998</v>
      </c>
      <c r="E23" s="11">
        <f>D23</f>
        <v>47.692999999999998</v>
      </c>
      <c r="F23" s="11">
        <f>E23</f>
        <v>47.692999999999998</v>
      </c>
      <c r="G23" s="11">
        <f>F23</f>
        <v>47.692999999999998</v>
      </c>
      <c r="H23" s="11">
        <f>G23</f>
        <v>47.692999999999998</v>
      </c>
      <c r="I23" s="11">
        <f>H23</f>
        <v>47.692999999999998</v>
      </c>
    </row>
    <row r="24" spans="1:9" ht="15" customHeight="1" x14ac:dyDescent="0.25">
      <c r="A24" s="1" t="s">
        <v>283</v>
      </c>
      <c r="B24" s="36">
        <v>256.452</v>
      </c>
      <c r="C24" s="36">
        <v>885.44200000000001</v>
      </c>
      <c r="D24" s="36">
        <v>2197.0140000000001</v>
      </c>
      <c r="E24" s="11">
        <f>E12-E17-E19-E20-E21-E22-E23</f>
        <v>-149.43710817811532</v>
      </c>
      <c r="F24" s="11">
        <f>F12-F17-F19-F20-F21-F22-F23</f>
        <v>-183.91966649114141</v>
      </c>
      <c r="G24" s="11">
        <f>G12-G17-G19-G20-G21-G22-G23</f>
        <v>1479.5144086772289</v>
      </c>
      <c r="H24" s="11">
        <f>H12-H17-H19-H20-H21-H22-H23</f>
        <v>8391.5063178719774</v>
      </c>
      <c r="I24" s="11">
        <f>I12-I17-I19-I20-I21-I22-I23</f>
        <v>8618.3833550072959</v>
      </c>
    </row>
    <row r="25" spans="1:9" ht="15" customHeight="1" x14ac:dyDescent="0.25">
      <c r="A25" s="2" t="s">
        <v>284</v>
      </c>
      <c r="B25" s="16">
        <f t="shared" ref="B25:I25" si="2">SUM(B19:B24)</f>
        <v>3254.7669999999998</v>
      </c>
      <c r="C25" s="16">
        <f t="shared" si="2"/>
        <v>6996.9080000000004</v>
      </c>
      <c r="D25" s="16">
        <f t="shared" si="2"/>
        <v>16114.57</v>
      </c>
      <c r="E25" s="16">
        <f t="shared" si="2"/>
        <v>30629.065499668941</v>
      </c>
      <c r="F25" s="16">
        <f t="shared" si="2"/>
        <v>37458.529973024044</v>
      </c>
      <c r="G25" s="16">
        <f t="shared" si="2"/>
        <v>40858.498525724099</v>
      </c>
      <c r="H25" s="16">
        <f t="shared" si="2"/>
        <v>46925.140838207248</v>
      </c>
      <c r="I25" s="16">
        <f t="shared" si="2"/>
        <v>44794.375234248342</v>
      </c>
    </row>
    <row r="27" spans="1:9" ht="15" customHeight="1" x14ac:dyDescent="0.25">
      <c r="A27" s="2" t="s">
        <v>285</v>
      </c>
      <c r="B27" s="16">
        <f t="shared" ref="B27:I27" si="3">B17+B25</f>
        <v>4986.4439999999995</v>
      </c>
      <c r="C27" s="16">
        <f t="shared" si="3"/>
        <v>10356.806</v>
      </c>
      <c r="D27" s="16">
        <f t="shared" si="3"/>
        <v>19538.453000000001</v>
      </c>
      <c r="E27" s="16">
        <f t="shared" si="3"/>
        <v>36179.962013226941</v>
      </c>
      <c r="F27" s="16">
        <f t="shared" si="3"/>
        <v>44281.633522822958</v>
      </c>
      <c r="G27" s="16">
        <f t="shared" si="3"/>
        <v>49589.302181575193</v>
      </c>
      <c r="H27" s="16">
        <f t="shared" si="3"/>
        <v>58825.111119299014</v>
      </c>
      <c r="I27" s="16">
        <f t="shared" si="3"/>
        <v>60315.529921652094</v>
      </c>
    </row>
    <row r="28" spans="1:9" ht="15" customHeight="1" x14ac:dyDescent="0.25">
      <c r="A28" s="1" t="s">
        <v>286</v>
      </c>
      <c r="B28" s="11">
        <f t="shared" ref="B28:I28" si="4">B12-B27</f>
        <v>0</v>
      </c>
      <c r="C28" s="11">
        <f t="shared" si="4"/>
        <v>0</v>
      </c>
      <c r="D28" s="11">
        <f t="shared" si="4"/>
        <v>0</v>
      </c>
      <c r="E28" s="11">
        <f t="shared" si="4"/>
        <v>0</v>
      </c>
      <c r="F28" s="11">
        <f t="shared" si="4"/>
        <v>0</v>
      </c>
      <c r="G28" s="11">
        <f t="shared" si="4"/>
        <v>0</v>
      </c>
      <c r="H28" s="11">
        <f t="shared" si="4"/>
        <v>0</v>
      </c>
      <c r="I28" s="11">
        <f t="shared" si="4"/>
        <v>0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rop Down 1">
              <controlPr defaultSize="0" autoLine="0" autoPict="0">
                <anchor moveWithCells="1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2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showGridLines="0" topLeftCell="A13" zoomScaleNormal="100" workbookViewId="0">
      <selection activeCell="B35" sqref="B35:I35"/>
    </sheetView>
  </sheetViews>
  <sheetFormatPr defaultColWidth="8.5703125" defaultRowHeight="15" x14ac:dyDescent="0.25"/>
  <cols>
    <col min="1" max="1" width="58" style="1" customWidth="1"/>
    <col min="2" max="4" width="13" style="1" customWidth="1"/>
    <col min="5" max="5" width="13.5703125" style="1" customWidth="1"/>
    <col min="6" max="9" width="13" style="1" customWidth="1"/>
  </cols>
  <sheetData>
    <row r="1" spans="1:9" ht="17.25" customHeight="1" x14ac:dyDescent="0.25">
      <c r="A1" s="63" t="s">
        <v>287</v>
      </c>
      <c r="B1" s="63"/>
      <c r="C1" s="63"/>
      <c r="D1" s="63"/>
      <c r="E1" s="63"/>
      <c r="F1" s="63"/>
      <c r="G1" s="63"/>
      <c r="H1" s="63"/>
      <c r="I1" s="63"/>
    </row>
    <row r="2" spans="1:9" ht="15" customHeight="1" x14ac:dyDescent="0.25">
      <c r="A2" s="64" t="s">
        <v>288</v>
      </c>
      <c r="B2" s="64"/>
      <c r="C2" s="64"/>
      <c r="D2" s="64"/>
      <c r="E2" s="64"/>
      <c r="F2" s="64"/>
      <c r="G2" s="64"/>
      <c r="H2" s="64"/>
      <c r="I2" s="64"/>
    </row>
    <row r="4" spans="1:9" ht="15" customHeight="1" x14ac:dyDescent="0.25">
      <c r="B4" s="10" t="s">
        <v>213</v>
      </c>
      <c r="C4" s="10" t="s">
        <v>214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</row>
    <row r="6" spans="1:9" ht="15" customHeight="1" x14ac:dyDescent="0.25">
      <c r="A6" s="2" t="s">
        <v>289</v>
      </c>
    </row>
    <row r="7" spans="1:9" ht="15" customHeight="1" x14ac:dyDescent="0.25">
      <c r="A7" s="1" t="s">
        <v>290</v>
      </c>
      <c r="B7" s="36">
        <v>40.064</v>
      </c>
      <c r="C7" s="36">
        <v>36.478000000000002</v>
      </c>
      <c r="D7" s="36">
        <v>40.463999999999999</v>
      </c>
      <c r="E7" s="11">
        <f>'P&amp;L'!E38</f>
        <v>327.01351355800045</v>
      </c>
      <c r="F7" s="11">
        <f>'P&amp;L'!F38</f>
        <v>1272.2070362409163</v>
      </c>
      <c r="G7" s="11">
        <f>'P&amp;L'!G38</f>
        <v>1907.7001060521784</v>
      </c>
      <c r="H7" s="11">
        <f>'P&amp;L'!H38</f>
        <v>3169.1666252406726</v>
      </c>
      <c r="I7" s="11">
        <f>'P&amp;L'!I38</f>
        <v>3621.1844063119834</v>
      </c>
    </row>
    <row r="8" spans="1:9" ht="15" customHeight="1" x14ac:dyDescent="0.25">
      <c r="A8" s="1" t="s">
        <v>291</v>
      </c>
      <c r="B8" s="36">
        <v>122.152</v>
      </c>
      <c r="C8" s="36">
        <v>166.37799999999999</v>
      </c>
      <c r="D8" s="36">
        <v>236.864</v>
      </c>
      <c r="E8" s="11">
        <f>'P&amp;L'!E29</f>
        <v>636.85098888208313</v>
      </c>
      <c r="F8" s="11">
        <f>'P&amp;L'!F29</f>
        <v>1271.6231632293407</v>
      </c>
      <c r="G8" s="11">
        <f>'P&amp;L'!G29</f>
        <v>1789.5075932552725</v>
      </c>
      <c r="H8" s="11">
        <f>'P&amp;L'!H29</f>
        <v>2135.6924260080455</v>
      </c>
      <c r="I8" s="11">
        <f>'P&amp;L'!I29</f>
        <v>2227.3774382621305</v>
      </c>
    </row>
    <row r="9" spans="1:9" ht="15" customHeight="1" x14ac:dyDescent="0.25">
      <c r="A9" s="1" t="s">
        <v>292</v>
      </c>
      <c r="B9" s="11">
        <v>0</v>
      </c>
      <c r="C9" s="11">
        <v>0</v>
      </c>
      <c r="D9" s="11">
        <v>0</v>
      </c>
      <c r="E9" s="11">
        <f>6.1*(1+Assumptions!$B$17)^1</f>
        <v>6.4050000000000002</v>
      </c>
      <c r="F9" s="11">
        <f>6.1*(1+Assumptions!$B$17)^2</f>
        <v>6.72525</v>
      </c>
      <c r="G9" s="11">
        <f>6.1*(1+Assumptions!$B$17)^3</f>
        <v>7.0615125000000001</v>
      </c>
      <c r="H9" s="11">
        <f>6.1*(1+Assumptions!$B$17)^4</f>
        <v>7.4145881249999999</v>
      </c>
      <c r="I9" s="11">
        <f>6.1*(1+Assumptions!$B$17)^5</f>
        <v>7.7853175312500005</v>
      </c>
    </row>
    <row r="10" spans="1:9" ht="15" customHeight="1" x14ac:dyDescent="0.25">
      <c r="A10" s="1" t="s">
        <v>293</v>
      </c>
      <c r="B10" s="11">
        <v>0</v>
      </c>
      <c r="C10" s="11">
        <v>0</v>
      </c>
      <c r="D10" s="11">
        <v>0</v>
      </c>
      <c r="E10" s="11">
        <f>('Balance Sheet'!E9-'Balance Sheet'!D9)</f>
        <v>34.185044479065581</v>
      </c>
      <c r="F10" s="11">
        <f>('Balance Sheet'!F9-'Balance Sheet'!E9)</f>
        <v>209.7792794672001</v>
      </c>
      <c r="G10" s="11">
        <f>('Balance Sheet'!G9-'Balance Sheet'!F9)</f>
        <v>125.98204331519992</v>
      </c>
      <c r="H10" s="11">
        <f>('Balance Sheet'!H9-'Balance Sheet'!G9)</f>
        <v>138.74825663999997</v>
      </c>
      <c r="I10" s="11">
        <f>('Balance Sheet'!I9-'Balance Sheet'!H9)</f>
        <v>40.06665600000008</v>
      </c>
    </row>
    <row r="11" spans="1:9" ht="15" customHeight="1" x14ac:dyDescent="0.25">
      <c r="A11" s="1" t="s">
        <v>294</v>
      </c>
      <c r="B11" s="11">
        <v>0</v>
      </c>
      <c r="C11" s="11">
        <v>0</v>
      </c>
      <c r="D11" s="11">
        <v>0</v>
      </c>
      <c r="E11" s="11">
        <f>('Balance Sheet'!E22-'Balance Sheet'!D22)</f>
        <v>8.4159104541698682</v>
      </c>
      <c r="F11" s="11">
        <f>('Balance Sheet'!F22-'Balance Sheet'!E22)</f>
        <v>15.400285433401294</v>
      </c>
      <c r="G11" s="11">
        <f>('Balance Sheet'!G22-'Balance Sheet'!F22)</f>
        <v>16.930247811887583</v>
      </c>
      <c r="H11" s="11">
        <f>('Balance Sheet'!H22-'Balance Sheet'!G22)</f>
        <v>15.725826704470308</v>
      </c>
      <c r="I11" s="11">
        <f>('Balance Sheet'!I22-'Balance Sheet'!H22)</f>
        <v>6.0148063247636827</v>
      </c>
    </row>
    <row r="12" spans="1:9" ht="15" customHeight="1" x14ac:dyDescent="0.25">
      <c r="A12" s="2" t="s">
        <v>295</v>
      </c>
      <c r="B12" s="16">
        <v>322.22500000000002</v>
      </c>
      <c r="C12" s="16">
        <v>365.06799999999998</v>
      </c>
      <c r="D12" s="16">
        <v>469.99200000000002</v>
      </c>
      <c r="E12" s="16">
        <f>SUM(E7:E9)-E10+E11</f>
        <v>944.50036841518784</v>
      </c>
      <c r="F12" s="16">
        <f>SUM(F7:F9)-F10+F11</f>
        <v>2356.1764554364581</v>
      </c>
      <c r="G12" s="16">
        <f>SUM(G7:G9)-G10+G11</f>
        <v>3595.2174163041382</v>
      </c>
      <c r="H12" s="16">
        <f>SUM(H7:H9)-H10+H11</f>
        <v>5189.2512094381873</v>
      </c>
      <c r="I12" s="16">
        <f>SUM(I7:I9)-I10+I11</f>
        <v>5822.2953124301275</v>
      </c>
    </row>
    <row r="14" spans="1:9" ht="15" customHeight="1" x14ac:dyDescent="0.25">
      <c r="A14" s="2" t="s">
        <v>296</v>
      </c>
    </row>
    <row r="15" spans="1:9" ht="15" customHeight="1" x14ac:dyDescent="0.25">
      <c r="A15" s="1" t="s">
        <v>297</v>
      </c>
      <c r="B15" s="36">
        <v>1073.22</v>
      </c>
      <c r="C15" s="36">
        <v>2941.2919999999999</v>
      </c>
      <c r="D15" s="36">
        <v>8515.52</v>
      </c>
      <c r="E15" s="11">
        <f>'Capex Model'!L36</f>
        <v>16094.872151917651</v>
      </c>
      <c r="F15" s="11">
        <f>'Capex Model'!M36</f>
        <v>7971.785666617151</v>
      </c>
      <c r="G15" s="11">
        <f>'Capex Model'!N36</f>
        <v>3360.4473455677662</v>
      </c>
      <c r="H15" s="11">
        <f>'Capex Model'!O36</f>
        <v>618.72983589743592</v>
      </c>
      <c r="I15" s="11">
        <f>'Capex Model'!P36</f>
        <v>0</v>
      </c>
    </row>
    <row r="16" spans="1:9" ht="15" customHeight="1" x14ac:dyDescent="0.25">
      <c r="A16" s="2" t="s">
        <v>298</v>
      </c>
      <c r="B16" s="16">
        <v>-1579.5440000000001</v>
      </c>
      <c r="C16" s="16">
        <v>-4182.8190000000004</v>
      </c>
      <c r="D16" s="16">
        <v>-6509.7690000000002</v>
      </c>
      <c r="E16" s="16">
        <f>-E15</f>
        <v>-16094.872151917651</v>
      </c>
      <c r="F16" s="16">
        <f>-F15</f>
        <v>-7971.785666617151</v>
      </c>
      <c r="G16" s="16">
        <f>-G15</f>
        <v>-3360.4473455677662</v>
      </c>
      <c r="H16" s="16">
        <f>-H15</f>
        <v>-618.72983589743592</v>
      </c>
      <c r="I16" s="16">
        <f>-I15</f>
        <v>0</v>
      </c>
    </row>
    <row r="18" spans="1:9" ht="15" customHeight="1" x14ac:dyDescent="0.25">
      <c r="A18" s="2" t="s">
        <v>299</v>
      </c>
    </row>
    <row r="19" spans="1:9" ht="15" customHeight="1" x14ac:dyDescent="0.25">
      <c r="A19" s="1" t="s">
        <v>300</v>
      </c>
      <c r="E19" s="11">
        <f>'Debt Model'!B6+'Debt Model'!B7</f>
        <v>17404.298049477569</v>
      </c>
      <c r="F19" s="11">
        <f>'Debt Model'!C6+'Debt Model'!C7</f>
        <v>7298.0587104453989</v>
      </c>
      <c r="G19" s="11">
        <f>'Debt Model'!D6+'Debt Model'!D7</f>
        <v>2688.3578764542131</v>
      </c>
      <c r="H19" s="11">
        <f>'Debt Model'!E6+'Debt Model'!E7</f>
        <v>494.98386871794878</v>
      </c>
      <c r="I19" s="11">
        <f>'Debt Model'!F6+'Debt Model'!F7</f>
        <v>0</v>
      </c>
    </row>
    <row r="20" spans="1:9" ht="15" customHeight="1" x14ac:dyDescent="0.25">
      <c r="A20" s="1" t="s">
        <v>301</v>
      </c>
      <c r="E20" s="11">
        <f>'Debt Model'!B9</f>
        <v>861.36939999999993</v>
      </c>
      <c r="F20" s="11">
        <f>'Debt Model'!C9</f>
        <v>1870.1032432985046</v>
      </c>
      <c r="G20" s="11">
        <f>'Debt Model'!D9</f>
        <v>2231.9669411082982</v>
      </c>
      <c r="H20" s="11">
        <f>'Debt Model'!E9</f>
        <v>2262.3930034646919</v>
      </c>
      <c r="I20" s="11">
        <f>'Debt Model'!F9</f>
        <v>2144.5657278149092</v>
      </c>
    </row>
    <row r="21" spans="1:9" ht="15" customHeight="1" x14ac:dyDescent="0.25">
      <c r="A21" s="1" t="s">
        <v>302</v>
      </c>
      <c r="E21" s="11">
        <f>'Debt Model'!B8</f>
        <v>1411.921</v>
      </c>
      <c r="F21" s="11">
        <f>'Debt Model'!C8</f>
        <v>0</v>
      </c>
      <c r="G21" s="11">
        <f>'Debt Model'!D8</f>
        <v>0</v>
      </c>
      <c r="H21" s="11">
        <f>'Debt Model'!E8</f>
        <v>0</v>
      </c>
      <c r="I21" s="11">
        <f>'Debt Model'!F8</f>
        <v>0</v>
      </c>
    </row>
    <row r="22" spans="1:9" ht="15" customHeight="1" x14ac:dyDescent="0.25">
      <c r="A22" s="1" t="s">
        <v>303</v>
      </c>
      <c r="E22" s="11">
        <f>Assumptions!$B$62</f>
        <v>1800</v>
      </c>
      <c r="F22" s="11">
        <v>0</v>
      </c>
      <c r="G22" s="11">
        <v>0</v>
      </c>
      <c r="H22" s="11">
        <v>0</v>
      </c>
      <c r="I22" s="11">
        <v>0</v>
      </c>
    </row>
    <row r="23" spans="1:9" ht="15" customHeight="1" x14ac:dyDescent="0.25">
      <c r="A23" s="2" t="s">
        <v>304</v>
      </c>
      <c r="B23" s="16">
        <v>1231.3810000000001</v>
      </c>
      <c r="C23" s="16">
        <v>4071.221</v>
      </c>
      <c r="D23" s="16">
        <v>6866.1959999999999</v>
      </c>
      <c r="E23" s="16">
        <f>E19-E20-E21+E22</f>
        <v>16931.007649477571</v>
      </c>
      <c r="F23" s="16">
        <f>F19-F20-F21+F22</f>
        <v>5427.9554671468941</v>
      </c>
      <c r="G23" s="16">
        <f>G19-G20-G21+G22</f>
        <v>456.39093534591484</v>
      </c>
      <c r="H23" s="16">
        <f>H19-H20-H21+H22</f>
        <v>-1767.4091347467431</v>
      </c>
      <c r="I23" s="16">
        <f>I19-I20-I21+I22</f>
        <v>-2144.5657278149092</v>
      </c>
    </row>
    <row r="25" spans="1:9" ht="15" customHeight="1" x14ac:dyDescent="0.25">
      <c r="A25" s="2" t="s">
        <v>305</v>
      </c>
      <c r="B25" s="16">
        <f t="shared" ref="B25:I25" si="0">B12+B16+B23</f>
        <v>-25.937999999999874</v>
      </c>
      <c r="C25" s="16">
        <f t="shared" si="0"/>
        <v>253.4699999999998</v>
      </c>
      <c r="D25" s="16">
        <f t="shared" si="0"/>
        <v>826.41899999999987</v>
      </c>
      <c r="E25" s="16">
        <f t="shared" si="0"/>
        <v>1780.6358659751077</v>
      </c>
      <c r="F25" s="16">
        <f t="shared" si="0"/>
        <v>-187.65374403379883</v>
      </c>
      <c r="G25" s="16">
        <f t="shared" si="0"/>
        <v>691.1610060822868</v>
      </c>
      <c r="H25" s="16">
        <f t="shared" si="0"/>
        <v>2803.1122387940086</v>
      </c>
      <c r="I25" s="16">
        <f t="shared" si="0"/>
        <v>3677.7295846152183</v>
      </c>
    </row>
    <row r="26" spans="1:9" ht="15" customHeight="1" x14ac:dyDescent="0.25">
      <c r="A26" s="1" t="s">
        <v>306</v>
      </c>
      <c r="B26" s="36">
        <v>0</v>
      </c>
      <c r="C26" s="11">
        <f t="shared" ref="C26:I26" si="1">B27</f>
        <v>22.071999999999999</v>
      </c>
      <c r="D26" s="11">
        <f t="shared" si="1"/>
        <v>275.55200000000002</v>
      </c>
      <c r="E26" s="11">
        <f t="shared" si="1"/>
        <v>1101.9870000000001</v>
      </c>
      <c r="F26" s="11">
        <f t="shared" si="1"/>
        <v>2882.6228659751077</v>
      </c>
      <c r="G26" s="11">
        <f t="shared" si="1"/>
        <v>2694.9691219413089</v>
      </c>
      <c r="H26" s="11">
        <f t="shared" si="1"/>
        <v>3386.1301280235957</v>
      </c>
      <c r="I26" s="11">
        <f t="shared" si="1"/>
        <v>6189.2423668176043</v>
      </c>
    </row>
    <row r="27" spans="1:9" ht="15" customHeight="1" x14ac:dyDescent="0.25">
      <c r="A27" s="2" t="s">
        <v>307</v>
      </c>
      <c r="B27" s="16">
        <v>22.071999999999999</v>
      </c>
      <c r="C27" s="16">
        <v>275.55200000000002</v>
      </c>
      <c r="D27" s="16">
        <v>1101.9870000000001</v>
      </c>
      <c r="E27" s="16">
        <f>E26+E25</f>
        <v>2882.6228659751077</v>
      </c>
      <c r="F27" s="16">
        <f>F26+F25</f>
        <v>2694.9691219413089</v>
      </c>
      <c r="G27" s="16">
        <f>G26+G25</f>
        <v>3386.1301280235957</v>
      </c>
      <c r="H27" s="16">
        <f>H26+H25</f>
        <v>6189.2423668176043</v>
      </c>
      <c r="I27" s="16">
        <f>I26+I25</f>
        <v>9866.9719514328226</v>
      </c>
    </row>
    <row r="29" spans="1:9" ht="15" customHeight="1" x14ac:dyDescent="0.25">
      <c r="A29" s="2" t="s">
        <v>308</v>
      </c>
    </row>
    <row r="30" spans="1:9" ht="15" customHeight="1" x14ac:dyDescent="0.25">
      <c r="A30" s="1" t="s">
        <v>290</v>
      </c>
      <c r="B30" s="11">
        <f t="shared" ref="B30:I31" si="2">B7</f>
        <v>40.064</v>
      </c>
      <c r="C30" s="11">
        <f t="shared" si="2"/>
        <v>36.478000000000002</v>
      </c>
      <c r="D30" s="11">
        <f t="shared" si="2"/>
        <v>40.463999999999999</v>
      </c>
      <c r="E30" s="11">
        <f t="shared" si="2"/>
        <v>327.01351355800045</v>
      </c>
      <c r="F30" s="11">
        <f t="shared" si="2"/>
        <v>1272.2070362409163</v>
      </c>
      <c r="G30" s="11">
        <f t="shared" si="2"/>
        <v>1907.7001060521784</v>
      </c>
      <c r="H30" s="11">
        <f t="shared" si="2"/>
        <v>3169.1666252406726</v>
      </c>
      <c r="I30" s="11">
        <f t="shared" si="2"/>
        <v>3621.1844063119834</v>
      </c>
    </row>
    <row r="31" spans="1:9" ht="15" customHeight="1" x14ac:dyDescent="0.25">
      <c r="A31" s="1" t="s">
        <v>309</v>
      </c>
      <c r="B31" s="11">
        <f t="shared" si="2"/>
        <v>122.152</v>
      </c>
      <c r="C31" s="11">
        <f t="shared" si="2"/>
        <v>166.37799999999999</v>
      </c>
      <c r="D31" s="11">
        <f t="shared" si="2"/>
        <v>236.864</v>
      </c>
      <c r="E31" s="11">
        <f t="shared" si="2"/>
        <v>636.85098888208313</v>
      </c>
      <c r="F31" s="11">
        <f t="shared" si="2"/>
        <v>1271.6231632293407</v>
      </c>
      <c r="G31" s="11">
        <f t="shared" si="2"/>
        <v>1789.5075932552725</v>
      </c>
      <c r="H31" s="11">
        <f t="shared" si="2"/>
        <v>2135.6924260080455</v>
      </c>
      <c r="I31" s="11">
        <f t="shared" si="2"/>
        <v>2227.3774382621305</v>
      </c>
    </row>
    <row r="32" spans="1:9" ht="15" customHeight="1" x14ac:dyDescent="0.25">
      <c r="A32" s="1" t="s">
        <v>297</v>
      </c>
      <c r="B32" s="11">
        <f>-B15</f>
        <v>-1073.22</v>
      </c>
      <c r="C32" s="11">
        <f>-C15</f>
        <v>-2941.2919999999999</v>
      </c>
      <c r="D32" s="11">
        <f>-D15</f>
        <v>-8515.52</v>
      </c>
      <c r="E32" s="11">
        <f>E15</f>
        <v>16094.872151917651</v>
      </c>
      <c r="F32" s="11">
        <f>F15</f>
        <v>7971.785666617151</v>
      </c>
      <c r="G32" s="11">
        <f>G15</f>
        <v>3360.4473455677662</v>
      </c>
      <c r="H32" s="11">
        <f>H15</f>
        <v>618.72983589743592</v>
      </c>
      <c r="I32" s="11">
        <f>I15</f>
        <v>0</v>
      </c>
    </row>
    <row r="33" spans="1:9" ht="15" customHeight="1" x14ac:dyDescent="0.25">
      <c r="A33" s="1" t="s">
        <v>310</v>
      </c>
      <c r="B33" s="11">
        <v>0</v>
      </c>
      <c r="C33" s="11">
        <v>0</v>
      </c>
      <c r="D33" s="11">
        <v>0</v>
      </c>
      <c r="E33" s="11">
        <f>E10-E11</f>
        <v>25.769134024895713</v>
      </c>
      <c r="F33" s="11">
        <f>F10-F11</f>
        <v>194.37899403379879</v>
      </c>
      <c r="G33" s="11">
        <f>G10-G11</f>
        <v>109.05179550331233</v>
      </c>
      <c r="H33" s="11">
        <f>H10-H11</f>
        <v>123.02242993552966</v>
      </c>
      <c r="I33" s="11">
        <f>I10-I11</f>
        <v>34.051849675236397</v>
      </c>
    </row>
    <row r="34" spans="1:9" ht="15" customHeight="1" x14ac:dyDescent="0.25">
      <c r="A34" s="1" t="s">
        <v>311</v>
      </c>
      <c r="B34" s="11">
        <f>B23</f>
        <v>1231.3810000000001</v>
      </c>
      <c r="C34" s="11">
        <f>C23</f>
        <v>4071.221</v>
      </c>
      <c r="D34" s="11">
        <f>D23</f>
        <v>6866.1959999999999</v>
      </c>
      <c r="E34" s="11">
        <f>'Debt Model'!B6+'Debt Model'!B7-'Debt Model'!B9</f>
        <v>16542.92864947757</v>
      </c>
      <c r="F34" s="11">
        <f>'Debt Model'!C6+'Debt Model'!C7-'Debt Model'!C9</f>
        <v>5427.9554671468941</v>
      </c>
      <c r="G34" s="11">
        <f>'Debt Model'!D6+'Debt Model'!D7-'Debt Model'!D9</f>
        <v>456.39093534591484</v>
      </c>
      <c r="H34" s="11">
        <f>'Debt Model'!E6+'Debt Model'!E7-'Debt Model'!E9</f>
        <v>-1767.4091347467431</v>
      </c>
      <c r="I34" s="11">
        <f>'Debt Model'!F6+'Debt Model'!F7-'Debt Model'!F9</f>
        <v>-2144.5657278149092</v>
      </c>
    </row>
    <row r="35" spans="1:9" ht="15" customHeight="1" x14ac:dyDescent="0.25">
      <c r="A35" s="2" t="s">
        <v>312</v>
      </c>
      <c r="B35" s="16">
        <f>B30+B31+B32-B33+B34</f>
        <v>320.37700000000007</v>
      </c>
      <c r="C35" s="16">
        <f>C30+C31+C32-C33+C34</f>
        <v>1332.7850000000003</v>
      </c>
      <c r="D35" s="16">
        <f>D30+D31+D32-D33+D34</f>
        <v>-1371.996000000001</v>
      </c>
      <c r="E35" s="16">
        <f>E30+E31-E32-E33+E34</f>
        <v>1386.1518659751073</v>
      </c>
      <c r="F35" s="16">
        <f>F30+F31-F32-F33+F34</f>
        <v>-194.37899403379924</v>
      </c>
      <c r="G35" s="16">
        <f>G30+G31-G32-G33+G34</f>
        <v>684.09949358228687</v>
      </c>
      <c r="H35" s="16">
        <f>H30+H31-H32-H33+H34</f>
        <v>2795.6976506690098</v>
      </c>
      <c r="I35" s="16">
        <f>I30+I31-I32-I33+I34</f>
        <v>3669.944267083968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Drop Down 1">
              <controlPr defaultSize="0" autoLine="0" autoPict="0">
                <anchor mov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2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2"/>
  <sheetViews>
    <sheetView showGridLines="0" topLeftCell="A7" zoomScaleNormal="100" workbookViewId="0">
      <selection activeCell="B18" sqref="B18"/>
    </sheetView>
  </sheetViews>
  <sheetFormatPr defaultColWidth="8.5703125" defaultRowHeight="15" x14ac:dyDescent="0.25"/>
  <cols>
    <col min="1" max="1" width="48" style="1" customWidth="1"/>
    <col min="2" max="10" width="13" style="1" customWidth="1"/>
  </cols>
  <sheetData>
    <row r="1" spans="1:10" ht="17.25" customHeight="1" x14ac:dyDescent="0.25">
      <c r="A1" s="63" t="s">
        <v>313</v>
      </c>
      <c r="B1" s="63"/>
      <c r="C1" s="63"/>
      <c r="D1" s="63"/>
      <c r="E1" s="63"/>
      <c r="F1" s="63"/>
      <c r="G1" s="63"/>
      <c r="H1" s="63"/>
      <c r="I1" s="63"/>
      <c r="J1" s="63"/>
    </row>
    <row r="3" spans="1:10" ht="15" customHeight="1" x14ac:dyDescent="0.25">
      <c r="A3" s="50" t="s">
        <v>314</v>
      </c>
    </row>
    <row r="5" spans="1:10" ht="15" customHeight="1" x14ac:dyDescent="0.25">
      <c r="B5" s="10" t="s">
        <v>8</v>
      </c>
      <c r="C5" s="10" t="s">
        <v>9</v>
      </c>
      <c r="D5" s="10" t="s">
        <v>10</v>
      </c>
      <c r="E5" s="10" t="s">
        <v>11</v>
      </c>
      <c r="F5" s="10" t="s">
        <v>12</v>
      </c>
      <c r="G5" s="10" t="s">
        <v>315</v>
      </c>
      <c r="H5" s="10" t="s">
        <v>316</v>
      </c>
      <c r="I5" s="10" t="s">
        <v>317</v>
      </c>
      <c r="J5" s="10" t="s">
        <v>318</v>
      </c>
    </row>
    <row r="6" spans="1:10" ht="15" customHeight="1" x14ac:dyDescent="0.25">
      <c r="A6" s="1" t="s">
        <v>319</v>
      </c>
      <c r="B6" s="11">
        <f>'Cash Flow &amp; FCFE'!E35</f>
        <v>1386.1518659751073</v>
      </c>
      <c r="C6" s="11">
        <f>'Cash Flow &amp; FCFE'!F35</f>
        <v>-194.37899403379924</v>
      </c>
      <c r="D6" s="11">
        <f>'Cash Flow &amp; FCFE'!G35</f>
        <v>684.09949358228687</v>
      </c>
      <c r="E6" s="11">
        <f>'Cash Flow &amp; FCFE'!H35</f>
        <v>2795.6976506690098</v>
      </c>
      <c r="F6" s="11">
        <f>'Cash Flow &amp; FCFE'!I35</f>
        <v>3669.944267083968</v>
      </c>
      <c r="G6" s="11">
        <f>F6*(1+Assumptions!$B$18)</f>
        <v>3963.5398084506855</v>
      </c>
      <c r="H6" s="11">
        <f>G6*(1+Assumptions!$B$18)</f>
        <v>4280.6229931267408</v>
      </c>
      <c r="I6" s="11">
        <f>H6*(1+Assumptions!$B$18)</f>
        <v>4623.0728325768805</v>
      </c>
      <c r="J6" s="11">
        <f>I6*(1+Assumptions!$B$19)/(Assumptions!$B$11-Assumptions!$B$19)</f>
        <v>40330.89460124397</v>
      </c>
    </row>
    <row r="7" spans="1:10" ht="15" customHeight="1" x14ac:dyDescent="0.25">
      <c r="A7" s="1" t="s">
        <v>320</v>
      </c>
      <c r="B7" s="46">
        <v>1</v>
      </c>
      <c r="C7" s="46">
        <f t="shared" ref="C7:J7" si="0">B7+1</f>
        <v>2</v>
      </c>
      <c r="D7" s="46">
        <f t="shared" si="0"/>
        <v>3</v>
      </c>
      <c r="E7" s="46">
        <f t="shared" si="0"/>
        <v>4</v>
      </c>
      <c r="F7" s="46">
        <f t="shared" si="0"/>
        <v>5</v>
      </c>
      <c r="G7" s="46">
        <f t="shared" si="0"/>
        <v>6</v>
      </c>
      <c r="H7" s="46">
        <f t="shared" si="0"/>
        <v>7</v>
      </c>
      <c r="I7" s="46">
        <f t="shared" si="0"/>
        <v>8</v>
      </c>
      <c r="J7" s="46">
        <f t="shared" si="0"/>
        <v>9</v>
      </c>
    </row>
    <row r="8" spans="1:10" ht="15" customHeight="1" x14ac:dyDescent="0.25">
      <c r="A8" s="1" t="s">
        <v>321</v>
      </c>
      <c r="B8" s="51">
        <f>1/(1+Assumptions!$B$11)^B7</f>
        <v>0.85443795071601891</v>
      </c>
      <c r="C8" s="51">
        <f>1/(1+Assumptions!$B$11)^C7</f>
        <v>0.73006421162379009</v>
      </c>
      <c r="D8" s="51">
        <f>1/(1+Assumptions!$B$11)^D7</f>
        <v>0.6237945688709372</v>
      </c>
      <c r="E8" s="51">
        <f>1/(1+Assumptions!$B$11)^E7</f>
        <v>0.5329937530938661</v>
      </c>
      <c r="F8" s="51">
        <f>1/(1+Assumptions!$B$11)^F7</f>
        <v>0.45541009013796274</v>
      </c>
      <c r="G8" s="51">
        <f>1/(1+Assumptions!$B$11)^G7</f>
        <v>0.38911966415287835</v>
      </c>
      <c r="H8" s="51">
        <f>1/(1+Assumptions!$B$11)^H7</f>
        <v>0.33247860842209098</v>
      </c>
      <c r="I8" s="51">
        <f>1/(1+Assumptions!$B$11)^I7</f>
        <v>0.28408234083708511</v>
      </c>
      <c r="J8" s="51">
        <f>1/(1+Assumptions!$B$11)^J7</f>
        <v>0.24273073313944862</v>
      </c>
    </row>
    <row r="9" spans="1:10" ht="15" customHeight="1" x14ac:dyDescent="0.25">
      <c r="A9" s="1" t="s">
        <v>322</v>
      </c>
      <c r="B9" s="11">
        <f t="shared" ref="B9:J9" si="1">B6*B8</f>
        <v>1184.3807597449563</v>
      </c>
      <c r="C9" s="11">
        <f t="shared" si="1"/>
        <v>-141.90914703551104</v>
      </c>
      <c r="D9" s="11">
        <f t="shared" si="1"/>
        <v>426.73754866398912</v>
      </c>
      <c r="E9" s="11">
        <f t="shared" si="1"/>
        <v>1490.0893833457797</v>
      </c>
      <c r="F9" s="11">
        <f t="shared" si="1"/>
        <v>1671.3296494740096</v>
      </c>
      <c r="G9" s="11">
        <f t="shared" si="1"/>
        <v>1542.2912791208946</v>
      </c>
      <c r="H9" s="11">
        <f t="shared" si="1"/>
        <v>1423.2155759343848</v>
      </c>
      <c r="I9" s="11">
        <f t="shared" si="1"/>
        <v>1313.333352138774</v>
      </c>
      <c r="J9" s="11">
        <f t="shared" si="1"/>
        <v>9789.5476147297795</v>
      </c>
    </row>
    <row r="11" spans="1:10" ht="15" customHeight="1" x14ac:dyDescent="0.25">
      <c r="A11" s="1" t="s">
        <v>323</v>
      </c>
      <c r="B11" s="11">
        <f>SUM(B9:F9)</f>
        <v>4630.6281941932239</v>
      </c>
    </row>
    <row r="12" spans="1:10" ht="15" customHeight="1" x14ac:dyDescent="0.25">
      <c r="A12" s="1" t="s">
        <v>324</v>
      </c>
      <c r="B12" s="11">
        <f>SUM(G9:I9)</f>
        <v>4278.8402071940536</v>
      </c>
    </row>
    <row r="13" spans="1:10" ht="15" customHeight="1" x14ac:dyDescent="0.25">
      <c r="A13" s="1" t="s">
        <v>325</v>
      </c>
      <c r="B13" s="11">
        <f>J9</f>
        <v>9789.5476147297795</v>
      </c>
    </row>
    <row r="14" spans="1:10" ht="15" customHeight="1" x14ac:dyDescent="0.25">
      <c r="A14" s="2" t="s">
        <v>326</v>
      </c>
      <c r="B14" s="43">
        <f>B11+B12+B13</f>
        <v>18699.016016117057</v>
      </c>
    </row>
    <row r="16" spans="1:10" ht="15" customHeight="1" x14ac:dyDescent="0.25">
      <c r="A16" s="1" t="s">
        <v>327</v>
      </c>
      <c r="B16" s="52">
        <f>Assumptions!$B$64</f>
        <v>568989292</v>
      </c>
    </row>
    <row r="17" spans="1:10" ht="15" customHeight="1" x14ac:dyDescent="0.25">
      <c r="A17" s="2" t="s">
        <v>328</v>
      </c>
      <c r="B17" s="14">
        <f>B14*10000000/B16</f>
        <v>328.63564005554355</v>
      </c>
    </row>
    <row r="18" spans="1:10" ht="15" customHeight="1" x14ac:dyDescent="0.25">
      <c r="A18" s="1" t="s">
        <v>379</v>
      </c>
      <c r="B18" s="15">
        <f>'Executive Summary'!B16</f>
        <v>256</v>
      </c>
    </row>
    <row r="19" spans="1:10" ht="15" customHeight="1" x14ac:dyDescent="0.25">
      <c r="A19" s="1" t="s">
        <v>329</v>
      </c>
      <c r="B19" s="53">
        <f>B17/B18-1</f>
        <v>0.28373296896696698</v>
      </c>
    </row>
    <row r="22" spans="1:10" ht="15" customHeight="1" x14ac:dyDescent="0.25">
      <c r="A22" s="50" t="s">
        <v>330</v>
      </c>
    </row>
    <row r="24" spans="1:10" ht="15" customHeight="1" x14ac:dyDescent="0.25">
      <c r="A24" s="1" t="s">
        <v>331</v>
      </c>
      <c r="B24" s="11">
        <f>B16*B18/10000000</f>
        <v>14566.125875199999</v>
      </c>
    </row>
    <row r="25" spans="1:10" ht="15" customHeight="1" x14ac:dyDescent="0.25">
      <c r="A25" s="1" t="s">
        <v>332</v>
      </c>
      <c r="B25" s="11">
        <f>'Balance Sheet'!D19</f>
        <v>12920.540999999999</v>
      </c>
    </row>
    <row r="26" spans="1:10" ht="15" customHeight="1" x14ac:dyDescent="0.25">
      <c r="A26" s="1" t="s">
        <v>333</v>
      </c>
      <c r="B26" s="11">
        <f>'Balance Sheet'!D10</f>
        <v>3357.4969999999998</v>
      </c>
    </row>
    <row r="27" spans="1:10" ht="15" customHeight="1" x14ac:dyDescent="0.25">
      <c r="A27" s="2" t="s">
        <v>334</v>
      </c>
      <c r="B27" s="43">
        <f>B24+B25-B26</f>
        <v>24129.169875199997</v>
      </c>
    </row>
    <row r="28" spans="1:10" ht="15" customHeight="1" x14ac:dyDescent="0.25">
      <c r="A28" s="64" t="s">
        <v>335</v>
      </c>
      <c r="B28" s="64"/>
      <c r="C28" s="64"/>
      <c r="D28" s="64"/>
      <c r="E28" s="64"/>
      <c r="F28" s="64"/>
      <c r="G28" s="64"/>
      <c r="H28" s="64"/>
      <c r="I28" s="64"/>
      <c r="J28" s="64"/>
    </row>
    <row r="30" spans="1:10" ht="15" customHeight="1" x14ac:dyDescent="0.25">
      <c r="A30" s="2"/>
      <c r="B30" s="10" t="s">
        <v>213</v>
      </c>
      <c r="C30" s="10" t="s">
        <v>214</v>
      </c>
      <c r="D30" s="10" t="s">
        <v>7</v>
      </c>
      <c r="E30" s="10" t="s">
        <v>8</v>
      </c>
      <c r="F30" s="10" t="s">
        <v>9</v>
      </c>
      <c r="G30" s="10" t="s">
        <v>10</v>
      </c>
      <c r="H30" s="10" t="s">
        <v>11</v>
      </c>
      <c r="I30" s="10" t="s">
        <v>12</v>
      </c>
    </row>
    <row r="31" spans="1:10" ht="15" customHeight="1" x14ac:dyDescent="0.25">
      <c r="A31" s="1" t="s">
        <v>14</v>
      </c>
      <c r="B31" s="11">
        <f>'P&amp;L'!B26</f>
        <v>370.85300000000001</v>
      </c>
      <c r="C31" s="11">
        <f>'P&amp;L'!C26</f>
        <v>485.68499999999995</v>
      </c>
      <c r="D31" s="11">
        <f>'P&amp;L'!D26</f>
        <v>692.18399999999997</v>
      </c>
      <c r="E31" s="11">
        <f>'P&amp;L'!E26</f>
        <v>2288.6528248827549</v>
      </c>
      <c r="F31" s="11">
        <f>'P&amp;L'!F26</f>
        <v>5667.771419189613</v>
      </c>
      <c r="G31" s="11">
        <f>'P&amp;L'!G26</f>
        <v>7636.8088371487447</v>
      </c>
      <c r="H31" s="11">
        <f>'P&amp;L'!H26</f>
        <v>9828.8171854097091</v>
      </c>
      <c r="I31" s="11">
        <f>'P&amp;L'!I26</f>
        <v>10453.644856771487</v>
      </c>
    </row>
    <row r="32" spans="1:10" ht="15" customHeight="1" x14ac:dyDescent="0.25">
      <c r="A32" s="1" t="s">
        <v>336</v>
      </c>
      <c r="B32" s="13">
        <f t="shared" ref="B32:I32" si="2">$B$27/B31</f>
        <v>65.063973798782797</v>
      </c>
      <c r="C32" s="13">
        <f t="shared" si="2"/>
        <v>49.680698138093618</v>
      </c>
      <c r="D32" s="13">
        <f t="shared" si="2"/>
        <v>34.859473601238975</v>
      </c>
      <c r="E32" s="13">
        <f t="shared" si="2"/>
        <v>10.542957679234773</v>
      </c>
      <c r="F32" s="13">
        <f t="shared" si="2"/>
        <v>4.2572588219604004</v>
      </c>
      <c r="G32" s="13">
        <f t="shared" si="2"/>
        <v>3.1595880412542563</v>
      </c>
      <c r="H32" s="13">
        <f t="shared" si="2"/>
        <v>2.4549413647675027</v>
      </c>
      <c r="I32" s="13">
        <f t="shared" si="2"/>
        <v>2.3082063917227882</v>
      </c>
    </row>
    <row r="34" spans="1:10" ht="15" customHeight="1" x14ac:dyDescent="0.25">
      <c r="A34" s="1" t="s">
        <v>16</v>
      </c>
      <c r="B34" s="11">
        <f>'P&amp;L'!B38</f>
        <v>40.064</v>
      </c>
      <c r="C34" s="11">
        <f>'P&amp;L'!C38</f>
        <v>36.478000000000002</v>
      </c>
      <c r="D34" s="11">
        <f>'P&amp;L'!D38</f>
        <v>40.463999999999999</v>
      </c>
      <c r="E34" s="11">
        <f>'P&amp;L'!E38</f>
        <v>327.01351355800045</v>
      </c>
      <c r="F34" s="11">
        <f>'P&amp;L'!F38</f>
        <v>1272.2070362409163</v>
      </c>
      <c r="G34" s="11">
        <f>'P&amp;L'!G38</f>
        <v>1907.7001060521784</v>
      </c>
      <c r="H34" s="11">
        <f>'P&amp;L'!H38</f>
        <v>3169.1666252406726</v>
      </c>
      <c r="I34" s="11">
        <f>'P&amp;L'!I38</f>
        <v>3621.1844063119834</v>
      </c>
    </row>
    <row r="35" spans="1:10" ht="15" customHeight="1" x14ac:dyDescent="0.25">
      <c r="A35" s="1" t="s">
        <v>337</v>
      </c>
      <c r="B35" s="13">
        <f t="shared" ref="B35:I35" si="3">$B$24/B34</f>
        <v>363.57143258785942</v>
      </c>
      <c r="C35" s="13">
        <f t="shared" si="3"/>
        <v>399.31262336750916</v>
      </c>
      <c r="D35" s="13">
        <f t="shared" si="3"/>
        <v>359.97740893633846</v>
      </c>
      <c r="E35" s="13">
        <f t="shared" si="3"/>
        <v>44.5428866737536</v>
      </c>
      <c r="F35" s="13">
        <f t="shared" si="3"/>
        <v>11.449493250909541</v>
      </c>
      <c r="G35" s="13">
        <f t="shared" si="3"/>
        <v>7.6354379962494976</v>
      </c>
      <c r="H35" s="13">
        <f t="shared" si="3"/>
        <v>4.596200704370923</v>
      </c>
      <c r="I35" s="13">
        <f t="shared" si="3"/>
        <v>4.0224755883213792</v>
      </c>
    </row>
    <row r="37" spans="1:10" ht="15" customHeight="1" x14ac:dyDescent="0.25">
      <c r="A37" s="1" t="s">
        <v>13</v>
      </c>
      <c r="B37" s="11">
        <f>'P&amp;L'!B5</f>
        <v>391.55</v>
      </c>
      <c r="C37" s="11">
        <f>'P&amp;L'!C5</f>
        <v>508.678</v>
      </c>
      <c r="D37" s="11">
        <f>'P&amp;L'!D5</f>
        <v>718.93399999999997</v>
      </c>
      <c r="E37" s="11">
        <f>'P&amp;L'!E5</f>
        <v>2437.5935207887997</v>
      </c>
      <c r="F37" s="11">
        <f>'P&amp;L'!F5</f>
        <v>5937.110751388801</v>
      </c>
      <c r="G37" s="11">
        <f>'P&amp;L'!G5</f>
        <v>8038.7307609887994</v>
      </c>
      <c r="H37" s="11">
        <f>'P&amp;L'!H5</f>
        <v>10353.3154809888</v>
      </c>
      <c r="I37" s="11">
        <f>'P&amp;L'!I5</f>
        <v>11021.703480988801</v>
      </c>
    </row>
    <row r="38" spans="1:10" ht="15" customHeight="1" x14ac:dyDescent="0.25">
      <c r="A38" s="1" t="s">
        <v>338</v>
      </c>
      <c r="B38" s="13">
        <f t="shared" ref="B38:I38" si="4">$B$24/B37</f>
        <v>37.201189823011106</v>
      </c>
      <c r="C38" s="13">
        <f t="shared" si="4"/>
        <v>28.635258208925883</v>
      </c>
      <c r="D38" s="13">
        <f t="shared" si="4"/>
        <v>20.260727514904012</v>
      </c>
      <c r="E38" s="13">
        <f t="shared" si="4"/>
        <v>5.9756172433894701</v>
      </c>
      <c r="F38" s="13">
        <f t="shared" si="4"/>
        <v>2.4534030920330583</v>
      </c>
      <c r="G38" s="13">
        <f t="shared" si="4"/>
        <v>1.811993249716489</v>
      </c>
      <c r="H38" s="13">
        <f t="shared" si="4"/>
        <v>1.4069044744117902</v>
      </c>
      <c r="I38" s="13">
        <f t="shared" si="4"/>
        <v>1.3215857149781727</v>
      </c>
    </row>
    <row r="40" spans="1:10" ht="15" customHeight="1" x14ac:dyDescent="0.25">
      <c r="A40" s="64" t="s">
        <v>339</v>
      </c>
      <c r="B40" s="64"/>
      <c r="C40" s="64"/>
      <c r="D40" s="64"/>
      <c r="E40" s="64"/>
      <c r="F40" s="64"/>
      <c r="G40" s="64"/>
      <c r="H40" s="64"/>
      <c r="I40" s="64"/>
      <c r="J40" s="64"/>
    </row>
    <row r="43" spans="1:10" ht="15" customHeight="1" x14ac:dyDescent="0.25">
      <c r="A43" s="50" t="s">
        <v>340</v>
      </c>
    </row>
    <row r="45" spans="1:10" ht="42" customHeight="1" x14ac:dyDescent="0.25">
      <c r="A45" s="39" t="s">
        <v>341</v>
      </c>
      <c r="B45" s="39" t="s">
        <v>342</v>
      </c>
      <c r="C45" s="39" t="s">
        <v>343</v>
      </c>
      <c r="D45" s="39" t="s">
        <v>344</v>
      </c>
      <c r="E45" s="39" t="s">
        <v>345</v>
      </c>
      <c r="F45" s="39" t="s">
        <v>232</v>
      </c>
      <c r="G45" s="39" t="s">
        <v>241</v>
      </c>
      <c r="H45" s="39" t="s">
        <v>346</v>
      </c>
      <c r="I45" s="39" t="s">
        <v>347</v>
      </c>
    </row>
    <row r="46" spans="1:10" ht="15" customHeight="1" x14ac:dyDescent="0.25">
      <c r="A46" s="1" t="s">
        <v>348</v>
      </c>
      <c r="B46" s="11">
        <f>Assumptions!$B$65</f>
        <v>12802.25907</v>
      </c>
      <c r="C46" s="11">
        <v>7189.34</v>
      </c>
      <c r="D46" s="11">
        <v>6921.84</v>
      </c>
      <c r="E46" s="11">
        <v>404.64</v>
      </c>
      <c r="F46" s="13">
        <f>IF(B46="","",B46/D46)</f>
        <v>1.84954565115634</v>
      </c>
      <c r="G46" s="13">
        <f>IF(B46="","",B46/E46)</f>
        <v>31.638639457295376</v>
      </c>
      <c r="H46" s="13">
        <f>IF(B46="","",B46/C46)</f>
        <v>1.7807280042396103</v>
      </c>
      <c r="I46" s="12">
        <f>D46/C46</f>
        <v>0.96279213390937135</v>
      </c>
    </row>
    <row r="47" spans="1:10" ht="15" customHeight="1" x14ac:dyDescent="0.25">
      <c r="A47" s="1" t="s">
        <v>349</v>
      </c>
      <c r="B47" s="47">
        <v>270030</v>
      </c>
      <c r="C47" s="36">
        <v>2023.3789999999999</v>
      </c>
      <c r="D47" s="36">
        <v>2265.0369999999998</v>
      </c>
      <c r="E47" s="36">
        <v>497.88499999999999</v>
      </c>
      <c r="F47" s="13">
        <f>IF(B47="","",B47/D47)</f>
        <v>119.21659557879188</v>
      </c>
      <c r="G47" s="13">
        <f>IF(B47="","",B47/E47)</f>
        <v>542.35415808871528</v>
      </c>
      <c r="H47" s="13">
        <f>IF(B47="","",B47/C47)</f>
        <v>133.45497803426844</v>
      </c>
      <c r="I47" s="12">
        <f>D47/C47</f>
        <v>1.1194328892412149</v>
      </c>
    </row>
    <row r="48" spans="1:10" ht="15" customHeight="1" x14ac:dyDescent="0.25">
      <c r="A48" s="1" t="s">
        <v>350</v>
      </c>
      <c r="B48" s="47"/>
      <c r="C48" s="36">
        <v>13430.5</v>
      </c>
      <c r="D48" s="36">
        <v>8849.2000000000007</v>
      </c>
      <c r="E48" s="36">
        <v>1038.5</v>
      </c>
      <c r="F48" s="13" t="str">
        <f>IF(B48="","",B48/D48)</f>
        <v/>
      </c>
      <c r="G48" s="13" t="str">
        <f>IF(B48="","",B48/E48)</f>
        <v/>
      </c>
      <c r="H48" s="13" t="str">
        <f>IF(B48="","",B48/C48)</f>
        <v/>
      </c>
      <c r="I48" s="12">
        <f>D48/C48</f>
        <v>0.65888835114105959</v>
      </c>
    </row>
    <row r="49" spans="1:9" ht="15" customHeight="1" x14ac:dyDescent="0.25">
      <c r="A49" s="1" t="s">
        <v>351</v>
      </c>
      <c r="B49" s="47">
        <v>2281650</v>
      </c>
      <c r="C49" s="36">
        <v>12928</v>
      </c>
      <c r="D49" s="36">
        <v>11659</v>
      </c>
      <c r="E49" s="36">
        <v>1987</v>
      </c>
      <c r="F49" s="13">
        <f>IF(B49="","",B49/D49)</f>
        <v>195.69860193841669</v>
      </c>
      <c r="G49" s="13">
        <f>IF(B49="","",B49/E49)</f>
        <v>1148.288877705083</v>
      </c>
      <c r="H49" s="13">
        <f>IF(B49="","",B49/C49)</f>
        <v>176.4890160891089</v>
      </c>
      <c r="I49" s="12">
        <f>D49/C49</f>
        <v>0.90184096534653468</v>
      </c>
    </row>
    <row r="50" spans="1:9" ht="15" customHeight="1" x14ac:dyDescent="0.25">
      <c r="A50" s="1" t="s">
        <v>352</v>
      </c>
      <c r="B50" s="47">
        <v>764270</v>
      </c>
      <c r="C50" s="36">
        <v>2858.42</v>
      </c>
      <c r="D50" s="36">
        <v>2471.61</v>
      </c>
      <c r="E50" s="36">
        <v>521.30999999999995</v>
      </c>
      <c r="F50" s="13">
        <f>IF(B50="","",B50/D50)</f>
        <v>309.21949660342852</v>
      </c>
      <c r="G50" s="13">
        <f>IF(B50="","",B50/E50)</f>
        <v>1466.0566649402469</v>
      </c>
      <c r="H50" s="13">
        <f>IF(B50="","",B50/C50)</f>
        <v>267.37498338242807</v>
      </c>
      <c r="I50" s="12">
        <f>D50/C50</f>
        <v>0.86467698938574455</v>
      </c>
    </row>
    <row r="52" spans="1:9" ht="15" customHeight="1" x14ac:dyDescent="0.25">
      <c r="A52" s="64" t="s">
        <v>353</v>
      </c>
      <c r="B52" s="64"/>
      <c r="C52" s="64"/>
      <c r="D52" s="64"/>
      <c r="E52" s="64"/>
      <c r="F52" s="64"/>
      <c r="G52" s="64"/>
      <c r="H52" s="64"/>
      <c r="I52" s="64"/>
    </row>
  </sheetData>
  <mergeCells count="4">
    <mergeCell ref="A1:J1"/>
    <mergeCell ref="A28:J28"/>
    <mergeCell ref="A40:J40"/>
    <mergeCell ref="A52:I52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Drop Down 1">
              <controlPr defaultSize="0" autoLine="0" autoPict="0">
                <anchor moveWithCells="1">
                  <from>
                    <xdr:col>1</xdr:col>
                    <xdr:colOff>0</xdr:colOff>
                    <xdr:row>2</xdr:row>
                    <xdr:rowOff>0</xdr:rowOff>
                  </from>
                  <to>
                    <xdr:col>2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8"/>
  <sheetViews>
    <sheetView showGridLines="0" topLeftCell="A31" zoomScale="130" zoomScaleNormal="130" workbookViewId="0">
      <selection activeCell="B2" sqref="B2"/>
    </sheetView>
  </sheetViews>
  <sheetFormatPr defaultColWidth="8.5703125" defaultRowHeight="15" x14ac:dyDescent="0.25"/>
  <cols>
    <col min="1" max="1" width="42" style="1" customWidth="1"/>
    <col min="2" max="6" width="12" style="1" customWidth="1"/>
    <col min="7" max="7" width="12.42578125" style="1" bestFit="1" customWidth="1"/>
    <col min="8" max="9" width="12.7109375" style="1" customWidth="1"/>
  </cols>
  <sheetData>
    <row r="1" spans="1:9" ht="17.25" customHeight="1" x14ac:dyDescent="0.25">
      <c r="A1" s="63" t="s">
        <v>354</v>
      </c>
      <c r="B1" s="63"/>
      <c r="C1" s="63"/>
      <c r="D1" s="63"/>
      <c r="E1" s="63"/>
      <c r="F1" s="63"/>
      <c r="G1" s="63"/>
      <c r="H1" s="63"/>
      <c r="I1" s="63"/>
    </row>
    <row r="3" spans="1:9" ht="15" customHeight="1" x14ac:dyDescent="0.25">
      <c r="B3" s="10" t="s">
        <v>213</v>
      </c>
      <c r="C3" s="10" t="s">
        <v>214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</row>
    <row r="5" spans="1:9" ht="15" customHeight="1" x14ac:dyDescent="0.25">
      <c r="A5" s="60" t="s">
        <v>355</v>
      </c>
      <c r="B5" s="60"/>
      <c r="C5" s="60"/>
      <c r="D5" s="60"/>
      <c r="E5" s="60"/>
      <c r="F5" s="60"/>
      <c r="G5" s="60"/>
      <c r="H5" s="60"/>
      <c r="I5" s="60"/>
    </row>
    <row r="6" spans="1:9" ht="15" customHeight="1" x14ac:dyDescent="0.25">
      <c r="A6" s="1" t="s">
        <v>15</v>
      </c>
      <c r="B6" s="12">
        <f>'P&amp;L'!B27</f>
        <v>0.87373217386387469</v>
      </c>
      <c r="C6" s="12">
        <f>'P&amp;L'!C27</f>
        <v>0.85240794692688404</v>
      </c>
      <c r="D6" s="12">
        <f>'P&amp;L'!D27</f>
        <v>0.85993067720174432</v>
      </c>
      <c r="E6" s="12">
        <f>'P&amp;L'!E27</f>
        <v>0.90536116674942335</v>
      </c>
      <c r="F6" s="12">
        <f>'P&amp;L'!F27</f>
        <v>0.93962953069355748</v>
      </c>
      <c r="G6" s="12">
        <f>'P&amp;L'!G27</f>
        <v>0.93838096901726686</v>
      </c>
      <c r="H6" s="12">
        <f>'P&amp;L'!H27</f>
        <v>0.93985118140574886</v>
      </c>
      <c r="I6" s="12">
        <f>'P&amp;L'!I27</f>
        <v>0.93910827337034553</v>
      </c>
    </row>
    <row r="7" spans="1:9" ht="15" customHeight="1" x14ac:dyDescent="0.25">
      <c r="A7" s="1" t="s">
        <v>356</v>
      </c>
      <c r="B7" s="12">
        <f>'P&amp;L'!B26/'P&amp;L'!B5</f>
        <v>0.94714085046609631</v>
      </c>
      <c r="C7" s="12">
        <f>'P&amp;L'!C26/'P&amp;L'!C5</f>
        <v>0.95479851693998941</v>
      </c>
      <c r="D7" s="12">
        <f>'P&amp;L'!D26/'P&amp;L'!D5</f>
        <v>0.96279213390937135</v>
      </c>
      <c r="E7" s="12">
        <f>'P&amp;L'!E26/'P&amp;L'!E5</f>
        <v>0.93889846906967167</v>
      </c>
      <c r="F7" s="12">
        <f>'P&amp;L'!F26/'P&amp;L'!F5</f>
        <v>0.95463461210721312</v>
      </c>
      <c r="G7" s="12">
        <f>'P&amp;L'!G26/'P&amp;L'!G5</f>
        <v>0.95000181797473005</v>
      </c>
      <c r="H7" s="12">
        <f>'P&amp;L'!H26/'P&amp;L'!H5</f>
        <v>0.94934006439365271</v>
      </c>
      <c r="I7" s="12">
        <f>'P&amp;L'!I26/'P&amp;L'!I5</f>
        <v>0.9484599975677851</v>
      </c>
    </row>
    <row r="8" spans="1:9" ht="15" customHeight="1" x14ac:dyDescent="0.25">
      <c r="A8" s="1" t="s">
        <v>357</v>
      </c>
      <c r="B8" s="12">
        <f>'P&amp;L'!B38/'P&amp;L'!B8</f>
        <v>9.439105471354492E-2</v>
      </c>
      <c r="C8" s="12">
        <f>'P&amp;L'!C38/'P&amp;L'!C8</f>
        <v>6.4021201165362071E-2</v>
      </c>
      <c r="D8" s="12">
        <f>'P&amp;L'!D38/'P&amp;L'!D8</f>
        <v>5.0270209831910849E-2</v>
      </c>
      <c r="E8" s="12">
        <f>'P&amp;L'!E38/'P&amp;L'!E8</f>
        <v>0.12936227502870243</v>
      </c>
      <c r="F8" s="12">
        <f>'P&amp;L'!F38/'P&amp;L'!F8</f>
        <v>0.2109124048935295</v>
      </c>
      <c r="G8" s="12">
        <f>'P&amp;L'!G38/'P&amp;L'!G8</f>
        <v>0.23441066972941943</v>
      </c>
      <c r="H8" s="12">
        <f>'P&amp;L'!H38/'P&amp;L'!H8</f>
        <v>0.30304205893925751</v>
      </c>
      <c r="I8" s="12">
        <f>'P&amp;L'!I38/'P&amp;L'!I8</f>
        <v>0.32531086352760763</v>
      </c>
    </row>
    <row r="9" spans="1:9" ht="15" customHeight="1" x14ac:dyDescent="0.25">
      <c r="A9" s="1" t="s">
        <v>358</v>
      </c>
      <c r="B9" s="12">
        <f>'P&amp;L'!B38/'Balance Sheet'!B17</f>
        <v>2.3135954337904819E-2</v>
      </c>
      <c r="C9" s="12">
        <f>'P&amp;L'!C38/AVERAGE('Balance Sheet'!B17,'Balance Sheet'!C17)</f>
        <v>1.4328768603035408E-2</v>
      </c>
      <c r="D9" s="12">
        <f>'P&amp;L'!D38/AVERAGE('Balance Sheet'!C17,'Balance Sheet'!D17)</f>
        <v>1.1929630393433985E-2</v>
      </c>
      <c r="E9" s="12">
        <f>'P&amp;L'!E38/AVERAGE('Balance Sheet'!D17,'Balance Sheet'!E17)</f>
        <v>7.2873882431092246E-2</v>
      </c>
      <c r="F9" s="12">
        <f>'P&amp;L'!F38/AVERAGE('Balance Sheet'!E17,'Balance Sheet'!F17)</f>
        <v>0.20562583315451866</v>
      </c>
      <c r="G9" s="12">
        <f>'P&amp;L'!G38/AVERAGE('Balance Sheet'!F17,'Balance Sheet'!G17)</f>
        <v>0.24530172140402121</v>
      </c>
      <c r="H9" s="12">
        <f>'P&amp;L'!H38/AVERAGE('Balance Sheet'!G17,'Balance Sheet'!H17)</f>
        <v>0.30722711953774534</v>
      </c>
      <c r="I9" s="12">
        <f>'P&amp;L'!I38/AVERAGE('Balance Sheet'!H17,'Balance Sheet'!I17)</f>
        <v>0.26411640007274745</v>
      </c>
    </row>
    <row r="10" spans="1:9" ht="15" customHeight="1" x14ac:dyDescent="0.25">
      <c r="A10" s="1" t="s">
        <v>359</v>
      </c>
      <c r="B10" s="12">
        <f>'P&amp;L'!B30/('Balance Sheet'!B17+'Balance Sheet'!B19)</f>
        <v>5.6479593621079099E-2</v>
      </c>
      <c r="C10" s="12">
        <f>'P&amp;L'!C30/AVERAGE('Balance Sheet'!B17+'Balance Sheet'!B19,'Balance Sheet'!C17+'Balance Sheet'!C19)</f>
        <v>4.8139860340175353E-2</v>
      </c>
      <c r="D10" s="12">
        <f>'P&amp;L'!D30/AVERAGE('Balance Sheet'!C17+'Balance Sheet'!C19,'Balance Sheet'!D17+'Balance Sheet'!D19)</f>
        <v>3.6126686352055633E-2</v>
      </c>
      <c r="E10" s="12">
        <f>'P&amp;L'!E30/AVERAGE('Balance Sheet'!D17+'Balance Sheet'!D19,'Balance Sheet'!E17+'Balance Sheet'!E19)</f>
        <v>6.6142357416193329E-2</v>
      </c>
      <c r="F10" s="12">
        <f>'P&amp;L'!F30/AVERAGE('Balance Sheet'!E17+'Balance Sheet'!E19,'Balance Sheet'!F17+'Balance Sheet'!F19)</f>
        <v>0.11896746129401163</v>
      </c>
      <c r="G10" s="12">
        <f>'P&amp;L'!G30/AVERAGE('Balance Sheet'!F17+'Balance Sheet'!F19,'Balance Sheet'!G17+'Balance Sheet'!G19)</f>
        <v>0.1409509491984515</v>
      </c>
      <c r="H10" s="12">
        <f>'P&amp;L'!H30/AVERAGE('Balance Sheet'!G17+'Balance Sheet'!G19,'Balance Sheet'!H17+'Balance Sheet'!H19)</f>
        <v>0.17739346330163394</v>
      </c>
      <c r="I10" s="12">
        <f>'P&amp;L'!I30/AVERAGE('Balance Sheet'!H17+'Balance Sheet'!H19,'Balance Sheet'!I17+'Balance Sheet'!I19)</f>
        <v>0.18359431482758626</v>
      </c>
    </row>
    <row r="12" spans="1:9" ht="15" customHeight="1" x14ac:dyDescent="0.25">
      <c r="A12" s="60" t="s">
        <v>360</v>
      </c>
      <c r="B12" s="60"/>
      <c r="C12" s="60"/>
      <c r="D12" s="60"/>
      <c r="E12" s="60"/>
      <c r="F12" s="60"/>
      <c r="G12" s="60"/>
      <c r="H12" s="60"/>
      <c r="I12" s="60"/>
    </row>
    <row r="13" spans="1:9" ht="15" customHeight="1" x14ac:dyDescent="0.25">
      <c r="A13" s="1" t="s">
        <v>361</v>
      </c>
      <c r="B13" s="13">
        <f>'Balance Sheet'!B19/'Balance Sheet'!B17</f>
        <v>1.5428402640908208</v>
      </c>
      <c r="C13" s="13">
        <f>'Balance Sheet'!C19/'Balance Sheet'!C17</f>
        <v>1.6377071565863013</v>
      </c>
      <c r="D13" s="13">
        <f>'Balance Sheet'!D19/'Balance Sheet'!D17</f>
        <v>3.7736514361033948</v>
      </c>
      <c r="E13" s="13">
        <f>'Balance Sheet'!E19/'Balance Sheet'!E17</f>
        <v>5.0535167753464663</v>
      </c>
      <c r="F13" s="13">
        <f>'Balance Sheet'!F19/'Balance Sheet'!F17</f>
        <v>4.906785287995687</v>
      </c>
      <c r="G13" s="13">
        <f>'Balance Sheet'!G19/'Balance Sheet'!G17</f>
        <v>3.8869153848429145</v>
      </c>
      <c r="H13" s="13">
        <f>'Balance Sheet'!H19/'Balance Sheet'!H17</f>
        <v>2.7032408617303147</v>
      </c>
      <c r="I13" s="13">
        <f>'Balance Sheet'!I19/'Balance Sheet'!I17</f>
        <v>1.9343870217191219</v>
      </c>
    </row>
    <row r="14" spans="1:9" ht="15" customHeight="1" x14ac:dyDescent="0.25">
      <c r="A14" s="1" t="s">
        <v>362</v>
      </c>
      <c r="B14" s="13">
        <f>('Balance Sheet'!B19-'Balance Sheet'!B10)/'Balance Sheet'!B17</f>
        <v>1.0476128053903817</v>
      </c>
      <c r="C14" s="13">
        <f>('Balance Sheet'!C19-'Balance Sheet'!C10)/'Balance Sheet'!C17</f>
        <v>0.84824569079180379</v>
      </c>
      <c r="D14" s="13">
        <f>('Balance Sheet'!D19-'Balance Sheet'!D10)/'Balance Sheet'!D17</f>
        <v>2.793040533219155</v>
      </c>
      <c r="E14" s="13">
        <f>('Balance Sheet'!E19-'Balance Sheet'!E10)/'Balance Sheet'!E17</f>
        <v>4.5342091537876188</v>
      </c>
      <c r="F14" s="13">
        <f>('Balance Sheet'!F19-'Balance Sheet'!F10)/'Balance Sheet'!F17</f>
        <v>4.5118082658426628</v>
      </c>
      <c r="G14" s="13">
        <f>('Balance Sheet'!G19-'Balance Sheet'!G10)/'Balance Sheet'!G17</f>
        <v>3.4990782209921014</v>
      </c>
      <c r="H14" s="13">
        <f>('Balance Sheet'!H19-'Balance Sheet'!H10)/'Balance Sheet'!H17</f>
        <v>2.1831351622520656</v>
      </c>
      <c r="I14" s="13">
        <f>('Balance Sheet'!I19-'Balance Sheet'!I10)/'Balance Sheet'!I17</f>
        <v>1.2986758165830505</v>
      </c>
    </row>
    <row r="15" spans="1:9" ht="15" customHeight="1" x14ac:dyDescent="0.25">
      <c r="A15" s="1" t="s">
        <v>363</v>
      </c>
      <c r="B15" s="13">
        <f>'Balance Sheet'!B19/'P&amp;L'!B26</f>
        <v>7.2042049005940356</v>
      </c>
      <c r="C15" s="13">
        <f>'Balance Sheet'!C19/'P&amp;L'!C26</f>
        <v>11.329419273809158</v>
      </c>
      <c r="D15" s="13">
        <f>'Balance Sheet'!D19/'P&amp;L'!D26</f>
        <v>18.666338719184495</v>
      </c>
      <c r="E15" s="13">
        <f>'Balance Sheet'!E19/'P&amp;L'!E26</f>
        <v>12.25679506498091</v>
      </c>
      <c r="F15" s="13">
        <f>'Balance Sheet'!F19/'P&amp;L'!F26</f>
        <v>5.9069961790045911</v>
      </c>
      <c r="G15" s="13">
        <f>'Balance Sheet'!G19/'P&amp;L'!G26</f>
        <v>4.4437271870537725</v>
      </c>
      <c r="H15" s="13">
        <f>'Balance Sheet'!H19/'P&amp;L'!H26</f>
        <v>3.2728745799622594</v>
      </c>
      <c r="I15" s="13">
        <f>'Balance Sheet'!I19/'P&amp;L'!I26</f>
        <v>2.8721006501345165</v>
      </c>
    </row>
    <row r="16" spans="1:9" ht="15" customHeight="1" x14ac:dyDescent="0.25">
      <c r="A16" s="1" t="s">
        <v>364</v>
      </c>
      <c r="B16" s="13">
        <f>('Balance Sheet'!B19-'Balance Sheet'!B10)/'P&amp;L'!B26</f>
        <v>4.8917684365503309</v>
      </c>
      <c r="C16" s="13">
        <f>('Balance Sheet'!C19-'Balance Sheet'!C10)/'P&amp;L'!C26</f>
        <v>5.8680399847637883</v>
      </c>
      <c r="D16" s="13">
        <f>('Balance Sheet'!D19-'Balance Sheet'!D10)/'P&amp;L'!D26</f>
        <v>13.815754192526843</v>
      </c>
      <c r="E16" s="13">
        <f>('Balance Sheet'!E19-'Balance Sheet'!E10)/'P&amp;L'!E26</f>
        <v>10.997266824334458</v>
      </c>
      <c r="F16" s="13">
        <f>('Balance Sheet'!F19-'Balance Sheet'!F10)/'P&amp;L'!F26</f>
        <v>5.4315060925807037</v>
      </c>
      <c r="G16" s="13">
        <f>('Balance Sheet'!G19-'Balance Sheet'!G10)/'P&amp;L'!G26</f>
        <v>4.000331234604106</v>
      </c>
      <c r="H16" s="13">
        <f>('Balance Sheet'!H19-'Balance Sheet'!H10)/'P&amp;L'!H26</f>
        <v>2.6431708984241427</v>
      </c>
      <c r="I16" s="13">
        <f>('Balance Sheet'!I19-'Balance Sheet'!I10)/'P&amp;L'!I26</f>
        <v>1.9282220234331928</v>
      </c>
    </row>
    <row r="17" spans="1:9" ht="15" customHeight="1" x14ac:dyDescent="0.25">
      <c r="A17" s="1" t="s">
        <v>365</v>
      </c>
      <c r="B17" s="13">
        <f>'P&amp;L'!B30/'P&amp;L'!B34</f>
        <v>1.3007646603485428</v>
      </c>
      <c r="C17" s="13">
        <f>'P&amp;L'!C30/'P&amp;L'!C34</f>
        <v>1.2076253077618386</v>
      </c>
      <c r="D17" s="13">
        <f>'P&amp;L'!D30/'P&amp;L'!D34</f>
        <v>1.1379415484122499</v>
      </c>
      <c r="E17" s="13">
        <f>'P&amp;L'!E30/'P&amp;L'!E34</f>
        <v>1.3619092146915153</v>
      </c>
      <c r="F17" s="13">
        <f>'P&amp;L'!F30/'P&amp;L'!F34</f>
        <v>1.6351750781197938</v>
      </c>
      <c r="G17" s="13">
        <f>'P&amp;L'!G30/'P&amp;L'!G34</f>
        <v>1.7791176110445117</v>
      </c>
      <c r="H17" s="13">
        <f>'P&amp;L'!H30/'P&amp;L'!H34</f>
        <v>2.2368872933577735</v>
      </c>
      <c r="I17" s="13">
        <f>'P&amp;L'!I30/'P&amp;L'!I34</f>
        <v>2.4442076767547762</v>
      </c>
    </row>
    <row r="19" spans="1:9" ht="15" customHeight="1" x14ac:dyDescent="0.25">
      <c r="A19" s="60" t="s">
        <v>366</v>
      </c>
      <c r="B19" s="60"/>
      <c r="C19" s="60"/>
      <c r="D19" s="60"/>
      <c r="E19" s="60"/>
      <c r="F19" s="60"/>
      <c r="G19" s="60"/>
      <c r="H19" s="60"/>
      <c r="I19" s="60"/>
    </row>
    <row r="20" spans="1:9" ht="15" customHeight="1" x14ac:dyDescent="0.25">
      <c r="A20" s="1" t="s">
        <v>367</v>
      </c>
      <c r="B20" s="13">
        <f>('Balance Sheet'!B10+'Balance Sheet'!B9)/'Balance Sheet'!B22</f>
        <v>102.06930583277888</v>
      </c>
      <c r="C20" s="13">
        <f>('Balance Sheet'!C10+'Balance Sheet'!C9)/'Balance Sheet'!C22</f>
        <v>192.1100535815003</v>
      </c>
      <c r="D20" s="13">
        <f>('Balance Sheet'!D10+'Balance Sheet'!D9)/'Balance Sheet'!D22</f>
        <v>164.59196356563402</v>
      </c>
      <c r="E20" s="13">
        <f>('Balance Sheet'!E10+'Balance Sheet'!E9)/'Balance Sheet'!E22</f>
        <v>102.68703528225093</v>
      </c>
      <c r="F20" s="13">
        <f>('Balance Sheet'!F10+'Balance Sheet'!F9)/'Balance Sheet'!F22</f>
        <v>67.955387777518993</v>
      </c>
      <c r="G20" s="13">
        <f>('Balance Sheet'!G10+'Balance Sheet'!G9)/'Balance Sheet'!G22</f>
        <v>62.563457111411303</v>
      </c>
      <c r="H20" s="13">
        <f>('Balance Sheet'!H10+'Balance Sheet'!H9)/'Balance Sheet'!H22</f>
        <v>87.81124996727398</v>
      </c>
      <c r="I20" s="13">
        <f>('Balance Sheet'!I10+'Balance Sheet'!I9)/'Balance Sheet'!I22</f>
        <v>125.98019008973736</v>
      </c>
    </row>
    <row r="21" spans="1:9" ht="15" customHeight="1" x14ac:dyDescent="0.25">
      <c r="A21" s="1" t="s">
        <v>368</v>
      </c>
      <c r="B21" s="12">
        <f>'Balance Sheet'!B10/'Balance Sheet'!B19</f>
        <v>0.32098427181784189</v>
      </c>
      <c r="C21" s="12">
        <f>'Balance Sheet'!C10/'Balance Sheet'!C19</f>
        <v>0.48205288877169028</v>
      </c>
      <c r="D21" s="12">
        <f>'Balance Sheet'!D10/'Balance Sheet'!D19</f>
        <v>0.25985730783254357</v>
      </c>
      <c r="E21" s="12">
        <f>'Balance Sheet'!E10/'Balance Sheet'!E19</f>
        <v>0.10276163009733845</v>
      </c>
      <c r="F21" s="12">
        <f>'Balance Sheet'!F10/'Balance Sheet'!F19</f>
        <v>8.0496088369573671E-2</v>
      </c>
      <c r="G21" s="12">
        <f>'Balance Sheet'!G10/'Balance Sheet'!G19</f>
        <v>9.978019211922895E-2</v>
      </c>
      <c r="H21" s="12">
        <f>'Balance Sheet'!H10/'Balance Sheet'!H19</f>
        <v>0.19240079818316105</v>
      </c>
      <c r="I21" s="12">
        <f>'Balance Sheet'!I10/'Balance Sheet'!I19</f>
        <v>0.32863702971451098</v>
      </c>
    </row>
    <row r="23" spans="1:9" ht="15" customHeight="1" x14ac:dyDescent="0.25">
      <c r="A23" s="60" t="s">
        <v>369</v>
      </c>
      <c r="B23" s="60"/>
      <c r="C23" s="60"/>
      <c r="D23" s="60"/>
      <c r="E23" s="60"/>
      <c r="F23" s="60"/>
      <c r="G23" s="60"/>
      <c r="H23" s="60"/>
      <c r="I23" s="60"/>
    </row>
    <row r="24" spans="1:9" ht="15" customHeight="1" x14ac:dyDescent="0.25">
      <c r="A24" s="1" t="s">
        <v>370</v>
      </c>
      <c r="B24" s="54">
        <f>'Balance Sheet'!B9/'P&amp;L'!B5*365</f>
        <v>58.622794023751752</v>
      </c>
      <c r="C24" s="54">
        <f>'Balance Sheet'!C9/'P&amp;L'!C5*365</f>
        <v>51.935281258477858</v>
      </c>
      <c r="D24" s="54">
        <f>('Balance Sheet'!D9/'P&amp;L'!D5)*365</f>
        <v>56.829980220715669</v>
      </c>
      <c r="E24" s="54">
        <f>'Balance Sheet'!E9/'P&amp;L'!E5*365</f>
        <v>21.88</v>
      </c>
      <c r="F24" s="54">
        <f>'Balance Sheet'!F9/'P&amp;L'!F5*365</f>
        <v>21.88</v>
      </c>
      <c r="G24" s="54">
        <f>'Balance Sheet'!G9/'P&amp;L'!G5*365</f>
        <v>21.88</v>
      </c>
      <c r="H24" s="54">
        <f>'Balance Sheet'!H9/'P&amp;L'!H5*365</f>
        <v>21.88</v>
      </c>
      <c r="I24" s="54">
        <f>'Balance Sheet'!I9/'P&amp;L'!I5*365</f>
        <v>21.88</v>
      </c>
    </row>
    <row r="25" spans="1:9" ht="15" customHeight="1" x14ac:dyDescent="0.25">
      <c r="A25" s="1" t="s">
        <v>371</v>
      </c>
      <c r="B25" s="54">
        <f>'Balance Sheet'!B22/('P&amp;L'!B10+'P&amp;L'!B17+'P&amp;L'!B24)*365</f>
        <v>61.416763070492969</v>
      </c>
      <c r="C25" s="54">
        <f>'Balance Sheet'!C22/('P&amp;L'!C10+'P&amp;L'!C17+'P&amp;L'!C24)*365</f>
        <v>61.563232058980908</v>
      </c>
      <c r="D25" s="54">
        <f>'Balance Sheet'!D22/('P&amp;L'!D10+'P&amp;L'!D17+'P&amp;L'!D24)*365</f>
        <v>68.240425380944771</v>
      </c>
      <c r="E25" s="54">
        <f>'Balance Sheet'!E22/('P&amp;L'!E10+'P&amp;L'!E17+'P&amp;L'!E24)*365</f>
        <v>45</v>
      </c>
      <c r="F25" s="54">
        <f>'Balance Sheet'!F22/('P&amp;L'!F10+'P&amp;L'!F17+'P&amp;L'!F24)*365</f>
        <v>45</v>
      </c>
      <c r="G25" s="54">
        <f>'Balance Sheet'!G22/('P&amp;L'!G10+'P&amp;L'!G17+'P&amp;L'!G24)*365</f>
        <v>45</v>
      </c>
      <c r="H25" s="54">
        <f>'Balance Sheet'!H22/('P&amp;L'!H10+'P&amp;L'!H17+'P&amp;L'!H24)*365</f>
        <v>45</v>
      </c>
      <c r="I25" s="54">
        <f>'Balance Sheet'!I22/('P&amp;L'!I10+'P&amp;L'!I17+'P&amp;L'!I24)*365</f>
        <v>45</v>
      </c>
    </row>
    <row r="27" spans="1:9" ht="15" customHeight="1" x14ac:dyDescent="0.25">
      <c r="A27" s="60" t="s">
        <v>372</v>
      </c>
      <c r="B27" s="60"/>
      <c r="C27" s="60"/>
      <c r="D27" s="60"/>
      <c r="E27" s="60"/>
      <c r="F27" s="60"/>
      <c r="G27" s="60"/>
      <c r="H27" s="60"/>
      <c r="I27" s="60"/>
    </row>
    <row r="28" spans="1:9" ht="15" customHeight="1" x14ac:dyDescent="0.25">
      <c r="A28" s="1" t="s">
        <v>373</v>
      </c>
      <c r="B28" s="12" t="str">
        <f>""</f>
        <v/>
      </c>
      <c r="C28" s="12">
        <f>IF(B28&lt;&gt;0,'P&amp;L'!C5/'P&amp;L'!B5-1,"")</f>
        <v>0.29913931809475169</v>
      </c>
      <c r="D28" s="12">
        <f>IF(C28&lt;&gt;0,'P&amp;L'!D5/'P&amp;L'!C5-1,"")</f>
        <v>0.41333810386924541</v>
      </c>
      <c r="E28" s="12">
        <f>IF(D28&lt;&gt;0,'P&amp;L'!E5/'P&amp;L'!D5-1,"")</f>
        <v>2.390566478687612</v>
      </c>
      <c r="F28" s="12">
        <f>IF(E28&lt;&gt;0,'P&amp;L'!F5/'P&amp;L'!E5-1,"")</f>
        <v>1.4356442945694923</v>
      </c>
      <c r="G28" s="12">
        <f>IF(F28&lt;&gt;0,'P&amp;L'!G5/'P&amp;L'!F5-1,"")</f>
        <v>0.35398026036627162</v>
      </c>
      <c r="H28" s="12">
        <f>IF(G28&lt;&gt;0,'P&amp;L'!H5/'P&amp;L'!G5-1,"")</f>
        <v>0.28792912573119889</v>
      </c>
      <c r="I28" s="12">
        <f>IF(H28&lt;&gt;0,'P&amp;L'!I5/'P&amp;L'!H5-1,"")</f>
        <v>6.4557870493497704E-2</v>
      </c>
    </row>
    <row r="29" spans="1:9" ht="15" customHeight="1" x14ac:dyDescent="0.25">
      <c r="A29" s="1" t="s">
        <v>374</v>
      </c>
      <c r="B29" s="12" t="str">
        <f>""</f>
        <v/>
      </c>
      <c r="C29" s="12">
        <f>'P&amp;L'!C26/'P&amp;L'!B26-1</f>
        <v>0.30964290433136554</v>
      </c>
      <c r="D29" s="12">
        <f>'P&amp;L'!D26/'P&amp;L'!C26-1</f>
        <v>0.42517063528830423</v>
      </c>
      <c r="E29" s="12">
        <f>'P&amp;L'!E26/'P&amp;L'!D26-1</f>
        <v>2.3064226056695256</v>
      </c>
      <c r="F29" s="12">
        <f>'P&amp;L'!F26/'P&amp;L'!E26-1</f>
        <v>1.476466223958615</v>
      </c>
      <c r="G29" s="12">
        <f>'P&amp;L'!G26/'P&amp;L'!F26-1</f>
        <v>0.34740946173172738</v>
      </c>
      <c r="H29" s="12">
        <f>'P&amp;L'!H26/'P&amp;L'!G26-1</f>
        <v>0.28703197827842519</v>
      </c>
      <c r="I29" s="12">
        <f>'P&amp;L'!I26/'P&amp;L'!H26-1</f>
        <v>6.3570993291979905E-2</v>
      </c>
    </row>
    <row r="30" spans="1:9" ht="15" customHeight="1" x14ac:dyDescent="0.25">
      <c r="A30" s="1" t="s">
        <v>375</v>
      </c>
      <c r="B30" s="12" t="str">
        <f>""</f>
        <v/>
      </c>
      <c r="C30" s="12">
        <f>'P&amp;L'!C38/'P&amp;L'!B38-1</f>
        <v>-8.9506789137380194E-2</v>
      </c>
      <c r="D30" s="12">
        <f>'P&amp;L'!D38/'P&amp;L'!C38-1</f>
        <v>0.10927134163057173</v>
      </c>
      <c r="E30" s="12">
        <f>'P&amp;L'!E38/'P&amp;L'!D38-1</f>
        <v>7.081591378954144</v>
      </c>
      <c r="F30" s="12">
        <f>'P&amp;L'!F38/'P&amp;L'!E38-1</f>
        <v>2.8903806218860506</v>
      </c>
      <c r="G30" s="12">
        <f>'P&amp;L'!G38/'P&amp;L'!F38-1</f>
        <v>0.49952016590711534</v>
      </c>
      <c r="H30" s="12">
        <f>'P&amp;L'!H38/'P&amp;L'!G38-1</f>
        <v>0.66124990777454573</v>
      </c>
      <c r="I30" s="12">
        <f>'P&amp;L'!I38/'P&amp;L'!H38-1</f>
        <v>0.14262985652797089</v>
      </c>
    </row>
    <row r="32" spans="1:9" ht="15" customHeight="1" x14ac:dyDescent="0.25">
      <c r="A32" s="60" t="s">
        <v>376</v>
      </c>
      <c r="B32" s="60"/>
      <c r="C32" s="60"/>
      <c r="D32" s="60"/>
      <c r="E32" s="60"/>
      <c r="F32" s="60"/>
      <c r="G32" s="60"/>
      <c r="H32" s="60"/>
      <c r="I32" s="60"/>
    </row>
    <row r="33" spans="1:9" ht="15" customHeight="1" x14ac:dyDescent="0.25">
      <c r="A33" s="1" t="s">
        <v>336</v>
      </c>
      <c r="B33" s="13">
        <f>Valuation!$B$27/'P&amp;L'!B26</f>
        <v>65.063973798782797</v>
      </c>
      <c r="C33" s="13">
        <f>Valuation!$B$27/'P&amp;L'!C26</f>
        <v>49.680698138093618</v>
      </c>
      <c r="D33" s="13">
        <f>Valuation!$B$27/'P&amp;L'!D26</f>
        <v>34.859473601238975</v>
      </c>
      <c r="E33" s="13">
        <f>Valuation!$B$27/'P&amp;L'!E26</f>
        <v>10.542957679234773</v>
      </c>
      <c r="F33" s="13">
        <f>Valuation!$B$27/'P&amp;L'!F26</f>
        <v>4.2572588219604004</v>
      </c>
      <c r="G33" s="13">
        <f>Valuation!$B$27/'P&amp;L'!G26</f>
        <v>3.1595880412542563</v>
      </c>
      <c r="H33" s="13">
        <f>Valuation!$B$27/'P&amp;L'!H26</f>
        <v>2.4549413647675027</v>
      </c>
      <c r="I33" s="13">
        <f>Valuation!$B$27/'P&amp;L'!I26</f>
        <v>2.3082063917227882</v>
      </c>
    </row>
    <row r="34" spans="1:9" ht="15" customHeight="1" x14ac:dyDescent="0.25">
      <c r="A34" s="1" t="s">
        <v>337</v>
      </c>
      <c r="B34" s="13">
        <f>Valuation!$B$24/'P&amp;L'!B38</f>
        <v>363.57143258785942</v>
      </c>
      <c r="C34" s="13">
        <f>Valuation!$B$24/'P&amp;L'!C38</f>
        <v>399.31262336750916</v>
      </c>
      <c r="D34" s="13">
        <f>Valuation!$B$24/'P&amp;L'!D38</f>
        <v>359.97740893633846</v>
      </c>
      <c r="E34" s="13">
        <f>Valuation!$B$24/'P&amp;L'!E38</f>
        <v>44.5428866737536</v>
      </c>
      <c r="F34" s="13">
        <f>Valuation!$B$24/'P&amp;L'!F38</f>
        <v>11.449493250909541</v>
      </c>
      <c r="G34" s="13">
        <f>Valuation!$B$24/'P&amp;L'!G38</f>
        <v>7.6354379962494976</v>
      </c>
      <c r="H34" s="13">
        <f>Valuation!$B$24/'P&amp;L'!H38</f>
        <v>4.596200704370923</v>
      </c>
      <c r="I34" s="13">
        <f>Valuation!$B$24/'P&amp;L'!I38</f>
        <v>4.0224755883213792</v>
      </c>
    </row>
    <row r="35" spans="1:9" ht="15" customHeight="1" x14ac:dyDescent="0.25">
      <c r="A35" s="1" t="s">
        <v>338</v>
      </c>
      <c r="B35" s="13">
        <f>Valuation!$B$24/'P&amp;L'!B5</f>
        <v>37.201189823011106</v>
      </c>
      <c r="C35" s="13">
        <f>Valuation!$B$24/'P&amp;L'!C5</f>
        <v>28.635258208925883</v>
      </c>
      <c r="D35" s="13">
        <f>Valuation!$B$24/'P&amp;L'!D5</f>
        <v>20.260727514904012</v>
      </c>
      <c r="E35" s="13">
        <f>Valuation!$B$24/'P&amp;L'!E5</f>
        <v>5.9756172433894701</v>
      </c>
      <c r="F35" s="13">
        <f>Valuation!$B$24/'P&amp;L'!F5</f>
        <v>2.4534030920330583</v>
      </c>
      <c r="G35" s="13">
        <f>Valuation!$B$24/'P&amp;L'!G5</f>
        <v>1.811993249716489</v>
      </c>
      <c r="H35" s="13">
        <f>Valuation!$B$24/'P&amp;L'!H5</f>
        <v>1.4069044744117902</v>
      </c>
      <c r="I35" s="13">
        <f>Valuation!$B$24/'P&amp;L'!I5</f>
        <v>1.3215857149781727</v>
      </c>
    </row>
    <row r="37" spans="1:9" ht="14.25" customHeight="1" x14ac:dyDescent="0.25">
      <c r="A37" s="1" t="s">
        <v>377</v>
      </c>
      <c r="B37" s="55">
        <f>Valuation!B31*15</f>
        <v>5562.7950000000001</v>
      </c>
      <c r="C37" s="55">
        <f>Valuation!C31*15</f>
        <v>7285.2749999999996</v>
      </c>
      <c r="D37" s="55">
        <f>Valuation!D31*15</f>
        <v>10382.76</v>
      </c>
      <c r="E37" s="55">
        <f>Valuation!E31*15</f>
        <v>34329.792373241326</v>
      </c>
      <c r="F37" s="55">
        <f>Valuation!F31*15</f>
        <v>85016.571287844199</v>
      </c>
      <c r="G37" s="55">
        <f>Valuation!G31*15</f>
        <v>114552.13255723118</v>
      </c>
      <c r="H37" s="55">
        <f>Valuation!H31*15</f>
        <v>147432.25778114563</v>
      </c>
      <c r="I37" s="55">
        <f>Valuation!I31*15</f>
        <v>156804.67285157231</v>
      </c>
    </row>
    <row r="38" spans="1:9" ht="14.25" customHeight="1" x14ac:dyDescent="0.25">
      <c r="A38" s="1" t="s">
        <v>378</v>
      </c>
      <c r="B38" s="55">
        <f>'P&amp;L'!B38*35</f>
        <v>1402.24</v>
      </c>
      <c r="C38" s="55">
        <f>'P&amp;L'!C38*35</f>
        <v>1276.73</v>
      </c>
      <c r="D38" s="55">
        <f>'P&amp;L'!D38*35</f>
        <v>1416.24</v>
      </c>
      <c r="E38" s="55">
        <f>'P&amp;L'!E38*35</f>
        <v>11445.472974530016</v>
      </c>
      <c r="F38" s="55">
        <f>'P&amp;L'!F38*35</f>
        <v>44527.246268432071</v>
      </c>
      <c r="G38" s="55">
        <f>'P&amp;L'!G38*35</f>
        <v>66769.503711826241</v>
      </c>
      <c r="H38" s="55">
        <f>'P&amp;L'!H38*35</f>
        <v>110920.83188342354</v>
      </c>
      <c r="I38" s="55">
        <f>'P&amp;L'!I38*35</f>
        <v>126741.45422091942</v>
      </c>
    </row>
  </sheetData>
  <mergeCells count="7">
    <mergeCell ref="A27:I27"/>
    <mergeCell ref="A32:I32"/>
    <mergeCell ref="A1:I1"/>
    <mergeCell ref="A5:I5"/>
    <mergeCell ref="A12:I12"/>
    <mergeCell ref="A19:I19"/>
    <mergeCell ref="A23:I23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Drop Down 1">
              <controlPr defaultSize="0" autoLine="0" autoPict="0">
                <anchor moveWithCells="1">
                  <from>
                    <xdr:col>1</xdr:col>
                    <xdr:colOff>0</xdr:colOff>
                    <xdr:row>1</xdr:row>
                    <xdr:rowOff>0</xdr:rowOff>
                  </from>
                  <to>
                    <xdr:col>2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Assumptions</vt:lpstr>
      <vt:lpstr>Revenue Model</vt:lpstr>
      <vt:lpstr>Capex Model</vt:lpstr>
      <vt:lpstr>Debt Model</vt:lpstr>
      <vt:lpstr>P&amp;L</vt:lpstr>
      <vt:lpstr>Balance Sheet</vt:lpstr>
      <vt:lpstr>Cash Flow &amp; FCFE</vt:lpstr>
      <vt:lpstr>Valuation</vt:lpstr>
      <vt:lpstr>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Deepesh Joshi</cp:lastModifiedBy>
  <cp:revision>0</cp:revision>
  <cp:lastPrinted>2026-08-04T17:14:25Z</cp:lastPrinted>
  <dcterms:created xsi:type="dcterms:W3CDTF">2026-08-04T11:34:22Z</dcterms:created>
  <dcterms:modified xsi:type="dcterms:W3CDTF">2026-08-07T10:31:51Z</dcterms:modified>
  <dc:language>en-US</dc:language>
</cp:coreProperties>
</file>