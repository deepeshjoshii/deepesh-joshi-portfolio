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ctrlProps/ctrlProp5.xml" ContentType="application/vnd.ms-excel.controlproperties+xml"/>
  <Override PartName="/xl/drawings/drawing6.xml" ContentType="application/vnd.openxmlformats-officedocument.drawing+xml"/>
  <Override PartName="/xl/ctrlProps/ctrlProp6.xml" ContentType="application/vnd.ms-excel.controlproperties+xml"/>
  <Override PartName="/xl/drawings/drawing7.xml" ContentType="application/vnd.openxmlformats-officedocument.drawing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epeshJ\Documents\Deepesh\Companies\Amara Raja\"/>
    </mc:Choice>
  </mc:AlternateContent>
  <bookViews>
    <workbookView xWindow="0" yWindow="0" windowWidth="24000" windowHeight="9510" tabRatio="500"/>
  </bookViews>
  <sheets>
    <sheet name="Executive Summary" sheetId="1" r:id="rId1"/>
    <sheet name="Assumptions" sheetId="2" r:id="rId2"/>
    <sheet name="P&amp;L" sheetId="3" r:id="rId3"/>
    <sheet name="Cash Flow" sheetId="4" r:id="rId4"/>
    <sheet name="DCF &amp; SOTP" sheetId="5" r:id="rId5"/>
    <sheet name="Balance Sheet" sheetId="6" r:id="rId6"/>
    <sheet name="Ratios" sheetId="7" r:id="rId7"/>
  </sheets>
  <calcPr calcId="162913" iterate="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2" i="5" l="1"/>
  <c r="I162" i="5"/>
  <c r="J162" i="5"/>
  <c r="K162" i="5"/>
  <c r="G162" i="5"/>
  <c r="J157" i="5"/>
  <c r="K157" i="5"/>
  <c r="I157" i="5"/>
  <c r="E123" i="5" l="1"/>
  <c r="F123" i="5"/>
  <c r="G123" i="5"/>
  <c r="H123" i="5"/>
  <c r="I123" i="5"/>
  <c r="D123" i="5"/>
  <c r="E85" i="5"/>
  <c r="F85" i="5"/>
  <c r="G85" i="5"/>
  <c r="H85" i="5"/>
  <c r="I85" i="5"/>
  <c r="D85" i="5"/>
  <c r="E47" i="5"/>
  <c r="F47" i="5"/>
  <c r="G47" i="5"/>
  <c r="H47" i="5"/>
  <c r="I47" i="5"/>
  <c r="D47" i="5"/>
  <c r="E55" i="5"/>
  <c r="E17" i="3" l="1"/>
  <c r="C166" i="5"/>
  <c r="C168" i="5" s="1"/>
  <c r="C170" i="5" s="1"/>
  <c r="K151" i="5"/>
  <c r="K152" i="5" s="1"/>
  <c r="K154" i="5" s="1"/>
  <c r="J151" i="5"/>
  <c r="J152" i="5" s="1"/>
  <c r="J154" i="5" s="1"/>
  <c r="I151" i="5"/>
  <c r="I152" i="5" s="1"/>
  <c r="I154" i="5" s="1"/>
  <c r="H151" i="5"/>
  <c r="H152" i="5" s="1"/>
  <c r="H154" i="5" s="1"/>
  <c r="G151" i="5"/>
  <c r="G152" i="5" s="1"/>
  <c r="G154" i="5" s="1"/>
  <c r="C95" i="3"/>
  <c r="C99" i="3"/>
  <c r="C97" i="3"/>
  <c r="C93" i="3"/>
  <c r="H88" i="3"/>
  <c r="H83" i="3"/>
  <c r="I83" i="3"/>
  <c r="J83" i="3"/>
  <c r="K83" i="3"/>
  <c r="G83" i="3"/>
  <c r="H81" i="3"/>
  <c r="I81" i="3"/>
  <c r="J81" i="3"/>
  <c r="K81" i="3"/>
  <c r="G81" i="3"/>
  <c r="H80" i="3"/>
  <c r="I80" i="3"/>
  <c r="J80" i="3"/>
  <c r="K80" i="3"/>
  <c r="G80" i="3"/>
  <c r="D107" i="2"/>
  <c r="F68" i="2"/>
  <c r="G68" i="2"/>
  <c r="H68" i="2"/>
  <c r="I68" i="2"/>
  <c r="E68" i="2"/>
  <c r="D103" i="2"/>
  <c r="H159" i="5" l="1"/>
  <c r="D19" i="5"/>
  <c r="D25" i="1" s="1"/>
  <c r="E50" i="7"/>
  <c r="E53" i="7" s="1"/>
  <c r="C58" i="7" s="1"/>
  <c r="D50" i="7"/>
  <c r="D53" i="7" s="1"/>
  <c r="C50" i="7"/>
  <c r="C53" i="7" s="1"/>
  <c r="E49" i="7"/>
  <c r="D49" i="7"/>
  <c r="D52" i="7" s="1"/>
  <c r="C49" i="7"/>
  <c r="C52" i="7" s="1"/>
  <c r="E41" i="7"/>
  <c r="D41" i="7"/>
  <c r="C41" i="7"/>
  <c r="E40" i="7"/>
  <c r="D40" i="7"/>
  <c r="C40" i="7"/>
  <c r="E35" i="7"/>
  <c r="D35" i="7"/>
  <c r="C35" i="7"/>
  <c r="E19" i="7"/>
  <c r="D19" i="7"/>
  <c r="E18" i="7"/>
  <c r="D18" i="7"/>
  <c r="E10" i="7"/>
  <c r="E42" i="7" s="1"/>
  <c r="D10" i="7"/>
  <c r="D42" i="7" s="1"/>
  <c r="C10" i="7"/>
  <c r="C42" i="7" s="1"/>
  <c r="F12" i="6"/>
  <c r="G12" i="6" s="1"/>
  <c r="H12" i="6" s="1"/>
  <c r="I12" i="6" s="1"/>
  <c r="J12" i="6" s="1"/>
  <c r="K12" i="6" s="1"/>
  <c r="C144" i="5"/>
  <c r="I130" i="5"/>
  <c r="H130" i="5"/>
  <c r="G130" i="5"/>
  <c r="F130" i="5"/>
  <c r="E130" i="5"/>
  <c r="D130" i="5"/>
  <c r="I127" i="5"/>
  <c r="H127" i="5"/>
  <c r="G127" i="5"/>
  <c r="F127" i="5"/>
  <c r="E127" i="5"/>
  <c r="D127" i="5"/>
  <c r="D122" i="5"/>
  <c r="E122" i="5" s="1"/>
  <c r="F122" i="5" s="1"/>
  <c r="G122" i="5" s="1"/>
  <c r="H122" i="5" s="1"/>
  <c r="I122" i="5" s="1"/>
  <c r="D121" i="5"/>
  <c r="E121" i="5" s="1"/>
  <c r="F121" i="5" s="1"/>
  <c r="G121" i="5" s="1"/>
  <c r="H121" i="5" s="1"/>
  <c r="I121" i="5" s="1"/>
  <c r="C118" i="5"/>
  <c r="D117" i="5"/>
  <c r="E117" i="5" s="1"/>
  <c r="F117" i="5" s="1"/>
  <c r="G117" i="5" s="1"/>
  <c r="H117" i="5" s="1"/>
  <c r="I117" i="5" s="1"/>
  <c r="C117" i="5"/>
  <c r="C116" i="5"/>
  <c r="D116" i="5" s="1"/>
  <c r="C114" i="5"/>
  <c r="D114" i="5" s="1"/>
  <c r="C113" i="5"/>
  <c r="D113" i="5" s="1"/>
  <c r="E113" i="5" s="1"/>
  <c r="F113" i="5" s="1"/>
  <c r="G113" i="5" s="1"/>
  <c r="H113" i="5" s="1"/>
  <c r="I113" i="5" s="1"/>
  <c r="C112" i="5"/>
  <c r="D112" i="5" s="1"/>
  <c r="E112" i="5" s="1"/>
  <c r="C106" i="5"/>
  <c r="I92" i="5"/>
  <c r="H92" i="5"/>
  <c r="G92" i="5"/>
  <c r="F92" i="5"/>
  <c r="E92" i="5"/>
  <c r="D92" i="5"/>
  <c r="I89" i="5"/>
  <c r="H89" i="5"/>
  <c r="G89" i="5"/>
  <c r="F89" i="5"/>
  <c r="E89" i="5"/>
  <c r="D89" i="5"/>
  <c r="D84" i="5"/>
  <c r="E84" i="5" s="1"/>
  <c r="F84" i="5" s="1"/>
  <c r="G84" i="5" s="1"/>
  <c r="H84" i="5" s="1"/>
  <c r="I84" i="5" s="1"/>
  <c r="D83" i="5"/>
  <c r="E83" i="5" s="1"/>
  <c r="F83" i="5" s="1"/>
  <c r="G83" i="5" s="1"/>
  <c r="H83" i="5" s="1"/>
  <c r="I83" i="5" s="1"/>
  <c r="C79" i="5"/>
  <c r="D79" i="5" s="1"/>
  <c r="E79" i="5" s="1"/>
  <c r="F79" i="5" s="1"/>
  <c r="G79" i="5" s="1"/>
  <c r="H79" i="5" s="1"/>
  <c r="I79" i="5" s="1"/>
  <c r="C78" i="5"/>
  <c r="C76" i="5"/>
  <c r="D76" i="5" s="1"/>
  <c r="C75" i="5"/>
  <c r="D75" i="5" s="1"/>
  <c r="E75" i="5" s="1"/>
  <c r="F75" i="5" s="1"/>
  <c r="G75" i="5" s="1"/>
  <c r="H75" i="5" s="1"/>
  <c r="I75" i="5" s="1"/>
  <c r="C74" i="5"/>
  <c r="C68" i="5"/>
  <c r="I54" i="5"/>
  <c r="H54" i="5"/>
  <c r="G54" i="5"/>
  <c r="F54" i="5"/>
  <c r="E54" i="5"/>
  <c r="D54" i="5"/>
  <c r="I51" i="5"/>
  <c r="H51" i="5"/>
  <c r="G51" i="5"/>
  <c r="F51" i="5"/>
  <c r="E51" i="5"/>
  <c r="D51" i="5"/>
  <c r="D46" i="5"/>
  <c r="E46" i="5" s="1"/>
  <c r="F46" i="5" s="1"/>
  <c r="G46" i="5" s="1"/>
  <c r="H46" i="5" s="1"/>
  <c r="I46" i="5" s="1"/>
  <c r="D45" i="5"/>
  <c r="E45" i="5" s="1"/>
  <c r="F45" i="5" s="1"/>
  <c r="G45" i="5" s="1"/>
  <c r="H45" i="5" s="1"/>
  <c r="I45" i="5" s="1"/>
  <c r="D41" i="5"/>
  <c r="E41" i="5" s="1"/>
  <c r="F41" i="5" s="1"/>
  <c r="G41" i="5" s="1"/>
  <c r="H41" i="5" s="1"/>
  <c r="I41" i="5" s="1"/>
  <c r="C41" i="5"/>
  <c r="C42" i="5" s="1"/>
  <c r="C40" i="5"/>
  <c r="D40" i="5" s="1"/>
  <c r="C38" i="5"/>
  <c r="D38" i="5" s="1"/>
  <c r="C37" i="5"/>
  <c r="D37" i="5" s="1"/>
  <c r="E37" i="5" s="1"/>
  <c r="F37" i="5" s="1"/>
  <c r="G37" i="5" s="1"/>
  <c r="H37" i="5" s="1"/>
  <c r="I37" i="5" s="1"/>
  <c r="C36" i="5"/>
  <c r="D23" i="5"/>
  <c r="D21" i="5"/>
  <c r="D18" i="5"/>
  <c r="D24" i="1" s="1"/>
  <c r="H8" i="5"/>
  <c r="G8" i="5"/>
  <c r="F8" i="5"/>
  <c r="E8" i="5"/>
  <c r="D8" i="5"/>
  <c r="C8" i="5"/>
  <c r="F2" i="5"/>
  <c r="H14" i="4"/>
  <c r="G14" i="4"/>
  <c r="F14" i="4"/>
  <c r="E14" i="4"/>
  <c r="D14" i="4"/>
  <c r="C14" i="4"/>
  <c r="H7" i="4"/>
  <c r="G7" i="4"/>
  <c r="F7" i="4"/>
  <c r="E7" i="4"/>
  <c r="D7" i="4"/>
  <c r="C7" i="4"/>
  <c r="E74" i="3"/>
  <c r="D74" i="3"/>
  <c r="C73" i="3"/>
  <c r="E72" i="3"/>
  <c r="E75" i="3" s="1"/>
  <c r="D72" i="3"/>
  <c r="D75" i="3" s="1"/>
  <c r="C72" i="3"/>
  <c r="C75" i="3" s="1"/>
  <c r="E58" i="3"/>
  <c r="D58" i="3"/>
  <c r="C58" i="3"/>
  <c r="C74" i="3" s="1"/>
  <c r="K35" i="3"/>
  <c r="K12" i="7" s="1"/>
  <c r="J35" i="3"/>
  <c r="J12" i="7" s="1"/>
  <c r="I35" i="3"/>
  <c r="I12" i="7" s="1"/>
  <c r="H35" i="3"/>
  <c r="H12" i="7" s="1"/>
  <c r="G35" i="3"/>
  <c r="G12" i="7" s="1"/>
  <c r="F35" i="3"/>
  <c r="F12" i="7" s="1"/>
  <c r="F22" i="3"/>
  <c r="G22" i="3" s="1"/>
  <c r="H22" i="3" s="1"/>
  <c r="I22" i="3" s="1"/>
  <c r="J22" i="3" s="1"/>
  <c r="K22" i="3" s="1"/>
  <c r="F21" i="3"/>
  <c r="G21" i="3" s="1"/>
  <c r="H21" i="3" s="1"/>
  <c r="I21" i="3" s="1"/>
  <c r="J21" i="3" s="1"/>
  <c r="K21" i="3" s="1"/>
  <c r="D16" i="3"/>
  <c r="D7" i="7" s="1"/>
  <c r="C16" i="3"/>
  <c r="C7" i="7" s="1"/>
  <c r="E15" i="3"/>
  <c r="E31" i="3" s="1"/>
  <c r="E10" i="3"/>
  <c r="E25" i="3" s="1"/>
  <c r="D126" i="2"/>
  <c r="I123" i="2"/>
  <c r="D122" i="2"/>
  <c r="D123" i="2" s="1"/>
  <c r="D127" i="2" s="1"/>
  <c r="D117" i="2"/>
  <c r="I124" i="2" s="1"/>
  <c r="H16" i="4" s="1"/>
  <c r="D112" i="2"/>
  <c r="D113" i="2" s="1"/>
  <c r="D115" i="2" s="1"/>
  <c r="D108" i="2"/>
  <c r="I79" i="2"/>
  <c r="H79" i="2"/>
  <c r="G79" i="2"/>
  <c r="F79" i="2"/>
  <c r="E79" i="2"/>
  <c r="D79" i="2"/>
  <c r="D80" i="2" s="1"/>
  <c r="D78" i="2"/>
  <c r="D73" i="2"/>
  <c r="I59" i="2"/>
  <c r="K30" i="3" s="1"/>
  <c r="H59" i="2"/>
  <c r="J30" i="3" s="1"/>
  <c r="G59" i="2"/>
  <c r="I30" i="3" s="1"/>
  <c r="F59" i="2"/>
  <c r="H30" i="3" s="1"/>
  <c r="E59" i="2"/>
  <c r="G30" i="3" s="1"/>
  <c r="D59" i="2"/>
  <c r="F30" i="3" s="1"/>
  <c r="I51" i="2"/>
  <c r="H51" i="2"/>
  <c r="G51" i="2"/>
  <c r="F51" i="2"/>
  <c r="E51" i="2"/>
  <c r="D51" i="2"/>
  <c r="F14" i="3" s="1"/>
  <c r="I43" i="2"/>
  <c r="H43" i="2"/>
  <c r="G43" i="2"/>
  <c r="F43" i="2"/>
  <c r="E43" i="2"/>
  <c r="D43" i="2"/>
  <c r="F13" i="3" s="1"/>
  <c r="D35" i="2"/>
  <c r="F9" i="3" s="1"/>
  <c r="E34" i="2"/>
  <c r="F34" i="2" s="1"/>
  <c r="G34" i="2" s="1"/>
  <c r="H34" i="2" s="1"/>
  <c r="I34" i="2" s="1"/>
  <c r="F33" i="2"/>
  <c r="G33" i="2" s="1"/>
  <c r="E33" i="2"/>
  <c r="E35" i="2" s="1"/>
  <c r="F32" i="2"/>
  <c r="G32" i="2" s="1"/>
  <c r="H32" i="2" s="1"/>
  <c r="I32" i="2" s="1"/>
  <c r="E32" i="2"/>
  <c r="I27" i="2"/>
  <c r="H27" i="2"/>
  <c r="G27" i="2"/>
  <c r="F27" i="2"/>
  <c r="E27" i="2"/>
  <c r="D27" i="2"/>
  <c r="F8" i="3" s="1"/>
  <c r="I19" i="2"/>
  <c r="H19" i="2"/>
  <c r="G19" i="2"/>
  <c r="F19" i="2"/>
  <c r="E19" i="2"/>
  <c r="D19" i="2"/>
  <c r="F7" i="3" s="1"/>
  <c r="E13" i="1"/>
  <c r="D12" i="1"/>
  <c r="C12" i="1"/>
  <c r="D8" i="1"/>
  <c r="I155" i="5" l="1"/>
  <c r="I156" i="5" s="1"/>
  <c r="I84" i="3"/>
  <c r="I85" i="3" s="1"/>
  <c r="J155" i="5"/>
  <c r="J156" i="5" s="1"/>
  <c r="J84" i="3"/>
  <c r="J85" i="3" s="1"/>
  <c r="K158" i="5"/>
  <c r="K155" i="5"/>
  <c r="K84" i="3"/>
  <c r="G84" i="3"/>
  <c r="G85" i="3" s="1"/>
  <c r="G155" i="5"/>
  <c r="G156" i="5" s="1"/>
  <c r="H155" i="5"/>
  <c r="H84" i="3"/>
  <c r="C77" i="5"/>
  <c r="D74" i="5"/>
  <c r="E74" i="5" s="1"/>
  <c r="F74" i="5" s="1"/>
  <c r="E52" i="7"/>
  <c r="C57" i="7" s="1"/>
  <c r="D124" i="2"/>
  <c r="G8" i="3"/>
  <c r="H8" i="3" s="1"/>
  <c r="I8" i="3" s="1"/>
  <c r="J8" i="3" s="1"/>
  <c r="K8" i="3" s="1"/>
  <c r="G14" i="3"/>
  <c r="H14" i="3" s="1"/>
  <c r="I14" i="3" s="1"/>
  <c r="J14" i="3" s="1"/>
  <c r="K14" i="3" s="1"/>
  <c r="G35" i="2"/>
  <c r="F122" i="2"/>
  <c r="H122" i="2"/>
  <c r="G122" i="2"/>
  <c r="E122" i="2"/>
  <c r="F15" i="6"/>
  <c r="E125" i="2"/>
  <c r="G7" i="3"/>
  <c r="F10" i="3"/>
  <c r="F23" i="3" s="1"/>
  <c r="G13" i="3"/>
  <c r="F15" i="3"/>
  <c r="G9" i="3"/>
  <c r="E16" i="3"/>
  <c r="C24" i="7"/>
  <c r="C45" i="7"/>
  <c r="C25" i="7"/>
  <c r="D17" i="7"/>
  <c r="D24" i="7"/>
  <c r="D45" i="7"/>
  <c r="D25" i="7"/>
  <c r="E51" i="7"/>
  <c r="C59" i="7" s="1"/>
  <c r="D51" i="7"/>
  <c r="C51" i="7"/>
  <c r="F112" i="5"/>
  <c r="E115" i="5"/>
  <c r="D81" i="2"/>
  <c r="D131" i="5"/>
  <c r="D93" i="5"/>
  <c r="D55" i="5"/>
  <c r="D73" i="3"/>
  <c r="G74" i="5"/>
  <c r="F35" i="2"/>
  <c r="E73" i="3"/>
  <c r="E38" i="5"/>
  <c r="F38" i="5" s="1"/>
  <c r="G38" i="5" s="1"/>
  <c r="H38" i="5" s="1"/>
  <c r="I38" i="5" s="1"/>
  <c r="E114" i="5"/>
  <c r="F114" i="5" s="1"/>
  <c r="G114" i="5" s="1"/>
  <c r="H114" i="5" s="1"/>
  <c r="I114" i="5" s="1"/>
  <c r="D115" i="5"/>
  <c r="D118" i="5"/>
  <c r="D128" i="5" s="1"/>
  <c r="E116" i="5"/>
  <c r="E76" i="5"/>
  <c r="F76" i="5" s="1"/>
  <c r="G76" i="5" s="1"/>
  <c r="H76" i="5" s="1"/>
  <c r="D42" i="5"/>
  <c r="D52" i="5" s="1"/>
  <c r="E40" i="5"/>
  <c r="F36" i="3"/>
  <c r="F11" i="7" s="1"/>
  <c r="D36" i="5"/>
  <c r="C39" i="5"/>
  <c r="C80" i="5"/>
  <c r="D78" i="5"/>
  <c r="C36" i="7"/>
  <c r="D36" i="7"/>
  <c r="E36" i="7"/>
  <c r="C115" i="5"/>
  <c r="C171" i="5" l="1"/>
  <c r="C172" i="5" s="1"/>
  <c r="H156" i="5"/>
  <c r="C100" i="3"/>
  <c r="C101" i="3" s="1"/>
  <c r="H85" i="3"/>
  <c r="K85" i="3"/>
  <c r="H87" i="3" s="1"/>
  <c r="H90" i="3" s="1"/>
  <c r="I87" i="3" s="1"/>
  <c r="H89" i="3"/>
  <c r="H160" i="5"/>
  <c r="K156" i="5"/>
  <c r="H158" i="5" s="1"/>
  <c r="K159" i="5"/>
  <c r="K163" i="5"/>
  <c r="F31" i="3"/>
  <c r="F14" i="1" s="1"/>
  <c r="D77" i="5"/>
  <c r="C16" i="4"/>
  <c r="D128" i="2"/>
  <c r="F6" i="6"/>
  <c r="E78" i="2"/>
  <c r="D80" i="5"/>
  <c r="D90" i="5" s="1"/>
  <c r="E78" i="5"/>
  <c r="F115" i="5"/>
  <c r="G112" i="5"/>
  <c r="E119" i="5"/>
  <c r="E120" i="5"/>
  <c r="H13" i="3"/>
  <c r="G15" i="3"/>
  <c r="E36" i="5"/>
  <c r="D39" i="5"/>
  <c r="G77" i="5"/>
  <c r="H74" i="5"/>
  <c r="H124" i="2"/>
  <c r="G16" i="4" s="1"/>
  <c r="H123" i="2"/>
  <c r="H35" i="2"/>
  <c r="I35" i="2"/>
  <c r="D135" i="5"/>
  <c r="D136" i="5" s="1"/>
  <c r="D137" i="5" s="1"/>
  <c r="D119" i="5"/>
  <c r="D120" i="5" s="1"/>
  <c r="H7" i="3"/>
  <c r="G10" i="3"/>
  <c r="G23" i="3" s="1"/>
  <c r="F16" i="6"/>
  <c r="E126" i="2"/>
  <c r="E77" i="5"/>
  <c r="E124" i="2"/>
  <c r="D16" i="4" s="1"/>
  <c r="E123" i="2"/>
  <c r="E127" i="2" s="1"/>
  <c r="F77" i="5"/>
  <c r="E7" i="7"/>
  <c r="E12" i="1"/>
  <c r="F124" i="2"/>
  <c r="E16" i="4" s="1"/>
  <c r="F123" i="2"/>
  <c r="E118" i="5"/>
  <c r="E128" i="5" s="1"/>
  <c r="F116" i="5"/>
  <c r="D125" i="5"/>
  <c r="D87" i="5"/>
  <c r="D49" i="5"/>
  <c r="F26" i="3"/>
  <c r="F19" i="3"/>
  <c r="F20" i="3" s="1"/>
  <c r="F16" i="3"/>
  <c r="F17" i="3" s="1"/>
  <c r="G124" i="2"/>
  <c r="F16" i="4" s="1"/>
  <c r="G123" i="2"/>
  <c r="E42" i="5"/>
  <c r="E52" i="5" s="1"/>
  <c r="F40" i="5"/>
  <c r="H9" i="3"/>
  <c r="I9" i="3" s="1"/>
  <c r="H161" i="5" l="1"/>
  <c r="I160" i="5" s="1"/>
  <c r="I158" i="5"/>
  <c r="I89" i="3"/>
  <c r="G31" i="3"/>
  <c r="G14" i="1" s="1"/>
  <c r="D97" i="5"/>
  <c r="D98" i="5" s="1"/>
  <c r="D99" i="5" s="1"/>
  <c r="D81" i="5"/>
  <c r="D82" i="5" s="1"/>
  <c r="D86" i="5" s="1"/>
  <c r="D88" i="5" s="1"/>
  <c r="D91" i="5" s="1"/>
  <c r="D94" i="5" s="1"/>
  <c r="D124" i="5"/>
  <c r="D126" i="5" s="1"/>
  <c r="D129" i="5" s="1"/>
  <c r="D132" i="5" s="1"/>
  <c r="D133" i="5" s="1"/>
  <c r="E124" i="5"/>
  <c r="J9" i="3"/>
  <c r="K9" i="3" s="1"/>
  <c r="G15" i="6"/>
  <c r="F125" i="2"/>
  <c r="F9" i="7"/>
  <c r="C6" i="4"/>
  <c r="I13" i="3"/>
  <c r="H15" i="3"/>
  <c r="E81" i="5"/>
  <c r="E82" i="5" s="1"/>
  <c r="E131" i="5"/>
  <c r="E93" i="5"/>
  <c r="G36" i="3"/>
  <c r="G11" i="7" s="1"/>
  <c r="F118" i="5"/>
  <c r="F128" i="5" s="1"/>
  <c r="G116" i="5"/>
  <c r="E135" i="5"/>
  <c r="E136" i="5" s="1"/>
  <c r="E137" i="5" s="1"/>
  <c r="F135" i="5"/>
  <c r="F136" i="5" s="1"/>
  <c r="F137" i="5" s="1"/>
  <c r="F119" i="5"/>
  <c r="F120" i="5" s="1"/>
  <c r="F124" i="5" s="1"/>
  <c r="H77" i="5"/>
  <c r="I74" i="5"/>
  <c r="E80" i="5"/>
  <c r="E90" i="5" s="1"/>
  <c r="F78" i="5"/>
  <c r="G19" i="3"/>
  <c r="G20" i="3" s="1"/>
  <c r="G16" i="3"/>
  <c r="G17" i="3" s="1"/>
  <c r="D59" i="5"/>
  <c r="D60" i="5" s="1"/>
  <c r="D61" i="5" s="1"/>
  <c r="D43" i="5"/>
  <c r="D44" i="5" s="1"/>
  <c r="I76" i="5"/>
  <c r="F42" i="5"/>
  <c r="F52" i="5" s="1"/>
  <c r="G40" i="5"/>
  <c r="F81" i="5"/>
  <c r="F82" i="5"/>
  <c r="G115" i="5"/>
  <c r="H112" i="5"/>
  <c r="F22" i="7"/>
  <c r="F24" i="3"/>
  <c r="E128" i="2"/>
  <c r="F10" i="6"/>
  <c r="F8" i="6"/>
  <c r="F7" i="7"/>
  <c r="F7" i="6"/>
  <c r="C8" i="4"/>
  <c r="C9" i="4" s="1"/>
  <c r="C10" i="4" s="1"/>
  <c r="F12" i="1"/>
  <c r="E17" i="7"/>
  <c r="E24" i="7"/>
  <c r="E45" i="7"/>
  <c r="E25" i="7"/>
  <c r="G81" i="5"/>
  <c r="G82" i="5" s="1"/>
  <c r="G86" i="5" s="1"/>
  <c r="I7" i="3"/>
  <c r="H10" i="3"/>
  <c r="H23" i="3" s="1"/>
  <c r="F36" i="5"/>
  <c r="E39" i="5"/>
  <c r="E80" i="2"/>
  <c r="H31" i="3" l="1"/>
  <c r="H14" i="1" s="1"/>
  <c r="E97" i="5"/>
  <c r="E98" i="5" s="1"/>
  <c r="E99" i="5" s="1"/>
  <c r="D48" i="5"/>
  <c r="D50" i="5" s="1"/>
  <c r="D53" i="5" s="1"/>
  <c r="D56" i="5" s="1"/>
  <c r="D57" i="5" s="1"/>
  <c r="D58" i="5" s="1"/>
  <c r="D62" i="5" s="1"/>
  <c r="D63" i="5" s="1"/>
  <c r="F86" i="5"/>
  <c r="D134" i="5"/>
  <c r="D138" i="5" s="1"/>
  <c r="D139" i="5" s="1"/>
  <c r="E86" i="5"/>
  <c r="E125" i="5"/>
  <c r="E126" i="5" s="1"/>
  <c r="E129" i="5" s="1"/>
  <c r="E132" i="5" s="1"/>
  <c r="E87" i="5"/>
  <c r="E49" i="5"/>
  <c r="G26" i="3"/>
  <c r="J13" i="3"/>
  <c r="I15" i="3"/>
  <c r="G119" i="5"/>
  <c r="G120" i="5" s="1"/>
  <c r="G22" i="7"/>
  <c r="G24" i="3"/>
  <c r="E81" i="2"/>
  <c r="G10" i="6"/>
  <c r="G8" i="6"/>
  <c r="G7" i="7"/>
  <c r="G7" i="6"/>
  <c r="G12" i="1"/>
  <c r="D8" i="4"/>
  <c r="D9" i="4" s="1"/>
  <c r="D10" i="4" s="1"/>
  <c r="E59" i="5"/>
  <c r="E60" i="5" s="1"/>
  <c r="E61" i="5" s="1"/>
  <c r="E43" i="5"/>
  <c r="E44" i="5"/>
  <c r="G36" i="5"/>
  <c r="F39" i="5"/>
  <c r="F8" i="7"/>
  <c r="F25" i="3"/>
  <c r="F27" i="3"/>
  <c r="F34" i="3" s="1"/>
  <c r="F13" i="1"/>
  <c r="H115" i="5"/>
  <c r="I112" i="5"/>
  <c r="I115" i="5" s="1"/>
  <c r="H116" i="5"/>
  <c r="G118" i="5"/>
  <c r="G128" i="5" s="1"/>
  <c r="H19" i="3"/>
  <c r="H20" i="3" s="1"/>
  <c r="H16" i="3"/>
  <c r="H17" i="3" s="1"/>
  <c r="I10" i="3"/>
  <c r="I23" i="3" s="1"/>
  <c r="J7" i="3"/>
  <c r="H40" i="5"/>
  <c r="G42" i="5"/>
  <c r="G52" i="5" s="1"/>
  <c r="F127" i="2"/>
  <c r="F126" i="2"/>
  <c r="D95" i="5"/>
  <c r="D96" i="5" s="1"/>
  <c r="D100" i="5" s="1"/>
  <c r="D101" i="5" s="1"/>
  <c r="F17" i="7"/>
  <c r="F80" i="5"/>
  <c r="G78" i="5"/>
  <c r="I77" i="5"/>
  <c r="G16" i="6"/>
  <c r="F128" i="2"/>
  <c r="H81" i="5"/>
  <c r="H82" i="5"/>
  <c r="I31" i="3" l="1"/>
  <c r="I14" i="1" s="1"/>
  <c r="G135" i="5"/>
  <c r="G136" i="5" s="1"/>
  <c r="G137" i="5" s="1"/>
  <c r="E88" i="5"/>
  <c r="E91" i="5" s="1"/>
  <c r="E94" i="5" s="1"/>
  <c r="E95" i="5" s="1"/>
  <c r="E96" i="5" s="1"/>
  <c r="E100" i="5" s="1"/>
  <c r="E101" i="5" s="1"/>
  <c r="E48" i="5"/>
  <c r="E50" i="5" s="1"/>
  <c r="E53" i="5" s="1"/>
  <c r="E56" i="5" s="1"/>
  <c r="G124" i="5"/>
  <c r="H16" i="6"/>
  <c r="G128" i="2"/>
  <c r="F10" i="7"/>
  <c r="F42" i="7" s="1"/>
  <c r="F37" i="3"/>
  <c r="F59" i="5"/>
  <c r="F60" i="5" s="1"/>
  <c r="F61" i="5" s="1"/>
  <c r="F43" i="5"/>
  <c r="F44" i="5" s="1"/>
  <c r="G6" i="6"/>
  <c r="F78" i="2"/>
  <c r="H15" i="6"/>
  <c r="G125" i="2"/>
  <c r="K13" i="3"/>
  <c r="K15" i="3" s="1"/>
  <c r="J15" i="3"/>
  <c r="H10" i="6"/>
  <c r="H8" i="6"/>
  <c r="H7" i="7"/>
  <c r="H7" i="6"/>
  <c r="H12" i="1"/>
  <c r="E8" i="4"/>
  <c r="E9" i="4" s="1"/>
  <c r="E10" i="4" s="1"/>
  <c r="I81" i="5"/>
  <c r="I82" i="5" s="1"/>
  <c r="F18" i="7"/>
  <c r="F24" i="7"/>
  <c r="F51" i="7"/>
  <c r="D59" i="7" s="1"/>
  <c r="H78" i="5"/>
  <c r="G80" i="5"/>
  <c r="F90" i="5"/>
  <c r="F97" i="5"/>
  <c r="F98" i="5" s="1"/>
  <c r="F99" i="5" s="1"/>
  <c r="G8" i="7"/>
  <c r="G25" i="3"/>
  <c r="G27" i="3"/>
  <c r="G34" i="3" s="1"/>
  <c r="G13" i="1"/>
  <c r="G17" i="7"/>
  <c r="G9" i="7"/>
  <c r="D6" i="4"/>
  <c r="H36" i="5"/>
  <c r="G39" i="5"/>
  <c r="H86" i="5"/>
  <c r="H118" i="5"/>
  <c r="H128" i="5" s="1"/>
  <c r="I116" i="5"/>
  <c r="I118" i="5" s="1"/>
  <c r="I128" i="5" s="1"/>
  <c r="H135" i="5"/>
  <c r="H136" i="5" s="1"/>
  <c r="H137" i="5" s="1"/>
  <c r="H119" i="5"/>
  <c r="H120" i="5" s="1"/>
  <c r="H124" i="5" s="1"/>
  <c r="I40" i="5"/>
  <c r="I42" i="5" s="1"/>
  <c r="I52" i="5" s="1"/>
  <c r="H42" i="5"/>
  <c r="H52" i="5" s="1"/>
  <c r="J10" i="3"/>
  <c r="J23" i="3" s="1"/>
  <c r="K7" i="3"/>
  <c r="K10" i="3" s="1"/>
  <c r="K23" i="3" s="1"/>
  <c r="I19" i="3"/>
  <c r="I20" i="3" s="1"/>
  <c r="I16" i="3"/>
  <c r="I17" i="3" s="1"/>
  <c r="H22" i="7"/>
  <c r="H24" i="3"/>
  <c r="E133" i="5"/>
  <c r="E134" i="5" s="1"/>
  <c r="E138" i="5" s="1"/>
  <c r="E139" i="5" s="1"/>
  <c r="F131" i="5"/>
  <c r="F93" i="5"/>
  <c r="F55" i="5"/>
  <c r="H36" i="3"/>
  <c r="H11" i="7" s="1"/>
  <c r="I119" i="5"/>
  <c r="I120" i="5" s="1"/>
  <c r="J31" i="3" l="1"/>
  <c r="J14" i="1" s="1"/>
  <c r="K31" i="3"/>
  <c r="K14" i="1" s="1"/>
  <c r="I86" i="5"/>
  <c r="F48" i="5"/>
  <c r="I124" i="5"/>
  <c r="I22" i="7"/>
  <c r="I24" i="3"/>
  <c r="E57" i="5"/>
  <c r="E58" i="5" s="1"/>
  <c r="E62" i="5" s="1"/>
  <c r="E63" i="5" s="1"/>
  <c r="H80" i="5"/>
  <c r="I78" i="5"/>
  <c r="I80" i="5" s="1"/>
  <c r="G90" i="5"/>
  <c r="G97" i="5"/>
  <c r="G98" i="5" s="1"/>
  <c r="G99" i="5" s="1"/>
  <c r="F13" i="7"/>
  <c r="F38" i="3"/>
  <c r="F39" i="3" s="1"/>
  <c r="G59" i="5"/>
  <c r="G60" i="5" s="1"/>
  <c r="G61" i="5" s="1"/>
  <c r="G43" i="5"/>
  <c r="G44" i="5" s="1"/>
  <c r="H17" i="7"/>
  <c r="H128" i="2"/>
  <c r="I16" i="6"/>
  <c r="K19" i="3"/>
  <c r="K20" i="3" s="1"/>
  <c r="K16" i="3"/>
  <c r="K17" i="3" s="1"/>
  <c r="G18" i="7"/>
  <c r="G24" i="7"/>
  <c r="G51" i="7"/>
  <c r="J16" i="3"/>
  <c r="J17" i="3" s="1"/>
  <c r="J19" i="3"/>
  <c r="J20" i="3" s="1"/>
  <c r="G127" i="2"/>
  <c r="G126" i="2"/>
  <c r="I7" i="7"/>
  <c r="I7" i="6"/>
  <c r="I10" i="6"/>
  <c r="I8" i="6"/>
  <c r="I12" i="1"/>
  <c r="F8" i="4"/>
  <c r="F9" i="4" s="1"/>
  <c r="F10" i="4" s="1"/>
  <c r="H39" i="5"/>
  <c r="I36" i="5"/>
  <c r="I39" i="5" s="1"/>
  <c r="H8" i="7"/>
  <c r="H25" i="3"/>
  <c r="H13" i="1"/>
  <c r="I135" i="5"/>
  <c r="I136" i="5" s="1"/>
  <c r="I137" i="5" s="1"/>
  <c r="G10" i="7"/>
  <c r="G42" i="7" s="1"/>
  <c r="G37" i="3"/>
  <c r="F80" i="2"/>
  <c r="G48" i="5" l="1"/>
  <c r="J22" i="7"/>
  <c r="J24" i="3"/>
  <c r="F125" i="5"/>
  <c r="F126" i="5" s="1"/>
  <c r="F129" i="5" s="1"/>
  <c r="F132" i="5" s="1"/>
  <c r="F87" i="5"/>
  <c r="F88" i="5" s="1"/>
  <c r="F91" i="5" s="1"/>
  <c r="F94" i="5" s="1"/>
  <c r="F49" i="5"/>
  <c r="F50" i="5" s="1"/>
  <c r="F53" i="5" s="1"/>
  <c r="F56" i="5" s="1"/>
  <c r="H26" i="3"/>
  <c r="G13" i="7"/>
  <c r="G38" i="3"/>
  <c r="G39" i="3" s="1"/>
  <c r="L39" i="3" s="1"/>
  <c r="J16" i="6"/>
  <c r="I128" i="2"/>
  <c r="K16" i="6" s="1"/>
  <c r="I15" i="6"/>
  <c r="H125" i="2"/>
  <c r="F81" i="2"/>
  <c r="H90" i="5"/>
  <c r="H97" i="5"/>
  <c r="H98" i="5" s="1"/>
  <c r="H99" i="5" s="1"/>
  <c r="F32" i="7"/>
  <c r="F13" i="6"/>
  <c r="F35" i="7" s="1"/>
  <c r="F14" i="7"/>
  <c r="C5" i="4"/>
  <c r="C12" i="4" s="1"/>
  <c r="F15" i="1"/>
  <c r="I8" i="7"/>
  <c r="I25" i="3"/>
  <c r="I13" i="1"/>
  <c r="I90" i="5"/>
  <c r="I97" i="5"/>
  <c r="I98" i="5" s="1"/>
  <c r="K22" i="7"/>
  <c r="K24" i="3"/>
  <c r="K7" i="7"/>
  <c r="K7" i="6"/>
  <c r="K10" i="6"/>
  <c r="K8" i="6"/>
  <c r="H8" i="4"/>
  <c r="H9" i="4" s="1"/>
  <c r="K12" i="1"/>
  <c r="H59" i="5"/>
  <c r="H60" i="5" s="1"/>
  <c r="H61" i="5" s="1"/>
  <c r="H43" i="5"/>
  <c r="H44" i="5" s="1"/>
  <c r="J7" i="7"/>
  <c r="J7" i="6"/>
  <c r="J10" i="6"/>
  <c r="J8" i="6"/>
  <c r="J12" i="1"/>
  <c r="G8" i="4"/>
  <c r="G9" i="4" s="1"/>
  <c r="G10" i="4" s="1"/>
  <c r="H18" i="7"/>
  <c r="H24" i="7"/>
  <c r="H51" i="7"/>
  <c r="I17" i="7"/>
  <c r="I59" i="5"/>
  <c r="I60" i="5" s="1"/>
  <c r="I43" i="5"/>
  <c r="I44" i="5" s="1"/>
  <c r="G93" i="5"/>
  <c r="G55" i="5"/>
  <c r="G131" i="5"/>
  <c r="I36" i="3"/>
  <c r="I11" i="7" s="1"/>
  <c r="H48" i="5" l="1"/>
  <c r="I99" i="5"/>
  <c r="I48" i="5"/>
  <c r="I61" i="5"/>
  <c r="H9" i="7"/>
  <c r="E6" i="4"/>
  <c r="H27" i="3"/>
  <c r="H34" i="3" s="1"/>
  <c r="I18" i="7"/>
  <c r="I24" i="7"/>
  <c r="I51" i="7"/>
  <c r="J17" i="7"/>
  <c r="F57" i="5"/>
  <c r="F58" i="5" s="1"/>
  <c r="F62" i="5" s="1"/>
  <c r="F63" i="5" s="1"/>
  <c r="H10" i="4"/>
  <c r="G32" i="7"/>
  <c r="G14" i="7"/>
  <c r="D5" i="4"/>
  <c r="G15" i="1"/>
  <c r="K17" i="7"/>
  <c r="G13" i="6"/>
  <c r="F50" i="7"/>
  <c r="F53" i="7" s="1"/>
  <c r="D58" i="7" s="1"/>
  <c r="F40" i="7"/>
  <c r="F36" i="7"/>
  <c r="F95" i="5"/>
  <c r="F96" i="5" s="1"/>
  <c r="F100" i="5" s="1"/>
  <c r="F101" i="5" s="1"/>
  <c r="K8" i="7"/>
  <c r="K13" i="1"/>
  <c r="K25" i="3"/>
  <c r="F133" i="5"/>
  <c r="F134" i="5" s="1"/>
  <c r="F138" i="5" s="1"/>
  <c r="F139" i="5" s="1"/>
  <c r="C11" i="4"/>
  <c r="F25" i="7"/>
  <c r="F19" i="7"/>
  <c r="F49" i="7"/>
  <c r="F52" i="7" s="1"/>
  <c r="D57" i="7" s="1"/>
  <c r="H6" i="6"/>
  <c r="G78" i="2"/>
  <c r="J8" i="7"/>
  <c r="J25" i="3"/>
  <c r="J13" i="1"/>
  <c r="H126" i="2"/>
  <c r="H127" i="2"/>
  <c r="J15" i="6" l="1"/>
  <c r="D25" i="5"/>
  <c r="D26" i="1"/>
  <c r="I125" i="2"/>
  <c r="H55" i="5"/>
  <c r="H131" i="5"/>
  <c r="H93" i="5"/>
  <c r="J36" i="3"/>
  <c r="J11" i="7" s="1"/>
  <c r="F30" i="7"/>
  <c r="F31" i="7"/>
  <c r="F9" i="6"/>
  <c r="F16" i="1"/>
  <c r="C6" i="5"/>
  <c r="C9" i="5" s="1"/>
  <c r="J18" i="7"/>
  <c r="J24" i="7"/>
  <c r="J51" i="7"/>
  <c r="G80" i="2"/>
  <c r="G25" i="7"/>
  <c r="G19" i="7"/>
  <c r="G49" i="7"/>
  <c r="G52" i="7" s="1"/>
  <c r="F28" i="7"/>
  <c r="F29" i="7"/>
  <c r="G50" i="7"/>
  <c r="G53" i="7" s="1"/>
  <c r="G40" i="7"/>
  <c r="H10" i="7"/>
  <c r="H42" i="7" s="1"/>
  <c r="H37" i="3"/>
  <c r="D11" i="4"/>
  <c r="D12" i="4"/>
  <c r="K24" i="7"/>
  <c r="K18" i="7"/>
  <c r="K51" i="7"/>
  <c r="G35" i="7"/>
  <c r="G36" i="7"/>
  <c r="G9" i="6" l="1"/>
  <c r="G30" i="7"/>
  <c r="D6" i="5"/>
  <c r="D9" i="5" s="1"/>
  <c r="G31" i="7"/>
  <c r="G16" i="1"/>
  <c r="H13" i="7"/>
  <c r="H38" i="3"/>
  <c r="H39" i="3" s="1"/>
  <c r="I126" i="2"/>
  <c r="I127" i="2"/>
  <c r="K15" i="6" s="1"/>
  <c r="F41" i="7"/>
  <c r="F45" i="7"/>
  <c r="G28" i="7"/>
  <c r="G29" i="7"/>
  <c r="G87" i="5"/>
  <c r="G88" i="5" s="1"/>
  <c r="G91" i="5" s="1"/>
  <c r="G94" i="5" s="1"/>
  <c r="G49" i="5"/>
  <c r="G50" i="5" s="1"/>
  <c r="G53" i="5" s="1"/>
  <c r="G56" i="5" s="1"/>
  <c r="G125" i="5"/>
  <c r="G126" i="5" s="1"/>
  <c r="G129" i="5" s="1"/>
  <c r="G132" i="5" s="1"/>
  <c r="I26" i="3"/>
  <c r="G81" i="2"/>
  <c r="I6" i="6" l="1"/>
  <c r="H78" i="2"/>
  <c r="I9" i="7"/>
  <c r="F6" i="4"/>
  <c r="I27" i="3"/>
  <c r="I34" i="3" s="1"/>
  <c r="I131" i="5"/>
  <c r="I93" i="5"/>
  <c r="I55" i="5"/>
  <c r="K36" i="3"/>
  <c r="K11" i="7" s="1"/>
  <c r="G57" i="5"/>
  <c r="G58" i="5" s="1"/>
  <c r="G62" i="5" s="1"/>
  <c r="G63" i="5" s="1"/>
  <c r="G41" i="7"/>
  <c r="G45" i="7"/>
  <c r="H32" i="7"/>
  <c r="H14" i="7"/>
  <c r="H15" i="1"/>
  <c r="E5" i="4"/>
  <c r="H13" i="6"/>
  <c r="G133" i="5"/>
  <c r="G134" i="5" s="1"/>
  <c r="G138" i="5" s="1"/>
  <c r="G139" i="5" s="1"/>
  <c r="G95" i="5"/>
  <c r="G96" i="5" s="1"/>
  <c r="G100" i="5" s="1"/>
  <c r="G101" i="5" s="1"/>
  <c r="I10" i="7" l="1"/>
  <c r="I42" i="7" s="1"/>
  <c r="I37" i="3"/>
  <c r="H50" i="7"/>
  <c r="H53" i="7" s="1"/>
  <c r="H40" i="7"/>
  <c r="H36" i="7"/>
  <c r="H25" i="7"/>
  <c r="H19" i="7"/>
  <c r="H49" i="7"/>
  <c r="H52" i="7" s="1"/>
  <c r="H80" i="2"/>
  <c r="H81" i="2" s="1"/>
  <c r="E11" i="4"/>
  <c r="E12" i="4"/>
  <c r="H35" i="7"/>
  <c r="J6" i="6" l="1"/>
  <c r="I78" i="2"/>
  <c r="H49" i="5"/>
  <c r="H50" i="5" s="1"/>
  <c r="H53" i="5" s="1"/>
  <c r="H56" i="5" s="1"/>
  <c r="H125" i="5"/>
  <c r="H126" i="5" s="1"/>
  <c r="H129" i="5" s="1"/>
  <c r="H132" i="5" s="1"/>
  <c r="H87" i="5"/>
  <c r="H88" i="5" s="1"/>
  <c r="H91" i="5" s="1"/>
  <c r="H94" i="5" s="1"/>
  <c r="J26" i="3"/>
  <c r="I13" i="7"/>
  <c r="I38" i="3"/>
  <c r="I39" i="3" s="1"/>
  <c r="H30" i="7"/>
  <c r="E6" i="5"/>
  <c r="E9" i="5" s="1"/>
  <c r="H31" i="7"/>
  <c r="H16" i="1"/>
  <c r="H9" i="6"/>
  <c r="H28" i="7"/>
  <c r="H29" i="7"/>
  <c r="I14" i="7" l="1"/>
  <c r="I32" i="7"/>
  <c r="I15" i="1"/>
  <c r="F5" i="4"/>
  <c r="I13" i="6"/>
  <c r="J9" i="7"/>
  <c r="G6" i="4"/>
  <c r="J27" i="3"/>
  <c r="J34" i="3" s="1"/>
  <c r="H133" i="5"/>
  <c r="H134" i="5" s="1"/>
  <c r="H138" i="5" s="1"/>
  <c r="H139" i="5" s="1"/>
  <c r="H41" i="7"/>
  <c r="H45" i="7"/>
  <c r="I80" i="2"/>
  <c r="I81" i="2" s="1"/>
  <c r="K6" i="6" s="1"/>
  <c r="H95" i="5"/>
  <c r="H96" i="5" s="1"/>
  <c r="H100" i="5" s="1"/>
  <c r="H101" i="5" s="1"/>
  <c r="H57" i="5"/>
  <c r="H58" i="5" s="1"/>
  <c r="H62" i="5" s="1"/>
  <c r="H63" i="5" s="1"/>
  <c r="J10" i="7" l="1"/>
  <c r="J42" i="7" s="1"/>
  <c r="J37" i="3"/>
  <c r="F11" i="4"/>
  <c r="F12" i="4"/>
  <c r="I25" i="7"/>
  <c r="I19" i="7"/>
  <c r="I49" i="7"/>
  <c r="I52" i="7" s="1"/>
  <c r="I50" i="7"/>
  <c r="I53" i="7" s="1"/>
  <c r="I40" i="7"/>
  <c r="I36" i="7"/>
  <c r="I125" i="5"/>
  <c r="I126" i="5" s="1"/>
  <c r="I129" i="5" s="1"/>
  <c r="I132" i="5" s="1"/>
  <c r="I87" i="5"/>
  <c r="I88" i="5" s="1"/>
  <c r="I91" i="5" s="1"/>
  <c r="I94" i="5" s="1"/>
  <c r="I49" i="5"/>
  <c r="I50" i="5" s="1"/>
  <c r="I53" i="5" s="1"/>
  <c r="I56" i="5" s="1"/>
  <c r="K26" i="3"/>
  <c r="I35" i="7"/>
  <c r="I29" i="7" l="1"/>
  <c r="I28" i="7"/>
  <c r="I31" i="7"/>
  <c r="I30" i="7"/>
  <c r="F6" i="5"/>
  <c r="F9" i="5" s="1"/>
  <c r="I16" i="1"/>
  <c r="I9" i="6"/>
  <c r="K9" i="7"/>
  <c r="H6" i="4"/>
  <c r="K27" i="3"/>
  <c r="K34" i="3" s="1"/>
  <c r="I95" i="5"/>
  <c r="I96" i="5" s="1"/>
  <c r="I100" i="5" s="1"/>
  <c r="I57" i="5"/>
  <c r="I58" i="5" s="1"/>
  <c r="I62" i="5" s="1"/>
  <c r="C66" i="5" s="1"/>
  <c r="J13" i="7"/>
  <c r="J38" i="3"/>
  <c r="J39" i="3" s="1"/>
  <c r="I133" i="5"/>
  <c r="I134" i="5" s="1"/>
  <c r="I138" i="5" s="1"/>
  <c r="C104" i="5" l="1"/>
  <c r="I101" i="5"/>
  <c r="C103" i="5" s="1"/>
  <c r="C142" i="5"/>
  <c r="I139" i="5"/>
  <c r="C141" i="5" s="1"/>
  <c r="J14" i="7"/>
  <c r="J32" i="7"/>
  <c r="J15" i="1"/>
  <c r="G5" i="4"/>
  <c r="J13" i="6"/>
  <c r="I41" i="7"/>
  <c r="I45" i="7"/>
  <c r="I63" i="5"/>
  <c r="C65" i="5" s="1"/>
  <c r="K10" i="7"/>
  <c r="K42" i="7" s="1"/>
  <c r="K37" i="3"/>
  <c r="C143" i="5" l="1"/>
  <c r="C105" i="5"/>
  <c r="C67" i="5"/>
  <c r="J50" i="7"/>
  <c r="J53" i="7" s="1"/>
  <c r="J40" i="7"/>
  <c r="J36" i="7"/>
  <c r="G11" i="4"/>
  <c r="G12" i="4"/>
  <c r="J35" i="7"/>
  <c r="K13" i="7"/>
  <c r="K38" i="3"/>
  <c r="K39" i="3" s="1"/>
  <c r="J25" i="7"/>
  <c r="J19" i="7"/>
  <c r="J49" i="7"/>
  <c r="J52" i="7" s="1"/>
  <c r="C107" i="5" l="1"/>
  <c r="C108" i="5" s="1"/>
  <c r="D6" i="1" s="1"/>
  <c r="D7" i="1" s="1"/>
  <c r="C145" i="5"/>
  <c r="C146" i="5" s="1"/>
  <c r="E6" i="1" s="1"/>
  <c r="E7" i="1" s="1"/>
  <c r="C69" i="5"/>
  <c r="C70" i="5" s="1"/>
  <c r="C6" i="1" s="1"/>
  <c r="C7" i="1" s="1"/>
  <c r="D20" i="1"/>
  <c r="K14" i="7"/>
  <c r="K32" i="7"/>
  <c r="H5" i="4"/>
  <c r="K15" i="1"/>
  <c r="K13" i="6"/>
  <c r="J31" i="7"/>
  <c r="J30" i="7"/>
  <c r="G6" i="5"/>
  <c r="G9" i="5" s="1"/>
  <c r="J16" i="1"/>
  <c r="J9" i="6"/>
  <c r="J29" i="7"/>
  <c r="J28" i="7"/>
  <c r="E20" i="1" l="1"/>
  <c r="C20" i="1"/>
  <c r="J41" i="7"/>
  <c r="J45" i="7"/>
  <c r="K50" i="7"/>
  <c r="K53" i="7" s="1"/>
  <c r="K40" i="7"/>
  <c r="K36" i="7"/>
  <c r="H12" i="4"/>
  <c r="H11" i="4"/>
  <c r="K25" i="7"/>
  <c r="K19" i="7"/>
  <c r="K49" i="7"/>
  <c r="K52" i="7" s="1"/>
  <c r="K35" i="7"/>
  <c r="K29" i="7" l="1"/>
  <c r="K28" i="7"/>
  <c r="K31" i="7"/>
  <c r="K30" i="7"/>
  <c r="H6" i="5"/>
  <c r="K16" i="1"/>
  <c r="K9" i="6"/>
  <c r="H9" i="5" l="1"/>
  <c r="D11" i="5" s="1"/>
  <c r="D12" i="5"/>
  <c r="D13" i="5" s="1"/>
  <c r="K41" i="7"/>
  <c r="K45" i="7"/>
  <c r="D27" i="5" l="1"/>
  <c r="E27" i="5" s="1"/>
  <c r="D28" i="5"/>
  <c r="E28" i="5" s="1"/>
  <c r="D14" i="5"/>
  <c r="E13" i="5" s="1"/>
  <c r="E11" i="5" l="1"/>
  <c r="D17" i="5"/>
  <c r="D20" i="5" s="1"/>
  <c r="D23" i="1"/>
  <c r="D22" i="5" l="1"/>
  <c r="D27" i="1"/>
  <c r="D24" i="5" l="1"/>
  <c r="D28" i="1"/>
</calcChain>
</file>

<file path=xl/sharedStrings.xml><?xml version="1.0" encoding="utf-8"?>
<sst xmlns="http://schemas.openxmlformats.org/spreadsheetml/2006/main" count="612" uniqueCount="322">
  <si>
    <t>Amara Raja Energy &amp; Mobility Limited — Executive Summary</t>
  </si>
  <si>
    <t>Consolidated financial model (LAB bottom-up + NEB single-line) + Sum-of-the-Parts valuation | All figures Rs. cr | Scenario selector on Assumptions tab drives sections below marked (dynamic)</t>
  </si>
  <si>
    <t>VALUE PER SHARE — ALL THREE CASES</t>
  </si>
  <si>
    <t>Bear</t>
  </si>
  <si>
    <t>Base</t>
  </si>
  <si>
    <t>Bull</t>
  </si>
  <si>
    <t>Value Per Share (Rs.)</t>
  </si>
  <si>
    <t>Upside/(Downside) vs CMP</t>
  </si>
  <si>
    <t>Current Scenario Selected:</t>
  </si>
  <si>
    <t>KEY FINANCIALS — HISTORICAL ACTUAL (FY24-26) &amp; FORECAST (SELECTED SCENARIO)</t>
  </si>
  <si>
    <t>Line</t>
  </si>
  <si>
    <t>FY24A</t>
  </si>
  <si>
    <t>FY25A</t>
  </si>
  <si>
    <t>FY26A</t>
  </si>
  <si>
    <t>FY27E</t>
  </si>
  <si>
    <t>FY28E</t>
  </si>
  <si>
    <t>FY29E</t>
  </si>
  <si>
    <t>FY30E</t>
  </si>
  <si>
    <t>FY31E</t>
  </si>
  <si>
    <t>FY32E</t>
  </si>
  <si>
    <t>Total Revenue</t>
  </si>
  <si>
    <t>LAB EBITDA</t>
  </si>
  <si>
    <t>NEB Net Contribution</t>
  </si>
  <si>
    <t>PAT (Combined)</t>
  </si>
  <si>
    <t>FCFE</t>
  </si>
  <si>
    <t>SUM-OF-THE-PARTS VALUATION — SCENARIO COMPARISON</t>
  </si>
  <si>
    <t>Total Equity Value (SOTP, Rs. cr)</t>
  </si>
  <si>
    <t>SOTP BUILD-UP (SELECTED SCENARIO)</t>
  </si>
  <si>
    <t>Part A — Core Business (DCF)</t>
  </si>
  <si>
    <t>(+) BESS (Book Value x P/B)</t>
  </si>
  <si>
    <t>(+) Giga Cell Corridor (Book Value x P/B)</t>
  </si>
  <si>
    <t>(-) Giga Corridor Debt (FY31E cumulative, 70%-funded)</t>
  </si>
  <si>
    <t>Total Equity Value</t>
  </si>
  <si>
    <t>Amara Raja Energy &amp; Mobility — Model Assumptions (Consolidated LAB + Current-Scale NEB)</t>
  </si>
  <si>
    <t>All figures INR Crores unless stated. Blue = hardcoded input. FY26 = actual (Q4FY26 results). Scenario selector below drives sections marked (dynamic).</t>
  </si>
  <si>
    <t>SCENARIO SELECTOR</t>
  </si>
  <si>
    <t>Scenario Index (1=Bear, 2=Base, 3=Bull)</t>
  </si>
  <si>
    <t>REVENUE BUILD — FY26 ACTUAL BASE (Rs. cr)</t>
  </si>
  <si>
    <t>LAB — Replacement (Aftermarket)</t>
  </si>
  <si>
    <t>LAB — OEM</t>
  </si>
  <si>
    <t>LAB — Industrial</t>
  </si>
  <si>
    <t>NEB — Lithium Battery Packs</t>
  </si>
  <si>
    <t>NEB — Chargers &amp; Power Systems</t>
  </si>
  <si>
    <t>REPLACEMENT (AFTERMARKET) GROWTH % — BY SCENARIO</t>
  </si>
  <si>
    <t>Scenario</t>
  </si>
  <si>
    <t>Selected (scenario-driven)</t>
  </si>
  <si>
    <t>Bear reverts to mgmt's own cited industry growth (5-6%). Bull: continued brand-led share gains (IPL/Amaron Assist), rising vehicle parc, Home Energy/PM Surya Ghar tailwind, OEM-to-aftermarket 3yr lag from strong FY24-25 OEM years.</t>
  </si>
  <si>
    <t>OEM GROWTH % — BY SCENARIO</t>
  </si>
  <si>
    <t>Bear: FY26's 30%+ surge was explicitly flagged by mgmt as festive/GST timing, not structural. Bull: hybrid/auxiliary-battery thesis + continued platform share gains.</t>
  </si>
  <si>
    <t>INDUSTRIAL GROWTH % — BY SCENARIO</t>
  </si>
  <si>
    <t>Deliberately RISING across the forecast in Base/Bull: Telecom LAB drag shrinks each year (already &lt;5% of LAB revenue) while Data Center/UPS structural growth (AI buildout, data localization) continues.</t>
  </si>
  <si>
    <t>NEB — LITHIUM PACKS GROWTH % — BY SCENARIO</t>
  </si>
  <si>
    <t>Normalizes SLOWER than LAB — NEB is earlier in its adoption curve (telecom lithium migration, EV/ESS are multi-year runways, not a GST-style one-off pull-forward).</t>
  </si>
  <si>
    <t>NEB — CHARGERS &amp; POWER SYSTEMS GROWTH % — BY SCENARIO</t>
  </si>
  <si>
    <t>ARPSL order book momentum (&gt;5,000 units); Bear reflects standardization risk (lack of uniform plugs/voltages) cited by mgmt.</t>
  </si>
  <si>
    <t>NEB — ALL-IN COST RATIO % OF NEB REVENUE — BY SCENARIO</t>
  </si>
  <si>
    <t>Single line captures ALL NEB costs (COGS, opex, D&amp;A, tax-equivalent) down to a PAT-equivalent — no separate NEB cost stack exists at note level (ARACT subsidiary). Breakeven at 100% now lands FY29 (Base), pushed out from FY28 due to the 1-year Giga delay removing an implicit crutch. Bear never quite reaches Base's terminal margin (6-7 lithium pack competitors keep pressure on). Bull breaks even a year early.</t>
  </si>
  <si>
    <t>LAB COST STRUCTURE (scenario-invariant, standalone Notes-to-Accounts based)</t>
  </si>
  <si>
    <t>COGS (Material cost) — % of LAB Revenue</t>
  </si>
  <si>
    <t>Validated vs FY26 actual disclosed material cost ratio of 69.7% — close match.</t>
  </si>
  <si>
    <t>Employee Benefit Expense FY26 base (standalone)</t>
  </si>
  <si>
    <t>FY23-26 standalone actuals: 651.10/699.44/746.78/839.59 (8.9% 3-yr CAGR).</t>
  </si>
  <si>
    <t>Employee cost growth rate</t>
  </si>
  <si>
    <t>Other Expenses — Fixed component FY26 base (Rs. cr)</t>
  </si>
  <si>
    <t>Sum of Rent/Repairs/Insurance/Rates&amp;Taxes/Communication/Travel/CSR/Legal/Auditors/Loss-on-PP&amp;E/Printing, Note 28 (AR26). See Part A tab reference table for full 3-yr line-item trend.</t>
  </si>
  <si>
    <t>Other Expenses — Fixed growth rate (inflation proxy)</t>
  </si>
  <si>
    <t>Other Expenses — Variable rate (% of LAB Revenue)</t>
  </si>
  <si>
    <t>FY26 actual: Stores/Power/Freight/Advt/Warranty/Service/Bad-debts/Misc = Rs.1,513.92cr / Rs.13,548.9cr standalone revenue = 11.18%.</t>
  </si>
  <si>
    <t>DEPRECIATION &amp; CAPEX (LAB block only — SLM, half-year convention on additions)</t>
  </si>
  <si>
    <t>FY27E Opening Net PP&amp;E (standalone, Rs. cr)</t>
  </si>
  <si>
    <t>Depreciation rate (% of opening net block)</t>
  </si>
  <si>
    <t>Half-year rate on new capex</t>
  </si>
  <si>
    <t>LAB Capex (Rs. cr/yr, FY27E-FY31E)</t>
  </si>
  <si>
    <t>Normalizing post tubular reinstatement. Giga Corridor capex excluded — valued separately in SOTP Part B; NOT reflected in this Balance Sheet/Cash Flow.</t>
  </si>
  <si>
    <t>DEPRECIATION SCHEDULE (explicit roll-forward)</t>
  </si>
  <si>
    <t>Opening Net Block</t>
  </si>
  <si>
    <t>Capex</t>
  </si>
  <si>
    <t>Depreciation (Opening x rate + Capex x half-rate)</t>
  </si>
  <si>
    <t>Closing Net Block</t>
  </si>
  <si>
    <t>WORKING CAPITAL DAYS (FY26 AUDITED ACTUAL, HELD CONSTANT)</t>
  </si>
  <si>
    <t>Inventory Days</t>
  </si>
  <si>
    <t>Receivable Days</t>
  </si>
  <si>
    <t>Payable Days</t>
  </si>
  <si>
    <t>TAX &amp; DIVIDEND</t>
  </si>
  <si>
    <t>Tax Rate</t>
  </si>
  <si>
    <t>Dividend (Rs. cr/yr, flat)</t>
  </si>
  <si>
    <t>~Rs.10.60/share (FY26 actual) x 18.30cr shares, held flat. Payout ratio will fall as PAT grows — flagged, same caveat as Exide's own flat-dividend assumption.</t>
  </si>
  <si>
    <t>Other Income (Rs. cr/yr, held flat)</t>
  </si>
  <si>
    <t>Finance Cost (Rs. cr/yr, held flat)</t>
  </si>
  <si>
    <t>Parked per gearing 0.00-0.03x. Revisit if core FCF can't fund capex + dividend.</t>
  </si>
  <si>
    <t>SOTP PART B — GIGA CORRIDOR (discounted P/B, separate from Part A DCF)</t>
  </si>
  <si>
    <t>BESS invested capital, 5 GWh phase (Rs. cr)</t>
  </si>
  <si>
    <t>BESS P/B multiple</t>
  </si>
  <si>
    <t>BESS years to discount</t>
  </si>
  <si>
    <t>SOP guided Q4-FY27, unaffected by the Giga cell-corridor delay.</t>
  </si>
  <si>
    <t>Remaining Giga cell capex (Rs. cr)</t>
  </si>
  <si>
    <t>Giga cell P/B multiple</t>
  </si>
  <si>
    <t>Giga cell years to discount</t>
  </si>
  <si>
    <t>UPDATED: 1-year delay pushes full Rs.9,500cr deployment to FY31-end (was FY30-end); capex now phased over 5 years (was 4), matching the model's 5-yr explicit forecast window.</t>
  </si>
  <si>
    <t>DISCOUNT RATE &amp; TERMINAL GROWTH</t>
  </si>
  <si>
    <t>Cost of Equity (Ke, CAPM)</t>
  </si>
  <si>
    <t>Terminal growth rate (base case)</t>
  </si>
  <si>
    <t>Shares Outstanding (cr)</t>
  </si>
  <si>
    <t>CMP (31-Mar-26, Rs.)</t>
  </si>
  <si>
    <t>Market Cap, reference (Rs. cr, held constant)</t>
  </si>
  <si>
    <t>GIGA CORRIDOR FINANCING (70:30 DEBT:EQUITY SPLIT ON REMAINING CAPEX)</t>
  </si>
  <si>
    <t>Already invested to date (Rs. cr)</t>
  </si>
  <si>
    <t>Confirmed: 'Infused Rs.1,500 crore into ARACT till March 2026' (Q4FY26 presentation).</t>
  </si>
  <si>
    <t>Total Giga Corridor commitment (Rs. cr)</t>
  </si>
  <si>
    <t>BESS book value + Giga cell book value (D95+D98) — these SOTP inputs already represent the FULL corridor commitment, not just the remaining spend.</t>
  </si>
  <si>
    <t>Remaining investment required (Rs. cr)</t>
  </si>
  <si>
    <t>FY27E capex, mgmt guided (Rs. cr)</t>
  </si>
  <si>
    <t>FY28E-FY31E capex per year, equal split (Rs. cr)</t>
  </si>
  <si>
    <t>Debt funding %</t>
  </si>
  <si>
    <t>Equity funding %</t>
  </si>
  <si>
    <t>Cost of debt, pre-tax (AA+ rated estimate)</t>
  </si>
  <si>
    <t>Estimate: Rf 6.77% + ~120-130bps AA+ credit spread (CRISIL AA+ rating). No disclosed cost of debt exists since the company is virtually ungeared today — flagged as a placeholder, same caveat as the Ke build.</t>
  </si>
  <si>
    <t>GIGA CORRIDOR CAPEX &amp; FINANCING SCHEDULE</t>
  </si>
  <si>
    <t>Annual Capex (Giga + BESS combined)</t>
  </si>
  <si>
    <t>Debt Draw (70%)</t>
  </si>
  <si>
    <t>Equity Draw (30%) -&gt; Investment in NEB on Balance Sheet</t>
  </si>
  <si>
    <t>Opening Cumulative Debt</t>
  </si>
  <si>
    <t>Interest Expense on Giga Debt (Opening x Cost of Debt)</t>
  </si>
  <si>
    <t>Closing Cumulative Debt</t>
  </si>
  <si>
    <t>Cumulative Equity Investment in NEB (Investment on Balance Sheet)</t>
  </si>
  <si>
    <t>Interest computed on OPENING balance each year (no interest in FY27, the year debt is first drawn — simplification, not mid-year compounding). Debt-funded 70% does NOT reduce FCFE directly (only its interest cost does, via PAT) — equity-funded 30% DOES reduce FCFE directly (same convention as Exide's own EESL equity-infusion treatment). Cumulative debt at FY31E-end (Rs.~5,600cr, see D127:H127) is netted against SOTP Part B in the equity-value bridge. FY32E added as a 'clean' terminal-anchor year: capex program is complete (zero new debt/equity draw), but the FULL Rs.5,600cr debt balance's interest (Rs.448cr/yr at 8.0%) persists — this is the correct steady-state cost structure to anchor Gordon Growth terminal value on, avoiding understatement from FY31's transient capex-funding drag.</t>
  </si>
  <si>
    <t>Amara Raja Energy &amp; Mobility — Combined P&amp;L (LAB + Current-Scale NEB, Rs. cr)</t>
  </si>
  <si>
    <t>FY24A-FY26A actual; FY27E-FY31E per scenario selected on Assumptions tab. NEB carried as a single all-in cost-ratio line, added at EBIT level (before Other Income/Interest/Tax).</t>
  </si>
  <si>
    <t>LAB REVENUE</t>
  </si>
  <si>
    <t xml:space="preserve">  Replacement (Aftermarket)</t>
  </si>
  <si>
    <t xml:space="preserve">  OEM</t>
  </si>
  <si>
    <t xml:space="preserve">  Industrial</t>
  </si>
  <si>
    <t>LAB Revenue</t>
  </si>
  <si>
    <t>NEB REVENUE</t>
  </si>
  <si>
    <t xml:space="preserve">  Lithium Battery Packs</t>
  </si>
  <si>
    <t xml:space="preserve">  Chargers &amp; Power Systems</t>
  </si>
  <si>
    <t>NEB Revenue</t>
  </si>
  <si>
    <t>TOTAL REVENUE</t>
  </si>
  <si>
    <t>LAB COST STACK</t>
  </si>
  <si>
    <t xml:space="preserve">  COGS (Material cost, 70% of LAB Revenue)</t>
  </si>
  <si>
    <t xml:space="preserve">  LAB Gross Profit</t>
  </si>
  <si>
    <t xml:space="preserve">  Employee Benefit Expense</t>
  </si>
  <si>
    <t xml:space="preserve">  Other Expenses — Fixed</t>
  </si>
  <si>
    <t xml:space="preserve">  Other Expenses — Variable (% of LAB Rev)</t>
  </si>
  <si>
    <t xml:space="preserve">  LAB EBITDA Margin %</t>
  </si>
  <si>
    <t xml:space="preserve">  LAB Depreciation</t>
  </si>
  <si>
    <t>LAB EBIT</t>
  </si>
  <si>
    <t>NEB — ALL-IN COST RATIO &amp; CONTRIBUTION</t>
  </si>
  <si>
    <t xml:space="preserve">  NEB cost ratio (% of NEB revenue)</t>
  </si>
  <si>
    <t>NEB Net Contribution (Rev x (1 - cost ratio))</t>
  </si>
  <si>
    <t>NEB has no separate D&amp;A/capex/interest/tax line — all costs embedded in the single ratio, added at EBIT level before Other Income/Interest/Tax below (per agreed treatment).</t>
  </si>
  <si>
    <t>COMBINED EBIT (LAB EBIT + NEB Net Contribution)</t>
  </si>
  <si>
    <t xml:space="preserve">  Other Income</t>
  </si>
  <si>
    <t xml:space="preserve">  Finance Cost (LAB flat + Interest on Giga Corridor Debt)</t>
  </si>
  <si>
    <t>PBT</t>
  </si>
  <si>
    <t xml:space="preserve">  Tax</t>
  </si>
  <si>
    <t>REFERENCE ONLY — Other Expenses, Note-to-Accounts Line-Item Trend (Standalone, Rs. cr)</t>
  </si>
  <si>
    <t>Not forecast. Sourced from AR24/AR25/AR26 Note 28 (FY26)/28(FY25)/29(FY24) 'Other Expenses'. Fixed/Variable classification is a judgment call, consistent with the split used to build LAB Other Expenses above.</t>
  </si>
  <si>
    <t>VARIABLE (revenue/volume-linked)</t>
  </si>
  <si>
    <t xml:space="preserve">  Consumption of stores &amp; spares</t>
  </si>
  <si>
    <t xml:space="preserve">  Tools consumed</t>
  </si>
  <si>
    <t xml:space="preserve">  Power and fuel</t>
  </si>
  <si>
    <t xml:space="preserve">  Outward freight &amp; handling</t>
  </si>
  <si>
    <t xml:space="preserve">  Advertisement &amp; sales promotion</t>
  </si>
  <si>
    <t xml:space="preserve">  Warranty expenses (net)</t>
  </si>
  <si>
    <t xml:space="preserve">  Service expenses</t>
  </si>
  <si>
    <t xml:space="preserve">  Bad trade receivables written off (net)</t>
  </si>
  <si>
    <t xml:space="preserve">  Changes in expected credit loss</t>
  </si>
  <si>
    <t xml:space="preserve">  Loss allowance, doubtful advances</t>
  </si>
  <si>
    <t xml:space="preserve">  Miscellaneous expenses</t>
  </si>
  <si>
    <t>Variable subtotal</t>
  </si>
  <si>
    <t>FIXED (admin/infrastructure-linked)</t>
  </si>
  <si>
    <t xml:space="preserve">  Rent</t>
  </si>
  <si>
    <t xml:space="preserve">  Repairs — Plant &amp; Machinery / Buildings / Others</t>
  </si>
  <si>
    <t xml:space="preserve">  Insurance</t>
  </si>
  <si>
    <t xml:space="preserve">  Rates and taxes</t>
  </si>
  <si>
    <t xml:space="preserve">  Communication</t>
  </si>
  <si>
    <t xml:space="preserve">  Travelling and conveyance</t>
  </si>
  <si>
    <t xml:space="preserve">  CSR expenditure</t>
  </si>
  <si>
    <t xml:space="preserve">  Legal and professional</t>
  </si>
  <si>
    <t xml:space="preserve">  Payment to auditors</t>
  </si>
  <si>
    <t xml:space="preserve">  Loss on sale of PP&amp;E (net)</t>
  </si>
  <si>
    <t xml:space="preserve">  Printing and stationery</t>
  </si>
  <si>
    <t>Fixed subtotal</t>
  </si>
  <si>
    <t>TOTAL Other Expenses (ties to Note)</t>
  </si>
  <si>
    <t xml:space="preserve">  Variable as % of standalone revenue</t>
  </si>
  <si>
    <t xml:space="preserve">  Fixed as % of standalone revenue</t>
  </si>
  <si>
    <t>Amara Raja Energy &amp; Mobility — Cash Flow, FCFE (Rs. cr)</t>
  </si>
  <si>
    <t>LAB Capex/Depreciation only — NEB has no separate capex/D&amp;A (embedded in its single cost-ratio line). Giga Corridor capex entirely excluded — valued in SOTP Part B.</t>
  </si>
  <si>
    <t>(+) LAB Depreciation</t>
  </si>
  <si>
    <t>(-) LAB Capex</t>
  </si>
  <si>
    <t>Total Revenue (for NWC calc)</t>
  </si>
  <si>
    <t>Net Working Capital ((Inv+Recv-Pay)/365 x Revenue)</t>
  </si>
  <si>
    <t>(-)/(+) Change in NWC</t>
  </si>
  <si>
    <t>Operating Cash Flow</t>
  </si>
  <si>
    <t>FCFE (PAT + Dep - LAB Capex - NEB Equity Investment +/- dWC)</t>
  </si>
  <si>
    <t>Memo: Dividend (for cash/equity rollforward on Balance Sheet, not FCFE)</t>
  </si>
  <si>
    <t>(-) NEB Giga/BESS Equity Investment (30% of capex, per 70:30 debt:equity funding)</t>
  </si>
  <si>
    <t>Amara Raja Energy &amp; Mobility — DCF &amp; Sum-of-the-Parts Valuation</t>
  </si>
  <si>
    <t>Scenario shown below (linked to Assumptions!C4). Explicit forecast now FY27E-FY32E (6 yrs) — FY32E is a 'clean' terminal-anchor year: Giga/BESS capex program complete (zero equity draw), but full steady-state debt interest persists.</t>
  </si>
  <si>
    <t>PART A DCF — SELECTED SCENARIO (Rs. cr)</t>
  </si>
  <si>
    <t>Discount Period</t>
  </si>
  <si>
    <t>Discount Factor @ Ke</t>
  </si>
  <si>
    <t>PV of FCFE</t>
  </si>
  <si>
    <t>Sum of PV (Explicit Period, FY27E-FY32E)</t>
  </si>
  <si>
    <t>Terminal Value (Gordon Growth, at FY32E)</t>
  </si>
  <si>
    <t>PV of Terminal Value</t>
  </si>
  <si>
    <t>Part A Equity Value (DCF)</t>
  </si>
  <si>
    <t>SUM-OF-THE-PARTS (SELECTED SCENARIO)</t>
  </si>
  <si>
    <t>(+) BESS — Book Value x P/B, 1yr discount</t>
  </si>
  <si>
    <t>Implied Upside/(Downside)</t>
  </si>
  <si>
    <t>Memo: (-) Giga Corridor Debt deducted above (FY31E cumulative, 70%-funded)</t>
  </si>
  <si>
    <t>Sensitivity: Terminal growth 3-4%</t>
  </si>
  <si>
    <t xml:space="preserve">  Terminal growth = 4%</t>
  </si>
  <si>
    <t>SCENARIO COMPARISON (STATIC — ALL THREE CASES, INDEPENDENT OF TOGGLE ABOVE)</t>
  </si>
  <si>
    <t>Built by re-running Revenue -&gt; LAB EBITDA -&gt; NEB Contribution -&gt; PAT -&gt; FCFE -&gt; Value for scenario index fixed at 1/2/3 (Bear/Base/Bull). Cost ratios, capex, WC days, tax, and SOTP inputs are scenario-invariant and reused as-is.</t>
  </si>
  <si>
    <t>SCENARIO: Bear</t>
  </si>
  <si>
    <t xml:space="preserve">  LAB - Replacement</t>
  </si>
  <si>
    <t xml:space="preserve">  LAB - Oem</t>
  </si>
  <si>
    <t xml:space="preserve">  LAB - Industrial</t>
  </si>
  <si>
    <t xml:space="preserve">  NEB - Packs</t>
  </si>
  <si>
    <t xml:space="preserve">  NEB - Chargers</t>
  </si>
  <si>
    <t xml:space="preserve">  COGS (70% of LAB Rev)</t>
  </si>
  <si>
    <t xml:space="preserve">  Employee Cost</t>
  </si>
  <si>
    <t xml:space="preserve">  Other Expenses - Fixed</t>
  </si>
  <si>
    <t xml:space="preserve">  Other Expenses - Variable</t>
  </si>
  <si>
    <t xml:space="preserve">  NEB cost ratio</t>
  </si>
  <si>
    <t>Combined EBIT</t>
  </si>
  <si>
    <t xml:space="preserve">  Finance Cost (LAB flat + Giga Debt Interest)</t>
  </si>
  <si>
    <t>PAT</t>
  </si>
  <si>
    <t xml:space="preserve">  Total Revenue (for NWC)</t>
  </si>
  <si>
    <t xml:space="preserve">  Net Working Capital</t>
  </si>
  <si>
    <t xml:space="preserve">  Change in NWC</t>
  </si>
  <si>
    <t xml:space="preserve">  PV of FCFE</t>
  </si>
  <si>
    <t>Sum PV Explicit FCFE</t>
  </si>
  <si>
    <t>Part A Equity Value</t>
  </si>
  <si>
    <t>(+) BESS + Giga Cell Corridor (P/B)</t>
  </si>
  <si>
    <t>SCENARIO: Base</t>
  </si>
  <si>
    <t>SCENARIO: Bull</t>
  </si>
  <si>
    <t>Amara Raja Energy &amp; Mobility — Balance Sheet (selected line items, Rs. cr)</t>
  </si>
  <si>
    <t>PARTIAL — selected items only, per scope. Will NOT fully reconcile Assets = Liabilities + Equity. Giga Corridor debt (70%) and equity investment (30%) explicitly shown below. FY32E added as a clean terminal-anchor year (see DCF &amp; SOTP tab) — capex program complete, only steady-state debt interest persists.</t>
  </si>
  <si>
    <t>Net Fixed Assets (LAB PP&amp;E only)</t>
  </si>
  <si>
    <t>Inventories</t>
  </si>
  <si>
    <t>Trade Receivables</t>
  </si>
  <si>
    <t>Cash &amp; Cash Equivalents (roll-forward)</t>
  </si>
  <si>
    <t>Trade Payables</t>
  </si>
  <si>
    <t>Equity Share Capital</t>
  </si>
  <si>
    <t>Reserves (Other Equity, roll-forward)</t>
  </si>
  <si>
    <t>Borrowings — Giga Corridor Debt (cumulative)</t>
  </si>
  <si>
    <t>Investment in NEB — Giga Corridor (at cost, equity-funded)</t>
  </si>
  <si>
    <t>Amara Raja Energy &amp; Mobility — Ratio Analysis</t>
  </si>
  <si>
    <t>Historical actual (FY24A-26A, consolidated reported figures) and forecast (selected scenario, FY27E-32E). CMP anchor: Rs.876/share (31-Mar-26).</t>
  </si>
  <si>
    <t>HISTORICAL ACTUALS (CONSOLIDATED, REPORTED, Rs. cr) — REFERENCE BASE FOR RATIOS BELOW</t>
  </si>
  <si>
    <t>Revenue</t>
  </si>
  <si>
    <t>EBITDA (reported)</t>
  </si>
  <si>
    <t>Depreciation</t>
  </si>
  <si>
    <t>EBIT (EBITDA - Depreciation)</t>
  </si>
  <si>
    <t>Finance Cost</t>
  </si>
  <si>
    <t>Other Income</t>
  </si>
  <si>
    <t>PBT (reported, incl. exceptional items)</t>
  </si>
  <si>
    <t>PAT (reported)</t>
  </si>
  <si>
    <t>Historical EBITDA/Dep/Finance Cost/PBT/PAT hardcoded from reported consolidated results (Q4FY26 presentation); P&amp;L tab's detailed LAB/NEB cost-stack split was only built for forecast years FY27E onward.</t>
  </si>
  <si>
    <t>GROWTH RATIOS</t>
  </si>
  <si>
    <t>Revenue Growth %</t>
  </si>
  <si>
    <t>EBITDA Growth %</t>
  </si>
  <si>
    <t>PAT Growth %</t>
  </si>
  <si>
    <t>MARGIN RATIOS</t>
  </si>
  <si>
    <t>LAB Gross Margin % (LAB Gross Profit / LAB Revenue)</t>
  </si>
  <si>
    <t>Only computable for forecast years — historical LAB gross profit not disclosed at this granularity (COGS/Gross Profit split only exists below EBITDA in the forecast build).</t>
  </si>
  <si>
    <t>EBITDA Margin % (consolidated)</t>
  </si>
  <si>
    <t>PAT Margin %</t>
  </si>
  <si>
    <t>CASH CONVERSION RATIOS</t>
  </si>
  <si>
    <t>CFO / PAT  (Operating Cash Flow, before any capex)</t>
  </si>
  <si>
    <t>CFO (excl. NEB capex) / PAT  (net of LAB capex, before NEB equity investment)</t>
  </si>
  <si>
    <t>FCFE / PAT  (net of ALL capex incl. NEB equity investment)</t>
  </si>
  <si>
    <t>FCFE Yield (FCFE / Market Cap)</t>
  </si>
  <si>
    <t>Dividend Payout Ratio (Dividend / PAT)</t>
  </si>
  <si>
    <t>RETURN RATIOS</t>
  </si>
  <si>
    <t>ROE (PAT / Closing Equity)</t>
  </si>
  <si>
    <t>ROCE (EBIT / Average Capital Employed [Equity+Debt])</t>
  </si>
  <si>
    <t>ROCE now computable given the Giga Corridor debt is explicitly on the Balance Sheet. Uses Combined EBIT (LAB EBIT + NEB Net Contribution) over average (Equity + Debt). Not directly comparable to management's disclosed consolidated ROCE (~12.0% FY26) since this Balance Sheet remains partial (excludes most non-core assets).</t>
  </si>
  <si>
    <t>LEVERAGE &amp; COVERAGE</t>
  </si>
  <si>
    <t>Debt / Equity (x)  [Giga Corridor Debt / (Reserves+Capital)]</t>
  </si>
  <si>
    <t>Net Debt / EBITDA (x)  [(Debt - Cash) / EBITDA]</t>
  </si>
  <si>
    <t>Interest Coverage Ratio (EBIT / Finance Cost)</t>
  </si>
  <si>
    <t>EFFICIENCY</t>
  </si>
  <si>
    <t>Asset Turnover (x)  [Revenue / Total Modeled Assets]</t>
  </si>
  <si>
    <t>Total Modeled Assets = Net Fixed Assets + Inventories + Receivables + Cash (+ Investment in NEB, forecast years only). Excludes Giga Corridor operating PP&amp;E itself (not consolidated in this partial Balance Sheet) — actual asset turnover will differ once Giga assets go live.</t>
  </si>
  <si>
    <t>PER-SHARE &amp; MARKET-BASED MULTIPLES  (CMP anchor: Rs.876/share, 31-Mar-26)</t>
  </si>
  <si>
    <t>EPS (Rs./share)</t>
  </si>
  <si>
    <t>BVPS (Rs./share)</t>
  </si>
  <si>
    <t>EV / EBITDA (x)  [EV ~ Mkt Cap, minimal core debt]</t>
  </si>
  <si>
    <t>P / E (x)</t>
  </si>
  <si>
    <t>P / B (x)</t>
  </si>
  <si>
    <t>TRAILING vs FORWARD SUMMARY (highlight box)</t>
  </si>
  <si>
    <t>Trailing (FY26A)</t>
  </si>
  <si>
    <t>Forward (FY27E)</t>
  </si>
  <si>
    <t>EV / EBITDA (x)</t>
  </si>
  <si>
    <t>Risk-Free Rate</t>
  </si>
  <si>
    <t>Equity Risk Premium</t>
  </si>
  <si>
    <t>Beta</t>
  </si>
  <si>
    <t>(+) Giga Cell Corridor — Book Value x P/B, 5yr discount</t>
  </si>
  <si>
    <t>CMP</t>
  </si>
  <si>
    <t xml:space="preserve">  Terminal growth = 6%</t>
  </si>
  <si>
    <t>Total revenue</t>
  </si>
  <si>
    <t>Capacity(GWh)</t>
  </si>
  <si>
    <t>Price(KWh)</t>
  </si>
  <si>
    <t>PAT Margin</t>
  </si>
  <si>
    <t>Discount Factor</t>
  </si>
  <si>
    <t>Giga-Factory</t>
  </si>
  <si>
    <t>BESS</t>
  </si>
  <si>
    <t>Asset Turnover</t>
  </si>
  <si>
    <t>P/E Multiple</t>
  </si>
  <si>
    <t>Value</t>
  </si>
  <si>
    <t>PV</t>
  </si>
  <si>
    <t>NEB Share</t>
  </si>
  <si>
    <t>(guided 7-8%)</t>
  </si>
  <si>
    <t>(Not included)</t>
  </si>
  <si>
    <t>P/E (15x)</t>
  </si>
  <si>
    <t>P/E</t>
  </si>
  <si>
    <t>P/S</t>
  </si>
  <si>
    <t>P/S (1.5x)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</si>
</sst>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#,##0.0"/>
    <numFmt numFmtId="165" formatCode="0.0%"/>
    <numFmt numFmtId="166" formatCode="#,##0.0;\(#,##0.0\);\-"/>
    <numFmt numFmtId="167" formatCode="0.0"/>
    <numFmt numFmtId="168" formatCode="0.0\x"/>
    <numFmt numFmtId="169" formatCode="#,##0.0_);\(#,##0.0\)"/>
    <numFmt numFmtId="170" formatCode="0.0000"/>
    <numFmt numFmtId="171" formatCode="0\x"/>
    <numFmt numFmtId="172" formatCode="[$₹-439]#,##0.00"/>
    <numFmt numFmtId="173" formatCode="[$₹-439]#,##0"/>
    <numFmt numFmtId="174" formatCode="[$₹-439]#,##0.0"/>
  </numFmts>
  <fonts count="23" x14ac:knownFonts="1">
    <font>
      <sz val="11"/>
      <color theme="1"/>
      <name val="Calibri"/>
      <family val="2"/>
      <charset val="1"/>
    </font>
    <font>
      <b/>
      <sz val="15"/>
      <name val="Cambria"/>
      <charset val="1"/>
    </font>
    <font>
      <i/>
      <sz val="9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1"/>
      <color rgb="FFC00000"/>
      <name val="Cambria"/>
      <charset val="1"/>
    </font>
    <font>
      <b/>
      <i/>
      <sz val="11"/>
      <color rgb="FFC00000"/>
      <name val="Cambria"/>
      <charset val="1"/>
    </font>
    <font>
      <b/>
      <sz val="14"/>
      <name val="Cambria"/>
      <charset val="1"/>
    </font>
    <font>
      <sz val="11"/>
      <color rgb="FF0000FF"/>
      <name val="Cambria"/>
      <charset val="1"/>
    </font>
    <font>
      <b/>
      <sz val="13"/>
      <name val="Cambria"/>
      <charset val="1"/>
    </font>
    <font>
      <b/>
      <sz val="12"/>
      <name val="Cambria"/>
      <charset val="1"/>
    </font>
    <font>
      <b/>
      <i/>
      <sz val="11"/>
      <name val="Cambria"/>
      <charset val="1"/>
    </font>
    <font>
      <b/>
      <sz val="11"/>
      <color theme="1"/>
      <name val="Calibri"/>
      <family val="2"/>
      <charset val="1"/>
    </font>
    <font>
      <b/>
      <sz val="12"/>
      <color rgb="FFC00000"/>
      <name val="Cambria"/>
      <charset val="1"/>
    </font>
    <font>
      <b/>
      <sz val="13"/>
      <color rgb="FFC00000"/>
      <name val="Cambria"/>
      <charset val="1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mbria"/>
      <family val="1"/>
    </font>
    <font>
      <b/>
      <sz val="12"/>
      <color theme="1"/>
      <name val="Calibri"/>
      <family val="2"/>
    </font>
    <font>
      <i/>
      <sz val="10"/>
      <name val="Cambria"/>
      <family val="1"/>
    </font>
    <font>
      <sz val="10"/>
      <color theme="1"/>
      <name val="Calibri"/>
      <family val="2"/>
      <charset val="1"/>
    </font>
    <font>
      <i/>
      <sz val="10"/>
      <color theme="1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1F4E7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/>
    <xf numFmtId="0" fontId="4" fillId="0" borderId="0" xfId="0" applyFont="1" applyAlignment="1" applyProtection="1"/>
    <xf numFmtId="164" fontId="0" fillId="0" borderId="0" xfId="0" applyNumberFormat="1" applyAlignment="1" applyProtection="1"/>
    <xf numFmtId="165" fontId="0" fillId="0" borderId="0" xfId="0" applyNumberFormat="1" applyAlignment="1" applyProtection="1"/>
    <xf numFmtId="0" fontId="5" fillId="0" borderId="0" xfId="0" applyFont="1" applyAlignment="1" applyProtection="1"/>
    <xf numFmtId="166" fontId="0" fillId="0" borderId="0" xfId="0" applyNumberFormat="1" applyAlignment="1" applyProtection="1"/>
    <xf numFmtId="166" fontId="4" fillId="0" borderId="0" xfId="0" applyNumberFormat="1" applyFont="1" applyAlignment="1" applyProtection="1"/>
    <xf numFmtId="164" fontId="5" fillId="0" borderId="0" xfId="0" applyNumberFormat="1" applyFont="1" applyAlignment="1" applyProtection="1"/>
    <xf numFmtId="0" fontId="6" fillId="0" borderId="0" xfId="0" applyFont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/>
    <xf numFmtId="0" fontId="7" fillId="0" borderId="0" xfId="0" applyFont="1" applyAlignment="1" applyProtection="1"/>
    <xf numFmtId="0" fontId="8" fillId="3" borderId="0" xfId="0" applyFont="1" applyFill="1" applyAlignment="1" applyProtection="1"/>
    <xf numFmtId="166" fontId="8" fillId="0" borderId="0" xfId="0" applyNumberFormat="1" applyFont="1" applyAlignment="1" applyProtection="1"/>
    <xf numFmtId="165" fontId="8" fillId="0" borderId="0" xfId="0" applyNumberFormat="1" applyFont="1" applyAlignment="1" applyProtection="1"/>
    <xf numFmtId="165" fontId="4" fillId="0" borderId="0" xfId="0" applyNumberFormat="1" applyFont="1" applyAlignment="1" applyProtection="1"/>
    <xf numFmtId="167" fontId="8" fillId="0" borderId="0" xfId="0" applyNumberFormat="1" applyFont="1" applyAlignment="1" applyProtection="1"/>
    <xf numFmtId="168" fontId="8" fillId="0" borderId="0" xfId="0" applyNumberFormat="1" applyFont="1" applyAlignment="1" applyProtection="1"/>
    <xf numFmtId="1" fontId="8" fillId="0" borderId="0" xfId="0" applyNumberFormat="1" applyFont="1" applyAlignment="1" applyProtection="1"/>
    <xf numFmtId="4" fontId="8" fillId="0" borderId="0" xfId="0" applyNumberFormat="1" applyFont="1" applyAlignment="1" applyProtection="1"/>
    <xf numFmtId="164" fontId="8" fillId="0" borderId="0" xfId="0" applyNumberFormat="1" applyFont="1" applyAlignment="1" applyProtection="1"/>
    <xf numFmtId="0" fontId="9" fillId="0" borderId="0" xfId="0" applyFont="1" applyAlignment="1" applyProtection="1"/>
    <xf numFmtId="0" fontId="3" fillId="2" borderId="0" xfId="0" applyFont="1" applyFill="1" applyAlignment="1" applyProtection="1"/>
    <xf numFmtId="166" fontId="5" fillId="0" borderId="0" xfId="0" applyNumberFormat="1" applyFont="1" applyAlignment="1" applyProtection="1"/>
    <xf numFmtId="0" fontId="10" fillId="0" borderId="0" xfId="0" applyFont="1" applyAlignment="1" applyProtection="1"/>
    <xf numFmtId="0" fontId="11" fillId="0" borderId="0" xfId="0" applyFont="1" applyAlignment="1" applyProtection="1"/>
    <xf numFmtId="0" fontId="12" fillId="0" borderId="0" xfId="0" applyFont="1" applyAlignment="1" applyProtection="1"/>
    <xf numFmtId="169" fontId="12" fillId="0" borderId="0" xfId="0" applyNumberFormat="1" applyFont="1" applyAlignment="1" applyProtection="1"/>
    <xf numFmtId="170" fontId="0" fillId="0" borderId="0" xfId="0" applyNumberFormat="1" applyAlignment="1" applyProtection="1"/>
    <xf numFmtId="166" fontId="13" fillId="0" borderId="0" xfId="0" applyNumberFormat="1" applyFont="1" applyAlignment="1" applyProtection="1"/>
    <xf numFmtId="4" fontId="0" fillId="0" borderId="0" xfId="0" applyNumberFormat="1" applyAlignment="1" applyProtection="1"/>
    <xf numFmtId="164" fontId="14" fillId="0" borderId="0" xfId="0" applyNumberFormat="1" applyFont="1" applyAlignment="1" applyProtection="1"/>
    <xf numFmtId="165" fontId="10" fillId="0" borderId="0" xfId="0" applyNumberFormat="1" applyFont="1" applyAlignment="1" applyProtection="1"/>
    <xf numFmtId="164" fontId="13" fillId="0" borderId="0" xfId="0" applyNumberFormat="1" applyFont="1" applyAlignment="1" applyProtection="1"/>
    <xf numFmtId="168" fontId="0" fillId="0" borderId="0" xfId="0" applyNumberFormat="1" applyAlignment="1" applyProtection="1"/>
    <xf numFmtId="168" fontId="5" fillId="0" borderId="0" xfId="0" applyNumberFormat="1" applyFont="1" applyAlignment="1" applyProtection="1"/>
    <xf numFmtId="0" fontId="4" fillId="0" borderId="0" xfId="0" applyFont="1" applyAlignment="1" applyProtection="1">
      <alignment wrapText="1"/>
    </xf>
    <xf numFmtId="0" fontId="2" fillId="0" borderId="0" xfId="0" applyFont="1"/>
    <xf numFmtId="10" fontId="0" fillId="0" borderId="0" xfId="0" applyNumberFormat="1"/>
    <xf numFmtId="165" fontId="8" fillId="0" borderId="0" xfId="0" applyNumberFormat="1" applyFont="1"/>
    <xf numFmtId="166" fontId="15" fillId="0" borderId="0" xfId="0" applyNumberFormat="1" applyFont="1" applyAlignment="1" applyProtection="1"/>
    <xf numFmtId="9" fontId="16" fillId="0" borderId="0" xfId="0" applyNumberFormat="1" applyFont="1" applyAlignment="1" applyProtection="1"/>
    <xf numFmtId="0" fontId="17" fillId="0" borderId="0" xfId="0" applyFont="1" applyAlignment="1" applyProtection="1"/>
    <xf numFmtId="10" fontId="16" fillId="0" borderId="0" xfId="0" applyNumberFormat="1" applyFont="1" applyAlignment="1" applyProtection="1"/>
    <xf numFmtId="0" fontId="0" fillId="0" borderId="2" xfId="0" applyBorder="1" applyAlignment="1" applyProtection="1"/>
    <xf numFmtId="0" fontId="0" fillId="0" borderId="3" xfId="0" applyBorder="1" applyAlignment="1" applyProtection="1"/>
    <xf numFmtId="0" fontId="0" fillId="0" borderId="4" xfId="0" applyBorder="1" applyAlignment="1" applyProtection="1"/>
    <xf numFmtId="0" fontId="0" fillId="0" borderId="0" xfId="0" applyBorder="1" applyAlignment="1" applyProtection="1"/>
    <xf numFmtId="0" fontId="0" fillId="0" borderId="5" xfId="0" applyBorder="1" applyAlignment="1" applyProtection="1"/>
    <xf numFmtId="9" fontId="0" fillId="0" borderId="0" xfId="0" applyNumberFormat="1" applyBorder="1" applyAlignment="1" applyProtection="1"/>
    <xf numFmtId="9" fontId="0" fillId="0" borderId="5" xfId="0" applyNumberFormat="1" applyBorder="1" applyAlignment="1" applyProtection="1"/>
    <xf numFmtId="0" fontId="4" fillId="0" borderId="4" xfId="0" applyFont="1" applyBorder="1" applyAlignment="1" applyProtection="1"/>
    <xf numFmtId="166" fontId="4" fillId="0" borderId="0" xfId="0" applyNumberFormat="1" applyFont="1" applyBorder="1" applyAlignment="1" applyProtection="1"/>
    <xf numFmtId="166" fontId="4" fillId="0" borderId="5" xfId="0" applyNumberFormat="1" applyFont="1" applyBorder="1" applyAlignment="1" applyProtection="1"/>
    <xf numFmtId="9" fontId="16" fillId="0" borderId="0" xfId="0" applyNumberFormat="1" applyFont="1" applyBorder="1" applyAlignment="1" applyProtection="1"/>
    <xf numFmtId="0" fontId="4" fillId="0" borderId="6" xfId="0" applyFont="1" applyBorder="1" applyAlignment="1" applyProtection="1"/>
    <xf numFmtId="0" fontId="0" fillId="0" borderId="7" xfId="0" applyBorder="1" applyAlignment="1" applyProtection="1"/>
    <xf numFmtId="0" fontId="0" fillId="0" borderId="8" xfId="0" applyBorder="1" applyAlignment="1" applyProtection="1"/>
    <xf numFmtId="0" fontId="18" fillId="0" borderId="1" xfId="0" applyFont="1" applyBorder="1" applyAlignment="1" applyProtection="1"/>
    <xf numFmtId="0" fontId="18" fillId="0" borderId="1" xfId="0" applyFont="1" applyFill="1" applyBorder="1" applyAlignment="1" applyProtection="1"/>
    <xf numFmtId="0" fontId="0" fillId="0" borderId="4" xfId="0" applyFill="1" applyBorder="1" applyAlignment="1" applyProtection="1"/>
    <xf numFmtId="171" fontId="0" fillId="0" borderId="5" xfId="0" applyNumberFormat="1" applyBorder="1" applyAlignment="1" applyProtection="1"/>
    <xf numFmtId="173" fontId="0" fillId="0" borderId="5" xfId="0" applyNumberFormat="1" applyBorder="1" applyAlignment="1" applyProtection="1"/>
    <xf numFmtId="0" fontId="16" fillId="0" borderId="4" xfId="0" applyFont="1" applyFill="1" applyBorder="1" applyAlignment="1" applyProtection="1"/>
    <xf numFmtId="173" fontId="16" fillId="0" borderId="5" xfId="0" applyNumberFormat="1" applyFont="1" applyBorder="1" applyAlignment="1" applyProtection="1"/>
    <xf numFmtId="0" fontId="16" fillId="0" borderId="6" xfId="0" applyFont="1" applyFill="1" applyBorder="1" applyAlignment="1" applyProtection="1"/>
    <xf numFmtId="173" fontId="0" fillId="0" borderId="0" xfId="0" applyNumberFormat="1" applyBorder="1" applyAlignment="1" applyProtection="1"/>
    <xf numFmtId="173" fontId="16" fillId="0" borderId="0" xfId="0" applyNumberFormat="1" applyFont="1" applyBorder="1" applyAlignment="1" applyProtection="1"/>
    <xf numFmtId="173" fontId="16" fillId="4" borderId="7" xfId="0" applyNumberFormat="1" applyFont="1" applyFill="1" applyBorder="1" applyAlignment="1" applyProtection="1"/>
    <xf numFmtId="172" fontId="16" fillId="4" borderId="8" xfId="0" applyNumberFormat="1" applyFont="1" applyFill="1" applyBorder="1" applyAlignment="1" applyProtection="1"/>
    <xf numFmtId="170" fontId="0" fillId="0" borderId="0" xfId="0" applyNumberFormat="1" applyBorder="1" applyAlignment="1" applyProtection="1"/>
    <xf numFmtId="0" fontId="4" fillId="0" borderId="10" xfId="0" applyFont="1" applyBorder="1" applyAlignment="1" applyProtection="1"/>
    <xf numFmtId="0" fontId="4" fillId="0" borderId="9" xfId="0" applyFont="1" applyBorder="1" applyAlignment="1" applyProtection="1"/>
    <xf numFmtId="170" fontId="0" fillId="0" borderId="5" xfId="0" applyNumberFormat="1" applyBorder="1" applyAlignment="1" applyProtection="1"/>
    <xf numFmtId="0" fontId="19" fillId="0" borderId="0" xfId="0" applyFont="1" applyAlignment="1" applyProtection="1"/>
    <xf numFmtId="10" fontId="20" fillId="0" borderId="0" xfId="0" applyNumberFormat="1" applyFont="1" applyAlignment="1" applyProtection="1"/>
    <xf numFmtId="0" fontId="21" fillId="0" borderId="0" xfId="0" applyFont="1" applyAlignment="1" applyProtection="1">
      <alignment horizontal="right"/>
    </xf>
    <xf numFmtId="39" fontId="0" fillId="0" borderId="0" xfId="0" applyNumberFormat="1" applyAlignment="1" applyProtection="1"/>
    <xf numFmtId="172" fontId="0" fillId="0" borderId="0" xfId="0" applyNumberFormat="1" applyBorder="1" applyAlignment="1" applyProtection="1"/>
    <xf numFmtId="174" fontId="0" fillId="0" borderId="0" xfId="0" applyNumberFormat="1" applyBorder="1" applyAlignment="1" applyProtection="1"/>
    <xf numFmtId="172" fontId="0" fillId="0" borderId="0" xfId="0" applyNumberFormat="1" applyAlignment="1" applyProtection="1"/>
    <xf numFmtId="0" fontId="16" fillId="5" borderId="0" xfId="0" applyFont="1" applyFill="1" applyBorder="1" applyAlignment="1" applyProtection="1"/>
    <xf numFmtId="174" fontId="16" fillId="5" borderId="5" xfId="0" applyNumberFormat="1" applyFont="1" applyFill="1" applyBorder="1" applyAlignment="1" applyProtection="1"/>
    <xf numFmtId="0" fontId="16" fillId="6" borderId="0" xfId="0" applyFont="1" applyFill="1" applyAlignment="1" applyProtection="1"/>
    <xf numFmtId="174" fontId="16" fillId="6" borderId="0" xfId="0" applyNumberFormat="1" applyFont="1" applyFill="1" applyAlignment="1" applyProtection="1"/>
    <xf numFmtId="0" fontId="22" fillId="7" borderId="0" xfId="0" applyFont="1" applyFill="1" applyAlignment="1" applyProtection="1"/>
    <xf numFmtId="0" fontId="3" fillId="2" borderId="0" xfId="0" applyFont="1" applyFill="1" applyBorder="1" applyAlignment="1" applyProtection="1">
      <alignment horizontal="center"/>
    </xf>
    <xf numFmtId="0" fontId="2" fillId="0" borderId="0" xfId="0" applyFont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6" fmlaLink="Assumptions!$C$4" fmlaRange="Assumptions!$N$3:$N$5" noThreeD="1" sel="2" val="0"/>
</file>

<file path=xl/ctrlProps/ctrlProp2.xml><?xml version="1.0" encoding="utf-8"?>
<formControlPr xmlns="http://schemas.microsoft.com/office/spreadsheetml/2009/9/main" objectType="Drop" dropStyle="combo" dx="16" fmlaLink="$C$4" fmlaRange="$N$3:$N$5" noThreeD="1" sel="2" val="0"/>
</file>

<file path=xl/ctrlProps/ctrlProp3.xml><?xml version="1.0" encoding="utf-8"?>
<formControlPr xmlns="http://schemas.microsoft.com/office/spreadsheetml/2009/9/main" objectType="Drop" dropStyle="combo" dx="16" fmlaLink="Assumptions!$C$4" fmlaRange="Assumptions!$N$3:$N$5" noThreeD="1" sel="2" val="0"/>
</file>

<file path=xl/ctrlProps/ctrlProp4.xml><?xml version="1.0" encoding="utf-8"?>
<formControlPr xmlns="http://schemas.microsoft.com/office/spreadsheetml/2009/9/main" objectType="Drop" dropStyle="combo" dx="16" fmlaLink="Assumptions!$C$4" fmlaRange="Assumptions!$N$3:$N$5" noThreeD="1" sel="2" val="0"/>
</file>

<file path=xl/ctrlProps/ctrlProp5.xml><?xml version="1.0" encoding="utf-8"?>
<formControlPr xmlns="http://schemas.microsoft.com/office/spreadsheetml/2009/9/main" objectType="Drop" dropStyle="combo" dx="16" fmlaLink="Assumptions!$C$4" fmlaRange="Assumptions!$N$3:$N$5" noThreeD="1" sel="2" val="0"/>
</file>

<file path=xl/ctrlProps/ctrlProp6.xml><?xml version="1.0" encoding="utf-8"?>
<formControlPr xmlns="http://schemas.microsoft.com/office/spreadsheetml/2009/9/main" objectType="Drop" dropStyle="combo" dx="16" fmlaLink="Assumptions!$C$4" fmlaRange="Assumptions!$N$3:$N$5" noThreeD="1" sel="2" val="0"/>
</file>

<file path=xl/ctrlProps/ctrlProp7.xml><?xml version="1.0" encoding="utf-8"?>
<formControlPr xmlns="http://schemas.microsoft.com/office/spreadsheetml/2009/9/main" objectType="Drop" dropStyle="combo" dx="16" fmlaLink="Assumptions!$C$4" fmlaRange="Assumptions!$N$3:$N$5" noThreeD="1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866775</xdr:colOff>
          <xdr:row>7</xdr:row>
          <xdr:rowOff>0</xdr:rowOff>
        </xdr:from>
        <xdr:to>
          <xdr:col>3</xdr:col>
          <xdr:colOff>866775</xdr:colOff>
          <xdr:row>8</xdr:row>
          <xdr:rowOff>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180975</xdr:rowOff>
        </xdr:from>
        <xdr:to>
          <xdr:col>3</xdr:col>
          <xdr:colOff>0</xdr:colOff>
          <xdr:row>4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</xdr:row>
          <xdr:rowOff>0</xdr:rowOff>
        </xdr:from>
        <xdr:to>
          <xdr:col>11</xdr:col>
          <xdr:colOff>0</xdr:colOff>
          <xdr:row>2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</xdr:row>
          <xdr:rowOff>0</xdr:rowOff>
        </xdr:from>
        <xdr:to>
          <xdr:col>10</xdr:col>
          <xdr:colOff>0</xdr:colOff>
          <xdr:row>2</xdr:row>
          <xdr:rowOff>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6</xdr:col>
          <xdr:colOff>0</xdr:colOff>
          <xdr:row>2</xdr:row>
          <xdr:rowOff>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7</xdr:col>
          <xdr:colOff>0</xdr:colOff>
          <xdr:row>1</xdr:row>
          <xdr:rowOff>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0</xdr:row>
          <xdr:rowOff>19050</xdr:rowOff>
        </xdr:from>
        <xdr:to>
          <xdr:col>4</xdr:col>
          <xdr:colOff>0</xdr:colOff>
          <xdr:row>1</xdr:row>
          <xdr:rowOff>0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4"/>
  <sheetViews>
    <sheetView tabSelected="1" zoomScaleNormal="100" workbookViewId="0">
      <selection activeCell="F18" sqref="F18"/>
    </sheetView>
  </sheetViews>
  <sheetFormatPr defaultColWidth="8.7109375" defaultRowHeight="15" x14ac:dyDescent="0.25"/>
  <cols>
    <col min="1" max="1" width="3" style="1" customWidth="1"/>
    <col min="2" max="2" width="40" style="1" customWidth="1"/>
    <col min="3" max="10" width="13" style="1" customWidth="1"/>
    <col min="11" max="11" width="12" customWidth="1"/>
  </cols>
  <sheetData>
    <row r="1" spans="2:11" ht="18.75" customHeight="1" x14ac:dyDescent="0.25">
      <c r="B1" s="2" t="s">
        <v>0</v>
      </c>
    </row>
    <row r="2" spans="2:11" ht="15" customHeight="1" x14ac:dyDescent="0.25">
      <c r="B2" s="3" t="s">
        <v>1</v>
      </c>
    </row>
    <row r="4" spans="2:11" ht="15" customHeight="1" x14ac:dyDescent="0.25">
      <c r="B4" s="89" t="s">
        <v>2</v>
      </c>
      <c r="C4" s="89"/>
      <c r="D4" s="89"/>
      <c r="E4" s="89"/>
      <c r="G4" s="88" t="s">
        <v>302</v>
      </c>
      <c r="H4" s="88">
        <v>876</v>
      </c>
    </row>
    <row r="5" spans="2:11" ht="15" customHeight="1" x14ac:dyDescent="0.25">
      <c r="C5" s="4" t="s">
        <v>3</v>
      </c>
      <c r="D5" s="4" t="s">
        <v>4</v>
      </c>
      <c r="E5" s="4" t="s">
        <v>5</v>
      </c>
    </row>
    <row r="6" spans="2:11" ht="15" customHeight="1" x14ac:dyDescent="0.25">
      <c r="B6" s="1" t="s">
        <v>6</v>
      </c>
      <c r="C6" s="5">
        <f>'DCF &amp; SOTP'!C70</f>
        <v>862.58462319025034</v>
      </c>
      <c r="D6" s="5">
        <f>'DCF &amp; SOTP'!C108</f>
        <v>987.35181459626551</v>
      </c>
      <c r="E6" s="5">
        <f>'DCF &amp; SOTP'!C146</f>
        <v>1107.2233443763539</v>
      </c>
    </row>
    <row r="7" spans="2:11" ht="15" customHeight="1" x14ac:dyDescent="0.25">
      <c r="B7" s="1" t="s">
        <v>7</v>
      </c>
      <c r="C7" s="6">
        <f>C6/Assumptions!$D$107-1</f>
        <v>-1.5314357088755282E-2</v>
      </c>
      <c r="D7" s="6">
        <f>D6/Assumptions!$D$107-1</f>
        <v>0.12711394360304284</v>
      </c>
      <c r="E7" s="6">
        <f>E6/Assumptions!$D$107-1</f>
        <v>0.26395358947072367</v>
      </c>
    </row>
    <row r="8" spans="2:11" ht="15" customHeight="1" x14ac:dyDescent="0.25">
      <c r="B8" s="1" t="s">
        <v>8</v>
      </c>
      <c r="D8" s="7" t="str">
        <f>INDEX(Assumptions!$N$3:$N$5,Assumptions!$C$4)</f>
        <v>Base</v>
      </c>
    </row>
    <row r="10" spans="2:11" ht="15" customHeight="1" x14ac:dyDescent="0.25">
      <c r="B10" s="89" t="s">
        <v>9</v>
      </c>
      <c r="C10" s="89"/>
      <c r="D10" s="89"/>
      <c r="E10" s="89"/>
      <c r="F10" s="89"/>
      <c r="G10" s="89"/>
      <c r="H10" s="89"/>
      <c r="I10" s="89"/>
      <c r="J10" s="89"/>
      <c r="K10" s="89"/>
    </row>
    <row r="11" spans="2:11" ht="15" customHeight="1" x14ac:dyDescent="0.25"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17</v>
      </c>
      <c r="J11" s="4" t="s">
        <v>18</v>
      </c>
      <c r="K11" s="4" t="s">
        <v>19</v>
      </c>
    </row>
    <row r="12" spans="2:11" ht="15" customHeight="1" x14ac:dyDescent="0.25">
      <c r="B12" s="1" t="s">
        <v>20</v>
      </c>
      <c r="C12" s="8">
        <f>'P&amp;L'!C16</f>
        <v>11708.44</v>
      </c>
      <c r="D12" s="8">
        <f>'P&amp;L'!D16</f>
        <v>12846.32</v>
      </c>
      <c r="E12" s="8">
        <f>'P&amp;L'!E16</f>
        <v>13814.000000000002</v>
      </c>
      <c r="F12" s="8">
        <f>'P&amp;L'!F16</f>
        <v>15261.257</v>
      </c>
      <c r="G12" s="8">
        <f>'P&amp;L'!G16</f>
        <v>16840.664695000003</v>
      </c>
      <c r="H12" s="8">
        <f>'P&amp;L'!H16</f>
        <v>18641.9637263</v>
      </c>
      <c r="I12" s="8">
        <f>'P&amp;L'!I16</f>
        <v>20604.910892702501</v>
      </c>
      <c r="J12" s="8">
        <f>'P&amp;L'!J16</f>
        <v>22709.191510086348</v>
      </c>
      <c r="K12" s="8">
        <f>'P&amp;L'!K16</f>
        <v>24928.57317083433</v>
      </c>
    </row>
    <row r="13" spans="2:11" ht="15" customHeight="1" x14ac:dyDescent="0.25">
      <c r="B13" s="1" t="s">
        <v>21</v>
      </c>
      <c r="E13" s="8">
        <f>'P&amp;L'!E24</f>
        <v>1497.1</v>
      </c>
      <c r="F13" s="8">
        <f>'P&amp;L'!F24</f>
        <v>1509.3680800000013</v>
      </c>
      <c r="G13" s="8">
        <f>'P&amp;L'!G24</f>
        <v>1714.0911950200018</v>
      </c>
      <c r="H13" s="8">
        <f>'P&amp;L'!H24</f>
        <v>1955.5689071616014</v>
      </c>
      <c r="I13" s="8">
        <f>'P&amp;L'!I24</f>
        <v>2223.1908992059007</v>
      </c>
      <c r="J13" s="8">
        <f>'P&amp;L'!J24</f>
        <v>2508.773397729221</v>
      </c>
      <c r="K13" s="8">
        <f>'P&amp;L'!K24</f>
        <v>2805.8524547983675</v>
      </c>
    </row>
    <row r="14" spans="2:11" ht="15" customHeight="1" x14ac:dyDescent="0.25">
      <c r="B14" s="1" t="s">
        <v>22</v>
      </c>
      <c r="F14" s="8">
        <f>'P&amp;L'!F31</f>
        <v>-79.576400000000064</v>
      </c>
      <c r="G14" s="8">
        <f>'P&amp;L'!G31</f>
        <v>0</v>
      </c>
      <c r="H14" s="8">
        <f>'P&amp;L'!H31</f>
        <v>114.13896491999994</v>
      </c>
      <c r="I14" s="8">
        <f>'P&amp;L'!I31</f>
        <v>167.26270148024994</v>
      </c>
      <c r="J14" s="8">
        <f>'P&amp;L'!J31</f>
        <v>235.19101400721897</v>
      </c>
      <c r="K14" s="8">
        <f>'P&amp;L'!K31</f>
        <v>275.47075321652136</v>
      </c>
    </row>
    <row r="15" spans="2:11" ht="15" customHeight="1" x14ac:dyDescent="0.25">
      <c r="B15" s="1" t="s">
        <v>23</v>
      </c>
      <c r="C15" s="43">
        <v>934.4</v>
      </c>
      <c r="D15" s="43">
        <v>944.7</v>
      </c>
      <c r="E15" s="43">
        <v>895.8</v>
      </c>
      <c r="F15" s="8">
        <f>'P&amp;L'!F39</f>
        <v>758.50251000000094</v>
      </c>
      <c r="G15" s="8">
        <f>'P&amp;L'!G39</f>
        <v>932.2064437650015</v>
      </c>
      <c r="H15" s="8">
        <f>'P&amp;L'!H39</f>
        <v>1137.1166856762011</v>
      </c>
      <c r="I15" s="8">
        <f>'P&amp;L'!I39</f>
        <v>1314.4921423815229</v>
      </c>
      <c r="J15" s="8">
        <f>'P&amp;L'!J39</f>
        <v>1515.2891783193331</v>
      </c>
      <c r="K15" s="8">
        <f>'P&amp;L'!K39</f>
        <v>1703.0112411883467</v>
      </c>
    </row>
    <row r="16" spans="2:11" ht="15" customHeight="1" x14ac:dyDescent="0.25">
      <c r="B16" s="1" t="s">
        <v>24</v>
      </c>
      <c r="C16" s="43">
        <v>397</v>
      </c>
      <c r="D16" s="43">
        <v>159</v>
      </c>
      <c r="E16" s="43">
        <v>-220</v>
      </c>
      <c r="F16" s="8">
        <f>'Cash Flow'!C12</f>
        <v>9.6026187671241132</v>
      </c>
      <c r="G16" s="8">
        <f>'Cash Flow'!D12</f>
        <v>-81.393110798013026</v>
      </c>
      <c r="H16" s="8">
        <f>'Cash Flow'!E12</f>
        <v>68.102677180119713</v>
      </c>
      <c r="I16" s="8">
        <f>'Cash Flow'!F12</f>
        <v>203.93791368936229</v>
      </c>
      <c r="J16" s="8">
        <f>'Cash Flow'!G12</f>
        <v>368.78841072419971</v>
      </c>
      <c r="K16" s="8">
        <f>'Cash Flow'!H12</f>
        <v>1292.0845119059109</v>
      </c>
    </row>
    <row r="18" spans="2:10" ht="15" customHeight="1" x14ac:dyDescent="0.25">
      <c r="B18" s="89" t="s">
        <v>25</v>
      </c>
      <c r="C18" s="89"/>
      <c r="D18" s="89"/>
      <c r="E18" s="89"/>
    </row>
    <row r="19" spans="2:10" ht="15" customHeight="1" x14ac:dyDescent="0.25">
      <c r="C19" s="4" t="s">
        <v>3</v>
      </c>
      <c r="D19" s="4" t="s">
        <v>4</v>
      </c>
      <c r="E19" s="4" t="s">
        <v>5</v>
      </c>
    </row>
    <row r="20" spans="2:10" ht="15" customHeight="1" x14ac:dyDescent="0.25">
      <c r="B20" s="1" t="s">
        <v>26</v>
      </c>
      <c r="C20" s="8">
        <f>'DCF &amp; SOTP'!C69</f>
        <v>15787.486464019841</v>
      </c>
      <c r="D20" s="8">
        <f>'DCF &amp; SOTP'!C107</f>
        <v>18071.042526254201</v>
      </c>
      <c r="E20" s="8">
        <f>'DCF &amp; SOTP'!C145</f>
        <v>20264.995563377954</v>
      </c>
    </row>
    <row r="22" spans="2:10" ht="15" customHeight="1" x14ac:dyDescent="0.25">
      <c r="B22" s="89" t="s">
        <v>27</v>
      </c>
      <c r="C22" s="89"/>
      <c r="D22" s="89"/>
      <c r="E22" s="89"/>
    </row>
    <row r="23" spans="2:10" ht="15" customHeight="1" x14ac:dyDescent="0.25">
      <c r="B23" s="1" t="s">
        <v>28</v>
      </c>
      <c r="D23" s="8">
        <f>'DCF &amp; SOTP'!D14</f>
        <v>7938.7519815321248</v>
      </c>
    </row>
    <row r="24" spans="2:10" ht="15" customHeight="1" x14ac:dyDescent="0.25">
      <c r="B24" s="1" t="s">
        <v>29</v>
      </c>
      <c r="D24" s="8">
        <f>'DCF &amp; SOTP'!D18</f>
        <v>491.87527448397009</v>
      </c>
    </row>
    <row r="25" spans="2:10" ht="15" customHeight="1" x14ac:dyDescent="0.25">
      <c r="B25" s="1" t="s">
        <v>30</v>
      </c>
      <c r="D25" s="8">
        <f>'DCF &amp; SOTP'!D19</f>
        <v>9640.415270238107</v>
      </c>
    </row>
    <row r="26" spans="2:10" ht="15" customHeight="1" x14ac:dyDescent="0.25">
      <c r="B26" s="1" t="s">
        <v>31</v>
      </c>
      <c r="D26" s="9">
        <f>-Assumptions!$H$127</f>
        <v>-4400</v>
      </c>
      <c r="E26" s="1" t="s">
        <v>317</v>
      </c>
    </row>
    <row r="27" spans="2:10" ht="15" customHeight="1" x14ac:dyDescent="0.25">
      <c r="B27" s="4" t="s">
        <v>32</v>
      </c>
      <c r="D27" s="9">
        <f>'DCF &amp; SOTP'!D20</f>
        <v>18071.042526254201</v>
      </c>
    </row>
    <row r="28" spans="2:10" ht="15" customHeight="1" x14ac:dyDescent="0.25">
      <c r="B28" s="4" t="s">
        <v>6</v>
      </c>
      <c r="D28" s="10">
        <f>'DCF &amp; SOTP'!D22</f>
        <v>987.35181459626551</v>
      </c>
    </row>
    <row r="29" spans="2:10" ht="15" customHeight="1" x14ac:dyDescent="0.25">
      <c r="B29" s="11"/>
    </row>
    <row r="30" spans="2:10" x14ac:dyDescent="0.25">
      <c r="B30" s="12"/>
      <c r="C30" s="12"/>
      <c r="D30" s="12"/>
      <c r="E30" s="12"/>
      <c r="F30" s="12"/>
      <c r="G30" s="12"/>
      <c r="H30" s="12"/>
      <c r="I30" s="12"/>
    </row>
    <row r="31" spans="2:10" x14ac:dyDescent="0.25">
      <c r="B31" s="13"/>
      <c r="C31" s="13"/>
      <c r="D31" s="13"/>
      <c r="E31" s="13"/>
      <c r="F31" s="13"/>
      <c r="G31" s="13"/>
      <c r="H31" s="13"/>
      <c r="I31" s="13"/>
      <c r="J31" s="3"/>
    </row>
    <row r="32" spans="2:10" x14ac:dyDescent="0.25">
      <c r="B32" s="13"/>
      <c r="C32" s="13"/>
      <c r="D32" s="13"/>
      <c r="E32" s="13"/>
      <c r="F32" s="13"/>
      <c r="G32" s="13"/>
      <c r="H32" s="13"/>
      <c r="I32" s="13"/>
      <c r="J32" s="3"/>
    </row>
    <row r="33" spans="2:10" x14ac:dyDescent="0.25">
      <c r="B33" s="13"/>
      <c r="C33" s="13"/>
      <c r="D33" s="13"/>
      <c r="E33" s="13"/>
      <c r="F33" s="13"/>
      <c r="G33" s="13"/>
      <c r="H33" s="13"/>
      <c r="I33" s="13"/>
      <c r="J33" s="13"/>
    </row>
    <row r="34" spans="2:10" x14ac:dyDescent="0.25">
      <c r="B34" s="13"/>
      <c r="C34" s="13"/>
      <c r="D34" s="13"/>
      <c r="E34" s="13"/>
      <c r="F34" s="13"/>
      <c r="G34" s="13"/>
      <c r="H34" s="13"/>
      <c r="I34" s="13"/>
      <c r="J34" s="13"/>
    </row>
  </sheetData>
  <mergeCells count="4">
    <mergeCell ref="B4:E4"/>
    <mergeCell ref="B18:E18"/>
    <mergeCell ref="B22:E22"/>
    <mergeCell ref="B10:K10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2</xdr:col>
                    <xdr:colOff>866775</xdr:colOff>
                    <xdr:row>7</xdr:row>
                    <xdr:rowOff>0</xdr:rowOff>
                  </from>
                  <to>
                    <xdr:col>3</xdr:col>
                    <xdr:colOff>866775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9"/>
  <sheetViews>
    <sheetView topLeftCell="A70" zoomScale="130" zoomScaleNormal="130" workbookViewId="0">
      <selection activeCell="D74" sqref="D74:I74"/>
    </sheetView>
  </sheetViews>
  <sheetFormatPr defaultColWidth="8.7109375" defaultRowHeight="15" x14ac:dyDescent="0.25"/>
  <cols>
    <col min="1" max="1" width="3" style="1" customWidth="1"/>
    <col min="2" max="2" width="42" style="1" customWidth="1"/>
    <col min="3" max="3" width="11.42578125" style="1" customWidth="1"/>
    <col min="4" max="9" width="11" style="1" customWidth="1"/>
    <col min="10" max="10" width="45" style="1" customWidth="1"/>
  </cols>
  <sheetData>
    <row r="1" spans="2:14" ht="18" customHeight="1" x14ac:dyDescent="0.25">
      <c r="B1" s="14" t="s">
        <v>33</v>
      </c>
    </row>
    <row r="2" spans="2:14" ht="15" customHeight="1" x14ac:dyDescent="0.25">
      <c r="B2" s="3" t="s">
        <v>34</v>
      </c>
    </row>
    <row r="3" spans="2:14" ht="15" customHeight="1" x14ac:dyDescent="0.25">
      <c r="B3" s="4" t="s">
        <v>35</v>
      </c>
      <c r="L3" s="1">
        <v>1</v>
      </c>
      <c r="N3" s="1" t="s">
        <v>3</v>
      </c>
    </row>
    <row r="4" spans="2:14" ht="15" customHeight="1" x14ac:dyDescent="0.25">
      <c r="B4" s="1" t="s">
        <v>36</v>
      </c>
      <c r="C4" s="15">
        <v>2</v>
      </c>
      <c r="L4" s="1">
        <v>2</v>
      </c>
      <c r="N4" s="1" t="s">
        <v>4</v>
      </c>
    </row>
    <row r="5" spans="2:14" ht="15" customHeight="1" x14ac:dyDescent="0.25">
      <c r="L5" s="1">
        <v>3</v>
      </c>
      <c r="N5" s="1" t="s">
        <v>5</v>
      </c>
    </row>
    <row r="6" spans="2:14" ht="15" customHeight="1" x14ac:dyDescent="0.25">
      <c r="B6" s="89" t="s">
        <v>37</v>
      </c>
      <c r="C6" s="89"/>
      <c r="D6" s="89"/>
      <c r="E6" s="89"/>
      <c r="F6" s="89"/>
      <c r="G6" s="89"/>
      <c r="H6" s="89"/>
      <c r="I6" s="89"/>
    </row>
    <row r="7" spans="2:14" ht="15" customHeight="1" x14ac:dyDescent="0.25">
      <c r="B7" s="4" t="s">
        <v>10</v>
      </c>
      <c r="C7" s="4" t="s">
        <v>13</v>
      </c>
    </row>
    <row r="8" spans="2:14" ht="15" customHeight="1" x14ac:dyDescent="0.25">
      <c r="B8" s="1" t="s">
        <v>38</v>
      </c>
      <c r="C8" s="16">
        <v>6463.6</v>
      </c>
    </row>
    <row r="9" spans="2:14" ht="15" customHeight="1" x14ac:dyDescent="0.25">
      <c r="B9" s="1" t="s">
        <v>39</v>
      </c>
      <c r="C9" s="16">
        <v>2770.1</v>
      </c>
    </row>
    <row r="10" spans="2:14" ht="15" customHeight="1" x14ac:dyDescent="0.25">
      <c r="B10" s="1" t="s">
        <v>40</v>
      </c>
      <c r="C10" s="16">
        <v>3771.6</v>
      </c>
    </row>
    <row r="11" spans="2:14" ht="15" customHeight="1" x14ac:dyDescent="0.25">
      <c r="B11" s="1" t="s">
        <v>41</v>
      </c>
      <c r="C11" s="16">
        <v>647</v>
      </c>
    </row>
    <row r="12" spans="2:14" ht="15" customHeight="1" x14ac:dyDescent="0.25">
      <c r="B12" s="1" t="s">
        <v>42</v>
      </c>
      <c r="C12" s="16">
        <v>161.69999999999999</v>
      </c>
    </row>
    <row r="14" spans="2:14" ht="15" customHeight="1" x14ac:dyDescent="0.25">
      <c r="B14" s="89" t="s">
        <v>43</v>
      </c>
      <c r="C14" s="89"/>
      <c r="D14" s="89"/>
      <c r="E14" s="89"/>
      <c r="F14" s="89"/>
      <c r="G14" s="89"/>
      <c r="H14" s="89"/>
      <c r="I14" s="89"/>
    </row>
    <row r="15" spans="2:14" ht="15" customHeight="1" x14ac:dyDescent="0.25">
      <c r="B15" s="1" t="s">
        <v>44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  <c r="I15" s="4" t="s">
        <v>19</v>
      </c>
    </row>
    <row r="16" spans="2:14" ht="15" customHeight="1" x14ac:dyDescent="0.25">
      <c r="C16" s="1" t="s">
        <v>3</v>
      </c>
      <c r="D16" s="17">
        <v>0.09</v>
      </c>
      <c r="E16" s="17">
        <v>8.5000000000000006E-2</v>
      </c>
      <c r="F16" s="17">
        <v>0.09</v>
      </c>
      <c r="G16" s="17">
        <v>8.5000000000000006E-2</v>
      </c>
      <c r="H16" s="17">
        <v>0.08</v>
      </c>
      <c r="I16" s="17">
        <v>0.08</v>
      </c>
    </row>
    <row r="17" spans="2:9" ht="15" customHeight="1" x14ac:dyDescent="0.25">
      <c r="C17" s="1" t="s">
        <v>4</v>
      </c>
      <c r="D17" s="17">
        <v>0.12</v>
      </c>
      <c r="E17" s="17">
        <v>0.115</v>
      </c>
      <c r="F17" s="17">
        <v>0.12</v>
      </c>
      <c r="G17" s="17">
        <v>0.115</v>
      </c>
      <c r="H17" s="17">
        <v>0.11</v>
      </c>
      <c r="I17" s="17">
        <v>0.1</v>
      </c>
    </row>
    <row r="18" spans="2:9" ht="15" customHeight="1" x14ac:dyDescent="0.25">
      <c r="C18" s="1" t="s">
        <v>5</v>
      </c>
      <c r="D18" s="17">
        <v>0.15</v>
      </c>
      <c r="E18" s="17">
        <v>0.14000000000000001</v>
      </c>
      <c r="F18" s="17">
        <v>0.14000000000000001</v>
      </c>
      <c r="G18" s="17">
        <v>0.13</v>
      </c>
      <c r="H18" s="17">
        <v>0.12</v>
      </c>
      <c r="I18" s="17">
        <v>0.11</v>
      </c>
    </row>
    <row r="19" spans="2:9" ht="15" customHeight="1" x14ac:dyDescent="0.25">
      <c r="B19" s="4" t="s">
        <v>45</v>
      </c>
      <c r="D19" s="18">
        <f t="shared" ref="D19:I19" si="0">INDEX(D16:D18,$C$4)</f>
        <v>0.12</v>
      </c>
      <c r="E19" s="18">
        <f t="shared" si="0"/>
        <v>0.115</v>
      </c>
      <c r="F19" s="18">
        <f t="shared" si="0"/>
        <v>0.12</v>
      </c>
      <c r="G19" s="18">
        <f t="shared" si="0"/>
        <v>0.115</v>
      </c>
      <c r="H19" s="18">
        <f t="shared" si="0"/>
        <v>0.11</v>
      </c>
      <c r="I19" s="18">
        <f t="shared" si="0"/>
        <v>0.1</v>
      </c>
    </row>
    <row r="20" spans="2:9" ht="15" customHeight="1" x14ac:dyDescent="0.25">
      <c r="B20" s="90" t="s">
        <v>46</v>
      </c>
      <c r="C20" s="90"/>
      <c r="D20" s="90"/>
      <c r="E20" s="90"/>
      <c r="F20" s="90"/>
      <c r="G20" s="90"/>
      <c r="H20" s="90"/>
      <c r="I20" s="90"/>
    </row>
    <row r="22" spans="2:9" ht="15" customHeight="1" x14ac:dyDescent="0.25">
      <c r="B22" s="89" t="s">
        <v>47</v>
      </c>
      <c r="C22" s="89"/>
      <c r="D22" s="89"/>
      <c r="E22" s="89"/>
      <c r="F22" s="89"/>
      <c r="G22" s="89"/>
      <c r="H22" s="89"/>
      <c r="I22" s="89"/>
    </row>
    <row r="23" spans="2:9" ht="15" customHeight="1" x14ac:dyDescent="0.25">
      <c r="B23" s="1" t="s">
        <v>44</v>
      </c>
      <c r="D23" s="4" t="s">
        <v>14</v>
      </c>
      <c r="E23" s="4" t="s">
        <v>15</v>
      </c>
      <c r="F23" s="4" t="s">
        <v>16</v>
      </c>
      <c r="G23" s="4" t="s">
        <v>17</v>
      </c>
      <c r="H23" s="4" t="s">
        <v>18</v>
      </c>
      <c r="I23" s="4" t="s">
        <v>19</v>
      </c>
    </row>
    <row r="24" spans="2:9" ht="15" customHeight="1" x14ac:dyDescent="0.25">
      <c r="C24" s="1" t="s">
        <v>3</v>
      </c>
      <c r="D24" s="17">
        <v>0.06</v>
      </c>
      <c r="E24" s="17">
        <v>0.06</v>
      </c>
      <c r="F24" s="17">
        <v>0.06</v>
      </c>
      <c r="G24" s="17">
        <v>0.06</v>
      </c>
      <c r="H24" s="17">
        <v>0.06</v>
      </c>
      <c r="I24" s="17">
        <v>0.06</v>
      </c>
    </row>
    <row r="25" spans="2:9" ht="15" customHeight="1" x14ac:dyDescent="0.25">
      <c r="C25" s="1" t="s">
        <v>4</v>
      </c>
      <c r="D25" s="17">
        <v>0.08</v>
      </c>
      <c r="E25" s="17">
        <v>0.08</v>
      </c>
      <c r="F25" s="17">
        <v>0.08</v>
      </c>
      <c r="G25" s="17">
        <v>0.08</v>
      </c>
      <c r="H25" s="17">
        <v>0.08</v>
      </c>
      <c r="I25" s="17">
        <v>0.08</v>
      </c>
    </row>
    <row r="26" spans="2:9" ht="15" customHeight="1" x14ac:dyDescent="0.25">
      <c r="C26" s="1" t="s">
        <v>5</v>
      </c>
      <c r="D26" s="17">
        <v>0.1</v>
      </c>
      <c r="E26" s="17">
        <v>0.09</v>
      </c>
      <c r="F26" s="17">
        <v>0.09</v>
      </c>
      <c r="G26" s="17">
        <v>0.09</v>
      </c>
      <c r="H26" s="17">
        <v>0.09</v>
      </c>
      <c r="I26" s="17">
        <v>0.09</v>
      </c>
    </row>
    <row r="27" spans="2:9" ht="15" customHeight="1" x14ac:dyDescent="0.25">
      <c r="B27" s="4" t="s">
        <v>45</v>
      </c>
      <c r="D27" s="18">
        <f t="shared" ref="D27:I27" si="1">INDEX(D24:D26,$C$4)</f>
        <v>0.08</v>
      </c>
      <c r="E27" s="18">
        <f t="shared" si="1"/>
        <v>0.08</v>
      </c>
      <c r="F27" s="18">
        <f t="shared" si="1"/>
        <v>0.08</v>
      </c>
      <c r="G27" s="18">
        <f t="shared" si="1"/>
        <v>0.08</v>
      </c>
      <c r="H27" s="18">
        <f t="shared" si="1"/>
        <v>0.08</v>
      </c>
      <c r="I27" s="18">
        <f t="shared" si="1"/>
        <v>0.08</v>
      </c>
    </row>
    <row r="28" spans="2:9" ht="15" customHeight="1" x14ac:dyDescent="0.25">
      <c r="B28" s="90" t="s">
        <v>48</v>
      </c>
      <c r="C28" s="90"/>
      <c r="D28" s="90"/>
      <c r="E28" s="90"/>
      <c r="F28" s="90"/>
      <c r="G28" s="90"/>
      <c r="H28" s="90"/>
      <c r="I28" s="90"/>
    </row>
    <row r="30" spans="2:9" ht="15" customHeight="1" x14ac:dyDescent="0.25">
      <c r="B30" s="89" t="s">
        <v>49</v>
      </c>
      <c r="C30" s="89"/>
      <c r="D30" s="89"/>
      <c r="E30" s="89"/>
      <c r="F30" s="89"/>
      <c r="G30" s="89"/>
      <c r="H30" s="89"/>
      <c r="I30" s="89"/>
    </row>
    <row r="31" spans="2:9" ht="15" customHeight="1" x14ac:dyDescent="0.25">
      <c r="B31" s="1" t="s">
        <v>44</v>
      </c>
      <c r="D31" s="4" t="s">
        <v>14</v>
      </c>
      <c r="E31" s="4" t="s">
        <v>15</v>
      </c>
      <c r="F31" s="4" t="s">
        <v>16</v>
      </c>
      <c r="G31" s="4" t="s">
        <v>17</v>
      </c>
      <c r="H31" s="4" t="s">
        <v>18</v>
      </c>
      <c r="I31" s="4" t="s">
        <v>19</v>
      </c>
    </row>
    <row r="32" spans="2:9" ht="15" customHeight="1" x14ac:dyDescent="0.25">
      <c r="C32" s="1" t="s">
        <v>3</v>
      </c>
      <c r="D32" s="17">
        <v>0.05</v>
      </c>
      <c r="E32" s="17">
        <f t="shared" ref="E32:I34" si="2">D32+0.005</f>
        <v>5.5E-2</v>
      </c>
      <c r="F32" s="17">
        <f t="shared" si="2"/>
        <v>0.06</v>
      </c>
      <c r="G32" s="17">
        <f t="shared" si="2"/>
        <v>6.5000000000000002E-2</v>
      </c>
      <c r="H32" s="17">
        <f t="shared" si="2"/>
        <v>7.0000000000000007E-2</v>
      </c>
      <c r="I32" s="17">
        <f t="shared" si="2"/>
        <v>7.5000000000000011E-2</v>
      </c>
    </row>
    <row r="33" spans="2:9" ht="15" customHeight="1" x14ac:dyDescent="0.25">
      <c r="C33" s="1" t="s">
        <v>4</v>
      </c>
      <c r="D33" s="17">
        <v>7.0000000000000007E-2</v>
      </c>
      <c r="E33" s="17">
        <f t="shared" si="2"/>
        <v>7.5000000000000011E-2</v>
      </c>
      <c r="F33" s="17">
        <f t="shared" si="2"/>
        <v>8.0000000000000016E-2</v>
      </c>
      <c r="G33" s="17">
        <f t="shared" si="2"/>
        <v>8.500000000000002E-2</v>
      </c>
      <c r="H33" s="17">
        <v>0.08</v>
      </c>
      <c r="I33" s="17">
        <v>0.08</v>
      </c>
    </row>
    <row r="34" spans="2:9" ht="15" customHeight="1" x14ac:dyDescent="0.25">
      <c r="C34" s="1" t="s">
        <v>5</v>
      </c>
      <c r="D34" s="17">
        <v>0.09</v>
      </c>
      <c r="E34" s="17">
        <f t="shared" si="2"/>
        <v>9.5000000000000001E-2</v>
      </c>
      <c r="F34" s="17">
        <f t="shared" si="2"/>
        <v>0.1</v>
      </c>
      <c r="G34" s="17">
        <f t="shared" si="2"/>
        <v>0.10500000000000001</v>
      </c>
      <c r="H34" s="17">
        <f t="shared" si="2"/>
        <v>0.11000000000000001</v>
      </c>
      <c r="I34" s="17">
        <f t="shared" si="2"/>
        <v>0.11500000000000002</v>
      </c>
    </row>
    <row r="35" spans="2:9" ht="15" customHeight="1" x14ac:dyDescent="0.25">
      <c r="B35" s="4" t="s">
        <v>45</v>
      </c>
      <c r="D35" s="18">
        <f t="shared" ref="D35:I35" si="3">INDEX(D32:D34,$C$4)</f>
        <v>7.0000000000000007E-2</v>
      </c>
      <c r="E35" s="18">
        <f t="shared" si="3"/>
        <v>7.5000000000000011E-2</v>
      </c>
      <c r="F35" s="18">
        <f t="shared" si="3"/>
        <v>8.0000000000000016E-2</v>
      </c>
      <c r="G35" s="18">
        <f t="shared" si="3"/>
        <v>8.500000000000002E-2</v>
      </c>
      <c r="H35" s="18">
        <f t="shared" si="3"/>
        <v>0.08</v>
      </c>
      <c r="I35" s="18">
        <f t="shared" si="3"/>
        <v>0.08</v>
      </c>
    </row>
    <row r="36" spans="2:9" ht="15" customHeight="1" x14ac:dyDescent="0.25">
      <c r="B36" s="90" t="s">
        <v>50</v>
      </c>
      <c r="C36" s="90"/>
      <c r="D36" s="90"/>
      <c r="E36" s="90"/>
      <c r="F36" s="90"/>
      <c r="G36" s="90"/>
      <c r="H36" s="90"/>
      <c r="I36" s="90"/>
    </row>
    <row r="38" spans="2:9" ht="15" customHeight="1" x14ac:dyDescent="0.25">
      <c r="B38" s="89" t="s">
        <v>51</v>
      </c>
      <c r="C38" s="89"/>
      <c r="D38" s="89"/>
      <c r="E38" s="89"/>
      <c r="F38" s="89"/>
      <c r="G38" s="89"/>
      <c r="H38" s="89"/>
      <c r="I38" s="89"/>
    </row>
    <row r="39" spans="2:9" ht="15" customHeight="1" x14ac:dyDescent="0.25">
      <c r="B39" s="1" t="s">
        <v>44</v>
      </c>
      <c r="D39" s="4" t="s">
        <v>14</v>
      </c>
      <c r="E39" s="4" t="s">
        <v>15</v>
      </c>
      <c r="F39" s="4" t="s">
        <v>16</v>
      </c>
      <c r="G39" s="4" t="s">
        <v>17</v>
      </c>
      <c r="H39" s="4" t="s">
        <v>18</v>
      </c>
      <c r="I39" s="4" t="s">
        <v>19</v>
      </c>
    </row>
    <row r="40" spans="2:9" ht="15" customHeight="1" x14ac:dyDescent="0.25">
      <c r="C40" s="1" t="s">
        <v>3</v>
      </c>
      <c r="D40" s="17">
        <v>0.2</v>
      </c>
      <c r="E40" s="17">
        <v>0.18</v>
      </c>
      <c r="F40" s="17">
        <v>0.16</v>
      </c>
      <c r="G40" s="17">
        <v>0.15</v>
      </c>
      <c r="H40" s="17">
        <v>0.15</v>
      </c>
      <c r="I40" s="17">
        <v>0.15</v>
      </c>
    </row>
    <row r="41" spans="2:9" ht="15" customHeight="1" x14ac:dyDescent="0.25">
      <c r="C41" s="1" t="s">
        <v>4</v>
      </c>
      <c r="D41" s="17">
        <v>0.25</v>
      </c>
      <c r="E41" s="17">
        <v>0.22</v>
      </c>
      <c r="F41" s="17">
        <v>0.2</v>
      </c>
      <c r="G41" s="17">
        <v>0.18</v>
      </c>
      <c r="H41" s="17">
        <v>0.18</v>
      </c>
      <c r="I41" s="17">
        <v>0.18</v>
      </c>
    </row>
    <row r="42" spans="2:9" ht="15" customHeight="1" x14ac:dyDescent="0.25">
      <c r="C42" s="1" t="s">
        <v>5</v>
      </c>
      <c r="D42" s="17">
        <v>0.3</v>
      </c>
      <c r="E42" s="17">
        <v>0.25</v>
      </c>
      <c r="F42" s="17">
        <v>0.22</v>
      </c>
      <c r="G42" s="17">
        <v>0.2</v>
      </c>
      <c r="H42" s="17">
        <v>0.18</v>
      </c>
      <c r="I42" s="17">
        <v>0.16</v>
      </c>
    </row>
    <row r="43" spans="2:9" ht="15" customHeight="1" x14ac:dyDescent="0.25">
      <c r="B43" s="4" t="s">
        <v>45</v>
      </c>
      <c r="D43" s="18">
        <f t="shared" ref="D43:I43" si="4">INDEX(D40:D42,$C$4)</f>
        <v>0.25</v>
      </c>
      <c r="E43" s="18">
        <f t="shared" si="4"/>
        <v>0.22</v>
      </c>
      <c r="F43" s="18">
        <f t="shared" si="4"/>
        <v>0.2</v>
      </c>
      <c r="G43" s="18">
        <f t="shared" si="4"/>
        <v>0.18</v>
      </c>
      <c r="H43" s="18">
        <f t="shared" si="4"/>
        <v>0.18</v>
      </c>
      <c r="I43" s="18">
        <f t="shared" si="4"/>
        <v>0.18</v>
      </c>
    </row>
    <row r="44" spans="2:9" ht="15" customHeight="1" x14ac:dyDescent="0.25">
      <c r="B44" s="90" t="s">
        <v>52</v>
      </c>
      <c r="C44" s="90"/>
      <c r="D44" s="90"/>
      <c r="E44" s="90"/>
      <c r="F44" s="90"/>
      <c r="G44" s="90"/>
      <c r="H44" s="90"/>
      <c r="I44" s="90"/>
    </row>
    <row r="46" spans="2:9" ht="15" customHeight="1" x14ac:dyDescent="0.25">
      <c r="B46" s="89" t="s">
        <v>53</v>
      </c>
      <c r="C46" s="89"/>
      <c r="D46" s="89"/>
      <c r="E46" s="89"/>
      <c r="F46" s="89"/>
      <c r="G46" s="89"/>
      <c r="H46" s="89"/>
      <c r="I46" s="89"/>
    </row>
    <row r="47" spans="2:9" ht="15" customHeight="1" x14ac:dyDescent="0.25">
      <c r="B47" s="1" t="s">
        <v>44</v>
      </c>
      <c r="D47" s="4" t="s">
        <v>14</v>
      </c>
      <c r="E47" s="4" t="s">
        <v>15</v>
      </c>
      <c r="F47" s="4" t="s">
        <v>16</v>
      </c>
      <c r="G47" s="4" t="s">
        <v>17</v>
      </c>
      <c r="H47" s="4" t="s">
        <v>18</v>
      </c>
      <c r="I47" s="4" t="s">
        <v>19</v>
      </c>
    </row>
    <row r="48" spans="2:9" ht="15" customHeight="1" x14ac:dyDescent="0.25">
      <c r="C48" s="1" t="s">
        <v>3</v>
      </c>
      <c r="D48" s="17">
        <v>0.1</v>
      </c>
      <c r="E48" s="17">
        <v>0.09</v>
      </c>
      <c r="F48" s="17">
        <v>0.08</v>
      </c>
      <c r="G48" s="17">
        <v>0.08</v>
      </c>
      <c r="H48" s="17">
        <v>0.08</v>
      </c>
      <c r="I48" s="17">
        <v>0.08</v>
      </c>
    </row>
    <row r="49" spans="2:10" ht="15" customHeight="1" x14ac:dyDescent="0.25">
      <c r="C49" s="1" t="s">
        <v>4</v>
      </c>
      <c r="D49" s="17">
        <v>0.15</v>
      </c>
      <c r="E49" s="17">
        <v>0.14499999999999999</v>
      </c>
      <c r="F49" s="17">
        <v>0.14000000000000001</v>
      </c>
      <c r="G49" s="17">
        <v>0.13500000000000001</v>
      </c>
      <c r="H49" s="17">
        <v>0.13</v>
      </c>
      <c r="I49" s="17">
        <v>0.125</v>
      </c>
    </row>
    <row r="50" spans="2:10" ht="15" customHeight="1" x14ac:dyDescent="0.25">
      <c r="C50" s="1" t="s">
        <v>5</v>
      </c>
      <c r="D50" s="17">
        <v>0.18</v>
      </c>
      <c r="E50" s="17">
        <v>0.17</v>
      </c>
      <c r="F50" s="17">
        <v>0.16</v>
      </c>
      <c r="G50" s="17">
        <v>0.15</v>
      </c>
      <c r="H50" s="17">
        <v>0.14000000000000001</v>
      </c>
      <c r="I50" s="17">
        <v>0.13</v>
      </c>
    </row>
    <row r="51" spans="2:10" ht="15" customHeight="1" x14ac:dyDescent="0.25">
      <c r="B51" s="4" t="s">
        <v>45</v>
      </c>
      <c r="D51" s="18">
        <f t="shared" ref="D51:I51" si="5">INDEX(D48:D50,$C$4)</f>
        <v>0.15</v>
      </c>
      <c r="E51" s="18">
        <f t="shared" si="5"/>
        <v>0.14499999999999999</v>
      </c>
      <c r="F51" s="18">
        <f t="shared" si="5"/>
        <v>0.14000000000000001</v>
      </c>
      <c r="G51" s="18">
        <f t="shared" si="5"/>
        <v>0.13500000000000001</v>
      </c>
      <c r="H51" s="18">
        <f t="shared" si="5"/>
        <v>0.13</v>
      </c>
      <c r="I51" s="18">
        <f t="shared" si="5"/>
        <v>0.125</v>
      </c>
    </row>
    <row r="52" spans="2:10" ht="15" customHeight="1" x14ac:dyDescent="0.25">
      <c r="B52" s="90" t="s">
        <v>54</v>
      </c>
      <c r="C52" s="90"/>
      <c r="D52" s="90"/>
      <c r="E52" s="90"/>
      <c r="F52" s="90"/>
      <c r="G52" s="90"/>
      <c r="H52" s="90"/>
      <c r="I52" s="90"/>
    </row>
    <row r="54" spans="2:10" ht="15" customHeight="1" x14ac:dyDescent="0.25">
      <c r="B54" s="89" t="s">
        <v>55</v>
      </c>
      <c r="C54" s="89"/>
      <c r="D54" s="89"/>
      <c r="E54" s="89"/>
      <c r="F54" s="89"/>
      <c r="G54" s="89"/>
      <c r="H54" s="89"/>
      <c r="I54" s="89"/>
    </row>
    <row r="55" spans="2:10" ht="15" customHeight="1" x14ac:dyDescent="0.25">
      <c r="B55" s="1" t="s">
        <v>44</v>
      </c>
      <c r="D55" s="4" t="s">
        <v>14</v>
      </c>
      <c r="E55" s="4" t="s">
        <v>15</v>
      </c>
      <c r="F55" s="4" t="s">
        <v>16</v>
      </c>
      <c r="G55" s="4" t="s">
        <v>17</v>
      </c>
      <c r="H55" s="4" t="s">
        <v>18</v>
      </c>
      <c r="I55" s="4" t="s">
        <v>19</v>
      </c>
    </row>
    <row r="56" spans="2:10" ht="15" customHeight="1" x14ac:dyDescent="0.25">
      <c r="C56" s="1" t="s">
        <v>3</v>
      </c>
      <c r="D56" s="17">
        <v>1.1399999999999999</v>
      </c>
      <c r="E56" s="17">
        <v>1.05</v>
      </c>
      <c r="F56" s="17">
        <v>1</v>
      </c>
      <c r="G56" s="17">
        <v>0.95</v>
      </c>
      <c r="H56" s="17">
        <v>0.92</v>
      </c>
      <c r="I56" s="17">
        <v>0.88</v>
      </c>
    </row>
    <row r="57" spans="2:10" ht="15" customHeight="1" x14ac:dyDescent="0.25">
      <c r="C57" s="1" t="s">
        <v>4</v>
      </c>
      <c r="D57" s="17">
        <v>1.08</v>
      </c>
      <c r="E57" s="17">
        <v>1</v>
      </c>
      <c r="F57" s="17">
        <v>0.92</v>
      </c>
      <c r="G57" s="17">
        <v>0.9</v>
      </c>
      <c r="H57" s="17">
        <v>0.88</v>
      </c>
      <c r="I57" s="17">
        <v>0.88</v>
      </c>
    </row>
    <row r="58" spans="2:10" ht="15" customHeight="1" x14ac:dyDescent="0.25">
      <c r="C58" s="1" t="s">
        <v>5</v>
      </c>
      <c r="D58" s="17">
        <v>1.05</v>
      </c>
      <c r="E58" s="17">
        <v>0.95</v>
      </c>
      <c r="F58" s="17">
        <v>0.9</v>
      </c>
      <c r="G58" s="17">
        <v>0.88</v>
      </c>
      <c r="H58" s="17">
        <v>0.85</v>
      </c>
      <c r="I58" s="17">
        <v>0.85</v>
      </c>
    </row>
    <row r="59" spans="2:10" ht="15" customHeight="1" x14ac:dyDescent="0.25">
      <c r="B59" s="4" t="s">
        <v>45</v>
      </c>
      <c r="D59" s="18">
        <f t="shared" ref="D59:I59" si="6">INDEX(D56:D58,$C$4)</f>
        <v>1.08</v>
      </c>
      <c r="E59" s="18">
        <f t="shared" si="6"/>
        <v>1</v>
      </c>
      <c r="F59" s="18">
        <f t="shared" si="6"/>
        <v>0.92</v>
      </c>
      <c r="G59" s="18">
        <f t="shared" si="6"/>
        <v>0.9</v>
      </c>
      <c r="H59" s="18">
        <f t="shared" si="6"/>
        <v>0.88</v>
      </c>
      <c r="I59" s="18">
        <f t="shared" si="6"/>
        <v>0.88</v>
      </c>
    </row>
    <row r="60" spans="2:10" ht="15" customHeight="1" x14ac:dyDescent="0.25">
      <c r="B60" s="90" t="s">
        <v>56</v>
      </c>
      <c r="C60" s="90"/>
      <c r="D60" s="90"/>
      <c r="E60" s="90"/>
      <c r="F60" s="90"/>
      <c r="G60" s="90"/>
      <c r="H60" s="90"/>
      <c r="I60" s="90"/>
    </row>
    <row r="62" spans="2:10" ht="15" customHeight="1" x14ac:dyDescent="0.25">
      <c r="B62" s="89" t="s">
        <v>57</v>
      </c>
      <c r="C62" s="89"/>
      <c r="D62" s="89"/>
      <c r="E62" s="89"/>
      <c r="F62" s="89"/>
      <c r="G62" s="89"/>
      <c r="H62" s="89"/>
      <c r="I62" s="89"/>
    </row>
    <row r="63" spans="2:10" ht="15" customHeight="1" x14ac:dyDescent="0.25">
      <c r="B63" s="1" t="s">
        <v>58</v>
      </c>
      <c r="D63" s="17">
        <v>0.7</v>
      </c>
      <c r="J63" s="3" t="s">
        <v>59</v>
      </c>
    </row>
    <row r="64" spans="2:10" ht="15" customHeight="1" x14ac:dyDescent="0.25">
      <c r="B64" s="1" t="s">
        <v>60</v>
      </c>
      <c r="D64" s="16">
        <v>839.59</v>
      </c>
      <c r="J64" s="3" t="s">
        <v>61</v>
      </c>
    </row>
    <row r="65" spans="2:10" ht="15" customHeight="1" x14ac:dyDescent="0.25">
      <c r="B65" s="1" t="s">
        <v>62</v>
      </c>
      <c r="D65" s="17">
        <v>0.06</v>
      </c>
    </row>
    <row r="66" spans="2:10" ht="15" customHeight="1" x14ac:dyDescent="0.25">
      <c r="B66" s="1" t="s">
        <v>63</v>
      </c>
      <c r="D66" s="16">
        <v>293.69</v>
      </c>
      <c r="J66" s="3" t="s">
        <v>64</v>
      </c>
    </row>
    <row r="67" spans="2:10" ht="15" customHeight="1" x14ac:dyDescent="0.25">
      <c r="B67" s="1" t="s">
        <v>65</v>
      </c>
      <c r="D67" s="17">
        <v>0.06</v>
      </c>
    </row>
    <row r="68" spans="2:10" ht="15" customHeight="1" x14ac:dyDescent="0.25">
      <c r="B68" s="1" t="s">
        <v>66</v>
      </c>
      <c r="D68" s="17">
        <v>0.11</v>
      </c>
      <c r="E68" s="6">
        <f>D68-0.001</f>
        <v>0.109</v>
      </c>
      <c r="F68" s="6">
        <f t="shared" ref="F68:I68" si="7">E68-0.001</f>
        <v>0.108</v>
      </c>
      <c r="G68" s="6">
        <f t="shared" si="7"/>
        <v>0.107</v>
      </c>
      <c r="H68" s="6">
        <f t="shared" si="7"/>
        <v>0.106</v>
      </c>
      <c r="I68" s="6">
        <f t="shared" si="7"/>
        <v>0.105</v>
      </c>
      <c r="J68" s="3" t="s">
        <v>67</v>
      </c>
    </row>
    <row r="70" spans="2:10" ht="15" customHeight="1" x14ac:dyDescent="0.25">
      <c r="B70" s="89" t="s">
        <v>68</v>
      </c>
      <c r="C70" s="89"/>
      <c r="D70" s="89"/>
      <c r="E70" s="89"/>
      <c r="F70" s="89"/>
      <c r="G70" s="89"/>
      <c r="H70" s="89"/>
      <c r="I70" s="89"/>
    </row>
    <row r="71" spans="2:10" ht="15" customHeight="1" x14ac:dyDescent="0.25">
      <c r="B71" s="1" t="s">
        <v>69</v>
      </c>
      <c r="D71" s="16">
        <v>2692.5</v>
      </c>
    </row>
    <row r="72" spans="2:10" ht="15" customHeight="1" x14ac:dyDescent="0.25">
      <c r="B72" s="1" t="s">
        <v>70</v>
      </c>
      <c r="D72" s="17">
        <v>0.16600000000000001</v>
      </c>
    </row>
    <row r="73" spans="2:10" ht="15" customHeight="1" x14ac:dyDescent="0.25">
      <c r="B73" s="1" t="s">
        <v>71</v>
      </c>
      <c r="D73" s="17">
        <f>D72/2</f>
        <v>8.3000000000000004E-2</v>
      </c>
    </row>
    <row r="74" spans="2:10" ht="15" customHeight="1" x14ac:dyDescent="0.25">
      <c r="B74" s="1" t="s">
        <v>72</v>
      </c>
      <c r="D74" s="16">
        <v>400</v>
      </c>
      <c r="E74" s="16">
        <v>400</v>
      </c>
      <c r="F74" s="16">
        <v>400</v>
      </c>
      <c r="G74" s="16">
        <v>400</v>
      </c>
      <c r="H74" s="16">
        <v>400</v>
      </c>
      <c r="I74" s="16">
        <v>400</v>
      </c>
      <c r="J74" s="3" t="s">
        <v>73</v>
      </c>
    </row>
    <row r="76" spans="2:10" ht="15" customHeight="1" x14ac:dyDescent="0.25">
      <c r="B76" s="89" t="s">
        <v>74</v>
      </c>
      <c r="C76" s="89"/>
      <c r="D76" s="89"/>
      <c r="E76" s="89"/>
      <c r="F76" s="89"/>
      <c r="G76" s="89"/>
      <c r="H76" s="89"/>
      <c r="I76" s="89"/>
    </row>
    <row r="77" spans="2:10" ht="15" customHeight="1" x14ac:dyDescent="0.25">
      <c r="B77" s="1" t="s">
        <v>10</v>
      </c>
      <c r="D77" s="4" t="s">
        <v>14</v>
      </c>
      <c r="E77" s="4" t="s">
        <v>15</v>
      </c>
      <c r="F77" s="4" t="s">
        <v>16</v>
      </c>
      <c r="G77" s="4" t="s">
        <v>17</v>
      </c>
      <c r="H77" s="4" t="s">
        <v>18</v>
      </c>
      <c r="I77" s="4" t="s">
        <v>19</v>
      </c>
    </row>
    <row r="78" spans="2:10" ht="15" customHeight="1" x14ac:dyDescent="0.25">
      <c r="B78" s="1" t="s">
        <v>75</v>
      </c>
      <c r="D78" s="8">
        <f>D71</f>
        <v>2692.5</v>
      </c>
      <c r="E78" s="8">
        <f>D81</f>
        <v>2612.3449999999998</v>
      </c>
      <c r="F78" s="8">
        <f>E81</f>
        <v>2545.4957299999996</v>
      </c>
      <c r="G78" s="8">
        <f>F81</f>
        <v>2489.7434388199999</v>
      </c>
      <c r="H78" s="8">
        <f>G81</f>
        <v>2443.2460279758798</v>
      </c>
      <c r="I78" s="8">
        <f>H81</f>
        <v>2404.4671873318839</v>
      </c>
    </row>
    <row r="79" spans="2:10" ht="15" customHeight="1" x14ac:dyDescent="0.25">
      <c r="B79" s="1" t="s">
        <v>76</v>
      </c>
      <c r="D79" s="8">
        <f t="shared" ref="D79:I79" si="8">D74</f>
        <v>400</v>
      </c>
      <c r="E79" s="8">
        <f t="shared" si="8"/>
        <v>400</v>
      </c>
      <c r="F79" s="8">
        <f t="shared" si="8"/>
        <v>400</v>
      </c>
      <c r="G79" s="8">
        <f t="shared" si="8"/>
        <v>400</v>
      </c>
      <c r="H79" s="8">
        <f t="shared" si="8"/>
        <v>400</v>
      </c>
      <c r="I79" s="8">
        <f t="shared" si="8"/>
        <v>400</v>
      </c>
    </row>
    <row r="80" spans="2:10" ht="15" customHeight="1" x14ac:dyDescent="0.25">
      <c r="B80" s="1" t="s">
        <v>77</v>
      </c>
      <c r="D80" s="8">
        <f>D78*$D$72+D79*$D$73</f>
        <v>480.15500000000003</v>
      </c>
      <c r="E80" s="8">
        <f t="shared" ref="E80:I80" si="9">E78*$D$72+E79*$D$73</f>
        <v>466.84926999999999</v>
      </c>
      <c r="F80" s="8">
        <f t="shared" si="9"/>
        <v>455.75229117999993</v>
      </c>
      <c r="G80" s="8">
        <f t="shared" si="9"/>
        <v>446.49741084412</v>
      </c>
      <c r="H80" s="8">
        <f t="shared" si="9"/>
        <v>438.77884064399603</v>
      </c>
      <c r="I80" s="8">
        <f t="shared" si="9"/>
        <v>432.34155309709274</v>
      </c>
    </row>
    <row r="81" spans="2:9" ht="15" customHeight="1" x14ac:dyDescent="0.25">
      <c r="B81" s="1" t="s">
        <v>78</v>
      </c>
      <c r="D81" s="8">
        <f t="shared" ref="D81:I81" si="10">D78+D79-D80</f>
        <v>2612.3449999999998</v>
      </c>
      <c r="E81" s="8">
        <f t="shared" si="10"/>
        <v>2545.4957299999996</v>
      </c>
      <c r="F81" s="8">
        <f t="shared" si="10"/>
        <v>2489.7434388199999</v>
      </c>
      <c r="G81" s="8">
        <f t="shared" si="10"/>
        <v>2443.2460279758798</v>
      </c>
      <c r="H81" s="8">
        <f t="shared" si="10"/>
        <v>2404.4671873318839</v>
      </c>
      <c r="I81" s="8">
        <f t="shared" si="10"/>
        <v>2372.1256342347911</v>
      </c>
    </row>
    <row r="83" spans="2:9" ht="15" customHeight="1" x14ac:dyDescent="0.25">
      <c r="B83" s="89" t="s">
        <v>79</v>
      </c>
      <c r="C83" s="89"/>
      <c r="D83" s="89"/>
      <c r="E83" s="89"/>
      <c r="F83" s="89"/>
      <c r="G83" s="89"/>
      <c r="H83" s="89"/>
      <c r="I83" s="89"/>
    </row>
    <row r="84" spans="2:9" ht="15" customHeight="1" x14ac:dyDescent="0.25">
      <c r="B84" s="1" t="s">
        <v>80</v>
      </c>
      <c r="D84" s="19">
        <v>84.3</v>
      </c>
    </row>
    <row r="85" spans="2:9" ht="15" customHeight="1" x14ac:dyDescent="0.25">
      <c r="B85" s="1" t="s">
        <v>81</v>
      </c>
      <c r="D85" s="19">
        <v>31.3</v>
      </c>
    </row>
    <row r="86" spans="2:9" ht="15" customHeight="1" x14ac:dyDescent="0.25">
      <c r="B86" s="1" t="s">
        <v>82</v>
      </c>
      <c r="D86" s="19">
        <v>42.7</v>
      </c>
    </row>
    <row r="88" spans="2:9" ht="15" customHeight="1" x14ac:dyDescent="0.25">
      <c r="B88" s="89" t="s">
        <v>83</v>
      </c>
      <c r="C88" s="89"/>
      <c r="D88" s="89"/>
      <c r="E88" s="89"/>
      <c r="F88" s="89"/>
      <c r="G88" s="89"/>
      <c r="H88" s="89"/>
      <c r="I88" s="89"/>
    </row>
    <row r="89" spans="2:9" ht="15" customHeight="1" x14ac:dyDescent="0.25">
      <c r="B89" s="1" t="s">
        <v>84</v>
      </c>
      <c r="D89" s="17">
        <v>0.25</v>
      </c>
    </row>
    <row r="90" spans="2:9" ht="15" customHeight="1" x14ac:dyDescent="0.25">
      <c r="B90" s="1" t="s">
        <v>85</v>
      </c>
      <c r="D90" s="16">
        <v>194</v>
      </c>
      <c r="I90" s="3" t="s">
        <v>86</v>
      </c>
    </row>
    <row r="91" spans="2:9" ht="15" customHeight="1" x14ac:dyDescent="0.25">
      <c r="B91" s="1" t="s">
        <v>87</v>
      </c>
      <c r="D91" s="16">
        <v>106.2</v>
      </c>
    </row>
    <row r="92" spans="2:9" ht="15" customHeight="1" x14ac:dyDescent="0.25">
      <c r="B92" s="1" t="s">
        <v>88</v>
      </c>
      <c r="D92" s="16">
        <v>44.5</v>
      </c>
      <c r="I92" s="3" t="s">
        <v>89</v>
      </c>
    </row>
    <row r="94" spans="2:9" ht="15" customHeight="1" x14ac:dyDescent="0.25">
      <c r="B94" s="89" t="s">
        <v>90</v>
      </c>
      <c r="C94" s="89"/>
      <c r="D94" s="89"/>
      <c r="E94" s="89"/>
      <c r="F94" s="89"/>
      <c r="G94" s="89"/>
      <c r="H94" s="89"/>
      <c r="I94" s="89"/>
    </row>
    <row r="95" spans="2:9" ht="15" customHeight="1" x14ac:dyDescent="0.25">
      <c r="B95" s="1" t="s">
        <v>91</v>
      </c>
      <c r="D95" s="16">
        <v>280</v>
      </c>
    </row>
    <row r="96" spans="2:9" ht="15" customHeight="1" x14ac:dyDescent="0.25">
      <c r="B96" s="1" t="s">
        <v>92</v>
      </c>
      <c r="D96" s="20">
        <v>2</v>
      </c>
    </row>
    <row r="97" spans="2:9" ht="15" customHeight="1" x14ac:dyDescent="0.25">
      <c r="B97" s="1" t="s">
        <v>93</v>
      </c>
      <c r="D97" s="21">
        <v>1</v>
      </c>
      <c r="I97" s="3" t="s">
        <v>94</v>
      </c>
    </row>
    <row r="98" spans="2:9" ht="15" customHeight="1" x14ac:dyDescent="0.25">
      <c r="B98" s="1" t="s">
        <v>95</v>
      </c>
      <c r="D98" s="16">
        <v>9220</v>
      </c>
    </row>
    <row r="99" spans="2:9" ht="15" customHeight="1" x14ac:dyDescent="0.25">
      <c r="B99" s="1" t="s">
        <v>96</v>
      </c>
      <c r="D99" s="20">
        <v>2</v>
      </c>
    </row>
    <row r="100" spans="2:9" ht="15" customHeight="1" x14ac:dyDescent="0.25">
      <c r="B100" s="1" t="s">
        <v>97</v>
      </c>
      <c r="D100" s="21">
        <v>5</v>
      </c>
      <c r="I100" s="3" t="s">
        <v>98</v>
      </c>
    </row>
    <row r="102" spans="2:9" ht="15" customHeight="1" x14ac:dyDescent="0.25">
      <c r="B102" s="89" t="s">
        <v>99</v>
      </c>
      <c r="C102" s="89"/>
      <c r="D102" s="89"/>
      <c r="E102" s="89"/>
      <c r="F102" s="89"/>
      <c r="G102" s="89"/>
      <c r="H102" s="89"/>
      <c r="I102" s="89"/>
    </row>
    <row r="103" spans="2:9" ht="15" customHeight="1" x14ac:dyDescent="0.25">
      <c r="B103" s="1" t="s">
        <v>100</v>
      </c>
      <c r="D103" s="42">
        <f>G103+G104*G105</f>
        <v>0.13850000000000001</v>
      </c>
      <c r="F103" s="40" t="s">
        <v>298</v>
      </c>
      <c r="G103" s="41">
        <v>6.7699999999999996E-2</v>
      </c>
    </row>
    <row r="104" spans="2:9" ht="15" customHeight="1" x14ac:dyDescent="0.25">
      <c r="B104" s="1" t="s">
        <v>101</v>
      </c>
      <c r="D104" s="17">
        <v>0.05</v>
      </c>
      <c r="F104" s="40" t="s">
        <v>299</v>
      </c>
      <c r="G104" s="41">
        <v>7.0800000000000002E-2</v>
      </c>
    </row>
    <row r="105" spans="2:9" x14ac:dyDescent="0.25">
      <c r="F105" t="s">
        <v>300</v>
      </c>
      <c r="G105">
        <v>1</v>
      </c>
    </row>
    <row r="106" spans="2:9" ht="15" customHeight="1" x14ac:dyDescent="0.25">
      <c r="B106" s="4" t="s">
        <v>102</v>
      </c>
      <c r="D106" s="22">
        <v>18.302536400000001</v>
      </c>
    </row>
    <row r="107" spans="2:9" ht="15" customHeight="1" x14ac:dyDescent="0.25">
      <c r="B107" s="45" t="s">
        <v>302</v>
      </c>
      <c r="D107" s="23">
        <f>'Executive Summary'!H4</f>
        <v>876</v>
      </c>
    </row>
    <row r="108" spans="2:9" ht="15" customHeight="1" x14ac:dyDescent="0.25">
      <c r="B108" s="4" t="s">
        <v>104</v>
      </c>
      <c r="D108" s="8">
        <f>D107*D106</f>
        <v>16033.021886400002</v>
      </c>
    </row>
    <row r="110" spans="2:9" ht="15" customHeight="1" x14ac:dyDescent="0.25">
      <c r="B110" s="89" t="s">
        <v>105</v>
      </c>
      <c r="C110" s="89"/>
      <c r="D110" s="89"/>
      <c r="E110" s="89"/>
      <c r="F110" s="89"/>
      <c r="G110" s="89"/>
      <c r="H110" s="89"/>
      <c r="I110" s="89"/>
    </row>
    <row r="111" spans="2:9" ht="15" customHeight="1" x14ac:dyDescent="0.25">
      <c r="B111" s="1" t="s">
        <v>106</v>
      </c>
      <c r="D111" s="16">
        <v>1500</v>
      </c>
      <c r="I111" s="3" t="s">
        <v>107</v>
      </c>
    </row>
    <row r="112" spans="2:9" ht="15" customHeight="1" x14ac:dyDescent="0.25">
      <c r="B112" s="1" t="s">
        <v>108</v>
      </c>
      <c r="D112" s="8">
        <f>D95+D98</f>
        <v>9500</v>
      </c>
      <c r="I112" s="3" t="s">
        <v>109</v>
      </c>
    </row>
    <row r="113" spans="2:9" ht="15" customHeight="1" x14ac:dyDescent="0.25">
      <c r="B113" s="1" t="s">
        <v>110</v>
      </c>
      <c r="D113" s="8">
        <f>D112-D111</f>
        <v>8000</v>
      </c>
    </row>
    <row r="114" spans="2:9" ht="15" customHeight="1" x14ac:dyDescent="0.25">
      <c r="B114" s="1" t="s">
        <v>111</v>
      </c>
      <c r="D114" s="16">
        <v>1200</v>
      </c>
    </row>
    <row r="115" spans="2:9" ht="15" customHeight="1" x14ac:dyDescent="0.25">
      <c r="B115" s="1" t="s">
        <v>112</v>
      </c>
      <c r="D115" s="8">
        <f>(D113-D114)/4</f>
        <v>1700</v>
      </c>
    </row>
    <row r="116" spans="2:9" ht="15" customHeight="1" x14ac:dyDescent="0.25">
      <c r="B116" s="1" t="s">
        <v>113</v>
      </c>
      <c r="D116" s="17">
        <v>0.55000000000000004</v>
      </c>
    </row>
    <row r="117" spans="2:9" ht="15" customHeight="1" x14ac:dyDescent="0.25">
      <c r="B117" s="1" t="s">
        <v>114</v>
      </c>
      <c r="D117" s="6">
        <f>1-D116</f>
        <v>0.44999999999999996</v>
      </c>
    </row>
    <row r="118" spans="2:9" ht="15" customHeight="1" x14ac:dyDescent="0.25">
      <c r="B118" s="1" t="s">
        <v>115</v>
      </c>
      <c r="D118" s="17">
        <v>0.1</v>
      </c>
      <c r="I118" s="3" t="s">
        <v>116</v>
      </c>
    </row>
    <row r="120" spans="2:9" ht="15" customHeight="1" x14ac:dyDescent="0.25">
      <c r="B120" s="89" t="s">
        <v>117</v>
      </c>
      <c r="C120" s="89"/>
      <c r="D120" s="89"/>
      <c r="E120" s="89"/>
      <c r="F120" s="89"/>
      <c r="G120" s="89"/>
      <c r="H120" s="89"/>
      <c r="I120" s="89"/>
    </row>
    <row r="121" spans="2:9" ht="15" customHeight="1" x14ac:dyDescent="0.25">
      <c r="B121" s="1" t="s">
        <v>10</v>
      </c>
      <c r="D121" s="4" t="s">
        <v>14</v>
      </c>
      <c r="E121" s="4" t="s">
        <v>15</v>
      </c>
      <c r="F121" s="4" t="s">
        <v>16</v>
      </c>
      <c r="G121" s="4" t="s">
        <v>17</v>
      </c>
      <c r="H121" s="4" t="s">
        <v>18</v>
      </c>
      <c r="I121" s="4" t="s">
        <v>19</v>
      </c>
    </row>
    <row r="122" spans="2:9" ht="15" customHeight="1" x14ac:dyDescent="0.25">
      <c r="B122" s="1" t="s">
        <v>118</v>
      </c>
      <c r="D122" s="8">
        <f>D114</f>
        <v>1200</v>
      </c>
      <c r="E122" s="8">
        <f>$D$115</f>
        <v>1700</v>
      </c>
      <c r="F122" s="8">
        <f>$D$115</f>
        <v>1700</v>
      </c>
      <c r="G122" s="8">
        <f>$D$115</f>
        <v>1700</v>
      </c>
      <c r="H122" s="8">
        <f>$D$115</f>
        <v>1700</v>
      </c>
      <c r="I122" s="16">
        <v>0</v>
      </c>
    </row>
    <row r="123" spans="2:9" ht="15" customHeight="1" x14ac:dyDescent="0.25">
      <c r="B123" s="1" t="s">
        <v>119</v>
      </c>
      <c r="D123" s="8">
        <f t="shared" ref="D123:I123" si="11">D122*$D$116</f>
        <v>660</v>
      </c>
      <c r="E123" s="8">
        <f t="shared" si="11"/>
        <v>935.00000000000011</v>
      </c>
      <c r="F123" s="8">
        <f t="shared" si="11"/>
        <v>935.00000000000011</v>
      </c>
      <c r="G123" s="8">
        <f t="shared" si="11"/>
        <v>935.00000000000011</v>
      </c>
      <c r="H123" s="8">
        <f t="shared" si="11"/>
        <v>935.00000000000011</v>
      </c>
      <c r="I123" s="8">
        <f t="shared" si="11"/>
        <v>0</v>
      </c>
    </row>
    <row r="124" spans="2:9" ht="15" customHeight="1" x14ac:dyDescent="0.25">
      <c r="B124" s="1" t="s">
        <v>120</v>
      </c>
      <c r="D124" s="8">
        <f t="shared" ref="D124:I124" si="12">D122*$D$117</f>
        <v>540</v>
      </c>
      <c r="E124" s="8">
        <f t="shared" si="12"/>
        <v>764.99999999999989</v>
      </c>
      <c r="F124" s="8">
        <f t="shared" si="12"/>
        <v>764.99999999999989</v>
      </c>
      <c r="G124" s="8">
        <f t="shared" si="12"/>
        <v>764.99999999999989</v>
      </c>
      <c r="H124" s="8">
        <f t="shared" si="12"/>
        <v>764.99999999999989</v>
      </c>
      <c r="I124" s="8">
        <f t="shared" si="12"/>
        <v>0</v>
      </c>
    </row>
    <row r="125" spans="2:9" ht="15" customHeight="1" x14ac:dyDescent="0.25">
      <c r="B125" s="1" t="s">
        <v>121</v>
      </c>
      <c r="D125" s="8">
        <v>0</v>
      </c>
      <c r="E125" s="8">
        <f>D127</f>
        <v>660</v>
      </c>
      <c r="F125" s="8">
        <f>E127</f>
        <v>1595</v>
      </c>
      <c r="G125" s="8">
        <f>F127</f>
        <v>2530</v>
      </c>
      <c r="H125" s="8">
        <f>G127</f>
        <v>3465</v>
      </c>
      <c r="I125" s="8">
        <f>H127</f>
        <v>4400</v>
      </c>
    </row>
    <row r="126" spans="2:9" ht="15" customHeight="1" x14ac:dyDescent="0.25">
      <c r="B126" s="1" t="s">
        <v>122</v>
      </c>
      <c r="D126" s="8">
        <f t="shared" ref="D126:I126" si="13">D125*$D$118</f>
        <v>0</v>
      </c>
      <c r="E126" s="8">
        <f t="shared" si="13"/>
        <v>66</v>
      </c>
      <c r="F126" s="8">
        <f t="shared" si="13"/>
        <v>159.5</v>
      </c>
      <c r="G126" s="8">
        <f t="shared" si="13"/>
        <v>253</v>
      </c>
      <c r="H126" s="8">
        <f t="shared" si="13"/>
        <v>346.5</v>
      </c>
      <c r="I126" s="8">
        <f t="shared" si="13"/>
        <v>440</v>
      </c>
    </row>
    <row r="127" spans="2:9" ht="15" customHeight="1" x14ac:dyDescent="0.25">
      <c r="B127" s="1" t="s">
        <v>123</v>
      </c>
      <c r="D127" s="8">
        <f t="shared" ref="D127:I127" si="14">D125+D123</f>
        <v>660</v>
      </c>
      <c r="E127" s="8">
        <f t="shared" si="14"/>
        <v>1595</v>
      </c>
      <c r="F127" s="8">
        <f t="shared" si="14"/>
        <v>2530</v>
      </c>
      <c r="G127" s="8">
        <f t="shared" si="14"/>
        <v>3465</v>
      </c>
      <c r="H127" s="8">
        <f t="shared" si="14"/>
        <v>4400</v>
      </c>
      <c r="I127" s="8">
        <f t="shared" si="14"/>
        <v>4400</v>
      </c>
    </row>
    <row r="128" spans="2:9" ht="15" customHeight="1" x14ac:dyDescent="0.25">
      <c r="B128" s="1" t="s">
        <v>124</v>
      </c>
      <c r="C128" s="8">
        <v>1500</v>
      </c>
      <c r="D128" s="8">
        <f t="shared" ref="D128:I128" si="15">C128+D124</f>
        <v>2040</v>
      </c>
      <c r="E128" s="8">
        <f t="shared" si="15"/>
        <v>2805</v>
      </c>
      <c r="F128" s="8">
        <f t="shared" si="15"/>
        <v>3570</v>
      </c>
      <c r="G128" s="8">
        <f t="shared" si="15"/>
        <v>4335</v>
      </c>
      <c r="H128" s="8">
        <f t="shared" si="15"/>
        <v>5100</v>
      </c>
      <c r="I128" s="8">
        <f t="shared" si="15"/>
        <v>5100</v>
      </c>
    </row>
    <row r="129" spans="2:9" ht="15" customHeight="1" x14ac:dyDescent="0.25">
      <c r="B129" s="90" t="s">
        <v>125</v>
      </c>
      <c r="C129" s="90"/>
      <c r="D129" s="90"/>
      <c r="E129" s="90"/>
      <c r="F129" s="90"/>
      <c r="G129" s="90"/>
      <c r="H129" s="90"/>
      <c r="I129" s="90"/>
    </row>
  </sheetData>
  <mergeCells count="23">
    <mergeCell ref="B20:I20"/>
    <mergeCell ref="B28:I28"/>
    <mergeCell ref="B102:I102"/>
    <mergeCell ref="B52:I52"/>
    <mergeCell ref="B60:I60"/>
    <mergeCell ref="B36:I36"/>
    <mergeCell ref="B44:I44"/>
    <mergeCell ref="B110:I110"/>
    <mergeCell ref="B120:I120"/>
    <mergeCell ref="B129:I129"/>
    <mergeCell ref="B30:I30"/>
    <mergeCell ref="B6:I6"/>
    <mergeCell ref="B14:I14"/>
    <mergeCell ref="B22:I22"/>
    <mergeCell ref="B38:I38"/>
    <mergeCell ref="B46:I46"/>
    <mergeCell ref="B54:I54"/>
    <mergeCell ref="B62:I62"/>
    <mergeCell ref="B70:I70"/>
    <mergeCell ref="B76:I76"/>
    <mergeCell ref="B83:I83"/>
    <mergeCell ref="B88:I88"/>
    <mergeCell ref="B94:I94"/>
  </mergeCells>
  <pageMargins left="0.75" right="0.75" top="1" bottom="1" header="0.511811023622047" footer="0.511811023622047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2</xdr:col>
                    <xdr:colOff>0</xdr:colOff>
                    <xdr:row>2</xdr:row>
                    <xdr:rowOff>180975</xdr:rowOff>
                  </from>
                  <to>
                    <xdr:col>2</xdr:col>
                    <xdr:colOff>762000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01"/>
  <sheetViews>
    <sheetView zoomScaleNormal="100" workbookViewId="0">
      <pane xSplit="2" ySplit="4" topLeftCell="C17" activePane="bottomRight" state="frozen"/>
      <selection pane="topRight" activeCell="C1" sqref="C1"/>
      <selection pane="bottomLeft" activeCell="A41" sqref="A41"/>
      <selection pane="bottomRight" activeCell="L39" sqref="L39"/>
    </sheetView>
  </sheetViews>
  <sheetFormatPr defaultColWidth="8.7109375" defaultRowHeight="15" x14ac:dyDescent="0.25"/>
  <cols>
    <col min="1" max="1" width="3" style="1" customWidth="1"/>
    <col min="2" max="2" width="42" style="1" customWidth="1"/>
    <col min="3" max="11" width="12" style="1" customWidth="1"/>
    <col min="12" max="12" width="9.85546875" bestFit="1" customWidth="1"/>
  </cols>
  <sheetData>
    <row r="1" spans="2:11" ht="16.5" customHeight="1" x14ac:dyDescent="0.25">
      <c r="B1" s="24" t="s">
        <v>126</v>
      </c>
    </row>
    <row r="2" spans="2:11" ht="15" customHeight="1" x14ac:dyDescent="0.25">
      <c r="B2" s="3" t="s">
        <v>127</v>
      </c>
    </row>
    <row r="4" spans="2:11" ht="15" customHeight="1" x14ac:dyDescent="0.25">
      <c r="B4" s="4" t="s">
        <v>10</v>
      </c>
      <c r="C4" s="25" t="s">
        <v>11</v>
      </c>
      <c r="D4" s="25" t="s">
        <v>12</v>
      </c>
      <c r="E4" s="25" t="s">
        <v>13</v>
      </c>
      <c r="F4" s="25" t="s">
        <v>14</v>
      </c>
      <c r="G4" s="25" t="s">
        <v>15</v>
      </c>
      <c r="H4" s="25" t="s">
        <v>16</v>
      </c>
      <c r="I4" s="25" t="s">
        <v>17</v>
      </c>
      <c r="J4" s="25" t="s">
        <v>18</v>
      </c>
      <c r="K4" s="25" t="s">
        <v>19</v>
      </c>
    </row>
    <row r="6" spans="2:11" ht="15" customHeight="1" x14ac:dyDescent="0.25">
      <c r="B6" s="4" t="s">
        <v>128</v>
      </c>
    </row>
    <row r="7" spans="2:11" ht="15" customHeight="1" x14ac:dyDescent="0.25">
      <c r="B7" s="1" t="s">
        <v>129</v>
      </c>
      <c r="E7" s="16">
        <v>6463.6</v>
      </c>
      <c r="F7" s="8">
        <f>E7*(1+Assumptions!$D$19)</f>
        <v>7239.2320000000009</v>
      </c>
      <c r="G7" s="8">
        <f>F7*(1+Assumptions!$E$19)</f>
        <v>8071.7436800000005</v>
      </c>
      <c r="H7" s="8">
        <f>G7*(1+Assumptions!$F$19)</f>
        <v>9040.3529216000006</v>
      </c>
      <c r="I7" s="8">
        <f>H7*(1+Assumptions!$G$19)</f>
        <v>10079.993507584</v>
      </c>
      <c r="J7" s="8">
        <f>I7*(1+Assumptions!$H$19)</f>
        <v>11188.792793418241</v>
      </c>
      <c r="K7" s="8">
        <f>J7*(1+Assumptions!$I$19)</f>
        <v>12307.672072760066</v>
      </c>
    </row>
    <row r="8" spans="2:11" ht="15" customHeight="1" x14ac:dyDescent="0.25">
      <c r="B8" s="1" t="s">
        <v>130</v>
      </c>
      <c r="E8" s="16">
        <v>2770.1</v>
      </c>
      <c r="F8" s="8">
        <f>E8*(1+Assumptions!$D$27)</f>
        <v>2991.7080000000001</v>
      </c>
      <c r="G8" s="8">
        <f>F8*(1+Assumptions!$E$27)</f>
        <v>3231.0446400000005</v>
      </c>
      <c r="H8" s="8">
        <f>G8*(1+Assumptions!$F$27)</f>
        <v>3489.5282112000009</v>
      </c>
      <c r="I8" s="8">
        <f>H8*(1+Assumptions!$G$27)</f>
        <v>3768.690468096001</v>
      </c>
      <c r="J8" s="8">
        <f>I8*(1+Assumptions!$H$27)</f>
        <v>4070.1857055436813</v>
      </c>
      <c r="K8" s="8">
        <f>J8*(1+Assumptions!$I$27)</f>
        <v>4395.8005619871765</v>
      </c>
    </row>
    <row r="9" spans="2:11" ht="15" customHeight="1" x14ac:dyDescent="0.25">
      <c r="B9" s="1" t="s">
        <v>131</v>
      </c>
      <c r="E9" s="16">
        <v>3771.6</v>
      </c>
      <c r="F9" s="8">
        <f>E9*(1+Assumptions!$D$35)</f>
        <v>4035.6120000000001</v>
      </c>
      <c r="G9" s="8">
        <f>F9*(1+Assumptions!$E$35)</f>
        <v>4338.2829000000002</v>
      </c>
      <c r="H9" s="8">
        <f>G9*(1+Assumptions!$F$35)</f>
        <v>4685.3455320000003</v>
      </c>
      <c r="I9" s="8">
        <f>H9*(1+Assumptions!$G$35)</f>
        <v>5083.5999022200003</v>
      </c>
      <c r="J9" s="8">
        <f>I9*(1+Assumptions!$H$35)</f>
        <v>5490.2878943976011</v>
      </c>
      <c r="K9" s="8">
        <f>J9*(1+Assumptions!$I$35)</f>
        <v>5929.5109259494093</v>
      </c>
    </row>
    <row r="10" spans="2:11" ht="15" customHeight="1" x14ac:dyDescent="0.25">
      <c r="B10" s="4" t="s">
        <v>132</v>
      </c>
      <c r="C10" s="16">
        <v>11186.17</v>
      </c>
      <c r="D10" s="16">
        <v>12345.13</v>
      </c>
      <c r="E10" s="4">
        <f t="shared" ref="E10:K10" si="0">SUM(E7:E9)</f>
        <v>13005.300000000001</v>
      </c>
      <c r="F10" s="4">
        <f t="shared" si="0"/>
        <v>14266.552</v>
      </c>
      <c r="G10" s="4">
        <f t="shared" si="0"/>
        <v>15641.071220000002</v>
      </c>
      <c r="H10" s="4">
        <f t="shared" si="0"/>
        <v>17215.2266648</v>
      </c>
      <c r="I10" s="4">
        <f t="shared" si="0"/>
        <v>18932.283877900001</v>
      </c>
      <c r="J10" s="4">
        <f t="shared" si="0"/>
        <v>20749.266393359525</v>
      </c>
      <c r="K10" s="9">
        <f t="shared" si="0"/>
        <v>22632.983560696652</v>
      </c>
    </row>
    <row r="12" spans="2:11" ht="15" customHeight="1" x14ac:dyDescent="0.25">
      <c r="B12" s="4" t="s">
        <v>133</v>
      </c>
    </row>
    <row r="13" spans="2:11" ht="15" customHeight="1" x14ac:dyDescent="0.25">
      <c r="B13" s="1" t="s">
        <v>134</v>
      </c>
      <c r="E13" s="16">
        <v>647</v>
      </c>
      <c r="F13" s="8">
        <f>E13*(1+Assumptions!$D$43)</f>
        <v>808.75</v>
      </c>
      <c r="G13" s="8">
        <f>F13*(1+Assumptions!$E$43)</f>
        <v>986.67499999999995</v>
      </c>
      <c r="H13" s="8">
        <f>G13*(1+Assumptions!$F$43)</f>
        <v>1184.01</v>
      </c>
      <c r="I13" s="8">
        <f>H13*(1+Assumptions!$G$43)</f>
        <v>1397.1317999999999</v>
      </c>
      <c r="J13" s="8">
        <f>I13*(1+Assumptions!$H$43)</f>
        <v>1648.6155239999998</v>
      </c>
      <c r="K13" s="8">
        <f>J13*(1+Assumptions!$I$43)</f>
        <v>1945.3663183199997</v>
      </c>
    </row>
    <row r="14" spans="2:11" ht="15" customHeight="1" x14ac:dyDescent="0.25">
      <c r="B14" s="1" t="s">
        <v>135</v>
      </c>
      <c r="E14" s="16">
        <v>161.69999999999999</v>
      </c>
      <c r="F14" s="8">
        <f>E14*(1+Assumptions!$D$51)</f>
        <v>185.95499999999998</v>
      </c>
      <c r="G14" s="8">
        <f>F14*(1+Assumptions!$E$51)</f>
        <v>212.91847499999997</v>
      </c>
      <c r="H14" s="8">
        <f>G14*(1+Assumptions!$F$51)</f>
        <v>242.72706149999999</v>
      </c>
      <c r="I14" s="8">
        <f>H14*(1+Assumptions!$G$51)</f>
        <v>275.49521480250002</v>
      </c>
      <c r="J14" s="8">
        <f>I14*(1+Assumptions!$H$51)</f>
        <v>311.30959272682497</v>
      </c>
      <c r="K14" s="8">
        <f>J14*(1+Assumptions!$I$51)</f>
        <v>350.2232918176781</v>
      </c>
    </row>
    <row r="15" spans="2:11" ht="15" customHeight="1" x14ac:dyDescent="0.25">
      <c r="B15" s="4" t="s">
        <v>136</v>
      </c>
      <c r="C15" s="16">
        <v>522.27</v>
      </c>
      <c r="D15" s="16">
        <v>501.19</v>
      </c>
      <c r="E15" s="4">
        <f t="shared" ref="E15:K15" si="1">SUM(E13:E14)</f>
        <v>808.7</v>
      </c>
      <c r="F15" s="4">
        <f t="shared" si="1"/>
        <v>994.70499999999993</v>
      </c>
      <c r="G15" s="4">
        <f t="shared" si="1"/>
        <v>1199.5934749999999</v>
      </c>
      <c r="H15" s="4">
        <f t="shared" si="1"/>
        <v>1426.7370615</v>
      </c>
      <c r="I15" s="4">
        <f t="shared" si="1"/>
        <v>1672.6270148024998</v>
      </c>
      <c r="J15" s="4">
        <f t="shared" si="1"/>
        <v>1959.9251167268249</v>
      </c>
      <c r="K15" s="9">
        <f t="shared" si="1"/>
        <v>2295.5896101376779</v>
      </c>
    </row>
    <row r="16" spans="2:11" ht="15" customHeight="1" x14ac:dyDescent="0.25">
      <c r="B16" s="4" t="s">
        <v>137</v>
      </c>
      <c r="C16" s="9">
        <f t="shared" ref="C16:K16" si="2">C10+C15</f>
        <v>11708.44</v>
      </c>
      <c r="D16" s="9">
        <f t="shared" si="2"/>
        <v>12846.32</v>
      </c>
      <c r="E16" s="9">
        <f t="shared" si="2"/>
        <v>13814.000000000002</v>
      </c>
      <c r="F16" s="9">
        <f t="shared" si="2"/>
        <v>15261.257</v>
      </c>
      <c r="G16" s="9">
        <f t="shared" si="2"/>
        <v>16840.664695000003</v>
      </c>
      <c r="H16" s="9">
        <f t="shared" si="2"/>
        <v>18641.9637263</v>
      </c>
      <c r="I16" s="9">
        <f t="shared" si="2"/>
        <v>20604.910892702501</v>
      </c>
      <c r="J16" s="9">
        <f t="shared" si="2"/>
        <v>22709.191510086348</v>
      </c>
      <c r="K16" s="9">
        <f t="shared" si="2"/>
        <v>24928.57317083433</v>
      </c>
    </row>
    <row r="17" spans="2:11" x14ac:dyDescent="0.25">
      <c r="B17" s="77" t="s">
        <v>315</v>
      </c>
      <c r="E17" s="78">
        <f>E15/E16</f>
        <v>5.8542058780946864E-2</v>
      </c>
      <c r="F17" s="78">
        <f t="shared" ref="F17:K17" si="3">F15/F16</f>
        <v>6.5178444999648449E-2</v>
      </c>
      <c r="G17" s="78">
        <f t="shared" si="3"/>
        <v>7.1231955313269757E-2</v>
      </c>
      <c r="H17" s="78">
        <f t="shared" si="3"/>
        <v>7.6533625021872859E-2</v>
      </c>
      <c r="I17" s="78">
        <f t="shared" si="3"/>
        <v>8.1176134345472106E-2</v>
      </c>
      <c r="J17" s="78">
        <f t="shared" si="3"/>
        <v>8.6305367404045139E-2</v>
      </c>
      <c r="K17" s="78">
        <f t="shared" si="3"/>
        <v>9.2086682795927036E-2</v>
      </c>
    </row>
    <row r="18" spans="2:11" ht="15" customHeight="1" x14ac:dyDescent="0.25">
      <c r="B18" s="4" t="s">
        <v>138</v>
      </c>
      <c r="F18" s="79" t="s">
        <v>316</v>
      </c>
    </row>
    <row r="19" spans="2:11" ht="15" customHeight="1" x14ac:dyDescent="0.25">
      <c r="B19" s="1" t="s">
        <v>139</v>
      </c>
      <c r="F19" s="8">
        <f>F10*Assumptions!$D$63</f>
        <v>9986.5863999999983</v>
      </c>
      <c r="G19" s="8">
        <f>G10*Assumptions!$D$63</f>
        <v>10948.749854</v>
      </c>
      <c r="H19" s="8">
        <f>H10*Assumptions!$D$63</f>
        <v>12050.658665359999</v>
      </c>
      <c r="I19" s="8">
        <f>I10*Assumptions!$D$63</f>
        <v>13252.598714530001</v>
      </c>
      <c r="J19" s="8">
        <f>J10*Assumptions!$D$63</f>
        <v>14524.486475351667</v>
      </c>
      <c r="K19" s="8">
        <f>K10*Assumptions!$D$63</f>
        <v>15843.088492487655</v>
      </c>
    </row>
    <row r="20" spans="2:11" ht="15" customHeight="1" x14ac:dyDescent="0.25">
      <c r="B20" s="1" t="s">
        <v>140</v>
      </c>
      <c r="F20" s="9">
        <f t="shared" ref="F20:K20" si="4">F10-F19</f>
        <v>4279.9656000000014</v>
      </c>
      <c r="G20" s="9">
        <f t="shared" si="4"/>
        <v>4692.3213660000019</v>
      </c>
      <c r="H20" s="9">
        <f t="shared" si="4"/>
        <v>5164.5679994400016</v>
      </c>
      <c r="I20" s="9">
        <f t="shared" si="4"/>
        <v>5679.6851633700007</v>
      </c>
      <c r="J20" s="9">
        <f t="shared" si="4"/>
        <v>6224.7799180078582</v>
      </c>
      <c r="K20" s="9">
        <f t="shared" si="4"/>
        <v>6789.8950682089962</v>
      </c>
    </row>
    <row r="21" spans="2:11" ht="15" customHeight="1" x14ac:dyDescent="0.25">
      <c r="B21" s="1" t="s">
        <v>141</v>
      </c>
      <c r="E21" s="16">
        <v>839.59</v>
      </c>
      <c r="F21" s="8">
        <f>E21*(1+Assumptions!$D$65)</f>
        <v>889.96540000000005</v>
      </c>
      <c r="G21" s="8">
        <f>F21*(1+Assumptions!$D$65)</f>
        <v>943.36332400000015</v>
      </c>
      <c r="H21" s="8">
        <f>G21*(1+Assumptions!$D$65)</f>
        <v>999.96512344000018</v>
      </c>
      <c r="I21" s="8">
        <f>H21*(1+Assumptions!$D$65)</f>
        <v>1059.9630308464002</v>
      </c>
      <c r="J21" s="8">
        <f>I21*(1+Assumptions!$D$65)</f>
        <v>1123.5608126971842</v>
      </c>
      <c r="K21" s="8">
        <f>J21*(1+Assumptions!$D$65)</f>
        <v>1190.9744614590154</v>
      </c>
    </row>
    <row r="22" spans="2:11" ht="15" customHeight="1" x14ac:dyDescent="0.25">
      <c r="B22" s="1" t="s">
        <v>142</v>
      </c>
      <c r="E22" s="16">
        <v>293.69</v>
      </c>
      <c r="F22" s="8">
        <f>E22*(1+Assumptions!$D$67)</f>
        <v>311.31139999999999</v>
      </c>
      <c r="G22" s="8">
        <f>F22*(1+Assumptions!$D$67)</f>
        <v>329.99008400000002</v>
      </c>
      <c r="H22" s="8">
        <f>G22*(1+Assumptions!$D$67)</f>
        <v>349.78948904000003</v>
      </c>
      <c r="I22" s="8">
        <f>H22*(1+Assumptions!$D$67)</f>
        <v>370.77685838240006</v>
      </c>
      <c r="J22" s="8">
        <f>I22*(1+Assumptions!$D$67)</f>
        <v>393.02346988534407</v>
      </c>
      <c r="K22" s="8">
        <f>J22*(1+Assumptions!$D$67)</f>
        <v>416.60487807846471</v>
      </c>
    </row>
    <row r="23" spans="2:11" ht="15" customHeight="1" x14ac:dyDescent="0.25">
      <c r="B23" s="1" t="s">
        <v>143</v>
      </c>
      <c r="F23" s="8">
        <f>F10*Assumptions!D$68</f>
        <v>1569.3207199999999</v>
      </c>
      <c r="G23" s="8">
        <f>G10*Assumptions!E$68</f>
        <v>1704.8767629800002</v>
      </c>
      <c r="H23" s="8">
        <f>H10*Assumptions!F$68</f>
        <v>1859.2444797984001</v>
      </c>
      <c r="I23" s="8">
        <f>I10*Assumptions!G$68</f>
        <v>2025.7543749353001</v>
      </c>
      <c r="J23" s="8">
        <f>J10*Assumptions!H$68</f>
        <v>2199.4222376961097</v>
      </c>
      <c r="K23" s="8">
        <f>K10*Assumptions!I$68</f>
        <v>2376.4632738731484</v>
      </c>
    </row>
    <row r="24" spans="2:11" ht="15" customHeight="1" x14ac:dyDescent="0.25">
      <c r="B24" s="4" t="s">
        <v>21</v>
      </c>
      <c r="E24" s="16">
        <v>1497.1</v>
      </c>
      <c r="F24" s="9">
        <f t="shared" ref="F24:K24" si="5">F20-F21-F22-F23</f>
        <v>1509.3680800000013</v>
      </c>
      <c r="G24" s="9">
        <f t="shared" si="5"/>
        <v>1714.0911950200018</v>
      </c>
      <c r="H24" s="9">
        <f t="shared" si="5"/>
        <v>1955.5689071616014</v>
      </c>
      <c r="I24" s="9">
        <f t="shared" si="5"/>
        <v>2223.1908992059007</v>
      </c>
      <c r="J24" s="9">
        <f t="shared" si="5"/>
        <v>2508.773397729221</v>
      </c>
      <c r="K24" s="9">
        <f t="shared" si="5"/>
        <v>2805.8524547983675</v>
      </c>
    </row>
    <row r="25" spans="2:11" ht="15" customHeight="1" x14ac:dyDescent="0.25">
      <c r="B25" s="1" t="s">
        <v>144</v>
      </c>
      <c r="E25" s="6">
        <f t="shared" ref="E25:K25" si="6">E24/E10</f>
        <v>0.1151146071217119</v>
      </c>
      <c r="F25" s="6">
        <f t="shared" si="6"/>
        <v>0.10579767837386365</v>
      </c>
      <c r="G25" s="6">
        <f t="shared" si="6"/>
        <v>0.10958911770878067</v>
      </c>
      <c r="H25" s="6">
        <f t="shared" si="6"/>
        <v>0.1135953040432605</v>
      </c>
      <c r="I25" s="6">
        <f t="shared" si="6"/>
        <v>0.11742856348150747</v>
      </c>
      <c r="J25" s="6">
        <f t="shared" si="6"/>
        <v>0.12090901674153233</v>
      </c>
      <c r="K25" s="6">
        <f t="shared" si="6"/>
        <v>0.1239718328462393</v>
      </c>
    </row>
    <row r="26" spans="2:11" ht="15" customHeight="1" x14ac:dyDescent="0.25">
      <c r="B26" s="1" t="s">
        <v>145</v>
      </c>
      <c r="F26" s="8">
        <f>Assumptions!$D$80</f>
        <v>480.15500000000003</v>
      </c>
      <c r="G26" s="8">
        <f>Assumptions!$E$80</f>
        <v>466.84926999999999</v>
      </c>
      <c r="H26" s="8">
        <f>Assumptions!$F$80</f>
        <v>455.75229117999993</v>
      </c>
      <c r="I26" s="8">
        <f>Assumptions!$G$80</f>
        <v>446.49741084412</v>
      </c>
      <c r="J26" s="8">
        <f>Assumptions!$H$80</f>
        <v>438.77884064399603</v>
      </c>
      <c r="K26" s="8">
        <f>Assumptions!$I$80</f>
        <v>432.34155309709274</v>
      </c>
    </row>
    <row r="27" spans="2:11" ht="15" customHeight="1" x14ac:dyDescent="0.25">
      <c r="B27" s="4" t="s">
        <v>146</v>
      </c>
      <c r="F27" s="9">
        <f t="shared" ref="F27:K27" si="7">F24-F26</f>
        <v>1029.2130800000014</v>
      </c>
      <c r="G27" s="9">
        <f t="shared" si="7"/>
        <v>1247.2419250200019</v>
      </c>
      <c r="H27" s="9">
        <f t="shared" si="7"/>
        <v>1499.8166159816014</v>
      </c>
      <c r="I27" s="9">
        <f t="shared" si="7"/>
        <v>1776.6934883617807</v>
      </c>
      <c r="J27" s="9">
        <f t="shared" si="7"/>
        <v>2069.9945570852251</v>
      </c>
      <c r="K27" s="9">
        <f t="shared" si="7"/>
        <v>2373.5109017012746</v>
      </c>
    </row>
    <row r="29" spans="2:11" ht="15" customHeight="1" x14ac:dyDescent="0.25">
      <c r="B29" s="4" t="s">
        <v>147</v>
      </c>
    </row>
    <row r="30" spans="2:11" ht="15" customHeight="1" x14ac:dyDescent="0.25">
      <c r="B30" s="1" t="s">
        <v>148</v>
      </c>
      <c r="E30" s="6">
        <v>1.167</v>
      </c>
      <c r="F30" s="6">
        <f>Assumptions!$D$59</f>
        <v>1.08</v>
      </c>
      <c r="G30" s="6">
        <f>Assumptions!$E$59</f>
        <v>1</v>
      </c>
      <c r="H30" s="6">
        <f>Assumptions!$F$59</f>
        <v>0.92</v>
      </c>
      <c r="I30" s="6">
        <f>Assumptions!$G$59</f>
        <v>0.9</v>
      </c>
      <c r="J30" s="6">
        <f>Assumptions!$H$59</f>
        <v>0.88</v>
      </c>
      <c r="K30" s="6">
        <f>Assumptions!$I$59</f>
        <v>0.88</v>
      </c>
    </row>
    <row r="31" spans="2:11" ht="15" customHeight="1" x14ac:dyDescent="0.25">
      <c r="B31" s="4" t="s">
        <v>149</v>
      </c>
      <c r="E31" s="26">
        <f t="shared" ref="E31:K31" si="8">E15*(1-E30)</f>
        <v>-135.05290000000005</v>
      </c>
      <c r="F31" s="26">
        <f t="shared" si="8"/>
        <v>-79.576400000000064</v>
      </c>
      <c r="G31" s="26">
        <f t="shared" si="8"/>
        <v>0</v>
      </c>
      <c r="H31" s="26">
        <f t="shared" si="8"/>
        <v>114.13896491999994</v>
      </c>
      <c r="I31" s="26">
        <f t="shared" si="8"/>
        <v>167.26270148024994</v>
      </c>
      <c r="J31" s="26">
        <f t="shared" si="8"/>
        <v>235.19101400721897</v>
      </c>
      <c r="K31" s="26">
        <f t="shared" si="8"/>
        <v>275.47075321652136</v>
      </c>
    </row>
    <row r="32" spans="2:11" ht="15" customHeight="1" x14ac:dyDescent="0.25">
      <c r="B32" s="90" t="s">
        <v>150</v>
      </c>
      <c r="C32" s="90"/>
      <c r="D32" s="90"/>
      <c r="E32" s="90"/>
      <c r="F32" s="90"/>
      <c r="G32" s="90"/>
      <c r="H32" s="90"/>
      <c r="I32" s="90"/>
      <c r="J32" s="90"/>
    </row>
    <row r="34" spans="2:12" ht="15" customHeight="1" x14ac:dyDescent="0.25">
      <c r="B34" s="4" t="s">
        <v>151</v>
      </c>
      <c r="F34" s="9">
        <f t="shared" ref="F34:K34" si="9">F27+F31</f>
        <v>949.63668000000132</v>
      </c>
      <c r="G34" s="9">
        <f t="shared" si="9"/>
        <v>1247.2419250200019</v>
      </c>
      <c r="H34" s="9">
        <f t="shared" si="9"/>
        <v>1613.9555809016015</v>
      </c>
      <c r="I34" s="9">
        <f t="shared" si="9"/>
        <v>1943.9561898420307</v>
      </c>
      <c r="J34" s="9">
        <f t="shared" si="9"/>
        <v>2305.1855710924442</v>
      </c>
      <c r="K34" s="9">
        <f t="shared" si="9"/>
        <v>2648.9816549177958</v>
      </c>
    </row>
    <row r="35" spans="2:12" ht="15" customHeight="1" x14ac:dyDescent="0.25">
      <c r="B35" s="1" t="s">
        <v>152</v>
      </c>
      <c r="F35" s="8">
        <f>Assumptions!$D$91</f>
        <v>106.2</v>
      </c>
      <c r="G35" s="8">
        <f>Assumptions!$D$91</f>
        <v>106.2</v>
      </c>
      <c r="H35" s="8">
        <f>Assumptions!$D$91</f>
        <v>106.2</v>
      </c>
      <c r="I35" s="8">
        <f>Assumptions!$D$91</f>
        <v>106.2</v>
      </c>
      <c r="J35" s="8">
        <f>Assumptions!$D$91</f>
        <v>106.2</v>
      </c>
      <c r="K35" s="8">
        <f>Assumptions!$D$91</f>
        <v>106.2</v>
      </c>
    </row>
    <row r="36" spans="2:12" ht="15" customHeight="1" x14ac:dyDescent="0.25">
      <c r="B36" s="1" t="s">
        <v>153</v>
      </c>
      <c r="F36" s="8">
        <f>Assumptions!$D$92+Assumptions!$D$126</f>
        <v>44.5</v>
      </c>
      <c r="G36" s="8">
        <f>Assumptions!$D$92+Assumptions!$E$126</f>
        <v>110.5</v>
      </c>
      <c r="H36" s="8">
        <f>Assumptions!$D$92+Assumptions!$F$126</f>
        <v>204</v>
      </c>
      <c r="I36" s="8">
        <f>Assumptions!$D$92+Assumptions!$G$126</f>
        <v>297.5</v>
      </c>
      <c r="J36" s="8">
        <f>Assumptions!$D$92+Assumptions!$H$126</f>
        <v>391</v>
      </c>
      <c r="K36" s="8">
        <f>Assumptions!$D$92+Assumptions!$I$126</f>
        <v>484.5</v>
      </c>
    </row>
    <row r="37" spans="2:12" ht="15" customHeight="1" x14ac:dyDescent="0.25">
      <c r="B37" s="4" t="s">
        <v>154</v>
      </c>
      <c r="C37" s="16">
        <v>1250.2</v>
      </c>
      <c r="D37" s="16">
        <v>1273.2</v>
      </c>
      <c r="E37" s="16">
        <v>1206.9000000000001</v>
      </c>
      <c r="F37" s="9">
        <f t="shared" ref="F37:K37" si="10">F34+F35-F36</f>
        <v>1011.3366800000013</v>
      </c>
      <c r="G37" s="9">
        <f t="shared" si="10"/>
        <v>1242.9419250200019</v>
      </c>
      <c r="H37" s="9">
        <f t="shared" si="10"/>
        <v>1516.1555809016015</v>
      </c>
      <c r="I37" s="9">
        <f t="shared" si="10"/>
        <v>1752.6561898420305</v>
      </c>
      <c r="J37" s="9">
        <f t="shared" si="10"/>
        <v>2020.385571092444</v>
      </c>
      <c r="K37" s="9">
        <f t="shared" si="10"/>
        <v>2270.6816549177956</v>
      </c>
    </row>
    <row r="38" spans="2:12" ht="15" customHeight="1" x14ac:dyDescent="0.25">
      <c r="B38" s="1" t="s">
        <v>155</v>
      </c>
      <c r="F38" s="8">
        <f>F37*Assumptions!$D$89</f>
        <v>252.83417000000031</v>
      </c>
      <c r="G38" s="8">
        <f>G37*Assumptions!$D$89</f>
        <v>310.73548125500048</v>
      </c>
      <c r="H38" s="8">
        <f>H37*Assumptions!$D$89</f>
        <v>379.03889522540038</v>
      </c>
      <c r="I38" s="8">
        <f>I37*Assumptions!$D$89</f>
        <v>438.16404746050762</v>
      </c>
      <c r="J38" s="8">
        <f>J37*Assumptions!$D$89</f>
        <v>505.09639277311101</v>
      </c>
      <c r="K38" s="8">
        <f>K37*Assumptions!$D$89</f>
        <v>567.67041372944891</v>
      </c>
    </row>
    <row r="39" spans="2:12" ht="15" customHeight="1" x14ac:dyDescent="0.25">
      <c r="B39" s="4" t="s">
        <v>23</v>
      </c>
      <c r="C39" s="16">
        <v>934.4</v>
      </c>
      <c r="D39" s="16">
        <v>944.7</v>
      </c>
      <c r="E39" s="16">
        <v>895.8</v>
      </c>
      <c r="F39" s="9">
        <f t="shared" ref="F39:K39" si="11">F37-F38</f>
        <v>758.50251000000094</v>
      </c>
      <c r="G39" s="9">
        <f t="shared" si="11"/>
        <v>932.2064437650015</v>
      </c>
      <c r="H39" s="9">
        <f t="shared" si="11"/>
        <v>1137.1166856762011</v>
      </c>
      <c r="I39" s="9">
        <f t="shared" si="11"/>
        <v>1314.4921423815229</v>
      </c>
      <c r="J39" s="9">
        <f t="shared" si="11"/>
        <v>1515.2891783193331</v>
      </c>
      <c r="K39" s="9">
        <f t="shared" si="11"/>
        <v>1703.0112411883467</v>
      </c>
      <c r="L39" s="9">
        <f>G39*20</f>
        <v>18644.12887530003</v>
      </c>
    </row>
    <row r="42" spans="2:12" ht="15.75" customHeight="1" x14ac:dyDescent="0.25">
      <c r="B42" s="27" t="s">
        <v>156</v>
      </c>
    </row>
    <row r="43" spans="2:12" ht="15" customHeight="1" x14ac:dyDescent="0.25">
      <c r="B43" s="90" t="s">
        <v>157</v>
      </c>
      <c r="C43" s="90"/>
      <c r="D43" s="90"/>
      <c r="E43" s="90"/>
      <c r="F43" s="90"/>
    </row>
    <row r="45" spans="2:12" ht="15" customHeight="1" x14ac:dyDescent="0.25">
      <c r="B45" s="4" t="s">
        <v>10</v>
      </c>
      <c r="C45" s="25" t="s">
        <v>11</v>
      </c>
      <c r="D45" s="25" t="s">
        <v>12</v>
      </c>
      <c r="E45" s="25" t="s">
        <v>13</v>
      </c>
    </row>
    <row r="46" spans="2:12" ht="15" customHeight="1" x14ac:dyDescent="0.25">
      <c r="B46" s="28" t="s">
        <v>158</v>
      </c>
    </row>
    <row r="47" spans="2:12" ht="15" customHeight="1" x14ac:dyDescent="0.25">
      <c r="B47" s="1" t="s">
        <v>159</v>
      </c>
      <c r="C47" s="16">
        <v>148.86000000000001</v>
      </c>
      <c r="D47" s="16">
        <v>163.13</v>
      </c>
      <c r="E47" s="16">
        <v>177.74</v>
      </c>
    </row>
    <row r="48" spans="2:12" ht="15" customHeight="1" x14ac:dyDescent="0.25">
      <c r="B48" s="1" t="s">
        <v>160</v>
      </c>
      <c r="C48" s="16">
        <v>1.05</v>
      </c>
      <c r="D48" s="16">
        <v>1.54</v>
      </c>
      <c r="E48" s="16">
        <v>1.81</v>
      </c>
    </row>
    <row r="49" spans="2:5" ht="15" customHeight="1" x14ac:dyDescent="0.25">
      <c r="B49" s="1" t="s">
        <v>161</v>
      </c>
      <c r="C49" s="16">
        <v>280.55</v>
      </c>
      <c r="D49" s="16">
        <v>343.34</v>
      </c>
      <c r="E49" s="16">
        <v>227.34</v>
      </c>
    </row>
    <row r="50" spans="2:5" ht="15" customHeight="1" x14ac:dyDescent="0.25">
      <c r="B50" s="1" t="s">
        <v>162</v>
      </c>
      <c r="C50" s="16">
        <v>303.44</v>
      </c>
      <c r="D50" s="16">
        <v>346.6</v>
      </c>
      <c r="E50" s="16">
        <v>351.73</v>
      </c>
    </row>
    <row r="51" spans="2:5" ht="15" customHeight="1" x14ac:dyDescent="0.25">
      <c r="B51" s="1" t="s">
        <v>163</v>
      </c>
      <c r="C51" s="16">
        <v>69.900000000000006</v>
      </c>
      <c r="D51" s="16">
        <v>73.75</v>
      </c>
      <c r="E51" s="16">
        <v>106.3</v>
      </c>
    </row>
    <row r="52" spans="2:5" ht="15" customHeight="1" x14ac:dyDescent="0.25">
      <c r="B52" s="1" t="s">
        <v>164</v>
      </c>
      <c r="C52" s="16">
        <v>202.2</v>
      </c>
      <c r="D52" s="16">
        <v>289.97000000000003</v>
      </c>
      <c r="E52" s="16">
        <v>425.5</v>
      </c>
    </row>
    <row r="53" spans="2:5" ht="15" customHeight="1" x14ac:dyDescent="0.25">
      <c r="B53" s="1" t="s">
        <v>165</v>
      </c>
      <c r="C53" s="16">
        <v>32.28</v>
      </c>
      <c r="D53" s="16">
        <v>46.95</v>
      </c>
      <c r="E53" s="16">
        <v>54.63</v>
      </c>
    </row>
    <row r="54" spans="2:5" ht="15" customHeight="1" x14ac:dyDescent="0.25">
      <c r="B54" s="1" t="s">
        <v>166</v>
      </c>
      <c r="C54" s="16">
        <v>0.4</v>
      </c>
      <c r="D54" s="16">
        <v>0.78</v>
      </c>
      <c r="E54" s="16">
        <v>0.32</v>
      </c>
    </row>
    <row r="55" spans="2:5" ht="15" customHeight="1" x14ac:dyDescent="0.25">
      <c r="B55" s="1" t="s">
        <v>167</v>
      </c>
      <c r="C55" s="16">
        <v>0.15</v>
      </c>
      <c r="D55" s="16">
        <v>0.05</v>
      </c>
      <c r="E55" s="16">
        <v>0.15</v>
      </c>
    </row>
    <row r="56" spans="2:5" ht="15" customHeight="1" x14ac:dyDescent="0.25">
      <c r="B56" s="1" t="s">
        <v>168</v>
      </c>
      <c r="C56" s="16">
        <v>0</v>
      </c>
      <c r="D56" s="16">
        <v>0.26</v>
      </c>
      <c r="E56" s="16">
        <v>0</v>
      </c>
    </row>
    <row r="57" spans="2:5" ht="15" customHeight="1" x14ac:dyDescent="0.25">
      <c r="B57" s="1" t="s">
        <v>169</v>
      </c>
      <c r="C57" s="16">
        <v>131.07</v>
      </c>
      <c r="D57" s="16">
        <v>109.26</v>
      </c>
      <c r="E57" s="16">
        <v>168.4</v>
      </c>
    </row>
    <row r="58" spans="2:5" ht="15" customHeight="1" x14ac:dyDescent="0.25">
      <c r="B58" s="4" t="s">
        <v>170</v>
      </c>
      <c r="C58" s="9">
        <f>SUM(C47:C57)</f>
        <v>1169.9000000000001</v>
      </c>
      <c r="D58" s="9">
        <f>SUM(D47:D57)</f>
        <v>1375.6299999999999</v>
      </c>
      <c r="E58" s="9">
        <f>SUM(E47:E57)</f>
        <v>1513.9200000000003</v>
      </c>
    </row>
    <row r="60" spans="2:5" ht="15" customHeight="1" x14ac:dyDescent="0.25">
      <c r="B60" s="28" t="s">
        <v>171</v>
      </c>
    </row>
    <row r="61" spans="2:5" ht="15" customHeight="1" x14ac:dyDescent="0.25">
      <c r="B61" s="1" t="s">
        <v>172</v>
      </c>
      <c r="C61" s="16">
        <v>3.58</v>
      </c>
      <c r="D61" s="16">
        <v>3.05</v>
      </c>
      <c r="E61" s="16">
        <v>1.2</v>
      </c>
    </row>
    <row r="62" spans="2:5" ht="15" customHeight="1" x14ac:dyDescent="0.25">
      <c r="B62" s="1" t="s">
        <v>173</v>
      </c>
      <c r="C62" s="16">
        <v>34.85</v>
      </c>
      <c r="D62" s="16">
        <v>33.159999999999997</v>
      </c>
      <c r="E62" s="16">
        <v>37.24</v>
      </c>
    </row>
    <row r="63" spans="2:5" ht="15" customHeight="1" x14ac:dyDescent="0.25">
      <c r="B63" s="1" t="s">
        <v>174</v>
      </c>
      <c r="C63" s="16">
        <v>58.41</v>
      </c>
      <c r="D63" s="16">
        <v>65.73</v>
      </c>
      <c r="E63" s="16">
        <v>63.49</v>
      </c>
    </row>
    <row r="64" spans="2:5" ht="15" customHeight="1" x14ac:dyDescent="0.25">
      <c r="B64" s="1" t="s">
        <v>175</v>
      </c>
      <c r="C64" s="16">
        <v>25.11</v>
      </c>
      <c r="D64" s="16">
        <v>6.1</v>
      </c>
      <c r="E64" s="16">
        <v>45.75</v>
      </c>
    </row>
    <row r="65" spans="2:11" ht="15" customHeight="1" x14ac:dyDescent="0.25">
      <c r="B65" s="1" t="s">
        <v>176</v>
      </c>
      <c r="C65" s="16">
        <v>2.85</v>
      </c>
      <c r="D65" s="16">
        <v>2.68</v>
      </c>
      <c r="E65" s="16">
        <v>3.04</v>
      </c>
    </row>
    <row r="66" spans="2:11" ht="15" customHeight="1" x14ac:dyDescent="0.25">
      <c r="B66" s="1" t="s">
        <v>177</v>
      </c>
      <c r="C66" s="16">
        <v>33.229999999999997</v>
      </c>
      <c r="D66" s="16">
        <v>33.880000000000003</v>
      </c>
      <c r="E66" s="16">
        <v>37.97</v>
      </c>
    </row>
    <row r="67" spans="2:11" ht="15" customHeight="1" x14ac:dyDescent="0.25">
      <c r="B67" s="1" t="s">
        <v>178</v>
      </c>
      <c r="C67" s="16">
        <v>16.8</v>
      </c>
      <c r="D67" s="16">
        <v>19.239999999999998</v>
      </c>
      <c r="E67" s="16">
        <v>22.7</v>
      </c>
    </row>
    <row r="68" spans="2:11" ht="15" customHeight="1" x14ac:dyDescent="0.25">
      <c r="B68" s="1" t="s">
        <v>179</v>
      </c>
      <c r="C68" s="16">
        <v>52.92</v>
      </c>
      <c r="D68" s="16">
        <v>73.430000000000007</v>
      </c>
      <c r="E68" s="16">
        <v>71.34</v>
      </c>
    </row>
    <row r="69" spans="2:11" ht="15" customHeight="1" x14ac:dyDescent="0.25">
      <c r="B69" s="1" t="s">
        <v>180</v>
      </c>
      <c r="C69" s="16">
        <v>1.42</v>
      </c>
      <c r="D69" s="16">
        <v>1.43</v>
      </c>
      <c r="E69" s="16">
        <v>1.62</v>
      </c>
    </row>
    <row r="70" spans="2:11" ht="15" customHeight="1" x14ac:dyDescent="0.25">
      <c r="B70" s="1" t="s">
        <v>181</v>
      </c>
      <c r="C70" s="16">
        <v>3.59</v>
      </c>
      <c r="D70" s="16">
        <v>4.93</v>
      </c>
      <c r="E70" s="16">
        <v>7.03</v>
      </c>
    </row>
    <row r="71" spans="2:11" ht="15" customHeight="1" x14ac:dyDescent="0.25">
      <c r="B71" s="1" t="s">
        <v>182</v>
      </c>
      <c r="C71" s="16">
        <v>2.68</v>
      </c>
      <c r="D71" s="16">
        <v>2.7</v>
      </c>
      <c r="E71" s="16">
        <v>2.31</v>
      </c>
    </row>
    <row r="72" spans="2:11" ht="15" customHeight="1" x14ac:dyDescent="0.25">
      <c r="B72" s="4" t="s">
        <v>183</v>
      </c>
      <c r="C72" s="9">
        <f>SUM(C61:C71)</f>
        <v>235.44</v>
      </c>
      <c r="D72" s="9">
        <f>SUM(D61:D71)</f>
        <v>246.33</v>
      </c>
      <c r="E72" s="9">
        <f>SUM(E61:E71)</f>
        <v>293.69</v>
      </c>
    </row>
    <row r="73" spans="2:11" ht="15" customHeight="1" x14ac:dyDescent="0.25">
      <c r="B73" s="4" t="s">
        <v>184</v>
      </c>
      <c r="C73" s="9">
        <f>C58+C72</f>
        <v>1405.3400000000001</v>
      </c>
      <c r="D73" s="9">
        <f>D58+D72</f>
        <v>1621.9599999999998</v>
      </c>
      <c r="E73" s="9">
        <f>E58+E72</f>
        <v>1807.6100000000004</v>
      </c>
    </row>
    <row r="74" spans="2:11" ht="15" customHeight="1" x14ac:dyDescent="0.25">
      <c r="B74" s="1" t="s">
        <v>185</v>
      </c>
      <c r="C74" s="6">
        <f>C58/11260.3</f>
        <v>0.10389598856158364</v>
      </c>
      <c r="D74" s="6">
        <f>D58/12404.9</f>
        <v>0.11089408217720416</v>
      </c>
      <c r="E74" s="6">
        <f>E58/13548.9</f>
        <v>0.11173748422381155</v>
      </c>
    </row>
    <row r="75" spans="2:11" ht="15" customHeight="1" x14ac:dyDescent="0.25">
      <c r="B75" s="1" t="s">
        <v>186</v>
      </c>
      <c r="C75" s="6">
        <f>C72/11260.3</f>
        <v>2.0908856780014744E-2</v>
      </c>
      <c r="D75" s="6">
        <f>D72/12404.9</f>
        <v>1.9857475674934906E-2</v>
      </c>
      <c r="E75" s="6">
        <f>E72/13548.9</f>
        <v>2.1676298444892207E-2</v>
      </c>
    </row>
    <row r="78" spans="2:11" ht="15.75" x14ac:dyDescent="0.25">
      <c r="B78" s="61" t="s">
        <v>309</v>
      </c>
      <c r="C78" s="47"/>
      <c r="D78" s="47"/>
      <c r="E78" s="47"/>
      <c r="F78" s="47"/>
      <c r="G78" s="47"/>
      <c r="H78" s="47"/>
      <c r="I78" s="47"/>
      <c r="J78" s="47"/>
      <c r="K78" s="48"/>
    </row>
    <row r="79" spans="2:11" x14ac:dyDescent="0.25">
      <c r="B79" s="49" t="s">
        <v>305</v>
      </c>
      <c r="C79" s="50"/>
      <c r="D79" s="50"/>
      <c r="E79" s="50"/>
      <c r="F79" s="50"/>
      <c r="G79" s="50">
        <v>2</v>
      </c>
      <c r="H79" s="50">
        <v>6</v>
      </c>
      <c r="I79" s="50">
        <v>9</v>
      </c>
      <c r="J79" s="50">
        <v>12</v>
      </c>
      <c r="K79" s="51">
        <v>16</v>
      </c>
    </row>
    <row r="80" spans="2:11" x14ac:dyDescent="0.25">
      <c r="B80" s="49" t="s">
        <v>306</v>
      </c>
      <c r="C80" s="50"/>
      <c r="D80" s="50"/>
      <c r="E80" s="50"/>
      <c r="F80" s="50"/>
      <c r="G80" s="50">
        <f>78*95</f>
        <v>7410</v>
      </c>
      <c r="H80" s="50">
        <f t="shared" ref="H80:K80" si="12">78*95</f>
        <v>7410</v>
      </c>
      <c r="I80" s="50">
        <f t="shared" si="12"/>
        <v>7410</v>
      </c>
      <c r="J80" s="50">
        <f t="shared" si="12"/>
        <v>7410</v>
      </c>
      <c r="K80" s="51">
        <f t="shared" si="12"/>
        <v>7410</v>
      </c>
    </row>
    <row r="81" spans="2:12" x14ac:dyDescent="0.25">
      <c r="B81" s="49" t="s">
        <v>304</v>
      </c>
      <c r="C81" s="50"/>
      <c r="D81" s="50"/>
      <c r="E81" s="50"/>
      <c r="F81" s="50"/>
      <c r="G81" s="50">
        <f>G80*1000000*G79/10000000</f>
        <v>1482</v>
      </c>
      <c r="H81" s="50">
        <f t="shared" ref="H81:K81" si="13">H80*1000000*H79/10000000</f>
        <v>4446</v>
      </c>
      <c r="I81" s="50">
        <f t="shared" si="13"/>
        <v>6669</v>
      </c>
      <c r="J81" s="50">
        <f t="shared" si="13"/>
        <v>8892</v>
      </c>
      <c r="K81" s="51">
        <f t="shared" si="13"/>
        <v>11856</v>
      </c>
    </row>
    <row r="82" spans="2:12" x14ac:dyDescent="0.25">
      <c r="B82" s="49" t="s">
        <v>307</v>
      </c>
      <c r="C82" s="50"/>
      <c r="D82" s="50"/>
      <c r="E82" s="50"/>
      <c r="F82" s="50"/>
      <c r="G82" s="52">
        <v>-0.05</v>
      </c>
      <c r="H82" s="52">
        <v>0</v>
      </c>
      <c r="I82" s="52">
        <v>0.05</v>
      </c>
      <c r="J82" s="52">
        <v>0.06</v>
      </c>
      <c r="K82" s="53">
        <v>7.0000000000000007E-2</v>
      </c>
    </row>
    <row r="83" spans="2:12" x14ac:dyDescent="0.25">
      <c r="B83" s="49" t="s">
        <v>229</v>
      </c>
      <c r="C83" s="50"/>
      <c r="D83" s="50"/>
      <c r="E83" s="50"/>
      <c r="F83" s="50"/>
      <c r="G83" s="50">
        <f>G81*G82</f>
        <v>-74.100000000000009</v>
      </c>
      <c r="H83" s="50">
        <f t="shared" ref="H83:K83" si="14">H81*H82</f>
        <v>0</v>
      </c>
      <c r="I83" s="50">
        <f t="shared" si="14"/>
        <v>333.45000000000005</v>
      </c>
      <c r="J83" s="50">
        <f t="shared" si="14"/>
        <v>533.52</v>
      </c>
      <c r="K83" s="51">
        <f t="shared" si="14"/>
        <v>829.92000000000007</v>
      </c>
    </row>
    <row r="84" spans="2:12" x14ac:dyDescent="0.25">
      <c r="B84" s="49" t="s">
        <v>308</v>
      </c>
      <c r="C84" s="50"/>
      <c r="D84" s="50"/>
      <c r="E84" s="50"/>
      <c r="F84" s="50"/>
      <c r="G84" s="50">
        <f>'DCF &amp; SOTP'!D8</f>
        <v>0.77149644658380401</v>
      </c>
      <c r="H84" s="50">
        <f>'DCF &amp; SOTP'!E8</f>
        <v>0.6776429043336003</v>
      </c>
      <c r="I84" s="50">
        <f>'DCF &amp; SOTP'!F8</f>
        <v>0.59520676709143627</v>
      </c>
      <c r="J84" s="50">
        <f>'DCF &amp; SOTP'!G8</f>
        <v>0.52279909274610126</v>
      </c>
      <c r="K84" s="51">
        <f>'DCF &amp; SOTP'!H8</f>
        <v>0.45919990579367698</v>
      </c>
    </row>
    <row r="85" spans="2:12" x14ac:dyDescent="0.25">
      <c r="B85" s="54" t="s">
        <v>203</v>
      </c>
      <c r="C85" s="50"/>
      <c r="D85" s="50"/>
      <c r="E85" s="50"/>
      <c r="F85" s="50"/>
      <c r="G85" s="55">
        <f>G83*G84</f>
        <v>-57.167886691859884</v>
      </c>
      <c r="H85" s="55">
        <f t="shared" ref="H85:K85" si="15">H83*H84</f>
        <v>0</v>
      </c>
      <c r="I85" s="55">
        <f t="shared" si="15"/>
        <v>198.47169648663944</v>
      </c>
      <c r="J85" s="55">
        <f t="shared" si="15"/>
        <v>278.92377196189994</v>
      </c>
      <c r="K85" s="56">
        <f t="shared" si="15"/>
        <v>381.09918581628841</v>
      </c>
      <c r="L85" s="9"/>
    </row>
    <row r="86" spans="2:12" x14ac:dyDescent="0.25">
      <c r="B86" s="49"/>
      <c r="C86" s="50"/>
      <c r="D86" s="50"/>
      <c r="E86" s="50"/>
      <c r="F86" s="50"/>
      <c r="G86" s="50"/>
      <c r="H86" s="50"/>
      <c r="I86" s="50"/>
      <c r="J86" s="50"/>
      <c r="K86" s="51"/>
      <c r="L86" s="1"/>
    </row>
    <row r="87" spans="2:12" x14ac:dyDescent="0.25">
      <c r="B87" s="49" t="s">
        <v>204</v>
      </c>
      <c r="C87" s="50"/>
      <c r="D87" s="50"/>
      <c r="E87" s="50"/>
      <c r="F87" s="50"/>
      <c r="G87" s="50"/>
      <c r="H87" s="70">
        <f>SUM(G85:L85)</f>
        <v>801.32676757296792</v>
      </c>
      <c r="I87" s="57">
        <f>H87/H90</f>
        <v>0.11864014962673408</v>
      </c>
      <c r="J87" s="50"/>
      <c r="K87" s="51"/>
      <c r="L87" s="1"/>
    </row>
    <row r="88" spans="2:12" x14ac:dyDescent="0.25">
      <c r="B88" s="49" t="s">
        <v>205</v>
      </c>
      <c r="C88" s="50"/>
      <c r="D88" s="50"/>
      <c r="E88" s="50"/>
      <c r="F88" s="50"/>
      <c r="G88" s="50"/>
      <c r="H88" s="70">
        <f>K83*(1.07)/(Assumptions!$D$103-0.07)</f>
        <v>12963.71386861314</v>
      </c>
      <c r="I88" s="50"/>
      <c r="J88" s="50"/>
      <c r="K88" s="51"/>
      <c r="L88" s="1"/>
    </row>
    <row r="89" spans="2:12" x14ac:dyDescent="0.25">
      <c r="B89" s="49" t="s">
        <v>206</v>
      </c>
      <c r="C89" s="50"/>
      <c r="D89" s="50"/>
      <c r="E89" s="50"/>
      <c r="F89" s="50"/>
      <c r="G89" s="50"/>
      <c r="H89" s="70">
        <f>H88*K84</f>
        <v>5952.9361872033378</v>
      </c>
      <c r="I89" s="57">
        <f>H89/H90</f>
        <v>0.88135985037326592</v>
      </c>
      <c r="J89" s="50"/>
      <c r="K89" s="51"/>
      <c r="L89" s="1"/>
    </row>
    <row r="90" spans="2:12" x14ac:dyDescent="0.25">
      <c r="B90" s="58" t="s">
        <v>207</v>
      </c>
      <c r="C90" s="59"/>
      <c r="D90" s="59"/>
      <c r="E90" s="59"/>
      <c r="F90" s="59"/>
      <c r="G90" s="59"/>
      <c r="H90" s="71">
        <f>H87+H89</f>
        <v>6754.2629547763054</v>
      </c>
      <c r="I90" s="59"/>
      <c r="J90" s="59"/>
      <c r="K90" s="60"/>
      <c r="L90" s="1"/>
    </row>
    <row r="92" spans="2:12" ht="15.75" x14ac:dyDescent="0.25">
      <c r="B92" s="62" t="s">
        <v>310</v>
      </c>
      <c r="C92" s="48"/>
    </row>
    <row r="93" spans="2:12" x14ac:dyDescent="0.25">
      <c r="B93" s="63" t="s">
        <v>76</v>
      </c>
      <c r="C93" s="51">
        <f>Assumptions!D95</f>
        <v>280</v>
      </c>
    </row>
    <row r="94" spans="2:12" x14ac:dyDescent="0.25">
      <c r="B94" s="63" t="s">
        <v>311</v>
      </c>
      <c r="C94" s="64">
        <v>10</v>
      </c>
    </row>
    <row r="95" spans="2:12" x14ac:dyDescent="0.25">
      <c r="B95" s="63" t="s">
        <v>253</v>
      </c>
      <c r="C95" s="65">
        <f>C93*C94</f>
        <v>2800</v>
      </c>
    </row>
    <row r="96" spans="2:12" x14ac:dyDescent="0.25">
      <c r="B96" s="63" t="s">
        <v>307</v>
      </c>
      <c r="C96" s="53">
        <v>0.05</v>
      </c>
    </row>
    <row r="97" spans="2:3" x14ac:dyDescent="0.25">
      <c r="B97" s="66" t="s">
        <v>229</v>
      </c>
      <c r="C97" s="67">
        <f>C95*C96</f>
        <v>140</v>
      </c>
    </row>
    <row r="98" spans="2:3" x14ac:dyDescent="0.25">
      <c r="B98" s="63" t="s">
        <v>312</v>
      </c>
      <c r="C98" s="64">
        <v>15</v>
      </c>
    </row>
    <row r="99" spans="2:3" x14ac:dyDescent="0.25">
      <c r="B99" s="66" t="s">
        <v>313</v>
      </c>
      <c r="C99" s="67">
        <f>C97*C98</f>
        <v>2100</v>
      </c>
    </row>
    <row r="100" spans="2:3" x14ac:dyDescent="0.25">
      <c r="B100" s="63" t="s">
        <v>308</v>
      </c>
      <c r="C100" s="51">
        <f>H84</f>
        <v>0.6776429043336003</v>
      </c>
    </row>
    <row r="101" spans="2:3" x14ac:dyDescent="0.25">
      <c r="B101" s="68" t="s">
        <v>314</v>
      </c>
      <c r="C101" s="72">
        <f>C99*C100</f>
        <v>1423.0500991005606</v>
      </c>
    </row>
  </sheetData>
  <mergeCells count="2">
    <mergeCell ref="B32:J32"/>
    <mergeCell ref="B43:F43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rop Down 1">
              <controlPr defaultSize="0" autoLine="0" autoPict="0">
                <anchor moveWithCells="1">
                  <from>
                    <xdr:col>10</xdr:col>
                    <xdr:colOff>0</xdr:colOff>
                    <xdr:row>1</xdr:row>
                    <xdr:rowOff>0</xdr:rowOff>
                  </from>
                  <to>
                    <xdr:col>11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6"/>
  <sheetViews>
    <sheetView topLeftCell="A4" zoomScale="160" zoomScaleNormal="160" workbookViewId="0">
      <selection activeCell="H12" sqref="H12"/>
    </sheetView>
  </sheetViews>
  <sheetFormatPr defaultColWidth="8.7109375" defaultRowHeight="15" x14ac:dyDescent="0.25"/>
  <cols>
    <col min="1" max="1" width="3" style="1" customWidth="1"/>
    <col min="2" max="2" width="42" style="1" customWidth="1"/>
    <col min="3" max="8" width="13" style="1" customWidth="1"/>
  </cols>
  <sheetData>
    <row r="1" spans="2:8" ht="16.5" customHeight="1" x14ac:dyDescent="0.25">
      <c r="B1" s="24" t="s">
        <v>187</v>
      </c>
    </row>
    <row r="2" spans="2:8" ht="15" customHeight="1" x14ac:dyDescent="0.25">
      <c r="B2" s="3" t="s">
        <v>188</v>
      </c>
    </row>
    <row r="4" spans="2:8" ht="15" customHeight="1" x14ac:dyDescent="0.25">
      <c r="B4" s="4" t="s">
        <v>10</v>
      </c>
      <c r="C4" s="25" t="s">
        <v>14</v>
      </c>
      <c r="D4" s="25" t="s">
        <v>15</v>
      </c>
      <c r="E4" s="25" t="s">
        <v>16</v>
      </c>
      <c r="F4" s="25" t="s">
        <v>17</v>
      </c>
      <c r="G4" s="25" t="s">
        <v>18</v>
      </c>
      <c r="H4" s="25" t="s">
        <v>19</v>
      </c>
    </row>
    <row r="5" spans="2:8" ht="15" customHeight="1" x14ac:dyDescent="0.25">
      <c r="B5" s="1" t="s">
        <v>23</v>
      </c>
      <c r="C5" s="8">
        <f>'P&amp;L'!F39</f>
        <v>758.50251000000094</v>
      </c>
      <c r="D5" s="8">
        <f>'P&amp;L'!G39</f>
        <v>932.2064437650015</v>
      </c>
      <c r="E5" s="8">
        <f>'P&amp;L'!H39</f>
        <v>1137.1166856762011</v>
      </c>
      <c r="F5" s="8">
        <f>'P&amp;L'!I39</f>
        <v>1314.4921423815229</v>
      </c>
      <c r="G5" s="8">
        <f>'P&amp;L'!J39</f>
        <v>1515.2891783193331</v>
      </c>
      <c r="H5" s="8">
        <f>'P&amp;L'!K39</f>
        <v>1703.0112411883467</v>
      </c>
    </row>
    <row r="6" spans="2:8" ht="15" customHeight="1" x14ac:dyDescent="0.25">
      <c r="B6" s="1" t="s">
        <v>189</v>
      </c>
      <c r="C6" s="8">
        <f>'P&amp;L'!F26</f>
        <v>480.15500000000003</v>
      </c>
      <c r="D6" s="8">
        <f>'P&amp;L'!G26</f>
        <v>466.84926999999999</v>
      </c>
      <c r="E6" s="8">
        <f>'P&amp;L'!H26</f>
        <v>455.75229117999993</v>
      </c>
      <c r="F6" s="8">
        <f>'P&amp;L'!I26</f>
        <v>446.49741084412</v>
      </c>
      <c r="G6" s="8">
        <f>'P&amp;L'!J26</f>
        <v>438.77884064399603</v>
      </c>
      <c r="H6" s="8">
        <f>'P&amp;L'!K26</f>
        <v>432.34155309709274</v>
      </c>
    </row>
    <row r="7" spans="2:8" ht="15" customHeight="1" x14ac:dyDescent="0.25">
      <c r="B7" s="1" t="s">
        <v>190</v>
      </c>
      <c r="C7" s="8">
        <f>-Assumptions!$D$74</f>
        <v>-400</v>
      </c>
      <c r="D7" s="8">
        <f>-Assumptions!$E$74</f>
        <v>-400</v>
      </c>
      <c r="E7" s="8">
        <f>-Assumptions!$F$74</f>
        <v>-400</v>
      </c>
      <c r="F7" s="8">
        <f>-Assumptions!$G$74</f>
        <v>-400</v>
      </c>
      <c r="G7" s="8">
        <f>-Assumptions!$H$74</f>
        <v>-400</v>
      </c>
      <c r="H7" s="8">
        <f>-Assumptions!$I$74</f>
        <v>-400</v>
      </c>
    </row>
    <row r="8" spans="2:8" ht="15" customHeight="1" x14ac:dyDescent="0.25">
      <c r="B8" s="1" t="s">
        <v>191</v>
      </c>
      <c r="C8" s="8">
        <f>'P&amp;L'!F16</f>
        <v>15261.257</v>
      </c>
      <c r="D8" s="8">
        <f>'P&amp;L'!G16</f>
        <v>16840.664695000003</v>
      </c>
      <c r="E8" s="8">
        <f>'P&amp;L'!H16</f>
        <v>18641.9637263</v>
      </c>
      <c r="F8" s="8">
        <f>'P&amp;L'!I16</f>
        <v>20604.910892702501</v>
      </c>
      <c r="G8" s="8">
        <f>'P&amp;L'!J16</f>
        <v>22709.191510086348</v>
      </c>
      <c r="H8" s="8">
        <f>'P&amp;L'!K16</f>
        <v>24928.57317083433</v>
      </c>
    </row>
    <row r="9" spans="2:8" ht="15" customHeight="1" x14ac:dyDescent="0.25">
      <c r="B9" s="1" t="s">
        <v>192</v>
      </c>
      <c r="C9" s="8">
        <f>(Assumptions!$D$84+Assumptions!$D$85-Assumptions!$D$86)/365*C8</f>
        <v>3048.0702336986296</v>
      </c>
      <c r="D9" s="8">
        <f>(Assumptions!$D$84+Assumptions!$D$85-Assumptions!$D$86)/365*D8</f>
        <v>3363.5190582616442</v>
      </c>
      <c r="E9" s="8">
        <f>(Assumptions!$D$84+Assumptions!$D$85-Assumptions!$D$86)/365*E8</f>
        <v>3723.2853579377256</v>
      </c>
      <c r="F9" s="8">
        <f>(Assumptions!$D$84+Assumptions!$D$85-Assumptions!$D$86)/365*F8</f>
        <v>4115.3369974740062</v>
      </c>
      <c r="G9" s="8">
        <f>(Assumptions!$D$84+Assumptions!$D$85-Assumptions!$D$86)/365*G8</f>
        <v>4535.6166057131359</v>
      </c>
      <c r="H9" s="8">
        <f>(Assumptions!$D$84+Assumptions!$D$85-Assumptions!$D$86)/365*H8</f>
        <v>4978.8848880926644</v>
      </c>
    </row>
    <row r="10" spans="2:8" ht="15" customHeight="1" x14ac:dyDescent="0.25">
      <c r="B10" s="1" t="s">
        <v>193</v>
      </c>
      <c r="C10" s="8">
        <f>-(C9-13814*(Assumptions!$D$84+Assumptions!$D$85-Assumptions!$D$86)/365)</f>
        <v>-289.0548912328768</v>
      </c>
      <c r="D10" s="8">
        <f>-(D9-C9)</f>
        <v>-315.44882456301457</v>
      </c>
      <c r="E10" s="8">
        <f>-(E9-D9)</f>
        <v>-359.76629967608142</v>
      </c>
      <c r="F10" s="8">
        <f>-(F9-E9)</f>
        <v>-392.05163953628062</v>
      </c>
      <c r="G10" s="8">
        <f>-(G9-F9)</f>
        <v>-420.27960823912963</v>
      </c>
      <c r="H10" s="8">
        <f>-(H9-G9)</f>
        <v>-443.2682823795285</v>
      </c>
    </row>
    <row r="11" spans="2:8" ht="15" customHeight="1" x14ac:dyDescent="0.25">
      <c r="B11" s="29" t="s">
        <v>194</v>
      </c>
      <c r="C11" s="30">
        <f t="shared" ref="C11:H11" si="0">C5+C6+C10</f>
        <v>949.60261876712411</v>
      </c>
      <c r="D11" s="30">
        <f t="shared" si="0"/>
        <v>1083.6068892019869</v>
      </c>
      <c r="E11" s="30">
        <f t="shared" si="0"/>
        <v>1233.1026771801196</v>
      </c>
      <c r="F11" s="30">
        <f t="shared" si="0"/>
        <v>1368.9379136893622</v>
      </c>
      <c r="G11" s="30">
        <f t="shared" si="0"/>
        <v>1533.7884107241996</v>
      </c>
      <c r="H11" s="30">
        <f t="shared" si="0"/>
        <v>1692.0845119059109</v>
      </c>
    </row>
    <row r="12" spans="2:8" ht="15" customHeight="1" x14ac:dyDescent="0.25">
      <c r="B12" s="4" t="s">
        <v>195</v>
      </c>
      <c r="C12" s="26">
        <f>C5+C6+C7+C10+C16</f>
        <v>9.6026187671241132</v>
      </c>
      <c r="D12" s="26">
        <f t="shared" ref="D12:H12" si="1">D5+D6+D7+D10+D16</f>
        <v>-81.393110798013026</v>
      </c>
      <c r="E12" s="26">
        <f t="shared" si="1"/>
        <v>68.102677180119713</v>
      </c>
      <c r="F12" s="26">
        <f t="shared" si="1"/>
        <v>203.93791368936229</v>
      </c>
      <c r="G12" s="26">
        <f t="shared" si="1"/>
        <v>368.78841072419971</v>
      </c>
      <c r="H12" s="26">
        <f t="shared" si="1"/>
        <v>1292.0845119059109</v>
      </c>
    </row>
    <row r="14" spans="2:8" ht="15" customHeight="1" x14ac:dyDescent="0.25">
      <c r="B14" s="1" t="s">
        <v>196</v>
      </c>
      <c r="C14" s="8">
        <f>-Assumptions!$D$90</f>
        <v>-194</v>
      </c>
      <c r="D14" s="8">
        <f>-Assumptions!$D$90</f>
        <v>-194</v>
      </c>
      <c r="E14" s="8">
        <f>-Assumptions!$D$90</f>
        <v>-194</v>
      </c>
      <c r="F14" s="8">
        <f>-Assumptions!$D$90</f>
        <v>-194</v>
      </c>
      <c r="G14" s="8">
        <f>-Assumptions!$D$90</f>
        <v>-194</v>
      </c>
      <c r="H14" s="8">
        <f>-Assumptions!$D$90</f>
        <v>-194</v>
      </c>
    </row>
    <row r="16" spans="2:8" ht="15" customHeight="1" x14ac:dyDescent="0.25">
      <c r="B16" s="1" t="s">
        <v>197</v>
      </c>
      <c r="C16" s="8">
        <f>-Assumptions!$D$124</f>
        <v>-540</v>
      </c>
      <c r="D16" s="8">
        <f>-Assumptions!$E$124</f>
        <v>-764.99999999999989</v>
      </c>
      <c r="E16" s="8">
        <f>-Assumptions!$F$124</f>
        <v>-764.99999999999989</v>
      </c>
      <c r="F16" s="8">
        <f>-Assumptions!$G$124</f>
        <v>-764.99999999999989</v>
      </c>
      <c r="G16" s="8">
        <f>-Assumptions!$H$124</f>
        <v>-764.99999999999989</v>
      </c>
      <c r="H16" s="8">
        <f>-Assumptions!$I$124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defaultSize="0" autoLine="0" autoPict="0">
                <anchor moveWithCells="1">
                  <from>
                    <xdr:col>9</xdr:col>
                    <xdr:colOff>0</xdr:colOff>
                    <xdr:row>1</xdr:row>
                    <xdr:rowOff>0</xdr:rowOff>
                  </from>
                  <to>
                    <xdr:col>10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72"/>
  <sheetViews>
    <sheetView topLeftCell="A157" zoomScale="130" zoomScaleNormal="130" workbookViewId="0">
      <selection activeCell="C166" sqref="C166"/>
    </sheetView>
  </sheetViews>
  <sheetFormatPr defaultColWidth="8.7109375" defaultRowHeight="15" x14ac:dyDescent="0.25"/>
  <cols>
    <col min="1" max="1" width="3" style="1" customWidth="1"/>
    <col min="2" max="2" width="42" style="1" customWidth="1"/>
    <col min="3" max="10" width="13" style="1" customWidth="1"/>
    <col min="11" max="11" width="10.85546875" bestFit="1" customWidth="1"/>
  </cols>
  <sheetData>
    <row r="1" spans="2:9" ht="16.5" customHeight="1" x14ac:dyDescent="0.25">
      <c r="B1" s="24" t="s">
        <v>198</v>
      </c>
    </row>
    <row r="2" spans="2:9" ht="15" customHeight="1" x14ac:dyDescent="0.25">
      <c r="B2" s="1" t="s">
        <v>199</v>
      </c>
      <c r="F2" s="7" t="str">
        <f>INDEX(Assumptions!$N$3:$N$5,Assumptions!$C$4)</f>
        <v>Base</v>
      </c>
    </row>
    <row r="4" spans="2:9" ht="15" customHeight="1" x14ac:dyDescent="0.25">
      <c r="B4" s="89" t="s">
        <v>200</v>
      </c>
      <c r="C4" s="89"/>
      <c r="D4" s="89"/>
      <c r="E4" s="89"/>
      <c r="F4" s="89"/>
      <c r="G4" s="89"/>
      <c r="H4" s="89"/>
      <c r="I4" s="89"/>
    </row>
    <row r="5" spans="2:9" ht="15" customHeight="1" x14ac:dyDescent="0.25">
      <c r="B5" s="1" t="s">
        <v>10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</row>
    <row r="6" spans="2:9" ht="15" customHeight="1" x14ac:dyDescent="0.25">
      <c r="B6" s="1" t="s">
        <v>24</v>
      </c>
      <c r="C6" s="8">
        <f>'Cash Flow'!C12</f>
        <v>9.6026187671241132</v>
      </c>
      <c r="D6" s="8">
        <f>'Cash Flow'!D12</f>
        <v>-81.393110798013026</v>
      </c>
      <c r="E6" s="8">
        <f>'Cash Flow'!E12</f>
        <v>68.102677180119713</v>
      </c>
      <c r="F6" s="8">
        <f>'Cash Flow'!F12</f>
        <v>203.93791368936229</v>
      </c>
      <c r="G6" s="8">
        <f>'Cash Flow'!G12</f>
        <v>368.78841072419971</v>
      </c>
      <c r="H6" s="8">
        <f>'Cash Flow'!H12</f>
        <v>1292.0845119059109</v>
      </c>
    </row>
    <row r="7" spans="2:9" ht="15" customHeight="1" x14ac:dyDescent="0.25">
      <c r="B7" s="1" t="s">
        <v>201</v>
      </c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</row>
    <row r="8" spans="2:9" ht="15" customHeight="1" x14ac:dyDescent="0.25">
      <c r="B8" s="1" t="s">
        <v>202</v>
      </c>
      <c r="C8" s="31">
        <f>1/(1+Assumptions!$D$103)^C7</f>
        <v>0.87834870443566093</v>
      </c>
      <c r="D8" s="31">
        <f>1/(1+Assumptions!$D$103)^D7</f>
        <v>0.77149644658380401</v>
      </c>
      <c r="E8" s="31">
        <f>1/(1+Assumptions!$D$103)^E7</f>
        <v>0.6776429043336003</v>
      </c>
      <c r="F8" s="31">
        <f>1/(1+Assumptions!$D$103)^F7</f>
        <v>0.59520676709143627</v>
      </c>
      <c r="G8" s="31">
        <f>1/(1+Assumptions!$D$103)^G7</f>
        <v>0.52279909274610126</v>
      </c>
      <c r="H8" s="31">
        <f>1/(1+Assumptions!$D$103)^H7</f>
        <v>0.45919990579367698</v>
      </c>
    </row>
    <row r="9" spans="2:9" ht="15" customHeight="1" x14ac:dyDescent="0.25">
      <c r="B9" s="4" t="s">
        <v>203</v>
      </c>
      <c r="C9" s="9">
        <f t="shared" ref="C9:H9" si="0">C6*C8</f>
        <v>8.4344477532930284</v>
      </c>
      <c r="D9" s="9">
        <f t="shared" si="0"/>
        <v>-62.794495757068901</v>
      </c>
      <c r="E9" s="9">
        <f t="shared" si="0"/>
        <v>46.149295957229924</v>
      </c>
      <c r="F9" s="9">
        <f t="shared" si="0"/>
        <v>121.38522629441769</v>
      </c>
      <c r="G9" s="9">
        <f t="shared" si="0"/>
        <v>192.80224654188817</v>
      </c>
      <c r="H9" s="9">
        <f t="shared" si="0"/>
        <v>593.32508614466337</v>
      </c>
    </row>
    <row r="11" spans="2:9" ht="15" customHeight="1" x14ac:dyDescent="0.25">
      <c r="B11" s="1" t="s">
        <v>204</v>
      </c>
      <c r="D11" s="8">
        <f>SUM(C9:H9)</f>
        <v>899.30180693442321</v>
      </c>
      <c r="E11" s="44">
        <f>D11/$D$14</f>
        <v>0.11327999779139895</v>
      </c>
    </row>
    <row r="12" spans="2:9" ht="15" customHeight="1" x14ac:dyDescent="0.25">
      <c r="B12" s="1" t="s">
        <v>205</v>
      </c>
      <c r="D12" s="8">
        <f>H6*(1+Assumptions!$D$104)/(Assumptions!$D$103-Assumptions!$D$104)</f>
        <v>15329.816242951485</v>
      </c>
    </row>
    <row r="13" spans="2:9" ht="15" customHeight="1" x14ac:dyDescent="0.25">
      <c r="B13" s="1" t="s">
        <v>206</v>
      </c>
      <c r="D13" s="8">
        <f>D12*H8</f>
        <v>7039.4501745977013</v>
      </c>
      <c r="E13" s="44">
        <f>D13/$D$14</f>
        <v>0.88672000220860103</v>
      </c>
    </row>
    <row r="14" spans="2:9" ht="15" customHeight="1" x14ac:dyDescent="0.25">
      <c r="B14" s="4" t="s">
        <v>207</v>
      </c>
      <c r="D14" s="9">
        <f>D11+D13</f>
        <v>7938.7519815321248</v>
      </c>
    </row>
    <row r="16" spans="2:9" ht="15" customHeight="1" x14ac:dyDescent="0.25">
      <c r="B16" s="89" t="s">
        <v>208</v>
      </c>
      <c r="C16" s="89"/>
      <c r="D16" s="89"/>
      <c r="E16" s="89"/>
      <c r="F16" s="89"/>
      <c r="G16" s="89"/>
      <c r="H16" s="89"/>
      <c r="I16" s="89"/>
    </row>
    <row r="17" spans="2:9" ht="15" customHeight="1" x14ac:dyDescent="0.25">
      <c r="B17" s="1" t="s">
        <v>28</v>
      </c>
      <c r="D17" s="8">
        <f>D14</f>
        <v>7938.7519815321248</v>
      </c>
    </row>
    <row r="18" spans="2:9" ht="15" customHeight="1" x14ac:dyDescent="0.25">
      <c r="B18" s="1" t="s">
        <v>209</v>
      </c>
      <c r="D18" s="8">
        <f>(Assumptions!$D$95*Assumptions!$D$96)/(1+Assumptions!$D$103)^Assumptions!$D$97</f>
        <v>491.87527448397009</v>
      </c>
    </row>
    <row r="19" spans="2:9" ht="15" customHeight="1" x14ac:dyDescent="0.25">
      <c r="B19" s="1" t="s">
        <v>301</v>
      </c>
      <c r="D19" s="8">
        <f>(Assumptions!$D$98*Assumptions!$D$99)/(1+Assumptions!$D$103)^Assumptions!$D$100</f>
        <v>9640.415270238107</v>
      </c>
      <c r="E19" s="80"/>
    </row>
    <row r="20" spans="2:9" ht="15.75" customHeight="1" x14ac:dyDescent="0.25">
      <c r="B20" s="4" t="s">
        <v>32</v>
      </c>
      <c r="D20" s="32">
        <f>D17+D18+D19</f>
        <v>18071.042526254201</v>
      </c>
    </row>
    <row r="21" spans="2:9" ht="15" customHeight="1" x14ac:dyDescent="0.25">
      <c r="B21" s="1" t="s">
        <v>102</v>
      </c>
      <c r="D21" s="33">
        <f>Assumptions!$D$106</f>
        <v>18.302536400000001</v>
      </c>
    </row>
    <row r="22" spans="2:9" ht="16.5" customHeight="1" x14ac:dyDescent="0.25">
      <c r="B22" s="4" t="s">
        <v>6</v>
      </c>
      <c r="D22" s="34">
        <f>D20/D21</f>
        <v>987.35181459626551</v>
      </c>
    </row>
    <row r="23" spans="2:9" ht="15" customHeight="1" x14ac:dyDescent="0.25">
      <c r="B23" s="1" t="s">
        <v>103</v>
      </c>
      <c r="D23" s="5">
        <f>Assumptions!$D$107</f>
        <v>876</v>
      </c>
    </row>
    <row r="24" spans="2:9" ht="15.75" customHeight="1" x14ac:dyDescent="0.25">
      <c r="B24" s="4" t="s">
        <v>210</v>
      </c>
      <c r="D24" s="35">
        <f>D22/D23-1</f>
        <v>0.12711394360304284</v>
      </c>
    </row>
    <row r="25" spans="2:9" ht="15" customHeight="1" x14ac:dyDescent="0.25">
      <c r="B25" s="3" t="s">
        <v>211</v>
      </c>
      <c r="D25" s="8">
        <f>-Assumptions!$H$127</f>
        <v>-4400</v>
      </c>
    </row>
    <row r="26" spans="2:9" ht="15" customHeight="1" x14ac:dyDescent="0.25">
      <c r="B26" s="4" t="s">
        <v>212</v>
      </c>
    </row>
    <row r="27" spans="2:9" ht="15" customHeight="1" x14ac:dyDescent="0.25">
      <c r="B27" s="1" t="s">
        <v>213</v>
      </c>
      <c r="D27" s="8">
        <f>D11+(H6*1.04/(Assumptions!$D$103-0.04))*H8+D18+D19</f>
        <v>17296.141484554468</v>
      </c>
      <c r="E27" s="46">
        <f>(D27/$D$21)/$D$23-1</f>
        <v>7.8782378462659342E-2</v>
      </c>
    </row>
    <row r="28" spans="2:9" ht="15" customHeight="1" x14ac:dyDescent="0.25">
      <c r="B28" s="1" t="s">
        <v>303</v>
      </c>
      <c r="D28" s="8">
        <f>D11+(H6*1.06/(Assumptions!$D$103-0.06))*H8+D18+D19</f>
        <v>19043.370584947494</v>
      </c>
      <c r="E28" s="46">
        <f>(D28/$D$21)/$D$23-1</f>
        <v>0.18775928330148539</v>
      </c>
    </row>
    <row r="31" spans="2:9" ht="15" customHeight="1" x14ac:dyDescent="0.25">
      <c r="B31" s="89" t="s">
        <v>214</v>
      </c>
      <c r="C31" s="89"/>
      <c r="D31" s="89"/>
      <c r="E31" s="89"/>
      <c r="F31" s="89"/>
      <c r="G31" s="89"/>
      <c r="H31" s="89"/>
      <c r="I31" s="89"/>
    </row>
    <row r="32" spans="2:9" ht="15" customHeight="1" x14ac:dyDescent="0.25">
      <c r="B32" s="90" t="s">
        <v>215</v>
      </c>
      <c r="C32" s="90"/>
      <c r="D32" s="90"/>
      <c r="E32" s="90"/>
      <c r="F32" s="90"/>
      <c r="G32" s="90"/>
      <c r="H32" s="90"/>
      <c r="I32" s="90"/>
    </row>
    <row r="34" spans="2:9" ht="15" customHeight="1" x14ac:dyDescent="0.25">
      <c r="B34" s="89" t="s">
        <v>216</v>
      </c>
      <c r="C34" s="89"/>
      <c r="D34" s="89"/>
      <c r="E34" s="89"/>
      <c r="F34" s="89"/>
      <c r="G34" s="89"/>
      <c r="H34" s="89"/>
      <c r="I34" s="89"/>
    </row>
    <row r="35" spans="2:9" ht="15" customHeight="1" x14ac:dyDescent="0.25">
      <c r="B35" s="1" t="s">
        <v>10</v>
      </c>
      <c r="C35" s="4" t="s">
        <v>13</v>
      </c>
      <c r="D35" s="4" t="s">
        <v>14</v>
      </c>
      <c r="E35" s="4" t="s">
        <v>15</v>
      </c>
      <c r="F35" s="4" t="s">
        <v>16</v>
      </c>
      <c r="G35" s="4" t="s">
        <v>17</v>
      </c>
      <c r="H35" s="4" t="s">
        <v>18</v>
      </c>
      <c r="I35" s="4" t="s">
        <v>19</v>
      </c>
    </row>
    <row r="36" spans="2:9" ht="15" customHeight="1" x14ac:dyDescent="0.25">
      <c r="B36" s="1" t="s">
        <v>217</v>
      </c>
      <c r="C36" s="8">
        <f>Assumptions!$C$8</f>
        <v>6463.6</v>
      </c>
      <c r="D36" s="8">
        <f>C36*(1+Assumptions!$D$16)</f>
        <v>7045.3240000000005</v>
      </c>
      <c r="E36" s="8">
        <f>D36*(1+Assumptions!$E$16)</f>
        <v>7644.1765400000004</v>
      </c>
      <c r="F36" s="8">
        <f>E36*(1+Assumptions!$F$16)</f>
        <v>8332.1524286000003</v>
      </c>
      <c r="G36" s="8">
        <f>F36*(1+Assumptions!$G$16)</f>
        <v>9040.3853850310006</v>
      </c>
      <c r="H36" s="8">
        <f>G36*(1+Assumptions!$H$16)</f>
        <v>9763.616215833481</v>
      </c>
      <c r="I36" s="8">
        <f>H36*(1+Assumptions!$I$16)</f>
        <v>10544.70551310016</v>
      </c>
    </row>
    <row r="37" spans="2:9" ht="15" customHeight="1" x14ac:dyDescent="0.25">
      <c r="B37" s="1" t="s">
        <v>218</v>
      </c>
      <c r="C37" s="8">
        <f>Assumptions!$C$9</f>
        <v>2770.1</v>
      </c>
      <c r="D37" s="8">
        <f>C37*(1+Assumptions!$D$24)</f>
        <v>2936.306</v>
      </c>
      <c r="E37" s="8">
        <f>D37*(1+Assumptions!$E$24)</f>
        <v>3112.4843600000004</v>
      </c>
      <c r="F37" s="8">
        <f>E37*(1+Assumptions!$F$24)</f>
        <v>3299.2334216000004</v>
      </c>
      <c r="G37" s="8">
        <f>F37*(1+Assumptions!$G$24)</f>
        <v>3497.1874268960005</v>
      </c>
      <c r="H37" s="8">
        <f>G37*(1+Assumptions!$H$24)</f>
        <v>3707.0186725097606</v>
      </c>
      <c r="I37" s="8">
        <f>H37*(1+Assumptions!$I$24)</f>
        <v>3929.4397928603462</v>
      </c>
    </row>
    <row r="38" spans="2:9" ht="15" customHeight="1" x14ac:dyDescent="0.25">
      <c r="B38" s="1" t="s">
        <v>219</v>
      </c>
      <c r="C38" s="8">
        <f>Assumptions!$C$10</f>
        <v>3771.6</v>
      </c>
      <c r="D38" s="8">
        <f>C38*(1+Assumptions!$D$32)</f>
        <v>3960.1800000000003</v>
      </c>
      <c r="E38" s="8">
        <f>D38*(1+Assumptions!$E$32)</f>
        <v>4177.9899000000005</v>
      </c>
      <c r="F38" s="8">
        <f>E38*(1+Assumptions!$F$32)</f>
        <v>4428.6692940000012</v>
      </c>
      <c r="G38" s="8">
        <f>F38*(1+Assumptions!$G$32)</f>
        <v>4716.5327981100008</v>
      </c>
      <c r="H38" s="8">
        <f>G38*(1+Assumptions!$H$32)</f>
        <v>5046.6900939777015</v>
      </c>
      <c r="I38" s="8">
        <f>H38*(1+Assumptions!$I$32)</f>
        <v>5425.1918510260293</v>
      </c>
    </row>
    <row r="39" spans="2:9" ht="15" customHeight="1" x14ac:dyDescent="0.25">
      <c r="B39" s="4" t="s">
        <v>132</v>
      </c>
      <c r="C39" s="9">
        <f t="shared" ref="C39:I39" si="1">SUM(C36:C38)</f>
        <v>13005.300000000001</v>
      </c>
      <c r="D39" s="9">
        <f t="shared" si="1"/>
        <v>13941.810000000001</v>
      </c>
      <c r="E39" s="9">
        <f t="shared" si="1"/>
        <v>14934.650800000001</v>
      </c>
      <c r="F39" s="9">
        <f t="shared" si="1"/>
        <v>16060.055144200001</v>
      </c>
      <c r="G39" s="9">
        <f t="shared" si="1"/>
        <v>17254.105610037001</v>
      </c>
      <c r="H39" s="9">
        <f t="shared" si="1"/>
        <v>18517.324982320944</v>
      </c>
      <c r="I39" s="9">
        <f t="shared" si="1"/>
        <v>19899.337156986534</v>
      </c>
    </row>
    <row r="40" spans="2:9" ht="15" customHeight="1" x14ac:dyDescent="0.25">
      <c r="B40" s="1" t="s">
        <v>220</v>
      </c>
      <c r="C40" s="8">
        <f>Assumptions!$C$11</f>
        <v>647</v>
      </c>
      <c r="D40" s="8">
        <f>C40*(1+Assumptions!$D$40)</f>
        <v>776.4</v>
      </c>
      <c r="E40" s="8">
        <f>D40*(1+Assumptions!$E$40)</f>
        <v>916.15199999999993</v>
      </c>
      <c r="F40" s="8">
        <f>E40*(1+Assumptions!$F$40)</f>
        <v>1062.7363199999998</v>
      </c>
      <c r="G40" s="8">
        <f>F40*(1+Assumptions!$G$40)</f>
        <v>1222.1467679999996</v>
      </c>
      <c r="H40" s="8">
        <f>G40*(1+Assumptions!$H$40)</f>
        <v>1405.4687831999995</v>
      </c>
      <c r="I40" s="8">
        <f>H40*(1+Assumptions!$I$40)</f>
        <v>1616.2891006799994</v>
      </c>
    </row>
    <row r="41" spans="2:9" ht="15" customHeight="1" x14ac:dyDescent="0.25">
      <c r="B41" s="1" t="s">
        <v>221</v>
      </c>
      <c r="C41" s="8">
        <f>Assumptions!$C$12</f>
        <v>161.69999999999999</v>
      </c>
      <c r="D41" s="8">
        <f>C41*(1+Assumptions!$D$48)</f>
        <v>177.87</v>
      </c>
      <c r="E41" s="8">
        <f>D41*(1+Assumptions!$E$48)</f>
        <v>193.87830000000002</v>
      </c>
      <c r="F41" s="8">
        <f>E41*(1+Assumptions!$F$48)</f>
        <v>209.38856400000003</v>
      </c>
      <c r="G41" s="8">
        <f>F41*(1+Assumptions!$G$48)</f>
        <v>226.13964912000006</v>
      </c>
      <c r="H41" s="8">
        <f>G41*(1+Assumptions!$H$48)</f>
        <v>244.23082104960008</v>
      </c>
      <c r="I41" s="8">
        <f>H41*(1+Assumptions!$I$48)</f>
        <v>263.76928673356809</v>
      </c>
    </row>
    <row r="42" spans="2:9" ht="15" customHeight="1" x14ac:dyDescent="0.25">
      <c r="B42" s="4" t="s">
        <v>136</v>
      </c>
      <c r="C42" s="9">
        <f t="shared" ref="C42:I42" si="2">SUM(C40:C41)</f>
        <v>808.7</v>
      </c>
      <c r="D42" s="9">
        <f t="shared" si="2"/>
        <v>954.27</v>
      </c>
      <c r="E42" s="9">
        <f t="shared" si="2"/>
        <v>1110.0302999999999</v>
      </c>
      <c r="F42" s="9">
        <f t="shared" si="2"/>
        <v>1272.1248839999998</v>
      </c>
      <c r="G42" s="9">
        <f t="shared" si="2"/>
        <v>1448.2864171199997</v>
      </c>
      <c r="H42" s="9">
        <f t="shared" si="2"/>
        <v>1649.6996042495996</v>
      </c>
      <c r="I42" s="9">
        <f t="shared" si="2"/>
        <v>1880.0583874135675</v>
      </c>
    </row>
    <row r="43" spans="2:9" ht="15" customHeight="1" x14ac:dyDescent="0.25">
      <c r="B43" s="1" t="s">
        <v>222</v>
      </c>
      <c r="D43" s="8">
        <f>D39*Assumptions!$D$63</f>
        <v>9759.2669999999998</v>
      </c>
      <c r="E43" s="8">
        <f>E39*Assumptions!$D$63</f>
        <v>10454.25556</v>
      </c>
      <c r="F43" s="8">
        <f>F39*Assumptions!$D$63</f>
        <v>11242.038600940001</v>
      </c>
      <c r="G43" s="8">
        <f>G39*Assumptions!$D$63</f>
        <v>12077.873927025899</v>
      </c>
      <c r="H43" s="8">
        <f>H39*Assumptions!$D$63</f>
        <v>12962.127487624661</v>
      </c>
      <c r="I43" s="8">
        <f>I39*Assumptions!$D$63</f>
        <v>13929.536009890573</v>
      </c>
    </row>
    <row r="44" spans="2:9" ht="15" customHeight="1" x14ac:dyDescent="0.25">
      <c r="B44" s="1" t="s">
        <v>140</v>
      </c>
      <c r="D44" s="8">
        <f t="shared" ref="D44:I44" si="3">D39-D43</f>
        <v>4182.5430000000015</v>
      </c>
      <c r="E44" s="8">
        <f t="shared" si="3"/>
        <v>4480.3952400000016</v>
      </c>
      <c r="F44" s="8">
        <f t="shared" si="3"/>
        <v>4818.0165432600006</v>
      </c>
      <c r="G44" s="8">
        <f t="shared" si="3"/>
        <v>5176.2316830111013</v>
      </c>
      <c r="H44" s="8">
        <f t="shared" si="3"/>
        <v>5555.1974946962837</v>
      </c>
      <c r="I44" s="8">
        <f t="shared" si="3"/>
        <v>5969.8011470959609</v>
      </c>
    </row>
    <row r="45" spans="2:9" ht="15" customHeight="1" x14ac:dyDescent="0.25">
      <c r="B45" s="1" t="s">
        <v>223</v>
      </c>
      <c r="C45" s="8">
        <v>839.59</v>
      </c>
      <c r="D45" s="8">
        <f>C45*(1+Assumptions!$D$65)</f>
        <v>889.96540000000005</v>
      </c>
      <c r="E45" s="8">
        <f>D45*(1+Assumptions!$D$65)</f>
        <v>943.36332400000015</v>
      </c>
      <c r="F45" s="8">
        <f>E45*(1+Assumptions!$D$65)</f>
        <v>999.96512344000018</v>
      </c>
      <c r="G45" s="8">
        <f>F45*(1+Assumptions!$D$65)</f>
        <v>1059.9630308464002</v>
      </c>
      <c r="H45" s="8">
        <f>G45*(1+Assumptions!$D$65)</f>
        <v>1123.5608126971842</v>
      </c>
      <c r="I45" s="8">
        <f>H45*(1+Assumptions!$D$65)</f>
        <v>1190.9744614590154</v>
      </c>
    </row>
    <row r="46" spans="2:9" ht="15" customHeight="1" x14ac:dyDescent="0.25">
      <c r="B46" s="1" t="s">
        <v>224</v>
      </c>
      <c r="C46" s="8">
        <v>293.69</v>
      </c>
      <c r="D46" s="8">
        <f>C46*(1+Assumptions!$D$67)</f>
        <v>311.31139999999999</v>
      </c>
      <c r="E46" s="8">
        <f>D46*(1+Assumptions!$D$67)</f>
        <v>329.99008400000002</v>
      </c>
      <c r="F46" s="8">
        <f>E46*(1+Assumptions!$D$67)</f>
        <v>349.78948904000003</v>
      </c>
      <c r="G46" s="8">
        <f>F46*(1+Assumptions!$D$67)</f>
        <v>370.77685838240006</v>
      </c>
      <c r="H46" s="8">
        <f>G46*(1+Assumptions!$D$67)</f>
        <v>393.02346988534407</v>
      </c>
      <c r="I46" s="8">
        <f>H46*(1+Assumptions!$D$67)</f>
        <v>416.60487807846471</v>
      </c>
    </row>
    <row r="47" spans="2:9" ht="15" customHeight="1" x14ac:dyDescent="0.25">
      <c r="B47" s="1" t="s">
        <v>225</v>
      </c>
      <c r="D47" s="8">
        <f>D39*Assumptions!D$68</f>
        <v>1533.5991000000001</v>
      </c>
      <c r="E47" s="8">
        <f>E39*Assumptions!E$68</f>
        <v>1627.8769372000002</v>
      </c>
      <c r="F47" s="8">
        <f>F39*Assumptions!F$68</f>
        <v>1734.4859555736002</v>
      </c>
      <c r="G47" s="8">
        <f>G39*Assumptions!G$68</f>
        <v>1846.1893002739591</v>
      </c>
      <c r="H47" s="8">
        <f>H39*Assumptions!H$68</f>
        <v>1962.8364481260201</v>
      </c>
      <c r="I47" s="8">
        <f>I39*Assumptions!I$68</f>
        <v>2089.4304014835861</v>
      </c>
    </row>
    <row r="48" spans="2:9" ht="15" customHeight="1" x14ac:dyDescent="0.25">
      <c r="B48" s="4" t="s">
        <v>21</v>
      </c>
      <c r="D48" s="9">
        <f t="shared" ref="D48:I48" si="4">D44-D45-D46-D47</f>
        <v>1447.6671000000013</v>
      </c>
      <c r="E48" s="9">
        <f t="shared" si="4"/>
        <v>1579.1648948000015</v>
      </c>
      <c r="F48" s="9">
        <f t="shared" si="4"/>
        <v>1733.7759752064003</v>
      </c>
      <c r="G48" s="9">
        <f t="shared" si="4"/>
        <v>1899.302493508342</v>
      </c>
      <c r="H48" s="9">
        <f t="shared" si="4"/>
        <v>2075.7767639877356</v>
      </c>
      <c r="I48" s="9">
        <f t="shared" si="4"/>
        <v>2272.7914060748944</v>
      </c>
    </row>
    <row r="49" spans="2:9" ht="15" customHeight="1" x14ac:dyDescent="0.25">
      <c r="B49" s="1" t="s">
        <v>145</v>
      </c>
      <c r="D49" s="8">
        <f>Assumptions!$D$80</f>
        <v>480.15500000000003</v>
      </c>
      <c r="E49" s="8">
        <f>Assumptions!$E$80</f>
        <v>466.84926999999999</v>
      </c>
      <c r="F49" s="8">
        <f>Assumptions!$F$80</f>
        <v>455.75229117999993</v>
      </c>
      <c r="G49" s="8">
        <f>Assumptions!$G$80</f>
        <v>446.49741084412</v>
      </c>
      <c r="H49" s="8">
        <f>Assumptions!$H$80</f>
        <v>438.77884064399603</v>
      </c>
      <c r="I49" s="8">
        <f>Assumptions!$I$80</f>
        <v>432.34155309709274</v>
      </c>
    </row>
    <row r="50" spans="2:9" ht="15" customHeight="1" x14ac:dyDescent="0.25">
      <c r="B50" s="4" t="s">
        <v>146</v>
      </c>
      <c r="D50" s="9">
        <f t="shared" ref="D50:I50" si="5">D48-D49</f>
        <v>967.51210000000128</v>
      </c>
      <c r="E50" s="9">
        <f t="shared" si="5"/>
        <v>1112.3156248000016</v>
      </c>
      <c r="F50" s="9">
        <f t="shared" si="5"/>
        <v>1278.0236840264004</v>
      </c>
      <c r="G50" s="9">
        <f t="shared" si="5"/>
        <v>1452.805082664222</v>
      </c>
      <c r="H50" s="9">
        <f t="shared" si="5"/>
        <v>1636.9979233437396</v>
      </c>
      <c r="I50" s="9">
        <f t="shared" si="5"/>
        <v>1840.4498529778016</v>
      </c>
    </row>
    <row r="51" spans="2:9" ht="15" customHeight="1" x14ac:dyDescent="0.25">
      <c r="B51" s="1" t="s">
        <v>226</v>
      </c>
      <c r="D51" s="6">
        <f>Assumptions!$D$56</f>
        <v>1.1399999999999999</v>
      </c>
      <c r="E51" s="6">
        <f>Assumptions!$E$56</f>
        <v>1.05</v>
      </c>
      <c r="F51" s="6">
        <f>Assumptions!$F$56</f>
        <v>1</v>
      </c>
      <c r="G51" s="6">
        <f>Assumptions!$G$56</f>
        <v>0.95</v>
      </c>
      <c r="H51" s="6">
        <f>Assumptions!$H$56</f>
        <v>0.92</v>
      </c>
      <c r="I51" s="6">
        <f>Assumptions!$I$56</f>
        <v>0.88</v>
      </c>
    </row>
    <row r="52" spans="2:9" ht="15" customHeight="1" x14ac:dyDescent="0.25">
      <c r="B52" s="4" t="s">
        <v>22</v>
      </c>
      <c r="D52" s="9">
        <f t="shared" ref="D52:I52" si="6">D42*(1-D51)</f>
        <v>-133.59779999999989</v>
      </c>
      <c r="E52" s="9">
        <f t="shared" si="6"/>
        <v>-55.501515000000047</v>
      </c>
      <c r="F52" s="9">
        <f t="shared" si="6"/>
        <v>0</v>
      </c>
      <c r="G52" s="9">
        <f t="shared" si="6"/>
        <v>72.414320856000046</v>
      </c>
      <c r="H52" s="9">
        <f t="shared" si="6"/>
        <v>131.97596833996789</v>
      </c>
      <c r="I52" s="9">
        <f t="shared" si="6"/>
        <v>225.60700648962811</v>
      </c>
    </row>
    <row r="53" spans="2:9" ht="15" customHeight="1" x14ac:dyDescent="0.25">
      <c r="B53" s="1" t="s">
        <v>227</v>
      </c>
      <c r="D53" s="9">
        <f t="shared" ref="D53:I53" si="7">D50+D52</f>
        <v>833.91430000000139</v>
      </c>
      <c r="E53" s="9">
        <f t="shared" si="7"/>
        <v>1056.8141098000015</v>
      </c>
      <c r="F53" s="9">
        <f t="shared" si="7"/>
        <v>1278.0236840264004</v>
      </c>
      <c r="G53" s="9">
        <f t="shared" si="7"/>
        <v>1525.2194035202222</v>
      </c>
      <c r="H53" s="9">
        <f t="shared" si="7"/>
        <v>1768.9738916837075</v>
      </c>
      <c r="I53" s="9">
        <f t="shared" si="7"/>
        <v>2066.0568594674296</v>
      </c>
    </row>
    <row r="54" spans="2:9" ht="15" customHeight="1" x14ac:dyDescent="0.25">
      <c r="B54" s="1" t="s">
        <v>152</v>
      </c>
      <c r="D54" s="8">
        <f>Assumptions!$D$91</f>
        <v>106.2</v>
      </c>
      <c r="E54" s="8">
        <f>Assumptions!$D$91</f>
        <v>106.2</v>
      </c>
      <c r="F54" s="8">
        <f>Assumptions!$D$91</f>
        <v>106.2</v>
      </c>
      <c r="G54" s="8">
        <f>Assumptions!$D$91</f>
        <v>106.2</v>
      </c>
      <c r="H54" s="8">
        <f>Assumptions!$D$91</f>
        <v>106.2</v>
      </c>
      <c r="I54" s="8">
        <f>Assumptions!$D$91</f>
        <v>106.2</v>
      </c>
    </row>
    <row r="55" spans="2:9" ht="15" customHeight="1" x14ac:dyDescent="0.25">
      <c r="B55" s="1" t="s">
        <v>228</v>
      </c>
      <c r="D55" s="8">
        <f>Assumptions!$D$92+Assumptions!$D$126</f>
        <v>44.5</v>
      </c>
      <c r="E55" s="8">
        <f>Assumptions!$D$92+Assumptions!$E$126</f>
        <v>110.5</v>
      </c>
      <c r="F55" s="8">
        <f>Assumptions!$D$92+Assumptions!$F$126</f>
        <v>204</v>
      </c>
      <c r="G55" s="8">
        <f>Assumptions!$D$92+Assumptions!$G$126</f>
        <v>297.5</v>
      </c>
      <c r="H55" s="8">
        <f>Assumptions!$D$92+Assumptions!$H$126</f>
        <v>391</v>
      </c>
      <c r="I55" s="8">
        <f>Assumptions!$D$92+Assumptions!$I$126</f>
        <v>484.5</v>
      </c>
    </row>
    <row r="56" spans="2:9" ht="15" customHeight="1" x14ac:dyDescent="0.25">
      <c r="B56" s="1" t="s">
        <v>154</v>
      </c>
      <c r="D56" s="9">
        <f t="shared" ref="D56:I56" si="8">D53+D54-D55</f>
        <v>895.61430000000144</v>
      </c>
      <c r="E56" s="9">
        <f t="shared" si="8"/>
        <v>1052.5141098000015</v>
      </c>
      <c r="F56" s="9">
        <f t="shared" si="8"/>
        <v>1180.2236840264004</v>
      </c>
      <c r="G56" s="9">
        <f t="shared" si="8"/>
        <v>1333.9194035202222</v>
      </c>
      <c r="H56" s="9">
        <f t="shared" si="8"/>
        <v>1484.1738916837076</v>
      </c>
      <c r="I56" s="9">
        <f t="shared" si="8"/>
        <v>1687.7568594674294</v>
      </c>
    </row>
    <row r="57" spans="2:9" ht="15" customHeight="1" x14ac:dyDescent="0.25">
      <c r="B57" s="1" t="s">
        <v>155</v>
      </c>
      <c r="D57" s="8">
        <f>D56*Assumptions!$D$89</f>
        <v>223.90357500000036</v>
      </c>
      <c r="E57" s="8">
        <f>E56*Assumptions!$D$89</f>
        <v>263.12852745000038</v>
      </c>
      <c r="F57" s="8">
        <f>F56*Assumptions!$D$89</f>
        <v>295.0559210066001</v>
      </c>
      <c r="G57" s="8">
        <f>G56*Assumptions!$D$89</f>
        <v>333.47985088005555</v>
      </c>
      <c r="H57" s="8">
        <f>H56*Assumptions!$D$89</f>
        <v>371.04347292092689</v>
      </c>
      <c r="I57" s="8">
        <f>I56*Assumptions!$D$89</f>
        <v>421.93921486685736</v>
      </c>
    </row>
    <row r="58" spans="2:9" ht="15" customHeight="1" x14ac:dyDescent="0.25">
      <c r="B58" s="4" t="s">
        <v>229</v>
      </c>
      <c r="D58" s="9">
        <f t="shared" ref="D58:I58" si="9">D56-D57</f>
        <v>671.71072500000105</v>
      </c>
      <c r="E58" s="9">
        <f t="shared" si="9"/>
        <v>789.38558235000119</v>
      </c>
      <c r="F58" s="9">
        <f t="shared" si="9"/>
        <v>885.1677630198003</v>
      </c>
      <c r="G58" s="9">
        <f t="shared" si="9"/>
        <v>1000.4395526401667</v>
      </c>
      <c r="H58" s="9">
        <f t="shared" si="9"/>
        <v>1113.1304187627807</v>
      </c>
      <c r="I58" s="9">
        <f t="shared" si="9"/>
        <v>1265.8176446005721</v>
      </c>
    </row>
    <row r="59" spans="2:9" ht="15" customHeight="1" x14ac:dyDescent="0.25">
      <c r="B59" s="1" t="s">
        <v>230</v>
      </c>
      <c r="D59" s="8">
        <f t="shared" ref="D59:I59" si="10">D39+D42</f>
        <v>14896.080000000002</v>
      </c>
      <c r="E59" s="8">
        <f t="shared" si="10"/>
        <v>16044.681100000002</v>
      </c>
      <c r="F59" s="8">
        <f t="shared" si="10"/>
        <v>17332.1800282</v>
      </c>
      <c r="G59" s="8">
        <f t="shared" si="10"/>
        <v>18702.392027156999</v>
      </c>
      <c r="H59" s="8">
        <f t="shared" si="10"/>
        <v>20167.024586570544</v>
      </c>
      <c r="I59" s="8">
        <f t="shared" si="10"/>
        <v>21779.3955444001</v>
      </c>
    </row>
    <row r="60" spans="2:9" ht="15" customHeight="1" x14ac:dyDescent="0.25">
      <c r="B60" s="1" t="s">
        <v>231</v>
      </c>
      <c r="D60" s="8">
        <f>(Assumptions!$D$84+Assumptions!$D$85-Assumptions!$D$86)/365*D59</f>
        <v>2975.1348821917809</v>
      </c>
      <c r="E60" s="8">
        <f>(Assumptions!$D$84+Assumptions!$D$85-Assumptions!$D$86)/365*E59</f>
        <v>3204.5404169589042</v>
      </c>
      <c r="F60" s="8">
        <f>(Assumptions!$D$84+Assumptions!$D$85-Assumptions!$D$86)/365*F59</f>
        <v>3461.68746316652</v>
      </c>
      <c r="G60" s="8">
        <f>(Assumptions!$D$84+Assumptions!$D$85-Assumptions!$D$86)/365*G59</f>
        <v>3735.3544624102606</v>
      </c>
      <c r="H60" s="8">
        <f>(Assumptions!$D$84+Assumptions!$D$85-Assumptions!$D$86)/365*H59</f>
        <v>4027.8797050986095</v>
      </c>
      <c r="I60" s="8">
        <f>(Assumptions!$D$84+Assumptions!$D$85-Assumptions!$D$86)/365*I59</f>
        <v>4349.9121511966223</v>
      </c>
    </row>
    <row r="61" spans="2:9" ht="15" customHeight="1" x14ac:dyDescent="0.25">
      <c r="B61" s="1" t="s">
        <v>232</v>
      </c>
      <c r="D61" s="8">
        <f>-(D60-13814*(Assumptions!$D$84+Assumptions!$D$85-Assumptions!$D$86)/365)</f>
        <v>-216.11953972602805</v>
      </c>
      <c r="E61" s="8">
        <f>-(E60-D60)</f>
        <v>-229.4055347671233</v>
      </c>
      <c r="F61" s="8">
        <f>-(F60-E60)</f>
        <v>-257.14704620761586</v>
      </c>
      <c r="G61" s="8">
        <f>-(G60-F60)</f>
        <v>-273.66699924374052</v>
      </c>
      <c r="H61" s="8">
        <f>-(H60-G60)</f>
        <v>-292.52524268834895</v>
      </c>
      <c r="I61" s="8">
        <f>-(I60-H60)</f>
        <v>-322.03244609801277</v>
      </c>
    </row>
    <row r="62" spans="2:9" ht="15" customHeight="1" x14ac:dyDescent="0.25">
      <c r="B62" s="4" t="s">
        <v>24</v>
      </c>
      <c r="D62" s="26">
        <f>D58+D49-Assumptions!$D$74+D61-Assumptions!$D$124</f>
        <v>-4.2538147260270307</v>
      </c>
      <c r="E62" s="26">
        <f>E58+E49-Assumptions!$D$74+E61-Assumptions!$E$124</f>
        <v>-138.17068241712207</v>
      </c>
      <c r="F62" s="26">
        <f>F58+F49-Assumptions!$D$74+F61-Assumptions!$F$124</f>
        <v>-81.226992007815511</v>
      </c>
      <c r="G62" s="26">
        <f>G58+G49-Assumptions!$D$74+G61-Assumptions!$G$124</f>
        <v>8.269964240546301</v>
      </c>
      <c r="H62" s="26">
        <f>H58+H49-Assumptions!$D$74+H61-Assumptions!$H$124</f>
        <v>94.384016718427915</v>
      </c>
      <c r="I62" s="8">
        <f>I58+I49-Assumptions!$I$74+I61-Assumptions!$I$124</f>
        <v>976.12675159965193</v>
      </c>
    </row>
    <row r="63" spans="2:9" ht="15" customHeight="1" x14ac:dyDescent="0.25">
      <c r="B63" s="1" t="s">
        <v>233</v>
      </c>
      <c r="D63" s="8">
        <f>D62/(1+Assumptions!$D$103)^1</f>
        <v>-3.7363326535151784</v>
      </c>
      <c r="E63" s="8">
        <f>E62/(1+Assumptions!$D$103)^2</f>
        <v>-106.59819050686896</v>
      </c>
      <c r="F63" s="8">
        <f>F62/(1+Assumptions!$D$103)^3</f>
        <v>-55.04289477445824</v>
      </c>
      <c r="G63" s="8">
        <f>G62/(1+Assumptions!$D$103)^4</f>
        <v>4.9223386795773489</v>
      </c>
      <c r="H63" s="8">
        <f>H62/(1+Assumptions!$D$103)^5</f>
        <v>49.343878310126968</v>
      </c>
      <c r="I63" s="8">
        <f>I62/(1+Assumptions!$D$103)^6</f>
        <v>448.23731237724809</v>
      </c>
    </row>
    <row r="65" spans="2:9" ht="15" customHeight="1" x14ac:dyDescent="0.25">
      <c r="B65" s="1" t="s">
        <v>234</v>
      </c>
      <c r="C65" s="8">
        <f>SUM(D63:I63)</f>
        <v>337.12611143211001</v>
      </c>
    </row>
    <row r="66" spans="2:9" ht="15" customHeight="1" x14ac:dyDescent="0.25">
      <c r="B66" s="1" t="s">
        <v>206</v>
      </c>
      <c r="C66" s="8">
        <f>(I62*(1+Assumptions!$D$104)/(Assumptions!$D$103-Assumptions!$D$104))/(1+Assumptions!$D$103)^6</f>
        <v>5318.0698078656551</v>
      </c>
    </row>
    <row r="67" spans="2:9" ht="15" customHeight="1" x14ac:dyDescent="0.25">
      <c r="B67" s="1" t="s">
        <v>235</v>
      </c>
      <c r="C67" s="8">
        <f>C65+C66</f>
        <v>5655.1959192977647</v>
      </c>
    </row>
    <row r="68" spans="2:9" ht="15" customHeight="1" x14ac:dyDescent="0.25">
      <c r="B68" s="1" t="s">
        <v>236</v>
      </c>
      <c r="C68" s="8">
        <f>(Assumptions!$D$95*Assumptions!$D$96)/(1+Assumptions!$D$103)^Assumptions!$D$97+(Assumptions!$D$98*Assumptions!$D$99)/(1+Assumptions!$D$103)^Assumptions!$D$100</f>
        <v>10132.290544722076</v>
      </c>
    </row>
    <row r="69" spans="2:9" ht="15" customHeight="1" x14ac:dyDescent="0.25">
      <c r="B69" s="4" t="s">
        <v>32</v>
      </c>
      <c r="C69" s="9">
        <f>C67+C68</f>
        <v>15787.486464019841</v>
      </c>
    </row>
    <row r="70" spans="2:9" ht="15.75" customHeight="1" x14ac:dyDescent="0.25">
      <c r="B70" s="4" t="s">
        <v>6</v>
      </c>
      <c r="C70" s="36">
        <f>C69/Assumptions!$D$106</f>
        <v>862.58462319025034</v>
      </c>
    </row>
    <row r="72" spans="2:9" ht="15" customHeight="1" x14ac:dyDescent="0.25">
      <c r="B72" s="89" t="s">
        <v>237</v>
      </c>
      <c r="C72" s="89"/>
      <c r="D72" s="89"/>
      <c r="E72" s="89"/>
      <c r="F72" s="89"/>
      <c r="G72" s="89"/>
      <c r="H72" s="89"/>
      <c r="I72" s="89"/>
    </row>
    <row r="73" spans="2:9" ht="15" customHeight="1" x14ac:dyDescent="0.25">
      <c r="B73" s="1" t="s">
        <v>10</v>
      </c>
      <c r="C73" s="4" t="s">
        <v>13</v>
      </c>
      <c r="D73" s="4" t="s">
        <v>14</v>
      </c>
      <c r="E73" s="4" t="s">
        <v>15</v>
      </c>
      <c r="F73" s="4" t="s">
        <v>16</v>
      </c>
      <c r="G73" s="4" t="s">
        <v>17</v>
      </c>
      <c r="H73" s="4" t="s">
        <v>18</v>
      </c>
      <c r="I73" s="4" t="s">
        <v>19</v>
      </c>
    </row>
    <row r="74" spans="2:9" ht="15" customHeight="1" x14ac:dyDescent="0.25">
      <c r="B74" s="1" t="s">
        <v>217</v>
      </c>
      <c r="C74" s="8">
        <f>Assumptions!$C$8</f>
        <v>6463.6</v>
      </c>
      <c r="D74" s="8">
        <f>C74*(1+Assumptions!$D$17)</f>
        <v>7239.2320000000009</v>
      </c>
      <c r="E74" s="8">
        <f>D74*(1+Assumptions!$E$17)</f>
        <v>8071.7436800000005</v>
      </c>
      <c r="F74" s="8">
        <f>E74*(1+Assumptions!$F$17)</f>
        <v>9040.3529216000006</v>
      </c>
      <c r="G74" s="8">
        <f>F74*(1+Assumptions!$G$17)</f>
        <v>10079.993507584</v>
      </c>
      <c r="H74" s="8">
        <f>G74*(1+Assumptions!$H$17)</f>
        <v>11188.792793418241</v>
      </c>
      <c r="I74" s="8">
        <f>H74*(1+Assumptions!$I$17)</f>
        <v>12307.672072760066</v>
      </c>
    </row>
    <row r="75" spans="2:9" ht="15" customHeight="1" x14ac:dyDescent="0.25">
      <c r="B75" s="1" t="s">
        <v>218</v>
      </c>
      <c r="C75" s="8">
        <f>Assumptions!$C$9</f>
        <v>2770.1</v>
      </c>
      <c r="D75" s="8">
        <f>C75*(1+Assumptions!$D$25)</f>
        <v>2991.7080000000001</v>
      </c>
      <c r="E75" s="8">
        <f>D75*(1+Assumptions!$E$25)</f>
        <v>3231.0446400000005</v>
      </c>
      <c r="F75" s="8">
        <f>E75*(1+Assumptions!$F$25)</f>
        <v>3489.5282112000009</v>
      </c>
      <c r="G75" s="8">
        <f>F75*(1+Assumptions!$G$25)</f>
        <v>3768.690468096001</v>
      </c>
      <c r="H75" s="8">
        <f>G75*(1+Assumptions!$H$25)</f>
        <v>4070.1857055436813</v>
      </c>
      <c r="I75" s="8">
        <f>H75*(1+Assumptions!$I$25)</f>
        <v>4395.8005619871765</v>
      </c>
    </row>
    <row r="76" spans="2:9" ht="15" customHeight="1" x14ac:dyDescent="0.25">
      <c r="B76" s="1" t="s">
        <v>219</v>
      </c>
      <c r="C76" s="8">
        <f>Assumptions!$C$10</f>
        <v>3771.6</v>
      </c>
      <c r="D76" s="8">
        <f>C76*(1+Assumptions!$D$33)</f>
        <v>4035.6120000000001</v>
      </c>
      <c r="E76" s="8">
        <f>D76*(1+Assumptions!$E$33)</f>
        <v>4338.2829000000002</v>
      </c>
      <c r="F76" s="8">
        <f>E76*(1+Assumptions!$F$33)</f>
        <v>4685.3455320000003</v>
      </c>
      <c r="G76" s="8">
        <f>F76*(1+Assumptions!$G$33)</f>
        <v>5083.5999022200003</v>
      </c>
      <c r="H76" s="8">
        <f>G76*(1+Assumptions!$H$33)</f>
        <v>5490.2878943976011</v>
      </c>
      <c r="I76" s="8">
        <f>H76*(1+Assumptions!$I$33)</f>
        <v>5929.5109259494093</v>
      </c>
    </row>
    <row r="77" spans="2:9" ht="15" customHeight="1" x14ac:dyDescent="0.25">
      <c r="B77" s="4" t="s">
        <v>132</v>
      </c>
      <c r="C77" s="9">
        <f t="shared" ref="C77:I77" si="11">SUM(C74:C76)</f>
        <v>13005.300000000001</v>
      </c>
      <c r="D77" s="9">
        <f t="shared" si="11"/>
        <v>14266.552</v>
      </c>
      <c r="E77" s="9">
        <f t="shared" si="11"/>
        <v>15641.071220000002</v>
      </c>
      <c r="F77" s="9">
        <f t="shared" si="11"/>
        <v>17215.2266648</v>
      </c>
      <c r="G77" s="9">
        <f t="shared" si="11"/>
        <v>18932.283877900001</v>
      </c>
      <c r="H77" s="9">
        <f t="shared" si="11"/>
        <v>20749.266393359525</v>
      </c>
      <c r="I77" s="9">
        <f t="shared" si="11"/>
        <v>22632.983560696652</v>
      </c>
    </row>
    <row r="78" spans="2:9" ht="15" customHeight="1" x14ac:dyDescent="0.25">
      <c r="B78" s="1" t="s">
        <v>220</v>
      </c>
      <c r="C78" s="8">
        <f>Assumptions!$C$11</f>
        <v>647</v>
      </c>
      <c r="D78" s="8">
        <f>C78*(1+Assumptions!$D$41)</f>
        <v>808.75</v>
      </c>
      <c r="E78" s="8">
        <f>D78*(1+Assumptions!$E$41)</f>
        <v>986.67499999999995</v>
      </c>
      <c r="F78" s="8">
        <f>E78*(1+Assumptions!$F$41)</f>
        <v>1184.01</v>
      </c>
      <c r="G78" s="8">
        <f>F78*(1+Assumptions!$G$41)</f>
        <v>1397.1317999999999</v>
      </c>
      <c r="H78" s="8">
        <f>G78*(1+Assumptions!$H$41)</f>
        <v>1648.6155239999998</v>
      </c>
      <c r="I78" s="8">
        <f>H78*(1+Assumptions!$I$41)</f>
        <v>1945.3663183199997</v>
      </c>
    </row>
    <row r="79" spans="2:9" ht="15" customHeight="1" x14ac:dyDescent="0.25">
      <c r="B79" s="1" t="s">
        <v>221</v>
      </c>
      <c r="C79" s="8">
        <f>Assumptions!$C$12</f>
        <v>161.69999999999999</v>
      </c>
      <c r="D79" s="8">
        <f>C79*(1+Assumptions!$D$49)</f>
        <v>185.95499999999998</v>
      </c>
      <c r="E79" s="8">
        <f>D79*(1+Assumptions!$E$49)</f>
        <v>212.91847499999997</v>
      </c>
      <c r="F79" s="8">
        <f>E79*(1+Assumptions!$F$49)</f>
        <v>242.72706149999999</v>
      </c>
      <c r="G79" s="8">
        <f>F79*(1+Assumptions!$G$49)</f>
        <v>275.49521480250002</v>
      </c>
      <c r="H79" s="8">
        <f>G79*(1+Assumptions!$H$49)</f>
        <v>311.30959272682497</v>
      </c>
      <c r="I79" s="8">
        <f>H79*(1+Assumptions!$I$49)</f>
        <v>350.2232918176781</v>
      </c>
    </row>
    <row r="80" spans="2:9" ht="15" customHeight="1" x14ac:dyDescent="0.25">
      <c r="B80" s="4" t="s">
        <v>136</v>
      </c>
      <c r="C80" s="9">
        <f t="shared" ref="C80:I80" si="12">SUM(C78:C79)</f>
        <v>808.7</v>
      </c>
      <c r="D80" s="9">
        <f t="shared" si="12"/>
        <v>994.70499999999993</v>
      </c>
      <c r="E80" s="9">
        <f t="shared" si="12"/>
        <v>1199.5934749999999</v>
      </c>
      <c r="F80" s="9">
        <f t="shared" si="12"/>
        <v>1426.7370615</v>
      </c>
      <c r="G80" s="9">
        <f t="shared" si="12"/>
        <v>1672.6270148024998</v>
      </c>
      <c r="H80" s="9">
        <f t="shared" si="12"/>
        <v>1959.9251167268249</v>
      </c>
      <c r="I80" s="9">
        <f t="shared" si="12"/>
        <v>2295.5896101376779</v>
      </c>
    </row>
    <row r="81" spans="2:9" ht="15" customHeight="1" x14ac:dyDescent="0.25">
      <c r="B81" s="1" t="s">
        <v>222</v>
      </c>
      <c r="D81" s="8">
        <f>D77*Assumptions!$D$63</f>
        <v>9986.5863999999983</v>
      </c>
      <c r="E81" s="8">
        <f>E77*Assumptions!$D$63</f>
        <v>10948.749854</v>
      </c>
      <c r="F81" s="8">
        <f>F77*Assumptions!$D$63</f>
        <v>12050.658665359999</v>
      </c>
      <c r="G81" s="8">
        <f>G77*Assumptions!$D$63</f>
        <v>13252.598714530001</v>
      </c>
      <c r="H81" s="8">
        <f>H77*Assumptions!$D$63</f>
        <v>14524.486475351667</v>
      </c>
      <c r="I81" s="8">
        <f>I77*Assumptions!$D$63</f>
        <v>15843.088492487655</v>
      </c>
    </row>
    <row r="82" spans="2:9" ht="15" customHeight="1" x14ac:dyDescent="0.25">
      <c r="B82" s="1" t="s">
        <v>140</v>
      </c>
      <c r="D82" s="8">
        <f t="shared" ref="D82:I82" si="13">D77-D81</f>
        <v>4279.9656000000014</v>
      </c>
      <c r="E82" s="8">
        <f t="shared" si="13"/>
        <v>4692.3213660000019</v>
      </c>
      <c r="F82" s="8">
        <f t="shared" si="13"/>
        <v>5164.5679994400016</v>
      </c>
      <c r="G82" s="8">
        <f t="shared" si="13"/>
        <v>5679.6851633700007</v>
      </c>
      <c r="H82" s="8">
        <f t="shared" si="13"/>
        <v>6224.7799180078582</v>
      </c>
      <c r="I82" s="8">
        <f t="shared" si="13"/>
        <v>6789.8950682089962</v>
      </c>
    </row>
    <row r="83" spans="2:9" ht="15" customHeight="1" x14ac:dyDescent="0.25">
      <c r="B83" s="1" t="s">
        <v>223</v>
      </c>
      <c r="C83" s="8">
        <v>839.59</v>
      </c>
      <c r="D83" s="8">
        <f>C83*(1+Assumptions!$D$65)</f>
        <v>889.96540000000005</v>
      </c>
      <c r="E83" s="8">
        <f>D83*(1+Assumptions!$D$65)</f>
        <v>943.36332400000015</v>
      </c>
      <c r="F83" s="8">
        <f>E83*(1+Assumptions!$D$65)</f>
        <v>999.96512344000018</v>
      </c>
      <c r="G83" s="8">
        <f>F83*(1+Assumptions!$D$65)</f>
        <v>1059.9630308464002</v>
      </c>
      <c r="H83" s="8">
        <f>G83*(1+Assumptions!$D$65)</f>
        <v>1123.5608126971842</v>
      </c>
      <c r="I83" s="8">
        <f>H83*(1+Assumptions!$D$65)</f>
        <v>1190.9744614590154</v>
      </c>
    </row>
    <row r="84" spans="2:9" ht="15" customHeight="1" x14ac:dyDescent="0.25">
      <c r="B84" s="1" t="s">
        <v>224</v>
      </c>
      <c r="C84" s="8">
        <v>293.69</v>
      </c>
      <c r="D84" s="8">
        <f>C84*(1+Assumptions!$D$67)</f>
        <v>311.31139999999999</v>
      </c>
      <c r="E84" s="8">
        <f>D84*(1+Assumptions!$D$67)</f>
        <v>329.99008400000002</v>
      </c>
      <c r="F84" s="8">
        <f>E84*(1+Assumptions!$D$67)</f>
        <v>349.78948904000003</v>
      </c>
      <c r="G84" s="8">
        <f>F84*(1+Assumptions!$D$67)</f>
        <v>370.77685838240006</v>
      </c>
      <c r="H84" s="8">
        <f>G84*(1+Assumptions!$D$67)</f>
        <v>393.02346988534407</v>
      </c>
      <c r="I84" s="8">
        <f>H84*(1+Assumptions!$D$67)</f>
        <v>416.60487807846471</v>
      </c>
    </row>
    <row r="85" spans="2:9" ht="15" customHeight="1" x14ac:dyDescent="0.25">
      <c r="B85" s="1" t="s">
        <v>225</v>
      </c>
      <c r="D85" s="8">
        <f>D77*Assumptions!D$68</f>
        <v>1569.3207199999999</v>
      </c>
      <c r="E85" s="8">
        <f>E77*Assumptions!E$68</f>
        <v>1704.8767629800002</v>
      </c>
      <c r="F85" s="8">
        <f>F77*Assumptions!F$68</f>
        <v>1859.2444797984001</v>
      </c>
      <c r="G85" s="8">
        <f>G77*Assumptions!G$68</f>
        <v>2025.7543749353001</v>
      </c>
      <c r="H85" s="8">
        <f>H77*Assumptions!H$68</f>
        <v>2199.4222376961097</v>
      </c>
      <c r="I85" s="8">
        <f>I77*Assumptions!I$68</f>
        <v>2376.4632738731484</v>
      </c>
    </row>
    <row r="86" spans="2:9" ht="15" customHeight="1" x14ac:dyDescent="0.25">
      <c r="B86" s="4" t="s">
        <v>21</v>
      </c>
      <c r="D86" s="9">
        <f t="shared" ref="D86:I86" si="14">D82-D83-D84-D85</f>
        <v>1509.3680800000013</v>
      </c>
      <c r="E86" s="9">
        <f t="shared" si="14"/>
        <v>1714.0911950200018</v>
      </c>
      <c r="F86" s="9">
        <f t="shared" si="14"/>
        <v>1955.5689071616014</v>
      </c>
      <c r="G86" s="9">
        <f t="shared" si="14"/>
        <v>2223.1908992059007</v>
      </c>
      <c r="H86" s="9">
        <f t="shared" si="14"/>
        <v>2508.773397729221</v>
      </c>
      <c r="I86" s="9">
        <f t="shared" si="14"/>
        <v>2805.8524547983675</v>
      </c>
    </row>
    <row r="87" spans="2:9" ht="15" customHeight="1" x14ac:dyDescent="0.25">
      <c r="B87" s="1" t="s">
        <v>145</v>
      </c>
      <c r="D87" s="8">
        <f>Assumptions!$D$80</f>
        <v>480.15500000000003</v>
      </c>
      <c r="E87" s="8">
        <f>Assumptions!$E$80</f>
        <v>466.84926999999999</v>
      </c>
      <c r="F87" s="8">
        <f>Assumptions!$F$80</f>
        <v>455.75229117999993</v>
      </c>
      <c r="G87" s="8">
        <f>Assumptions!$G$80</f>
        <v>446.49741084412</v>
      </c>
      <c r="H87" s="8">
        <f>Assumptions!$H$80</f>
        <v>438.77884064399603</v>
      </c>
      <c r="I87" s="8">
        <f>Assumptions!$I$80</f>
        <v>432.34155309709274</v>
      </c>
    </row>
    <row r="88" spans="2:9" ht="15" customHeight="1" x14ac:dyDescent="0.25">
      <c r="B88" s="4" t="s">
        <v>146</v>
      </c>
      <c r="D88" s="9">
        <f t="shared" ref="D88:I88" si="15">D86-D87</f>
        <v>1029.2130800000014</v>
      </c>
      <c r="E88" s="9">
        <f t="shared" si="15"/>
        <v>1247.2419250200019</v>
      </c>
      <c r="F88" s="9">
        <f t="shared" si="15"/>
        <v>1499.8166159816014</v>
      </c>
      <c r="G88" s="9">
        <f t="shared" si="15"/>
        <v>1776.6934883617807</v>
      </c>
      <c r="H88" s="9">
        <f t="shared" si="15"/>
        <v>2069.9945570852251</v>
      </c>
      <c r="I88" s="9">
        <f t="shared" si="15"/>
        <v>2373.5109017012746</v>
      </c>
    </row>
    <row r="89" spans="2:9" ht="15" customHeight="1" x14ac:dyDescent="0.25">
      <c r="B89" s="1" t="s">
        <v>226</v>
      </c>
      <c r="D89" s="6">
        <f>Assumptions!$D$57</f>
        <v>1.08</v>
      </c>
      <c r="E89" s="6">
        <f>Assumptions!$E$57</f>
        <v>1</v>
      </c>
      <c r="F89" s="6">
        <f>Assumptions!$F$57</f>
        <v>0.92</v>
      </c>
      <c r="G89" s="6">
        <f>Assumptions!$G$57</f>
        <v>0.9</v>
      </c>
      <c r="H89" s="6">
        <f>Assumptions!$H$57</f>
        <v>0.88</v>
      </c>
      <c r="I89" s="6">
        <f>Assumptions!$I$57</f>
        <v>0.88</v>
      </c>
    </row>
    <row r="90" spans="2:9" ht="15" customHeight="1" x14ac:dyDescent="0.25">
      <c r="B90" s="4" t="s">
        <v>22</v>
      </c>
      <c r="D90" s="9">
        <f t="shared" ref="D90:I90" si="16">D80*(1-D89)</f>
        <v>-79.576400000000064</v>
      </c>
      <c r="E90" s="9">
        <f t="shared" si="16"/>
        <v>0</v>
      </c>
      <c r="F90" s="9">
        <f t="shared" si="16"/>
        <v>114.13896491999994</v>
      </c>
      <c r="G90" s="9">
        <f t="shared" si="16"/>
        <v>167.26270148024994</v>
      </c>
      <c r="H90" s="9">
        <f t="shared" si="16"/>
        <v>235.19101400721897</v>
      </c>
      <c r="I90" s="9">
        <f t="shared" si="16"/>
        <v>275.47075321652136</v>
      </c>
    </row>
    <row r="91" spans="2:9" ht="15" customHeight="1" x14ac:dyDescent="0.25">
      <c r="B91" s="1" t="s">
        <v>227</v>
      </c>
      <c r="D91" s="9">
        <f t="shared" ref="D91:I91" si="17">D88+D90</f>
        <v>949.63668000000132</v>
      </c>
      <c r="E91" s="9">
        <f t="shared" si="17"/>
        <v>1247.2419250200019</v>
      </c>
      <c r="F91" s="9">
        <f t="shared" si="17"/>
        <v>1613.9555809016015</v>
      </c>
      <c r="G91" s="9">
        <f t="shared" si="17"/>
        <v>1943.9561898420307</v>
      </c>
      <c r="H91" s="9">
        <f t="shared" si="17"/>
        <v>2305.1855710924442</v>
      </c>
      <c r="I91" s="9">
        <f t="shared" si="17"/>
        <v>2648.9816549177958</v>
      </c>
    </row>
    <row r="92" spans="2:9" ht="15" customHeight="1" x14ac:dyDescent="0.25">
      <c r="B92" s="1" t="s">
        <v>152</v>
      </c>
      <c r="D92" s="8">
        <f>Assumptions!$D$91</f>
        <v>106.2</v>
      </c>
      <c r="E92" s="8">
        <f>Assumptions!$D$91</f>
        <v>106.2</v>
      </c>
      <c r="F92" s="8">
        <f>Assumptions!$D$91</f>
        <v>106.2</v>
      </c>
      <c r="G92" s="8">
        <f>Assumptions!$D$91</f>
        <v>106.2</v>
      </c>
      <c r="H92" s="8">
        <f>Assumptions!$D$91</f>
        <v>106.2</v>
      </c>
      <c r="I92" s="8">
        <f>Assumptions!$D$91</f>
        <v>106.2</v>
      </c>
    </row>
    <row r="93" spans="2:9" ht="15" customHeight="1" x14ac:dyDescent="0.25">
      <c r="B93" s="1" t="s">
        <v>228</v>
      </c>
      <c r="D93" s="8">
        <f>Assumptions!$D$92+Assumptions!$D$126</f>
        <v>44.5</v>
      </c>
      <c r="E93" s="8">
        <f>Assumptions!$D$92+Assumptions!$E$126</f>
        <v>110.5</v>
      </c>
      <c r="F93" s="8">
        <f>Assumptions!$D$92+Assumptions!$F$126</f>
        <v>204</v>
      </c>
      <c r="G93" s="8">
        <f>Assumptions!$D$92+Assumptions!$G$126</f>
        <v>297.5</v>
      </c>
      <c r="H93" s="8">
        <f>Assumptions!$D$92+Assumptions!$H$126</f>
        <v>391</v>
      </c>
      <c r="I93" s="8">
        <f>Assumptions!$D$92+Assumptions!$I$126</f>
        <v>484.5</v>
      </c>
    </row>
    <row r="94" spans="2:9" ht="15" customHeight="1" x14ac:dyDescent="0.25">
      <c r="B94" s="1" t="s">
        <v>154</v>
      </c>
      <c r="D94" s="9">
        <f t="shared" ref="D94:I94" si="18">D91+D92-D93</f>
        <v>1011.3366800000013</v>
      </c>
      <c r="E94" s="9">
        <f t="shared" si="18"/>
        <v>1242.9419250200019</v>
      </c>
      <c r="F94" s="9">
        <f t="shared" si="18"/>
        <v>1516.1555809016015</v>
      </c>
      <c r="G94" s="9">
        <f t="shared" si="18"/>
        <v>1752.6561898420305</v>
      </c>
      <c r="H94" s="9">
        <f t="shared" si="18"/>
        <v>2020.385571092444</v>
      </c>
      <c r="I94" s="9">
        <f t="shared" si="18"/>
        <v>2270.6816549177956</v>
      </c>
    </row>
    <row r="95" spans="2:9" ht="15" customHeight="1" x14ac:dyDescent="0.25">
      <c r="B95" s="1" t="s">
        <v>155</v>
      </c>
      <c r="D95" s="8">
        <f>D94*Assumptions!$D$89</f>
        <v>252.83417000000031</v>
      </c>
      <c r="E95" s="8">
        <f>E94*Assumptions!$D$89</f>
        <v>310.73548125500048</v>
      </c>
      <c r="F95" s="8">
        <f>F94*Assumptions!$D$89</f>
        <v>379.03889522540038</v>
      </c>
      <c r="G95" s="8">
        <f>G94*Assumptions!$D$89</f>
        <v>438.16404746050762</v>
      </c>
      <c r="H95" s="8">
        <f>H94*Assumptions!$D$89</f>
        <v>505.09639277311101</v>
      </c>
      <c r="I95" s="8">
        <f>I94*Assumptions!$D$89</f>
        <v>567.67041372944891</v>
      </c>
    </row>
    <row r="96" spans="2:9" ht="15" customHeight="1" x14ac:dyDescent="0.25">
      <c r="B96" s="4" t="s">
        <v>229</v>
      </c>
      <c r="D96" s="9">
        <f t="shared" ref="D96:I96" si="19">D94-D95</f>
        <v>758.50251000000094</v>
      </c>
      <c r="E96" s="9">
        <f t="shared" si="19"/>
        <v>932.2064437650015</v>
      </c>
      <c r="F96" s="9">
        <f t="shared" si="19"/>
        <v>1137.1166856762011</v>
      </c>
      <c r="G96" s="9">
        <f t="shared" si="19"/>
        <v>1314.4921423815229</v>
      </c>
      <c r="H96" s="9">
        <f t="shared" si="19"/>
        <v>1515.2891783193331</v>
      </c>
      <c r="I96" s="9">
        <f t="shared" si="19"/>
        <v>1703.0112411883467</v>
      </c>
    </row>
    <row r="97" spans="2:9" ht="15" customHeight="1" x14ac:dyDescent="0.25">
      <c r="B97" s="1" t="s">
        <v>230</v>
      </c>
      <c r="D97" s="8">
        <f t="shared" ref="D97:I97" si="20">D77+D80</f>
        <v>15261.257</v>
      </c>
      <c r="E97" s="8">
        <f t="shared" si="20"/>
        <v>16840.664695000003</v>
      </c>
      <c r="F97" s="8">
        <f t="shared" si="20"/>
        <v>18641.9637263</v>
      </c>
      <c r="G97" s="8">
        <f t="shared" si="20"/>
        <v>20604.910892702501</v>
      </c>
      <c r="H97" s="8">
        <f t="shared" si="20"/>
        <v>22709.191510086348</v>
      </c>
      <c r="I97" s="8">
        <f t="shared" si="20"/>
        <v>24928.57317083433</v>
      </c>
    </row>
    <row r="98" spans="2:9" ht="15" customHeight="1" x14ac:dyDescent="0.25">
      <c r="B98" s="1" t="s">
        <v>231</v>
      </c>
      <c r="D98" s="8">
        <f>(Assumptions!$D$84+Assumptions!$D$85-Assumptions!$D$86)/365*D97</f>
        <v>3048.0702336986296</v>
      </c>
      <c r="E98" s="8">
        <f>(Assumptions!$D$84+Assumptions!$D$85-Assumptions!$D$86)/365*E97</f>
        <v>3363.5190582616442</v>
      </c>
      <c r="F98" s="8">
        <f>(Assumptions!$D$84+Assumptions!$D$85-Assumptions!$D$86)/365*F97</f>
        <v>3723.2853579377256</v>
      </c>
      <c r="G98" s="8">
        <f>(Assumptions!$D$84+Assumptions!$D$85-Assumptions!$D$86)/365*G97</f>
        <v>4115.3369974740062</v>
      </c>
      <c r="H98" s="8">
        <f>(Assumptions!$D$84+Assumptions!$D$85-Assumptions!$D$86)/365*H97</f>
        <v>4535.6166057131359</v>
      </c>
      <c r="I98" s="8">
        <f>(Assumptions!$D$84+Assumptions!$D$85-Assumptions!$D$86)/365*I97</f>
        <v>4978.8848880926644</v>
      </c>
    </row>
    <row r="99" spans="2:9" ht="15" customHeight="1" x14ac:dyDescent="0.25">
      <c r="B99" s="1" t="s">
        <v>232</v>
      </c>
      <c r="D99" s="8">
        <f>-(D98-13814*(Assumptions!$D$84+Assumptions!$D$85-Assumptions!$D$86)/365)</f>
        <v>-289.0548912328768</v>
      </c>
      <c r="E99" s="8">
        <f>-(E98-D98)</f>
        <v>-315.44882456301457</v>
      </c>
      <c r="F99" s="8">
        <f>-(F98-E98)</f>
        <v>-359.76629967608142</v>
      </c>
      <c r="G99" s="8">
        <f>-(G98-F98)</f>
        <v>-392.05163953628062</v>
      </c>
      <c r="H99" s="8">
        <f>-(H98-G98)</f>
        <v>-420.27960823912963</v>
      </c>
      <c r="I99" s="8">
        <f>-(I98-H98)</f>
        <v>-443.2682823795285</v>
      </c>
    </row>
    <row r="100" spans="2:9" ht="15" customHeight="1" x14ac:dyDescent="0.25">
      <c r="B100" s="4" t="s">
        <v>24</v>
      </c>
      <c r="D100" s="26">
        <f>D96+D87-Assumptions!$D$74+D99-Assumptions!$D$124</f>
        <v>9.6026187671241132</v>
      </c>
      <c r="E100" s="26">
        <f>E96+E87-Assumptions!$D$74+E99-Assumptions!$E$124</f>
        <v>-81.393110798013026</v>
      </c>
      <c r="F100" s="26">
        <f>F96+F87-Assumptions!$D$74+F99-Assumptions!$F$124</f>
        <v>68.102677180119713</v>
      </c>
      <c r="G100" s="26">
        <f>G96+G87-Assumptions!$D$74+G99-Assumptions!$G$124</f>
        <v>203.93791368936229</v>
      </c>
      <c r="H100" s="26">
        <f>H96+H87-Assumptions!$D$74+H99-Assumptions!$H$124</f>
        <v>368.78841072419971</v>
      </c>
      <c r="I100" s="8">
        <f>I96+I87-Assumptions!$I$74+I99-Assumptions!$I$124</f>
        <v>1292.0845119059109</v>
      </c>
    </row>
    <row r="101" spans="2:9" ht="15" customHeight="1" x14ac:dyDescent="0.25">
      <c r="B101" s="1" t="s">
        <v>233</v>
      </c>
      <c r="D101" s="8">
        <f>D100/(1+Assumptions!$D$103)^1</f>
        <v>8.4344477532930284</v>
      </c>
      <c r="E101" s="8">
        <f>E100/(1+Assumptions!$D$103)^2</f>
        <v>-62.794495757068894</v>
      </c>
      <c r="F101" s="8">
        <f>F100/(1+Assumptions!$D$103)^3</f>
        <v>46.149295957229931</v>
      </c>
      <c r="G101" s="8">
        <f>G100/(1+Assumptions!$D$103)^4</f>
        <v>121.38522629441771</v>
      </c>
      <c r="H101" s="8">
        <f>H100/(1+Assumptions!$D$103)^5</f>
        <v>192.80224654188817</v>
      </c>
      <c r="I101" s="8">
        <f>I100/(1+Assumptions!$D$103)^6</f>
        <v>593.32508614466337</v>
      </c>
    </row>
    <row r="103" spans="2:9" ht="15" customHeight="1" x14ac:dyDescent="0.25">
      <c r="B103" s="1" t="s">
        <v>234</v>
      </c>
      <c r="C103" s="8">
        <f>SUM(D101:I101)</f>
        <v>899.30180693442333</v>
      </c>
    </row>
    <row r="104" spans="2:9" ht="15" customHeight="1" x14ac:dyDescent="0.25">
      <c r="B104" s="1" t="s">
        <v>206</v>
      </c>
      <c r="C104" s="8">
        <f>(I100*(1+Assumptions!$D$104)/(Assumptions!$D$103-Assumptions!$D$104))/(1+Assumptions!$D$103)^6</f>
        <v>7039.4501745977004</v>
      </c>
    </row>
    <row r="105" spans="2:9" ht="15" customHeight="1" x14ac:dyDescent="0.25">
      <c r="B105" s="1" t="s">
        <v>235</v>
      </c>
      <c r="C105" s="8">
        <f>C103+C104</f>
        <v>7938.7519815321239</v>
      </c>
    </row>
    <row r="106" spans="2:9" ht="15" customHeight="1" x14ac:dyDescent="0.25">
      <c r="B106" s="1" t="s">
        <v>236</v>
      </c>
      <c r="C106" s="8">
        <f>(Assumptions!$D$95*Assumptions!$D$96)/(1+Assumptions!$D$103)^Assumptions!$D$97+(Assumptions!$D$98*Assumptions!$D$99)/(1+Assumptions!$D$103)^Assumptions!$D$100</f>
        <v>10132.290544722076</v>
      </c>
    </row>
    <row r="107" spans="2:9" ht="15" customHeight="1" x14ac:dyDescent="0.25">
      <c r="B107" s="4" t="s">
        <v>32</v>
      </c>
      <c r="C107" s="9">
        <f>C105+C106</f>
        <v>18071.042526254201</v>
      </c>
    </row>
    <row r="108" spans="2:9" ht="15.75" customHeight="1" x14ac:dyDescent="0.25">
      <c r="B108" s="4" t="s">
        <v>6</v>
      </c>
      <c r="C108" s="36">
        <f>C107/Assumptions!$D$106</f>
        <v>987.35181459626551</v>
      </c>
    </row>
    <row r="110" spans="2:9" ht="15" customHeight="1" x14ac:dyDescent="0.25">
      <c r="B110" s="89" t="s">
        <v>238</v>
      </c>
      <c r="C110" s="89"/>
      <c r="D110" s="89"/>
      <c r="E110" s="89"/>
      <c r="F110" s="89"/>
      <c r="G110" s="89"/>
      <c r="H110" s="89"/>
      <c r="I110" s="89"/>
    </row>
    <row r="111" spans="2:9" ht="15" customHeight="1" x14ac:dyDescent="0.25">
      <c r="B111" s="1" t="s">
        <v>10</v>
      </c>
      <c r="C111" s="4" t="s">
        <v>13</v>
      </c>
      <c r="D111" s="4" t="s">
        <v>14</v>
      </c>
      <c r="E111" s="4" t="s">
        <v>15</v>
      </c>
      <c r="F111" s="4" t="s">
        <v>16</v>
      </c>
      <c r="G111" s="4" t="s">
        <v>17</v>
      </c>
      <c r="H111" s="4" t="s">
        <v>18</v>
      </c>
      <c r="I111" s="4" t="s">
        <v>19</v>
      </c>
    </row>
    <row r="112" spans="2:9" ht="15" customHeight="1" x14ac:dyDescent="0.25">
      <c r="B112" s="1" t="s">
        <v>217</v>
      </c>
      <c r="C112" s="8">
        <f>Assumptions!$C$8</f>
        <v>6463.6</v>
      </c>
      <c r="D112" s="8">
        <f>C112*(1+Assumptions!$D$18)</f>
        <v>7433.1399999999994</v>
      </c>
      <c r="E112" s="8">
        <f>D112*(1+Assumptions!$E$18)</f>
        <v>8473.7795999999998</v>
      </c>
      <c r="F112" s="8">
        <f>E112*(1+Assumptions!$F$18)</f>
        <v>9660.108744000001</v>
      </c>
      <c r="G112" s="8">
        <f>F112*(1+Assumptions!$G$18)</f>
        <v>10915.92288072</v>
      </c>
      <c r="H112" s="8">
        <f>G112*(1+Assumptions!$H$18)</f>
        <v>12225.8336264064</v>
      </c>
      <c r="I112" s="8">
        <f>H112*(1+Assumptions!$I$18)</f>
        <v>13570.675325311106</v>
      </c>
    </row>
    <row r="113" spans="2:9" ht="15" customHeight="1" x14ac:dyDescent="0.25">
      <c r="B113" s="1" t="s">
        <v>218</v>
      </c>
      <c r="C113" s="8">
        <f>Assumptions!$C$9</f>
        <v>2770.1</v>
      </c>
      <c r="D113" s="8">
        <f>C113*(1+Assumptions!$D$26)</f>
        <v>3047.11</v>
      </c>
      <c r="E113" s="8">
        <f>D113*(1+Assumptions!$E$26)</f>
        <v>3321.3499000000002</v>
      </c>
      <c r="F113" s="8">
        <f>E113*(1+Assumptions!$F$26)</f>
        <v>3620.2713910000002</v>
      </c>
      <c r="G113" s="8">
        <f>F113*(1+Assumptions!$G$26)</f>
        <v>3946.0958161900007</v>
      </c>
      <c r="H113" s="8">
        <f>G113*(1+Assumptions!$H$26)</f>
        <v>4301.244439647101</v>
      </c>
      <c r="I113" s="8">
        <f>H113*(1+Assumptions!$I$26)</f>
        <v>4688.3564392153403</v>
      </c>
    </row>
    <row r="114" spans="2:9" ht="15" customHeight="1" x14ac:dyDescent="0.25">
      <c r="B114" s="1" t="s">
        <v>219</v>
      </c>
      <c r="C114" s="8">
        <f>Assumptions!$C$10</f>
        <v>3771.6</v>
      </c>
      <c r="D114" s="8">
        <f>C114*(1+Assumptions!$D$34)</f>
        <v>4111.0439999999999</v>
      </c>
      <c r="E114" s="8">
        <f>D114*(1+Assumptions!$E$34)</f>
        <v>4501.5931799999998</v>
      </c>
      <c r="F114" s="8">
        <f>E114*(1+Assumptions!$F$34)</f>
        <v>4951.7524979999998</v>
      </c>
      <c r="G114" s="8">
        <f>F114*(1+Assumptions!$G$34)</f>
        <v>5471.6865102900001</v>
      </c>
      <c r="H114" s="8">
        <f>G114*(1+Assumptions!$H$34)</f>
        <v>6073.5720264219008</v>
      </c>
      <c r="I114" s="8">
        <f>H114*(1+Assumptions!$I$34)</f>
        <v>6772.0328094604192</v>
      </c>
    </row>
    <row r="115" spans="2:9" ht="15" customHeight="1" x14ac:dyDescent="0.25">
      <c r="B115" s="4" t="s">
        <v>132</v>
      </c>
      <c r="C115" s="9">
        <f t="shared" ref="C115:I115" si="21">SUM(C112:C114)</f>
        <v>13005.300000000001</v>
      </c>
      <c r="D115" s="9">
        <f t="shared" si="21"/>
        <v>14591.294</v>
      </c>
      <c r="E115" s="9">
        <f t="shared" si="21"/>
        <v>16296.722679999999</v>
      </c>
      <c r="F115" s="9">
        <f t="shared" si="21"/>
        <v>18232.132633000001</v>
      </c>
      <c r="G115" s="9">
        <f t="shared" si="21"/>
        <v>20333.705207200001</v>
      </c>
      <c r="H115" s="9">
        <f t="shared" si="21"/>
        <v>22600.650092475404</v>
      </c>
      <c r="I115" s="9">
        <f t="shared" si="21"/>
        <v>25031.064573986863</v>
      </c>
    </row>
    <row r="116" spans="2:9" ht="15" customHeight="1" x14ac:dyDescent="0.25">
      <c r="B116" s="1" t="s">
        <v>220</v>
      </c>
      <c r="C116" s="8">
        <f>Assumptions!$C$11</f>
        <v>647</v>
      </c>
      <c r="D116" s="8">
        <f>C116*(1+Assumptions!$D$42)</f>
        <v>841.1</v>
      </c>
      <c r="E116" s="8">
        <f>D116*(1+Assumptions!$E$42)</f>
        <v>1051.375</v>
      </c>
      <c r="F116" s="8">
        <f>E116*(1+Assumptions!$F$42)</f>
        <v>1282.6775</v>
      </c>
      <c r="G116" s="8">
        <f>F116*(1+Assumptions!$G$42)</f>
        <v>1539.213</v>
      </c>
      <c r="H116" s="8">
        <f>G116*(1+Assumptions!$H$42)</f>
        <v>1816.2713399999998</v>
      </c>
      <c r="I116" s="8">
        <f>H116*(1+Assumptions!$I$42)</f>
        <v>2106.8747543999998</v>
      </c>
    </row>
    <row r="117" spans="2:9" ht="15" customHeight="1" x14ac:dyDescent="0.25">
      <c r="B117" s="1" t="s">
        <v>221</v>
      </c>
      <c r="C117" s="8">
        <f>Assumptions!$C$12</f>
        <v>161.69999999999999</v>
      </c>
      <c r="D117" s="8">
        <f>C117*(1+Assumptions!$D$50)</f>
        <v>190.80599999999998</v>
      </c>
      <c r="E117" s="8">
        <f>D117*(1+Assumptions!$E$50)</f>
        <v>223.24301999999997</v>
      </c>
      <c r="F117" s="8">
        <f>E117*(1+Assumptions!$F$50)</f>
        <v>258.96190319999994</v>
      </c>
      <c r="G117" s="8">
        <f>F117*(1+Assumptions!$G$50)</f>
        <v>297.80618867999988</v>
      </c>
      <c r="H117" s="8">
        <f>G117*(1+Assumptions!$H$50)</f>
        <v>339.49905509519988</v>
      </c>
      <c r="I117" s="8">
        <f>H117*(1+Assumptions!$I$50)</f>
        <v>383.63393225757585</v>
      </c>
    </row>
    <row r="118" spans="2:9" ht="15" customHeight="1" x14ac:dyDescent="0.25">
      <c r="B118" s="4" t="s">
        <v>136</v>
      </c>
      <c r="C118" s="9">
        <f t="shared" ref="C118:I118" si="22">SUM(C116:C117)</f>
        <v>808.7</v>
      </c>
      <c r="D118" s="9">
        <f t="shared" si="22"/>
        <v>1031.9059999999999</v>
      </c>
      <c r="E118" s="9">
        <f t="shared" si="22"/>
        <v>1274.6180199999999</v>
      </c>
      <c r="F118" s="9">
        <f t="shared" si="22"/>
        <v>1541.6394031999998</v>
      </c>
      <c r="G118" s="9">
        <f t="shared" si="22"/>
        <v>1837.0191886799998</v>
      </c>
      <c r="H118" s="9">
        <f t="shared" si="22"/>
        <v>2155.7703950951995</v>
      </c>
      <c r="I118" s="9">
        <f t="shared" si="22"/>
        <v>2490.5086866575757</v>
      </c>
    </row>
    <row r="119" spans="2:9" ht="15" customHeight="1" x14ac:dyDescent="0.25">
      <c r="B119" s="1" t="s">
        <v>222</v>
      </c>
      <c r="D119" s="8">
        <f>D115*Assumptions!$D$63</f>
        <v>10213.905799999999</v>
      </c>
      <c r="E119" s="8">
        <f>E115*Assumptions!$D$63</f>
        <v>11407.705875999998</v>
      </c>
      <c r="F119" s="8">
        <f>F115*Assumptions!$D$63</f>
        <v>12762.492843100001</v>
      </c>
      <c r="G119" s="8">
        <f>G115*Assumptions!$D$63</f>
        <v>14233.59364504</v>
      </c>
      <c r="H119" s="8">
        <f>H115*Assumptions!$D$63</f>
        <v>15820.455064732781</v>
      </c>
      <c r="I119" s="8">
        <f>I115*Assumptions!$D$63</f>
        <v>17521.745201790804</v>
      </c>
    </row>
    <row r="120" spans="2:9" ht="15" customHeight="1" x14ac:dyDescent="0.25">
      <c r="B120" s="1" t="s">
        <v>140</v>
      </c>
      <c r="D120" s="8">
        <f t="shared" ref="D120:I120" si="23">D115-D119</f>
        <v>4377.3882000000012</v>
      </c>
      <c r="E120" s="8">
        <f t="shared" si="23"/>
        <v>4889.0168040000008</v>
      </c>
      <c r="F120" s="8">
        <f t="shared" si="23"/>
        <v>5469.6397899000003</v>
      </c>
      <c r="G120" s="8">
        <f t="shared" si="23"/>
        <v>6100.1115621600002</v>
      </c>
      <c r="H120" s="8">
        <f t="shared" si="23"/>
        <v>6780.1950277426222</v>
      </c>
      <c r="I120" s="8">
        <f t="shared" si="23"/>
        <v>7509.3193721960597</v>
      </c>
    </row>
    <row r="121" spans="2:9" ht="15" customHeight="1" x14ac:dyDescent="0.25">
      <c r="B121" s="1" t="s">
        <v>223</v>
      </c>
      <c r="C121" s="8">
        <v>839.59</v>
      </c>
      <c r="D121" s="8">
        <f>C121*(1+Assumptions!$D$65)</f>
        <v>889.96540000000005</v>
      </c>
      <c r="E121" s="8">
        <f>D121*(1+Assumptions!$D$65)</f>
        <v>943.36332400000015</v>
      </c>
      <c r="F121" s="8">
        <f>E121*(1+Assumptions!$D$65)</f>
        <v>999.96512344000018</v>
      </c>
      <c r="G121" s="8">
        <f>F121*(1+Assumptions!$D$65)</f>
        <v>1059.9630308464002</v>
      </c>
      <c r="H121" s="8">
        <f>G121*(1+Assumptions!$D$65)</f>
        <v>1123.5608126971842</v>
      </c>
      <c r="I121" s="8">
        <f>H121*(1+Assumptions!$D$65)</f>
        <v>1190.9744614590154</v>
      </c>
    </row>
    <row r="122" spans="2:9" ht="15" customHeight="1" x14ac:dyDescent="0.25">
      <c r="B122" s="1" t="s">
        <v>224</v>
      </c>
      <c r="C122" s="8">
        <v>293.69</v>
      </c>
      <c r="D122" s="8">
        <f>C122*(1+Assumptions!$D$67)</f>
        <v>311.31139999999999</v>
      </c>
      <c r="E122" s="8">
        <f>D122*(1+Assumptions!$D$67)</f>
        <v>329.99008400000002</v>
      </c>
      <c r="F122" s="8">
        <f>E122*(1+Assumptions!$D$67)</f>
        <v>349.78948904000003</v>
      </c>
      <c r="G122" s="8">
        <f>F122*(1+Assumptions!$D$67)</f>
        <v>370.77685838240006</v>
      </c>
      <c r="H122" s="8">
        <f>G122*(1+Assumptions!$D$67)</f>
        <v>393.02346988534407</v>
      </c>
      <c r="I122" s="8">
        <f>H122*(1+Assumptions!$D$67)</f>
        <v>416.60487807846471</v>
      </c>
    </row>
    <row r="123" spans="2:9" ht="15" customHeight="1" x14ac:dyDescent="0.25">
      <c r="B123" s="1" t="s">
        <v>225</v>
      </c>
      <c r="D123" s="8">
        <f>D115*Assumptions!D$68</f>
        <v>1605.04234</v>
      </c>
      <c r="E123" s="8">
        <f>E115*Assumptions!E$68</f>
        <v>1776.3427721199998</v>
      </c>
      <c r="F123" s="8">
        <f>F115*Assumptions!F$68</f>
        <v>1969.070324364</v>
      </c>
      <c r="G123" s="8">
        <f>G115*Assumptions!G$68</f>
        <v>2175.7064571704</v>
      </c>
      <c r="H123" s="8">
        <f>H115*Assumptions!H$68</f>
        <v>2395.6689098023926</v>
      </c>
      <c r="I123" s="8">
        <f>I115*Assumptions!I$68</f>
        <v>2628.2617802686204</v>
      </c>
    </row>
    <row r="124" spans="2:9" ht="15" customHeight="1" x14ac:dyDescent="0.25">
      <c r="B124" s="4" t="s">
        <v>21</v>
      </c>
      <c r="D124" s="9">
        <f t="shared" ref="D124:I124" si="24">D120-D121-D122-D123</f>
        <v>1571.0690600000012</v>
      </c>
      <c r="E124" s="9">
        <f t="shared" si="24"/>
        <v>1839.320623880001</v>
      </c>
      <c r="F124" s="9">
        <f t="shared" si="24"/>
        <v>2150.8148530560002</v>
      </c>
      <c r="G124" s="9">
        <f t="shared" si="24"/>
        <v>2493.6652157608</v>
      </c>
      <c r="H124" s="9">
        <f t="shared" si="24"/>
        <v>2867.9418353577021</v>
      </c>
      <c r="I124" s="9">
        <f t="shared" si="24"/>
        <v>3273.4782523899589</v>
      </c>
    </row>
    <row r="125" spans="2:9" ht="15" customHeight="1" x14ac:dyDescent="0.25">
      <c r="B125" s="1" t="s">
        <v>145</v>
      </c>
      <c r="D125" s="8">
        <f>Assumptions!$D$80</f>
        <v>480.15500000000003</v>
      </c>
      <c r="E125" s="8">
        <f>Assumptions!$E$80</f>
        <v>466.84926999999999</v>
      </c>
      <c r="F125" s="8">
        <f>Assumptions!$F$80</f>
        <v>455.75229117999993</v>
      </c>
      <c r="G125" s="8">
        <f>Assumptions!$G$80</f>
        <v>446.49741084412</v>
      </c>
      <c r="H125" s="8">
        <f>Assumptions!$H$80</f>
        <v>438.77884064399603</v>
      </c>
      <c r="I125" s="8">
        <f>Assumptions!$I$80</f>
        <v>432.34155309709274</v>
      </c>
    </row>
    <row r="126" spans="2:9" ht="15" customHeight="1" x14ac:dyDescent="0.25">
      <c r="B126" s="4" t="s">
        <v>146</v>
      </c>
      <c r="D126" s="9">
        <f t="shared" ref="D126:I126" si="25">D124-D125</f>
        <v>1090.9140600000012</v>
      </c>
      <c r="E126" s="9">
        <f t="shared" si="25"/>
        <v>1372.4713538800011</v>
      </c>
      <c r="F126" s="9">
        <f t="shared" si="25"/>
        <v>1695.0625618760002</v>
      </c>
      <c r="G126" s="9">
        <f t="shared" si="25"/>
        <v>2047.1678049166801</v>
      </c>
      <c r="H126" s="9">
        <f t="shared" si="25"/>
        <v>2429.1629947137062</v>
      </c>
      <c r="I126" s="9">
        <f t="shared" si="25"/>
        <v>2841.1366992928661</v>
      </c>
    </row>
    <row r="127" spans="2:9" ht="15" customHeight="1" x14ac:dyDescent="0.25">
      <c r="B127" s="1" t="s">
        <v>226</v>
      </c>
      <c r="D127" s="6">
        <f>Assumptions!$D$58</f>
        <v>1.05</v>
      </c>
      <c r="E127" s="6">
        <f>Assumptions!$E$58</f>
        <v>0.95</v>
      </c>
      <c r="F127" s="6">
        <f>Assumptions!$F$58</f>
        <v>0.9</v>
      </c>
      <c r="G127" s="6">
        <f>Assumptions!$G$58</f>
        <v>0.88</v>
      </c>
      <c r="H127" s="6">
        <f>Assumptions!$H$58</f>
        <v>0.85</v>
      </c>
      <c r="I127" s="6">
        <f>Assumptions!$I$58</f>
        <v>0.85</v>
      </c>
    </row>
    <row r="128" spans="2:9" ht="15" customHeight="1" x14ac:dyDescent="0.25">
      <c r="B128" s="4" t="s">
        <v>22</v>
      </c>
      <c r="D128" s="9">
        <f t="shared" ref="D128:I128" si="26">D118*(1-D127)</f>
        <v>-51.595300000000044</v>
      </c>
      <c r="E128" s="9">
        <f t="shared" si="26"/>
        <v>63.730901000000053</v>
      </c>
      <c r="F128" s="9">
        <f t="shared" si="26"/>
        <v>154.16394031999994</v>
      </c>
      <c r="G128" s="9">
        <f t="shared" si="26"/>
        <v>220.44230264159998</v>
      </c>
      <c r="H128" s="9">
        <f t="shared" si="26"/>
        <v>323.36555926427997</v>
      </c>
      <c r="I128" s="9">
        <f t="shared" si="26"/>
        <v>373.57630299863644</v>
      </c>
    </row>
    <row r="129" spans="2:9" ht="15" customHeight="1" x14ac:dyDescent="0.25">
      <c r="B129" s="1" t="s">
        <v>227</v>
      </c>
      <c r="D129" s="9">
        <f t="shared" ref="D129:I129" si="27">D126+D128</f>
        <v>1039.3187600000012</v>
      </c>
      <c r="E129" s="9">
        <f t="shared" si="27"/>
        <v>1436.2022548800012</v>
      </c>
      <c r="F129" s="9">
        <f t="shared" si="27"/>
        <v>1849.2265021960002</v>
      </c>
      <c r="G129" s="9">
        <f t="shared" si="27"/>
        <v>2267.6101075582801</v>
      </c>
      <c r="H129" s="9">
        <f t="shared" si="27"/>
        <v>2752.5285539779861</v>
      </c>
      <c r="I129" s="9">
        <f t="shared" si="27"/>
        <v>3214.7130022915026</v>
      </c>
    </row>
    <row r="130" spans="2:9" ht="15" customHeight="1" x14ac:dyDescent="0.25">
      <c r="B130" s="1" t="s">
        <v>152</v>
      </c>
      <c r="D130" s="8">
        <f>Assumptions!$D$91</f>
        <v>106.2</v>
      </c>
      <c r="E130" s="8">
        <f>Assumptions!$D$91</f>
        <v>106.2</v>
      </c>
      <c r="F130" s="8">
        <f>Assumptions!$D$91</f>
        <v>106.2</v>
      </c>
      <c r="G130" s="8">
        <f>Assumptions!$D$91</f>
        <v>106.2</v>
      </c>
      <c r="H130" s="8">
        <f>Assumptions!$D$91</f>
        <v>106.2</v>
      </c>
      <c r="I130" s="8">
        <f>Assumptions!$D$91</f>
        <v>106.2</v>
      </c>
    </row>
    <row r="131" spans="2:9" ht="15" customHeight="1" x14ac:dyDescent="0.25">
      <c r="B131" s="1" t="s">
        <v>228</v>
      </c>
      <c r="D131" s="8">
        <f>Assumptions!$D$92+Assumptions!$D$126</f>
        <v>44.5</v>
      </c>
      <c r="E131" s="8">
        <f>Assumptions!$D$92+Assumptions!$E$126</f>
        <v>110.5</v>
      </c>
      <c r="F131" s="8">
        <f>Assumptions!$D$92+Assumptions!$F$126</f>
        <v>204</v>
      </c>
      <c r="G131" s="8">
        <f>Assumptions!$D$92+Assumptions!$G$126</f>
        <v>297.5</v>
      </c>
      <c r="H131" s="8">
        <f>Assumptions!$D$92+Assumptions!$H$126</f>
        <v>391</v>
      </c>
      <c r="I131" s="8">
        <f>Assumptions!$D$92+Assumptions!$I$126</f>
        <v>484.5</v>
      </c>
    </row>
    <row r="132" spans="2:9" ht="15" customHeight="1" x14ac:dyDescent="0.25">
      <c r="B132" s="1" t="s">
        <v>154</v>
      </c>
      <c r="D132" s="9">
        <f t="shared" ref="D132:I132" si="28">D129+D130-D131</f>
        <v>1101.0187600000013</v>
      </c>
      <c r="E132" s="9">
        <f t="shared" si="28"/>
        <v>1431.9022548800012</v>
      </c>
      <c r="F132" s="9">
        <f t="shared" si="28"/>
        <v>1751.4265021960002</v>
      </c>
      <c r="G132" s="9">
        <f t="shared" si="28"/>
        <v>2076.3101075582799</v>
      </c>
      <c r="H132" s="9">
        <f t="shared" si="28"/>
        <v>2467.7285539779859</v>
      </c>
      <c r="I132" s="9">
        <f t="shared" si="28"/>
        <v>2836.4130022915024</v>
      </c>
    </row>
    <row r="133" spans="2:9" ht="15" customHeight="1" x14ac:dyDescent="0.25">
      <c r="B133" s="1" t="s">
        <v>155</v>
      </c>
      <c r="D133" s="8">
        <f>D132*Assumptions!$D$89</f>
        <v>275.25469000000032</v>
      </c>
      <c r="E133" s="8">
        <f>E132*Assumptions!$D$89</f>
        <v>357.97556372000031</v>
      </c>
      <c r="F133" s="8">
        <f>F132*Assumptions!$D$89</f>
        <v>437.85662554900006</v>
      </c>
      <c r="G133" s="8">
        <f>G132*Assumptions!$D$89</f>
        <v>519.07752688956998</v>
      </c>
      <c r="H133" s="8">
        <f>H132*Assumptions!$D$89</f>
        <v>616.93213849449648</v>
      </c>
      <c r="I133" s="8">
        <f>I132*Assumptions!$D$89</f>
        <v>709.1032505728756</v>
      </c>
    </row>
    <row r="134" spans="2:9" ht="15" customHeight="1" x14ac:dyDescent="0.25">
      <c r="B134" s="4" t="s">
        <v>229</v>
      </c>
      <c r="D134" s="9">
        <f t="shared" ref="D134:I134" si="29">D132-D133</f>
        <v>825.76407000000097</v>
      </c>
      <c r="E134" s="9">
        <f t="shared" si="29"/>
        <v>1073.9266911600009</v>
      </c>
      <c r="F134" s="9">
        <f t="shared" si="29"/>
        <v>1313.5698766470002</v>
      </c>
      <c r="G134" s="9">
        <f t="shared" si="29"/>
        <v>1557.2325806687099</v>
      </c>
      <c r="H134" s="9">
        <f t="shared" si="29"/>
        <v>1850.7964154834895</v>
      </c>
      <c r="I134" s="9">
        <f t="shared" si="29"/>
        <v>2127.309751718627</v>
      </c>
    </row>
    <row r="135" spans="2:9" ht="15" customHeight="1" x14ac:dyDescent="0.25">
      <c r="B135" s="1" t="s">
        <v>230</v>
      </c>
      <c r="D135" s="8">
        <f t="shared" ref="D135:I135" si="30">D115+D118</f>
        <v>15623.2</v>
      </c>
      <c r="E135" s="8">
        <f t="shared" si="30"/>
        <v>17571.340700000001</v>
      </c>
      <c r="F135" s="8">
        <f t="shared" si="30"/>
        <v>19773.7720362</v>
      </c>
      <c r="G135" s="8">
        <f t="shared" si="30"/>
        <v>22170.724395879999</v>
      </c>
      <c r="H135" s="8">
        <f t="shared" si="30"/>
        <v>24756.420487570602</v>
      </c>
      <c r="I135" s="8">
        <f t="shared" si="30"/>
        <v>27521.57326064444</v>
      </c>
    </row>
    <row r="136" spans="2:9" ht="15" customHeight="1" x14ac:dyDescent="0.25">
      <c r="B136" s="1" t="s">
        <v>231</v>
      </c>
      <c r="D136" s="8">
        <f>(Assumptions!$D$84+Assumptions!$D$85-Assumptions!$D$86)/365*D135</f>
        <v>3120.3596712328767</v>
      </c>
      <c r="E136" s="8">
        <f>(Assumptions!$D$84+Assumptions!$D$85-Assumptions!$D$86)/365*E135</f>
        <v>3509.4540740547941</v>
      </c>
      <c r="F136" s="8">
        <f>(Assumptions!$D$84+Assumptions!$D$85-Assumptions!$D$86)/365*F135</f>
        <v>3949.3369354492597</v>
      </c>
      <c r="G136" s="8">
        <f>(Assumptions!$D$84+Assumptions!$D$85-Assumptions!$D$86)/365*G135</f>
        <v>4428.0707081086348</v>
      </c>
      <c r="H136" s="8">
        <f>(Assumptions!$D$84+Assumptions!$D$85-Assumptions!$D$86)/365*H135</f>
        <v>4944.501516558621</v>
      </c>
      <c r="I136" s="8">
        <f>(Assumptions!$D$84+Assumptions!$D$85-Assumptions!$D$86)/365*I135</f>
        <v>5496.7744950711767</v>
      </c>
    </row>
    <row r="137" spans="2:9" ht="15" customHeight="1" x14ac:dyDescent="0.25">
      <c r="B137" s="1" t="s">
        <v>232</v>
      </c>
      <c r="D137" s="8">
        <f>-(D136-13814*(Assumptions!$D$84+Assumptions!$D$85-Assumptions!$D$86)/365)</f>
        <v>-361.3443287671239</v>
      </c>
      <c r="E137" s="8">
        <f>-(E136-D136)</f>
        <v>-389.09440282191736</v>
      </c>
      <c r="F137" s="8">
        <f>-(F136-E136)</f>
        <v>-439.88286139446564</v>
      </c>
      <c r="G137" s="8">
        <f>-(G136-F136)</f>
        <v>-478.73377265937506</v>
      </c>
      <c r="H137" s="8">
        <f>-(H136-G136)</f>
        <v>-516.43080844998622</v>
      </c>
      <c r="I137" s="8">
        <f>-(I136-H136)</f>
        <v>-552.27297851255571</v>
      </c>
    </row>
    <row r="138" spans="2:9" ht="15" customHeight="1" x14ac:dyDescent="0.25">
      <c r="B138" s="4" t="s">
        <v>24</v>
      </c>
      <c r="D138" s="26">
        <f>D134+D125-Assumptions!$D$74+D137-Assumptions!$D$124</f>
        <v>4.5747412328771588</v>
      </c>
      <c r="E138" s="26">
        <f>E134+E125-Assumptions!$D$74+E137-Assumptions!$E$124</f>
        <v>-13.318441661916381</v>
      </c>
      <c r="F138" s="26">
        <f>F134+F125-Assumptions!$D$74+F137-Assumptions!$F$124</f>
        <v>164.43930643253464</v>
      </c>
      <c r="G138" s="26">
        <f>G134+G125-Assumptions!$D$74+G137-Assumptions!$G$124</f>
        <v>359.99621885345493</v>
      </c>
      <c r="H138" s="26">
        <f>H134+H125-Assumptions!$D$74+H137-Assumptions!$H$124</f>
        <v>608.14444767749922</v>
      </c>
      <c r="I138" s="8">
        <f>I134+I125-Assumptions!$I$74+I137-Assumptions!$I$124</f>
        <v>1607.3783263031642</v>
      </c>
    </row>
    <row r="139" spans="2:9" ht="15" customHeight="1" x14ac:dyDescent="0.25">
      <c r="B139" s="1" t="s">
        <v>233</v>
      </c>
      <c r="D139" s="8">
        <f>D138/(1+Assumptions!$D$103)^1</f>
        <v>4.0182180350260506</v>
      </c>
      <c r="E139" s="8">
        <f>E138/(1+Assumptions!$D$103)^2</f>
        <v>-10.275130416202181</v>
      </c>
      <c r="F139" s="8">
        <f>F138/(1+Assumptions!$D$103)^3</f>
        <v>111.43112919754566</v>
      </c>
      <c r="G139" s="8">
        <f>G138/(1+Assumptions!$D$103)^4</f>
        <v>214.2721855889061</v>
      </c>
      <c r="H139" s="8">
        <f>H138/(1+Assumptions!$D$103)^5</f>
        <v>317.93736550437546</v>
      </c>
      <c r="I139" s="8">
        <f>I138/(1+Assumptions!$D$103)^6</f>
        <v>738.1079760132111</v>
      </c>
    </row>
    <row r="141" spans="2:9" ht="15" customHeight="1" x14ac:dyDescent="0.25">
      <c r="B141" s="1" t="s">
        <v>234</v>
      </c>
      <c r="C141" s="8">
        <f>SUM(D139:I139)</f>
        <v>1375.4917439228623</v>
      </c>
    </row>
    <row r="142" spans="2:9" ht="15" customHeight="1" x14ac:dyDescent="0.25">
      <c r="B142" s="1" t="s">
        <v>206</v>
      </c>
      <c r="C142" s="8">
        <f>(I138*(1+Assumptions!$D$104)/(Assumptions!$D$103-Assumptions!$D$104))/(1+Assumptions!$D$103)^6</f>
        <v>8757.2132747330124</v>
      </c>
    </row>
    <row r="143" spans="2:9" ht="15" customHeight="1" x14ac:dyDescent="0.25">
      <c r="B143" s="1" t="s">
        <v>235</v>
      </c>
      <c r="C143" s="8">
        <f>C141+C142</f>
        <v>10132.705018655875</v>
      </c>
    </row>
    <row r="144" spans="2:9" ht="15" customHeight="1" x14ac:dyDescent="0.25">
      <c r="B144" s="1" t="s">
        <v>236</v>
      </c>
      <c r="C144" s="8">
        <f>(Assumptions!$D$95*Assumptions!$D$96)/(1+Assumptions!$D$103)^Assumptions!$D$97+(Assumptions!$D$98*Assumptions!$D$99)/(1+Assumptions!$D$103)^Assumptions!$D$100</f>
        <v>10132.290544722076</v>
      </c>
    </row>
    <row r="145" spans="2:11" ht="15" customHeight="1" x14ac:dyDescent="0.25">
      <c r="B145" s="4" t="s">
        <v>32</v>
      </c>
      <c r="C145" s="9">
        <f>C143+C144</f>
        <v>20264.995563377954</v>
      </c>
    </row>
    <row r="146" spans="2:11" ht="15.75" customHeight="1" x14ac:dyDescent="0.25">
      <c r="B146" s="4" t="s">
        <v>6</v>
      </c>
      <c r="C146" s="36">
        <f>C145/Assumptions!$D$106</f>
        <v>1107.2233443763539</v>
      </c>
    </row>
    <row r="149" spans="2:11" ht="15.75" x14ac:dyDescent="0.25">
      <c r="B149" s="61" t="s">
        <v>309</v>
      </c>
      <c r="C149" s="47"/>
      <c r="D149" s="47"/>
      <c r="E149" s="47"/>
      <c r="F149" s="47"/>
      <c r="G149" s="74" t="s">
        <v>15</v>
      </c>
      <c r="H149" s="74" t="s">
        <v>16</v>
      </c>
      <c r="I149" s="74" t="s">
        <v>17</v>
      </c>
      <c r="J149" s="74" t="s">
        <v>18</v>
      </c>
      <c r="K149" s="75" t="s">
        <v>19</v>
      </c>
    </row>
    <row r="150" spans="2:11" x14ac:dyDescent="0.25">
      <c r="B150" s="49" t="s">
        <v>305</v>
      </c>
      <c r="C150" s="50"/>
      <c r="D150" s="50"/>
      <c r="E150" s="50"/>
      <c r="F150" s="50"/>
      <c r="G150" s="50">
        <v>2</v>
      </c>
      <c r="H150" s="50">
        <v>6</v>
      </c>
      <c r="I150" s="50">
        <v>9</v>
      </c>
      <c r="J150" s="50">
        <v>12</v>
      </c>
      <c r="K150" s="51">
        <v>16</v>
      </c>
    </row>
    <row r="151" spans="2:11" x14ac:dyDescent="0.25">
      <c r="B151" s="49" t="s">
        <v>306</v>
      </c>
      <c r="C151" s="50"/>
      <c r="D151" s="50"/>
      <c r="E151" s="50"/>
      <c r="F151" s="50"/>
      <c r="G151" s="69">
        <f>78*95</f>
        <v>7410</v>
      </c>
      <c r="H151" s="69">
        <f t="shared" ref="H151:K151" si="31">78*95</f>
        <v>7410</v>
      </c>
      <c r="I151" s="69">
        <f t="shared" si="31"/>
        <v>7410</v>
      </c>
      <c r="J151" s="69">
        <f t="shared" si="31"/>
        <v>7410</v>
      </c>
      <c r="K151" s="65">
        <f t="shared" si="31"/>
        <v>7410</v>
      </c>
    </row>
    <row r="152" spans="2:11" x14ac:dyDescent="0.25">
      <c r="B152" s="49" t="s">
        <v>304</v>
      </c>
      <c r="C152" s="50"/>
      <c r="D152" s="50"/>
      <c r="E152" s="50"/>
      <c r="F152" s="50"/>
      <c r="G152" s="69">
        <f>G151*1000000*G150/10000000</f>
        <v>1482</v>
      </c>
      <c r="H152" s="69">
        <f t="shared" ref="H152:K152" si="32">H151*1000000*H150/10000000</f>
        <v>4446</v>
      </c>
      <c r="I152" s="69">
        <f t="shared" si="32"/>
        <v>6669</v>
      </c>
      <c r="J152" s="69">
        <f t="shared" si="32"/>
        <v>8892</v>
      </c>
      <c r="K152" s="65">
        <f t="shared" si="32"/>
        <v>11856</v>
      </c>
    </row>
    <row r="153" spans="2:11" x14ac:dyDescent="0.25">
      <c r="B153" s="49" t="s">
        <v>307</v>
      </c>
      <c r="C153" s="50"/>
      <c r="D153" s="50"/>
      <c r="E153" s="50"/>
      <c r="F153" s="50"/>
      <c r="G153" s="52">
        <v>-0.05</v>
      </c>
      <c r="H153" s="52">
        <v>0</v>
      </c>
      <c r="I153" s="52">
        <v>0.03</v>
      </c>
      <c r="J153" s="52">
        <v>0.05</v>
      </c>
      <c r="K153" s="53">
        <v>7.0000000000000007E-2</v>
      </c>
    </row>
    <row r="154" spans="2:11" x14ac:dyDescent="0.25">
      <c r="B154" s="49" t="s">
        <v>229</v>
      </c>
      <c r="C154" s="50"/>
      <c r="D154" s="50"/>
      <c r="E154" s="50"/>
      <c r="F154" s="50"/>
      <c r="G154" s="69">
        <f>G152*G153</f>
        <v>-74.100000000000009</v>
      </c>
      <c r="H154" s="69">
        <f t="shared" ref="H154:K154" si="33">H152*H153</f>
        <v>0</v>
      </c>
      <c r="I154" s="69">
        <f t="shared" si="33"/>
        <v>200.07</v>
      </c>
      <c r="J154" s="69">
        <f t="shared" si="33"/>
        <v>444.6</v>
      </c>
      <c r="K154" s="65">
        <f t="shared" si="33"/>
        <v>829.92000000000007</v>
      </c>
    </row>
    <row r="155" spans="2:11" x14ac:dyDescent="0.25">
      <c r="B155" s="49" t="s">
        <v>308</v>
      </c>
      <c r="C155" s="50"/>
      <c r="D155" s="50"/>
      <c r="E155" s="50"/>
      <c r="F155" s="50"/>
      <c r="G155" s="73">
        <f>D8</f>
        <v>0.77149644658380401</v>
      </c>
      <c r="H155" s="73">
        <f t="shared" ref="H155:K155" si="34">E8</f>
        <v>0.6776429043336003</v>
      </c>
      <c r="I155" s="73">
        <f t="shared" si="34"/>
        <v>0.59520676709143627</v>
      </c>
      <c r="J155" s="73">
        <f t="shared" si="34"/>
        <v>0.52279909274610126</v>
      </c>
      <c r="K155" s="76">
        <f t="shared" si="34"/>
        <v>0.45919990579367698</v>
      </c>
    </row>
    <row r="156" spans="2:11" x14ac:dyDescent="0.25">
      <c r="B156" s="54" t="s">
        <v>314</v>
      </c>
      <c r="C156" s="50"/>
      <c r="D156" s="50"/>
      <c r="E156" s="50"/>
      <c r="F156" s="50"/>
      <c r="G156" s="55">
        <f>G154*G155</f>
        <v>-57.167886691859884</v>
      </c>
      <c r="H156" s="55">
        <f t="shared" ref="H156:K156" si="35">H154*H155</f>
        <v>0</v>
      </c>
      <c r="I156" s="55">
        <f t="shared" si="35"/>
        <v>119.08301789198364</v>
      </c>
      <c r="J156" s="55">
        <f t="shared" si="35"/>
        <v>232.43647663491663</v>
      </c>
      <c r="K156" s="56">
        <f t="shared" si="35"/>
        <v>381.09918581628841</v>
      </c>
    </row>
    <row r="157" spans="2:11" x14ac:dyDescent="0.25">
      <c r="B157" s="49" t="s">
        <v>318</v>
      </c>
      <c r="C157" s="50"/>
      <c r="D157" s="50"/>
      <c r="E157" s="50"/>
      <c r="F157" s="50"/>
      <c r="G157" s="50">
        <v>0</v>
      </c>
      <c r="H157" s="50">
        <v>0</v>
      </c>
      <c r="I157" s="81">
        <f>I154*15</f>
        <v>3001.0499999999997</v>
      </c>
      <c r="J157" s="81">
        <f t="shared" ref="J157:K157" si="36">J154*15</f>
        <v>6669</v>
      </c>
      <c r="K157" s="82">
        <f t="shared" si="36"/>
        <v>12448.800000000001</v>
      </c>
    </row>
    <row r="158" spans="2:11" x14ac:dyDescent="0.25">
      <c r="B158" s="49" t="s">
        <v>204</v>
      </c>
      <c r="C158" s="50"/>
      <c r="D158" s="50"/>
      <c r="E158" s="50"/>
      <c r="F158" s="50"/>
      <c r="G158" s="50"/>
      <c r="H158" s="70">
        <f>SUM(G156:L156)</f>
        <v>675.45079365132881</v>
      </c>
      <c r="I158" s="57">
        <f>H158/H161</f>
        <v>0.12997020207240184</v>
      </c>
      <c r="J158" s="50"/>
      <c r="K158" s="76">
        <f>H8</f>
        <v>0.45919990579367698</v>
      </c>
    </row>
    <row r="159" spans="2:11" x14ac:dyDescent="0.25">
      <c r="B159" s="49" t="s">
        <v>205</v>
      </c>
      <c r="C159" s="50"/>
      <c r="D159" s="50"/>
      <c r="E159" s="50"/>
      <c r="F159" s="50"/>
      <c r="G159" s="50"/>
      <c r="H159" s="70">
        <f>K154*(1.05)/(Assumptions!$D$103-0.05)</f>
        <v>9846.5084745762724</v>
      </c>
      <c r="I159" s="50"/>
      <c r="J159" s="84" t="s">
        <v>319</v>
      </c>
      <c r="K159" s="85">
        <f>K157*K158</f>
        <v>5716.4877872443267</v>
      </c>
    </row>
    <row r="160" spans="2:11" x14ac:dyDescent="0.25">
      <c r="B160" s="49" t="s">
        <v>206</v>
      </c>
      <c r="C160" s="50"/>
      <c r="D160" s="50"/>
      <c r="E160" s="50"/>
      <c r="F160" s="50"/>
      <c r="G160" s="50"/>
      <c r="H160" s="70">
        <f>H159*K155</f>
        <v>4521.5157639220661</v>
      </c>
      <c r="I160" s="57">
        <f>H160/H161</f>
        <v>0.87002979792759805</v>
      </c>
      <c r="J160" s="50"/>
      <c r="K160" s="51"/>
    </row>
    <row r="161" spans="2:11" x14ac:dyDescent="0.25">
      <c r="B161" s="58" t="s">
        <v>207</v>
      </c>
      <c r="C161" s="59"/>
      <c r="D161" s="59"/>
      <c r="E161" s="59"/>
      <c r="F161" s="59"/>
      <c r="G161" s="59"/>
      <c r="H161" s="71">
        <f>H158+H160</f>
        <v>5196.9665575733952</v>
      </c>
      <c r="I161" s="59"/>
      <c r="J161" s="59"/>
      <c r="K161" s="60"/>
    </row>
    <row r="162" spans="2:11" x14ac:dyDescent="0.25">
      <c r="B162" s="63" t="s">
        <v>321</v>
      </c>
      <c r="G162" s="83">
        <f>G152*1.5</f>
        <v>2223</v>
      </c>
      <c r="H162" s="83">
        <f t="shared" ref="H162:K162" si="37">H152*1.5</f>
        <v>6669</v>
      </c>
      <c r="I162" s="83">
        <f t="shared" si="37"/>
        <v>10003.5</v>
      </c>
      <c r="J162" s="83">
        <f t="shared" si="37"/>
        <v>13338</v>
      </c>
      <c r="K162" s="83">
        <f t="shared" si="37"/>
        <v>17784</v>
      </c>
    </row>
    <row r="163" spans="2:11" ht="15.75" x14ac:dyDescent="0.25">
      <c r="B163" s="62" t="s">
        <v>310</v>
      </c>
      <c r="C163" s="48"/>
      <c r="J163" s="86" t="s">
        <v>320</v>
      </c>
      <c r="K163" s="87">
        <f>K162*K158</f>
        <v>8166.4111246347511</v>
      </c>
    </row>
    <row r="164" spans="2:11" x14ac:dyDescent="0.25">
      <c r="B164" s="63" t="s">
        <v>76</v>
      </c>
      <c r="C164" s="51">
        <v>280</v>
      </c>
      <c r="K164" s="1"/>
    </row>
    <row r="165" spans="2:11" x14ac:dyDescent="0.25">
      <c r="B165" s="63" t="s">
        <v>311</v>
      </c>
      <c r="C165" s="64">
        <v>10</v>
      </c>
      <c r="K165" s="1"/>
    </row>
    <row r="166" spans="2:11" x14ac:dyDescent="0.25">
      <c r="B166" s="63" t="s">
        <v>253</v>
      </c>
      <c r="C166" s="65">
        <f>C164*C165</f>
        <v>2800</v>
      </c>
      <c r="K166" s="1"/>
    </row>
    <row r="167" spans="2:11" x14ac:dyDescent="0.25">
      <c r="B167" s="63" t="s">
        <v>307</v>
      </c>
      <c r="C167" s="53">
        <v>0.05</v>
      </c>
      <c r="K167" s="1"/>
    </row>
    <row r="168" spans="2:11" x14ac:dyDescent="0.25">
      <c r="B168" s="66" t="s">
        <v>229</v>
      </c>
      <c r="C168" s="67">
        <f>C166*C167</f>
        <v>140</v>
      </c>
      <c r="K168" s="1"/>
    </row>
    <row r="169" spans="2:11" x14ac:dyDescent="0.25">
      <c r="B169" s="63" t="s">
        <v>312</v>
      </c>
      <c r="C169" s="64">
        <v>15</v>
      </c>
      <c r="K169" s="1"/>
    </row>
    <row r="170" spans="2:11" x14ac:dyDescent="0.25">
      <c r="B170" s="66" t="s">
        <v>313</v>
      </c>
      <c r="C170" s="67">
        <f>C168*C169</f>
        <v>2100</v>
      </c>
      <c r="K170" s="1"/>
    </row>
    <row r="171" spans="2:11" x14ac:dyDescent="0.25">
      <c r="B171" s="63" t="s">
        <v>308</v>
      </c>
      <c r="C171" s="51">
        <f>H155</f>
        <v>0.6776429043336003</v>
      </c>
      <c r="K171" s="1"/>
    </row>
    <row r="172" spans="2:11" x14ac:dyDescent="0.25">
      <c r="B172" s="68" t="s">
        <v>314</v>
      </c>
      <c r="C172" s="72">
        <f>C170*C171</f>
        <v>1423.0500991005606</v>
      </c>
      <c r="K172" s="1"/>
    </row>
  </sheetData>
  <mergeCells count="7">
    <mergeCell ref="B72:I72"/>
    <mergeCell ref="B110:I110"/>
    <mergeCell ref="B4:I4"/>
    <mergeCell ref="B16:I16"/>
    <mergeCell ref="B31:I31"/>
    <mergeCell ref="B32:I32"/>
    <mergeCell ref="B34:I34"/>
  </mergeCells>
  <pageMargins left="0.75" right="0.75" top="1" bottom="1" header="0.511811023622047" footer="0.511811023622047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5</xdr:col>
                    <xdr:colOff>0</xdr:colOff>
                    <xdr:row>1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6"/>
  <sheetViews>
    <sheetView zoomScaleNormal="100" workbookViewId="0">
      <selection activeCell="B30" sqref="B30"/>
    </sheetView>
  </sheetViews>
  <sheetFormatPr defaultColWidth="8.7109375" defaultRowHeight="15" x14ac:dyDescent="0.25"/>
  <cols>
    <col min="1" max="1" width="3" style="1" customWidth="1"/>
    <col min="2" max="2" width="42" style="1" customWidth="1"/>
    <col min="3" max="11" width="12" style="1" customWidth="1"/>
  </cols>
  <sheetData>
    <row r="1" spans="2:11" ht="16.5" customHeight="1" x14ac:dyDescent="0.25">
      <c r="B1" s="24" t="s">
        <v>239</v>
      </c>
    </row>
    <row r="2" spans="2:11" ht="15" customHeight="1" x14ac:dyDescent="0.25">
      <c r="B2" s="3" t="s">
        <v>240</v>
      </c>
    </row>
    <row r="4" spans="2:11" ht="15" customHeight="1" x14ac:dyDescent="0.25">
      <c r="B4" s="4" t="s">
        <v>10</v>
      </c>
      <c r="C4" s="25" t="s">
        <v>11</v>
      </c>
      <c r="D4" s="25" t="s">
        <v>12</v>
      </c>
      <c r="E4" s="25" t="s">
        <v>13</v>
      </c>
      <c r="F4" s="25" t="s">
        <v>14</v>
      </c>
      <c r="G4" s="25" t="s">
        <v>15</v>
      </c>
      <c r="H4" s="25" t="s">
        <v>16</v>
      </c>
      <c r="I4" s="25" t="s">
        <v>17</v>
      </c>
      <c r="J4" s="25" t="s">
        <v>18</v>
      </c>
      <c r="K4" s="25" t="s">
        <v>19</v>
      </c>
    </row>
    <row r="6" spans="2:11" ht="15" customHeight="1" x14ac:dyDescent="0.25">
      <c r="B6" s="1" t="s">
        <v>241</v>
      </c>
      <c r="C6" s="16">
        <v>2909.5</v>
      </c>
      <c r="D6" s="16">
        <v>3116.4</v>
      </c>
      <c r="E6" s="16">
        <v>3769.5</v>
      </c>
      <c r="F6" s="8">
        <f>Assumptions!$D$81</f>
        <v>2612.3449999999998</v>
      </c>
      <c r="G6" s="8">
        <f>Assumptions!$E$81</f>
        <v>2545.4957299999996</v>
      </c>
      <c r="H6" s="8">
        <f>Assumptions!$F$81</f>
        <v>2489.7434388199999</v>
      </c>
      <c r="I6" s="8">
        <f>Assumptions!$G$81</f>
        <v>2443.2460279758798</v>
      </c>
      <c r="J6" s="8">
        <f>Assumptions!$H$81</f>
        <v>2404.4671873318839</v>
      </c>
      <c r="K6" s="8">
        <f>Assumptions!$I$81</f>
        <v>2372.1256342347911</v>
      </c>
    </row>
    <row r="7" spans="2:11" ht="15" customHeight="1" x14ac:dyDescent="0.25">
      <c r="B7" s="1" t="s">
        <v>242</v>
      </c>
      <c r="C7" s="16">
        <v>1948.4</v>
      </c>
      <c r="D7" s="16">
        <v>2195.4</v>
      </c>
      <c r="E7" s="16">
        <v>2514.6999999999998</v>
      </c>
      <c r="F7" s="8">
        <f>Assumptions!$D$84/365*'P&amp;L'!F16</f>
        <v>3524.7231920547943</v>
      </c>
      <c r="G7" s="8">
        <f>Assumptions!$D$84/365*'P&amp;L'!G16</f>
        <v>3889.5014624342471</v>
      </c>
      <c r="H7" s="8">
        <f>Assumptions!$D$84/365*'P&amp;L'!H16</f>
        <v>4305.5275126769584</v>
      </c>
      <c r="I7" s="8">
        <f>Assumptions!$D$84/365*'P&amp;L'!I16</f>
        <v>4758.8876390543037</v>
      </c>
      <c r="J7" s="8">
        <f>Assumptions!$D$84/365*'P&amp;L'!J16</f>
        <v>5244.8899843843265</v>
      </c>
      <c r="K7" s="8">
        <f>Assumptions!$D$84/365*'P&amp;L'!K16</f>
        <v>5757.4759405515997</v>
      </c>
    </row>
    <row r="8" spans="2:11" ht="15" customHeight="1" x14ac:dyDescent="0.25">
      <c r="B8" s="1" t="s">
        <v>243</v>
      </c>
      <c r="C8" s="16">
        <v>1135.8</v>
      </c>
      <c r="D8" s="16">
        <v>1263.0999999999999</v>
      </c>
      <c r="E8" s="16">
        <v>1243.2</v>
      </c>
      <c r="F8" s="8">
        <f>Assumptions!$D$85/365*'P&amp;L'!F16</f>
        <v>1308.7050523287671</v>
      </c>
      <c r="G8" s="8">
        <f>Assumptions!$D$85/365*'P&amp;L'!G16</f>
        <v>1444.1446711054796</v>
      </c>
      <c r="H8" s="8">
        <f>Assumptions!$D$85/365*'P&amp;L'!H16</f>
        <v>1598.6122318717535</v>
      </c>
      <c r="I8" s="8">
        <f>Assumptions!$D$85/365*'P&amp;L'!I16</f>
        <v>1766.9416738125706</v>
      </c>
      <c r="J8" s="8">
        <f>Assumptions!$D$85/365*'P&amp;L'!J16</f>
        <v>1947.3909431937059</v>
      </c>
      <c r="K8" s="8">
        <f>Assumptions!$D$85/365*'P&amp;L'!K16</f>
        <v>2137.7105212249712</v>
      </c>
    </row>
    <row r="9" spans="2:11" ht="15" customHeight="1" x14ac:dyDescent="0.25">
      <c r="B9" s="1" t="s">
        <v>244</v>
      </c>
      <c r="C9" s="16">
        <v>98.3</v>
      </c>
      <c r="D9" s="16">
        <v>157.80000000000001</v>
      </c>
      <c r="E9" s="16">
        <v>226</v>
      </c>
      <c r="F9" s="8">
        <f>E9+'Cash Flow'!C12+'Cash Flow'!C14</f>
        <v>41.602618767124113</v>
      </c>
      <c r="G9" s="8">
        <f>F9+'Cash Flow'!D12+'Cash Flow'!D14</f>
        <v>-233.79049203088891</v>
      </c>
      <c r="H9" s="8">
        <f>G9+'Cash Flow'!E12+'Cash Flow'!E14</f>
        <v>-359.6878148507692</v>
      </c>
      <c r="I9" s="8">
        <f>H9+'Cash Flow'!F12+'Cash Flow'!F14</f>
        <v>-349.74990116140691</v>
      </c>
      <c r="J9" s="8">
        <f>I9+'Cash Flow'!G12+'Cash Flow'!G14</f>
        <v>-174.9614904372072</v>
      </c>
      <c r="K9" s="8">
        <f>J9+'Cash Flow'!H12+'Cash Flow'!H14</f>
        <v>923.12302146870366</v>
      </c>
    </row>
    <row r="10" spans="2:11" ht="15" customHeight="1" x14ac:dyDescent="0.25">
      <c r="B10" s="1" t="s">
        <v>245</v>
      </c>
      <c r="C10" s="16">
        <v>856.5</v>
      </c>
      <c r="D10" s="16">
        <v>1086.5999999999999</v>
      </c>
      <c r="E10" s="16">
        <v>1183.7</v>
      </c>
      <c r="F10" s="8">
        <f>Assumptions!$D$86/365*'P&amp;L'!F16</f>
        <v>1785.3580106849315</v>
      </c>
      <c r="G10" s="8">
        <f>Assumptions!$D$86/365*'P&amp;L'!G16</f>
        <v>1970.1270752780827</v>
      </c>
      <c r="H10" s="8">
        <f>Assumptions!$D$86/365*'P&amp;L'!H16</f>
        <v>2180.8543866109862</v>
      </c>
      <c r="I10" s="8">
        <f>Assumptions!$D$86/365*'P&amp;L'!I16</f>
        <v>2410.492315392868</v>
      </c>
      <c r="J10" s="8">
        <f>Assumptions!$D$86/365*'P&amp;L'!J16</f>
        <v>2656.664321864896</v>
      </c>
      <c r="K10" s="8">
        <f>Assumptions!$D$86/365*'P&amp;L'!K16</f>
        <v>2916.3015736839066</v>
      </c>
    </row>
    <row r="12" spans="2:11" ht="15" customHeight="1" x14ac:dyDescent="0.25">
      <c r="B12" s="1" t="s">
        <v>246</v>
      </c>
      <c r="C12" s="16">
        <v>18.3</v>
      </c>
      <c r="D12" s="16">
        <v>18.3</v>
      </c>
      <c r="E12" s="16">
        <v>18.3</v>
      </c>
      <c r="F12" s="8">
        <f t="shared" ref="F12:K12" si="0">E12</f>
        <v>18.3</v>
      </c>
      <c r="G12" s="8">
        <f t="shared" si="0"/>
        <v>18.3</v>
      </c>
      <c r="H12" s="8">
        <f t="shared" si="0"/>
        <v>18.3</v>
      </c>
      <c r="I12" s="8">
        <f t="shared" si="0"/>
        <v>18.3</v>
      </c>
      <c r="J12" s="8">
        <f t="shared" si="0"/>
        <v>18.3</v>
      </c>
      <c r="K12" s="8">
        <f t="shared" si="0"/>
        <v>18.3</v>
      </c>
    </row>
    <row r="13" spans="2:11" ht="15" customHeight="1" x14ac:dyDescent="0.25">
      <c r="B13" s="1" t="s">
        <v>247</v>
      </c>
      <c r="C13" s="16">
        <v>6780.4</v>
      </c>
      <c r="D13" s="16">
        <v>7370.8</v>
      </c>
      <c r="E13" s="16">
        <v>8080.7</v>
      </c>
      <c r="F13" s="8">
        <f>E13+'P&amp;L'!F39+'Cash Flow'!C14</f>
        <v>8645.202510000001</v>
      </c>
      <c r="G13" s="8">
        <f>F13+'P&amp;L'!G39+'Cash Flow'!D14</f>
        <v>9383.4089537650034</v>
      </c>
      <c r="H13" s="8">
        <f>G13+'P&amp;L'!H39+'Cash Flow'!E14</f>
        <v>10326.525639441204</v>
      </c>
      <c r="I13" s="8">
        <f>H13+'P&amp;L'!I39+'Cash Flow'!F14</f>
        <v>11447.017781822728</v>
      </c>
      <c r="J13" s="8">
        <f>I13+'P&amp;L'!J39+'Cash Flow'!G14</f>
        <v>12768.306960142061</v>
      </c>
      <c r="K13" s="8">
        <f>J13+'P&amp;L'!K39+'Cash Flow'!H14</f>
        <v>14277.318201330409</v>
      </c>
    </row>
    <row r="15" spans="2:11" ht="15" customHeight="1" x14ac:dyDescent="0.25">
      <c r="B15" s="1" t="s">
        <v>248</v>
      </c>
      <c r="C15" s="16">
        <v>0</v>
      </c>
      <c r="D15" s="16">
        <v>0</v>
      </c>
      <c r="E15" s="16">
        <v>0</v>
      </c>
      <c r="F15" s="8">
        <f>Assumptions!$D$127</f>
        <v>660</v>
      </c>
      <c r="G15" s="8">
        <f>Assumptions!$E$127</f>
        <v>1595</v>
      </c>
      <c r="H15" s="8">
        <f>Assumptions!$F$127</f>
        <v>2530</v>
      </c>
      <c r="I15" s="8">
        <f>Assumptions!$G$127</f>
        <v>3465</v>
      </c>
      <c r="J15" s="8">
        <f>Assumptions!$H$127</f>
        <v>4400</v>
      </c>
      <c r="K15" s="8">
        <f>Assumptions!$I$127</f>
        <v>4400</v>
      </c>
    </row>
    <row r="16" spans="2:11" ht="15" customHeight="1" x14ac:dyDescent="0.25">
      <c r="B16" s="1" t="s">
        <v>249</v>
      </c>
      <c r="C16" s="16">
        <v>0</v>
      </c>
      <c r="D16" s="16">
        <v>0</v>
      </c>
      <c r="E16" s="16">
        <v>0</v>
      </c>
      <c r="F16" s="8">
        <f>Assumptions!$D$128</f>
        <v>2040</v>
      </c>
      <c r="G16" s="8">
        <f>Assumptions!$E$128</f>
        <v>2805</v>
      </c>
      <c r="H16" s="8">
        <f>Assumptions!$F$128</f>
        <v>3570</v>
      </c>
      <c r="I16" s="8">
        <f>Assumptions!$G$128</f>
        <v>4335</v>
      </c>
      <c r="J16" s="8">
        <f>Assumptions!$H$128</f>
        <v>5100</v>
      </c>
      <c r="K16" s="8">
        <f>Assumptions!$I$128</f>
        <v>5100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Drop Down 1">
              <controlPr defaultSize="0" autoLine="0" autoPict="0">
                <anchor moveWithCells="1">
                  <from>
                    <xdr:col>6</xdr:col>
                    <xdr:colOff>0</xdr:colOff>
                    <xdr:row>0</xdr:row>
                    <xdr:rowOff>0</xdr:rowOff>
                  </from>
                  <to>
                    <xdr:col>7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9"/>
  <sheetViews>
    <sheetView zoomScale="130" zoomScaleNormal="130" workbookViewId="0">
      <pane xSplit="2" ySplit="4" topLeftCell="C26" activePane="bottomRight" state="frozen"/>
      <selection pane="topRight" activeCell="C1" sqref="C1"/>
      <selection pane="bottomLeft" activeCell="A5" sqref="A5"/>
      <selection pane="bottomRight" activeCell="I41" sqref="I41"/>
    </sheetView>
  </sheetViews>
  <sheetFormatPr defaultColWidth="8.7109375" defaultRowHeight="15" x14ac:dyDescent="0.25"/>
  <cols>
    <col min="1" max="1" width="3" style="1" customWidth="1"/>
    <col min="2" max="2" width="44" style="1" customWidth="1"/>
    <col min="3" max="11" width="12" style="1" customWidth="1"/>
  </cols>
  <sheetData>
    <row r="1" spans="2:12" ht="16.5" x14ac:dyDescent="0.25">
      <c r="B1" s="24" t="s">
        <v>250</v>
      </c>
    </row>
    <row r="2" spans="2:12" x14ac:dyDescent="0.25">
      <c r="B2" s="3" t="s">
        <v>251</v>
      </c>
    </row>
    <row r="4" spans="2:12" x14ac:dyDescent="0.25">
      <c r="B4" s="4" t="s">
        <v>10</v>
      </c>
      <c r="C4" s="25" t="s">
        <v>11</v>
      </c>
      <c r="D4" s="25" t="s">
        <v>12</v>
      </c>
      <c r="E4" s="25" t="s">
        <v>13</v>
      </c>
      <c r="F4" s="25" t="s">
        <v>14</v>
      </c>
      <c r="G4" s="25" t="s">
        <v>15</v>
      </c>
      <c r="H4" s="25" t="s">
        <v>16</v>
      </c>
      <c r="I4" s="25" t="s">
        <v>17</v>
      </c>
      <c r="J4" s="25" t="s">
        <v>18</v>
      </c>
      <c r="K4" s="25" t="s">
        <v>19</v>
      </c>
    </row>
    <row r="6" spans="2:12" x14ac:dyDescent="0.25">
      <c r="B6" s="89" t="s">
        <v>252</v>
      </c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2:12" x14ac:dyDescent="0.25">
      <c r="B7" s="1" t="s">
        <v>253</v>
      </c>
      <c r="C7" s="8">
        <f>'P&amp;L'!C16</f>
        <v>11708.44</v>
      </c>
      <c r="D7" s="8">
        <f>'P&amp;L'!D16</f>
        <v>12846.32</v>
      </c>
      <c r="E7" s="8">
        <f>'P&amp;L'!E16</f>
        <v>13814.000000000002</v>
      </c>
      <c r="F7" s="8">
        <f>'P&amp;L'!F16</f>
        <v>15261.257</v>
      </c>
      <c r="G7" s="8">
        <f>'P&amp;L'!G16</f>
        <v>16840.664695000003</v>
      </c>
      <c r="H7" s="8">
        <f>'P&amp;L'!H16</f>
        <v>18641.9637263</v>
      </c>
      <c r="I7" s="8">
        <f>'P&amp;L'!I16</f>
        <v>20604.910892702501</v>
      </c>
      <c r="J7" s="8">
        <f>'P&amp;L'!J16</f>
        <v>22709.191510086348</v>
      </c>
      <c r="K7" s="8">
        <f>'P&amp;L'!K16</f>
        <v>24928.57317083433</v>
      </c>
    </row>
    <row r="8" spans="2:12" x14ac:dyDescent="0.25">
      <c r="B8" s="1" t="s">
        <v>254</v>
      </c>
      <c r="C8" s="16">
        <v>1658.5</v>
      </c>
      <c r="D8" s="16">
        <v>1616.5</v>
      </c>
      <c r="E8" s="16">
        <v>1497.1</v>
      </c>
      <c r="F8" s="8">
        <f>'P&amp;L'!F24+'P&amp;L'!F31</f>
        <v>1429.7916800000012</v>
      </c>
      <c r="G8" s="8">
        <f>'P&amp;L'!G24+'P&amp;L'!G31</f>
        <v>1714.0911950200018</v>
      </c>
      <c r="H8" s="8">
        <f>'P&amp;L'!H24+'P&amp;L'!H31</f>
        <v>2069.7078720816012</v>
      </c>
      <c r="I8" s="8">
        <f>'P&amp;L'!I24+'P&amp;L'!I31</f>
        <v>2390.4536006861508</v>
      </c>
      <c r="J8" s="8">
        <f>'P&amp;L'!J24+'P&amp;L'!J31</f>
        <v>2743.9644117364401</v>
      </c>
      <c r="K8" s="8">
        <f>'P&amp;L'!K24+'P&amp;L'!K31</f>
        <v>3081.3232080148887</v>
      </c>
    </row>
    <row r="9" spans="2:12" x14ac:dyDescent="0.25">
      <c r="B9" s="1" t="s">
        <v>255</v>
      </c>
      <c r="C9" s="16">
        <v>484.3</v>
      </c>
      <c r="D9" s="16">
        <v>525.70000000000005</v>
      </c>
      <c r="E9" s="16">
        <v>607.20000000000005</v>
      </c>
      <c r="F9" s="8">
        <f>'P&amp;L'!F26</f>
        <v>480.15500000000003</v>
      </c>
      <c r="G9" s="8">
        <f>'P&amp;L'!G26</f>
        <v>466.84926999999999</v>
      </c>
      <c r="H9" s="8">
        <f>'P&amp;L'!H26</f>
        <v>455.75229117999993</v>
      </c>
      <c r="I9" s="8">
        <f>'P&amp;L'!I26</f>
        <v>446.49741084412</v>
      </c>
      <c r="J9" s="8">
        <f>'P&amp;L'!J26</f>
        <v>438.77884064399603</v>
      </c>
      <c r="K9" s="8">
        <f>'P&amp;L'!K26</f>
        <v>432.34155309709274</v>
      </c>
    </row>
    <row r="10" spans="2:12" x14ac:dyDescent="0.25">
      <c r="B10" s="1" t="s">
        <v>256</v>
      </c>
      <c r="C10" s="8">
        <f>C8-C9</f>
        <v>1174.2</v>
      </c>
      <c r="D10" s="8">
        <f>D8-D9</f>
        <v>1090.8</v>
      </c>
      <c r="E10" s="8">
        <f>E8-E9</f>
        <v>889.89999999999986</v>
      </c>
      <c r="F10" s="8">
        <f>'P&amp;L'!F34</f>
        <v>949.63668000000132</v>
      </c>
      <c r="G10" s="8">
        <f>'P&amp;L'!G34</f>
        <v>1247.2419250200019</v>
      </c>
      <c r="H10" s="8">
        <f>'P&amp;L'!H34</f>
        <v>1613.9555809016015</v>
      </c>
      <c r="I10" s="8">
        <f>'P&amp;L'!I34</f>
        <v>1943.9561898420307</v>
      </c>
      <c r="J10" s="8">
        <f>'P&amp;L'!J34</f>
        <v>2305.1855710924442</v>
      </c>
      <c r="K10" s="8">
        <f>'P&amp;L'!K34</f>
        <v>2648.9816549177958</v>
      </c>
    </row>
    <row r="11" spans="2:12" x14ac:dyDescent="0.25">
      <c r="B11" s="1" t="s">
        <v>257</v>
      </c>
      <c r="C11" s="16">
        <v>34.4</v>
      </c>
      <c r="D11" s="16">
        <v>44.3</v>
      </c>
      <c r="E11" s="16">
        <v>44.5</v>
      </c>
      <c r="F11" s="8">
        <f>'P&amp;L'!F36</f>
        <v>44.5</v>
      </c>
      <c r="G11" s="8">
        <f>'P&amp;L'!G36</f>
        <v>110.5</v>
      </c>
      <c r="H11" s="8">
        <f>'P&amp;L'!H36</f>
        <v>204</v>
      </c>
      <c r="I11" s="8">
        <f>'P&amp;L'!I36</f>
        <v>297.5</v>
      </c>
      <c r="J11" s="8">
        <f>'P&amp;L'!J36</f>
        <v>391</v>
      </c>
      <c r="K11" s="8">
        <f>'P&amp;L'!K36</f>
        <v>484.5</v>
      </c>
    </row>
    <row r="12" spans="2:12" x14ac:dyDescent="0.25">
      <c r="B12" s="1" t="s">
        <v>258</v>
      </c>
      <c r="C12" s="16">
        <v>110.4</v>
      </c>
      <c r="D12" s="16">
        <v>115.6</v>
      </c>
      <c r="E12" s="16">
        <v>106.2</v>
      </c>
      <c r="F12" s="8">
        <f>'P&amp;L'!F35</f>
        <v>106.2</v>
      </c>
      <c r="G12" s="8">
        <f>'P&amp;L'!G35</f>
        <v>106.2</v>
      </c>
      <c r="H12" s="8">
        <f>'P&amp;L'!H35</f>
        <v>106.2</v>
      </c>
      <c r="I12" s="8">
        <f>'P&amp;L'!I35</f>
        <v>106.2</v>
      </c>
      <c r="J12" s="8">
        <f>'P&amp;L'!J35</f>
        <v>106.2</v>
      </c>
      <c r="K12" s="8">
        <f>'P&amp;L'!K35</f>
        <v>106.2</v>
      </c>
    </row>
    <row r="13" spans="2:12" x14ac:dyDescent="0.25">
      <c r="B13" s="1" t="s">
        <v>259</v>
      </c>
      <c r="C13" s="16">
        <v>1250.2</v>
      </c>
      <c r="D13" s="16">
        <v>1273.2</v>
      </c>
      <c r="E13" s="16">
        <v>1206.9000000000001</v>
      </c>
      <c r="F13" s="8">
        <f>'P&amp;L'!F37</f>
        <v>1011.3366800000013</v>
      </c>
      <c r="G13" s="8">
        <f>'P&amp;L'!G37</f>
        <v>1242.9419250200019</v>
      </c>
      <c r="H13" s="8">
        <f>'P&amp;L'!H37</f>
        <v>1516.1555809016015</v>
      </c>
      <c r="I13" s="8">
        <f>'P&amp;L'!I37</f>
        <v>1752.6561898420305</v>
      </c>
      <c r="J13" s="8">
        <f>'P&amp;L'!J37</f>
        <v>2020.385571092444</v>
      </c>
      <c r="K13" s="8">
        <f>'P&amp;L'!K37</f>
        <v>2270.6816549177956</v>
      </c>
    </row>
    <row r="14" spans="2:12" x14ac:dyDescent="0.25">
      <c r="B14" s="1" t="s">
        <v>260</v>
      </c>
      <c r="C14" s="16">
        <v>934.4</v>
      </c>
      <c r="D14" s="16">
        <v>944.7</v>
      </c>
      <c r="E14" s="16">
        <v>895.8</v>
      </c>
      <c r="F14" s="8">
        <f>'P&amp;L'!F39</f>
        <v>758.50251000000094</v>
      </c>
      <c r="G14" s="8">
        <f>'P&amp;L'!G39</f>
        <v>932.2064437650015</v>
      </c>
      <c r="H14" s="8">
        <f>'P&amp;L'!H39</f>
        <v>1137.1166856762011</v>
      </c>
      <c r="I14" s="8">
        <f>'P&amp;L'!I39</f>
        <v>1314.4921423815229</v>
      </c>
      <c r="J14" s="8">
        <f>'P&amp;L'!J39</f>
        <v>1515.2891783193331</v>
      </c>
      <c r="K14" s="8">
        <f>'P&amp;L'!K39</f>
        <v>1703.0112411883467</v>
      </c>
    </row>
    <row r="15" spans="2:12" x14ac:dyDescent="0.25">
      <c r="B15" s="90" t="s">
        <v>261</v>
      </c>
      <c r="C15" s="90"/>
      <c r="D15" s="90"/>
      <c r="E15" s="90"/>
      <c r="F15" s="90"/>
      <c r="G15" s="90"/>
      <c r="H15" s="90"/>
      <c r="I15" s="90"/>
      <c r="J15" s="90"/>
      <c r="K15" s="90"/>
    </row>
    <row r="16" spans="2:12" x14ac:dyDescent="0.25">
      <c r="B16" s="89" t="s">
        <v>262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</row>
    <row r="17" spans="2:12" x14ac:dyDescent="0.25">
      <c r="B17" s="1" t="s">
        <v>263</v>
      </c>
      <c r="D17" s="6">
        <f t="shared" ref="D17:K18" si="0">D7/C7-1</f>
        <v>9.7184595044258693E-2</v>
      </c>
      <c r="E17" s="6">
        <f t="shared" si="0"/>
        <v>7.532740893890244E-2</v>
      </c>
      <c r="F17" s="6">
        <f t="shared" si="0"/>
        <v>0.10476740987404076</v>
      </c>
      <c r="G17" s="6">
        <f t="shared" si="0"/>
        <v>0.10349132414191065</v>
      </c>
      <c r="H17" s="6">
        <f t="shared" si="0"/>
        <v>0.106961278781045</v>
      </c>
      <c r="I17" s="6">
        <f t="shared" si="0"/>
        <v>0.10529723130150614</v>
      </c>
      <c r="J17" s="6">
        <f t="shared" si="0"/>
        <v>0.10212519861607872</v>
      </c>
      <c r="K17" s="6">
        <f t="shared" si="0"/>
        <v>9.7730544910074713E-2</v>
      </c>
    </row>
    <row r="18" spans="2:12" x14ac:dyDescent="0.25">
      <c r="B18" s="1" t="s">
        <v>264</v>
      </c>
      <c r="D18" s="6">
        <f t="shared" si="0"/>
        <v>-2.5324088031353664E-2</v>
      </c>
      <c r="E18" s="6">
        <f t="shared" si="0"/>
        <v>-7.3863284874729374E-2</v>
      </c>
      <c r="F18" s="6">
        <f t="shared" si="0"/>
        <v>-4.4959134326363448E-2</v>
      </c>
      <c r="G18" s="6">
        <f t="shared" si="0"/>
        <v>0.19883981631505954</v>
      </c>
      <c r="H18" s="6">
        <f t="shared" si="0"/>
        <v>0.20746660276581697</v>
      </c>
      <c r="I18" s="6">
        <f t="shared" si="0"/>
        <v>0.15497149763553875</v>
      </c>
      <c r="J18" s="6">
        <f t="shared" si="0"/>
        <v>0.14788440610134335</v>
      </c>
      <c r="K18" s="6">
        <f t="shared" si="0"/>
        <v>0.12294576228303211</v>
      </c>
    </row>
    <row r="19" spans="2:12" x14ac:dyDescent="0.25">
      <c r="B19" s="1" t="s">
        <v>265</v>
      </c>
      <c r="D19" s="6">
        <f t="shared" ref="D19:K19" si="1">D14/C14-1</f>
        <v>1.1023116438356295E-2</v>
      </c>
      <c r="E19" s="6">
        <f t="shared" si="1"/>
        <v>-5.1762464274372921E-2</v>
      </c>
      <c r="F19" s="6">
        <f t="shared" si="1"/>
        <v>-0.15326801741460039</v>
      </c>
      <c r="G19" s="6">
        <f t="shared" si="1"/>
        <v>0.22900904278484235</v>
      </c>
      <c r="H19" s="6">
        <f t="shared" si="1"/>
        <v>0.21981208484636383</v>
      </c>
      <c r="I19" s="6">
        <f t="shared" si="1"/>
        <v>0.15598703188480889</v>
      </c>
      <c r="J19" s="6">
        <f t="shared" si="1"/>
        <v>0.15275636077520982</v>
      </c>
      <c r="K19" s="6">
        <f t="shared" si="1"/>
        <v>0.12388530556076671</v>
      </c>
    </row>
    <row r="21" spans="2:12" x14ac:dyDescent="0.25">
      <c r="B21" s="89" t="s">
        <v>266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</row>
    <row r="22" spans="2:12" x14ac:dyDescent="0.25">
      <c r="B22" s="1" t="s">
        <v>267</v>
      </c>
      <c r="F22" s="6">
        <f>'P&amp;L'!F20/'P&amp;L'!F10</f>
        <v>0.3000000000000001</v>
      </c>
      <c r="G22" s="6">
        <f>'P&amp;L'!G20/'P&amp;L'!G10</f>
        <v>0.3000000000000001</v>
      </c>
      <c r="H22" s="6">
        <f>'P&amp;L'!H20/'P&amp;L'!H10</f>
        <v>0.3000000000000001</v>
      </c>
      <c r="I22" s="6">
        <f>'P&amp;L'!I20/'P&amp;L'!I10</f>
        <v>0.30000000000000004</v>
      </c>
      <c r="J22" s="6">
        <f>'P&amp;L'!J20/'P&amp;L'!J10</f>
        <v>0.30000000000000004</v>
      </c>
      <c r="K22" s="6">
        <f>'P&amp;L'!K20/'P&amp;L'!K10</f>
        <v>0.30000000000000004</v>
      </c>
    </row>
    <row r="23" spans="2:12" x14ac:dyDescent="0.25">
      <c r="B23" s="90" t="s">
        <v>268</v>
      </c>
      <c r="C23" s="90"/>
      <c r="D23" s="90"/>
      <c r="E23" s="90"/>
      <c r="F23" s="90"/>
      <c r="G23" s="90"/>
      <c r="H23" s="90"/>
      <c r="I23" s="90"/>
      <c r="J23" s="90"/>
      <c r="K23" s="90"/>
    </row>
    <row r="24" spans="2:12" x14ac:dyDescent="0.25">
      <c r="B24" s="1" t="s">
        <v>269</v>
      </c>
      <c r="C24" s="6">
        <f t="shared" ref="C24:K24" si="2">C8/C7</f>
        <v>0.14164995507514236</v>
      </c>
      <c r="D24" s="6">
        <f t="shared" si="2"/>
        <v>0.12583370179164149</v>
      </c>
      <c r="E24" s="6">
        <f t="shared" si="2"/>
        <v>0.10837556102504703</v>
      </c>
      <c r="F24" s="6">
        <f t="shared" si="2"/>
        <v>9.3687674612910402E-2</v>
      </c>
      <c r="G24" s="6">
        <f t="shared" si="2"/>
        <v>0.10178287057332813</v>
      </c>
      <c r="H24" s="6">
        <f t="shared" si="2"/>
        <v>0.11102413364111778</v>
      </c>
      <c r="I24" s="6">
        <f t="shared" si="2"/>
        <v>0.11601378007088403</v>
      </c>
      <c r="J24" s="6">
        <f t="shared" si="2"/>
        <v>0.12083056371767797</v>
      </c>
      <c r="K24" s="6">
        <f t="shared" si="2"/>
        <v>0.12360607993480922</v>
      </c>
    </row>
    <row r="25" spans="2:12" x14ac:dyDescent="0.25">
      <c r="B25" s="1" t="s">
        <v>270</v>
      </c>
      <c r="C25" s="6">
        <f t="shared" ref="C25:K25" si="3">C14/C7</f>
        <v>7.9805678638657243E-2</v>
      </c>
      <c r="D25" s="6">
        <f t="shared" si="3"/>
        <v>7.3538569800534317E-2</v>
      </c>
      <c r="E25" s="6">
        <f t="shared" si="3"/>
        <v>6.4847256406544068E-2</v>
      </c>
      <c r="F25" s="6">
        <f t="shared" si="3"/>
        <v>4.9701181888228536E-2</v>
      </c>
      <c r="G25" s="6">
        <f t="shared" si="3"/>
        <v>5.5354492274985664E-2</v>
      </c>
      <c r="H25" s="6">
        <f t="shared" si="3"/>
        <v>6.0997687924473423E-2</v>
      </c>
      <c r="I25" s="6">
        <f t="shared" si="3"/>
        <v>6.3795089880590919E-2</v>
      </c>
      <c r="J25" s="6">
        <f t="shared" si="3"/>
        <v>6.6725809135314812E-2</v>
      </c>
      <c r="K25" s="6">
        <f t="shared" si="3"/>
        <v>6.8315632407747184E-2</v>
      </c>
    </row>
    <row r="27" spans="2:12" x14ac:dyDescent="0.25">
      <c r="B27" s="89" t="s">
        <v>271</v>
      </c>
      <c r="C27" s="89"/>
      <c r="D27" s="89"/>
      <c r="E27" s="89"/>
      <c r="F27" s="89"/>
      <c r="G27" s="89"/>
      <c r="H27" s="89"/>
      <c r="I27" s="89"/>
      <c r="J27" s="89"/>
      <c r="K27" s="89"/>
      <c r="L27" s="89"/>
    </row>
    <row r="28" spans="2:12" x14ac:dyDescent="0.25">
      <c r="B28" s="1" t="s">
        <v>272</v>
      </c>
      <c r="F28" s="37">
        <f>'Cash Flow'!C11/'P&amp;L'!F39</f>
        <v>1.2519439372285306</v>
      </c>
      <c r="G28" s="37">
        <f>'Cash Flow'!D11/'P&amp;L'!G39</f>
        <v>1.1624108548590464</v>
      </c>
      <c r="H28" s="37">
        <f>'Cash Flow'!E11/'P&amp;L'!H39</f>
        <v>1.0844117342688004</v>
      </c>
      <c r="I28" s="37">
        <f>'Cash Flow'!F11/'P&amp;L'!I39</f>
        <v>1.0414196247755407</v>
      </c>
      <c r="J28" s="37">
        <f>'Cash Flow'!G11/'P&amp;L'!J39</f>
        <v>1.012208384161619</v>
      </c>
      <c r="K28" s="37">
        <f>'Cash Flow'!H11/'P&amp;L'!K39</f>
        <v>0.99358387718285912</v>
      </c>
    </row>
    <row r="29" spans="2:12" x14ac:dyDescent="0.25">
      <c r="B29" s="1" t="s">
        <v>273</v>
      </c>
      <c r="F29" s="37">
        <f>('Cash Flow'!C11+'Cash Flow'!C7)/'P&amp;L'!F39</f>
        <v>0.72458905741409274</v>
      </c>
      <c r="G29" s="37">
        <f>('Cash Flow'!D11+'Cash Flow'!D7)/'P&amp;L'!G39</f>
        <v>0.73332135148200739</v>
      </c>
      <c r="H29" s="37">
        <f>('Cash Flow'!E11+'Cash Flow'!E7)/'P&amp;L'!H39</f>
        <v>0.73264484434568322</v>
      </c>
      <c r="I29" s="37">
        <f>('Cash Flow'!F11+'Cash Flow'!F7)/'P&amp;L'!I39</f>
        <v>0.73711959352902257</v>
      </c>
      <c r="J29" s="37">
        <f>('Cash Flow'!G11+'Cash Flow'!G7)/'P&amp;L'!J39</f>
        <v>0.74823236841282592</v>
      </c>
      <c r="K29" s="37">
        <f>('Cash Flow'!H11+'Cash Flow'!H7)/'P&amp;L'!K39</f>
        <v>0.75870580337702609</v>
      </c>
    </row>
    <row r="30" spans="2:12" x14ac:dyDescent="0.25">
      <c r="B30" s="1" t="s">
        <v>274</v>
      </c>
      <c r="F30" s="37">
        <f>'Cash Flow'!C12/'P&amp;L'!F39</f>
        <v>1.2659969664601508E-2</v>
      </c>
      <c r="G30" s="37">
        <f>'Cash Flow'!D12/'P&amp;L'!G39</f>
        <v>-8.7312323726579266E-2</v>
      </c>
      <c r="H30" s="37">
        <f>'Cash Flow'!E12/'P&amp;L'!H39</f>
        <v>5.9890667367721875E-2</v>
      </c>
      <c r="I30" s="37">
        <f>'Cash Flow'!F12/'P&amp;L'!I39</f>
        <v>0.15514578377005667</v>
      </c>
      <c r="J30" s="37">
        <f>'Cash Flow'!G12/'P&amp;L'!J39</f>
        <v>0.24337823829325927</v>
      </c>
      <c r="K30" s="37">
        <f>'Cash Flow'!H12/'P&amp;L'!K39</f>
        <v>0.75870580337702609</v>
      </c>
    </row>
    <row r="31" spans="2:12" x14ac:dyDescent="0.25">
      <c r="B31" s="1" t="s">
        <v>275</v>
      </c>
      <c r="F31" s="6">
        <f>'Cash Flow'!C12/Assumptions!$D$108</f>
        <v>5.989275655682555E-4</v>
      </c>
      <c r="G31" s="6">
        <f>'Cash Flow'!D12/Assumptions!$D$108</f>
        <v>-5.0765920095858326E-3</v>
      </c>
      <c r="H31" s="6">
        <f>'Cash Flow'!E12/Assumptions!$D$108</f>
        <v>4.2476507337576679E-3</v>
      </c>
      <c r="I31" s="6">
        <f>'Cash Flow'!F12/Assumptions!$D$108</f>
        <v>1.2719867479402149E-2</v>
      </c>
      <c r="J31" s="6">
        <f>'Cash Flow'!G12/Assumptions!$D$108</f>
        <v>2.3001802987434587E-2</v>
      </c>
      <c r="K31" s="6">
        <f>'Cash Flow'!H12/Assumptions!$D$108</f>
        <v>8.0588957032605352E-2</v>
      </c>
    </row>
    <row r="32" spans="2:12" x14ac:dyDescent="0.25">
      <c r="B32" s="1" t="s">
        <v>276</v>
      </c>
      <c r="F32" s="6">
        <f>Assumptions!$D$90/'P&amp;L'!F39</f>
        <v>0.25576711671000241</v>
      </c>
      <c r="G32" s="6">
        <f>Assumptions!$D$90/'P&amp;L'!G39</f>
        <v>0.20810840913786385</v>
      </c>
      <c r="H32" s="6">
        <f>Assumptions!$D$90/'P&amp;L'!H39</f>
        <v>0.17060694161271181</v>
      </c>
      <c r="I32" s="6">
        <f>Assumptions!$D$90/'P&amp;L'!I39</f>
        <v>0.14758551515456131</v>
      </c>
      <c r="J32" s="6">
        <f>Assumptions!$D$90/'P&amp;L'!J39</f>
        <v>0.12802836763816464</v>
      </c>
      <c r="K32" s="6">
        <f>Assumptions!$D$90/'P&amp;L'!K39</f>
        <v>0.11391586579582907</v>
      </c>
    </row>
    <row r="34" spans="2:12" x14ac:dyDescent="0.25">
      <c r="B34" s="89" t="s">
        <v>277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</row>
    <row r="35" spans="2:12" x14ac:dyDescent="0.25">
      <c r="B35" s="1" t="s">
        <v>278</v>
      </c>
      <c r="C35" s="6">
        <f>C14/('Balance Sheet'!C13+'Balance Sheet'!C12)</f>
        <v>0.13743803962522247</v>
      </c>
      <c r="D35" s="6">
        <f>D14/('Balance Sheet'!D13+'Balance Sheet'!D12)</f>
        <v>0.12785048246741823</v>
      </c>
      <c r="E35" s="6">
        <f>E14/('Balance Sheet'!E13+'Balance Sheet'!E12)</f>
        <v>0.11060624768489936</v>
      </c>
      <c r="F35" s="6">
        <f>'P&amp;L'!F39/('Balance Sheet'!F13+'Balance Sheet'!F12)</f>
        <v>8.7551484994029385E-2</v>
      </c>
      <c r="G35" s="6">
        <f>'P&amp;L'!G39/('Balance Sheet'!G13+'Balance Sheet'!G12)</f>
        <v>9.9152871924597361E-2</v>
      </c>
      <c r="H35" s="6">
        <f>'P&amp;L'!H39/('Balance Sheet'!H13+'Balance Sheet'!H12)</f>
        <v>0.10992130030116436</v>
      </c>
      <c r="I35" s="6">
        <f>'P&amp;L'!I39/('Balance Sheet'!I13+'Balance Sheet'!I12)</f>
        <v>0.11464942947028793</v>
      </c>
      <c r="J35" s="6">
        <f>'P&amp;L'!J39/('Balance Sheet'!J13+'Balance Sheet'!J12)</f>
        <v>0.11850596354785414</v>
      </c>
      <c r="K35" s="6">
        <f>'P&amp;L'!K39/('Balance Sheet'!K13+'Balance Sheet'!K12)</f>
        <v>0.11912819838947977</v>
      </c>
    </row>
    <row r="36" spans="2:12" x14ac:dyDescent="0.25">
      <c r="B36" s="1" t="s">
        <v>279</v>
      </c>
      <c r="C36" s="6">
        <f>C10/(('Balance Sheet'!C13+'Balance Sheet'!C12+'Balance Sheet'!C15))</f>
        <v>0.17270948857869889</v>
      </c>
      <c r="D36" s="6">
        <f>D10/((('Balance Sheet'!C13+'Balance Sheet'!C12+'Balance Sheet'!C15)+('Balance Sheet'!D13+'Balance Sheet'!D12+'Balance Sheet'!D15))/2)</f>
        <v>0.15376591155781727</v>
      </c>
      <c r="E36" s="6">
        <f>E10/((('Balance Sheet'!D13+'Balance Sheet'!D12+'Balance Sheet'!D15)+('Balance Sheet'!E13+'Balance Sheet'!E12+'Balance Sheet'!E15))/2)</f>
        <v>0.11491403077201204</v>
      </c>
      <c r="F36" s="6">
        <f>'P&amp;L'!F34/((('Balance Sheet'!E13+'Balance Sheet'!E12+'Balance Sheet'!E15)+('Balance Sheet'!F13+'Balance Sheet'!F12+'Balance Sheet'!F15))/2)</f>
        <v>0.10901266100606823</v>
      </c>
      <c r="G36" s="6">
        <f>'P&amp;L'!G34/((('Balance Sheet'!F13+'Balance Sheet'!F12+'Balance Sheet'!F15)+('Balance Sheet'!G13+'Balance Sheet'!G12+'Balance Sheet'!G15))/2)</f>
        <v>0.12275875447891707</v>
      </c>
      <c r="H36" s="6">
        <f>'P&amp;L'!H34/((('Balance Sheet'!G13+'Balance Sheet'!G12+'Balance Sheet'!G15)+('Balance Sheet'!H13+'Balance Sheet'!H12+'Balance Sheet'!H15))/2)</f>
        <v>0.13522009442668426</v>
      </c>
      <c r="I36" s="6">
        <f>'P&amp;L'!I34/((('Balance Sheet'!H13+'Balance Sheet'!H12+'Balance Sheet'!H15)+('Balance Sheet'!I13+'Balance Sheet'!I12+'Balance Sheet'!I15))/2)</f>
        <v>0.13982709316689904</v>
      </c>
      <c r="J36" s="6">
        <f>'P&amp;L'!J34/((('Balance Sheet'!I13+'Balance Sheet'!I12+'Balance Sheet'!I15)+('Balance Sheet'!J13+'Balance Sheet'!J12+'Balance Sheet'!J15))/2)</f>
        <v>0.14354958263363432</v>
      </c>
      <c r="K36" s="6">
        <f>'P&amp;L'!K34/((('Balance Sheet'!J13+'Balance Sheet'!J12+'Balance Sheet'!J15)+('Balance Sheet'!K13+'Balance Sheet'!K12+'Balance Sheet'!K15))/2)</f>
        <v>0.14764868360293695</v>
      </c>
    </row>
    <row r="37" spans="2:12" x14ac:dyDescent="0.25">
      <c r="B37" s="90" t="s">
        <v>280</v>
      </c>
      <c r="C37" s="90"/>
      <c r="D37" s="90"/>
      <c r="E37" s="90"/>
      <c r="F37" s="90"/>
      <c r="G37" s="90"/>
      <c r="H37" s="90"/>
      <c r="I37" s="90"/>
      <c r="J37" s="90"/>
      <c r="K37" s="90"/>
    </row>
    <row r="39" spans="2:12" x14ac:dyDescent="0.25">
      <c r="B39" s="89" t="s">
        <v>281</v>
      </c>
      <c r="C39" s="89"/>
      <c r="D39" s="89"/>
      <c r="E39" s="89"/>
      <c r="F39" s="89"/>
      <c r="G39" s="89"/>
      <c r="H39" s="89"/>
      <c r="I39" s="89"/>
      <c r="J39" s="89"/>
      <c r="K39" s="89"/>
      <c r="L39" s="89"/>
    </row>
    <row r="40" spans="2:12" x14ac:dyDescent="0.25">
      <c r="B40" s="1" t="s">
        <v>282</v>
      </c>
      <c r="C40" s="37">
        <f>'Balance Sheet'!C15/('Balance Sheet'!C13+'Balance Sheet'!C12)</f>
        <v>0</v>
      </c>
      <c r="D40" s="37">
        <f>'Balance Sheet'!D15/('Balance Sheet'!D13+'Balance Sheet'!D12)</f>
        <v>0</v>
      </c>
      <c r="E40" s="37">
        <f>'Balance Sheet'!E15/('Balance Sheet'!E13+'Balance Sheet'!E12)</f>
        <v>0</v>
      </c>
      <c r="F40" s="37">
        <f>'Balance Sheet'!F15/('Balance Sheet'!F13+'Balance Sheet'!F12)</f>
        <v>7.6181659696893195E-2</v>
      </c>
      <c r="G40" s="37">
        <f>'Balance Sheet'!G15/('Balance Sheet'!G13+'Balance Sheet'!G12)</f>
        <v>0.16965000808297381</v>
      </c>
      <c r="H40" s="37">
        <f>'Balance Sheet'!H15/('Balance Sheet'!H13+'Balance Sheet'!H12)</f>
        <v>0.24456671269102831</v>
      </c>
      <c r="I40" s="37">
        <f>'Balance Sheet'!I15/('Balance Sheet'!I13+'Balance Sheet'!I12)</f>
        <v>0.30221578380439301</v>
      </c>
      <c r="J40" s="37">
        <f>'Balance Sheet'!J15/('Balance Sheet'!J13+'Balance Sheet'!J12)</f>
        <v>0.34411005309817666</v>
      </c>
      <c r="K40" s="37">
        <f>'Balance Sheet'!K15/('Balance Sheet'!K13+'Balance Sheet'!K12)</f>
        <v>0.30778661951048175</v>
      </c>
    </row>
    <row r="41" spans="2:12" x14ac:dyDescent="0.25">
      <c r="B41" s="1" t="s">
        <v>283</v>
      </c>
      <c r="C41" s="37">
        <f>('Balance Sheet'!C15-'Balance Sheet'!C9)/C8</f>
        <v>-5.9270425082906239E-2</v>
      </c>
      <c r="D41" s="37">
        <f>('Balance Sheet'!D15-'Balance Sheet'!D9)/D8</f>
        <v>-9.7618311166099606E-2</v>
      </c>
      <c r="E41" s="37">
        <f>('Balance Sheet'!E15-'Balance Sheet'!E9)/E8</f>
        <v>-0.15095851980495625</v>
      </c>
      <c r="F41" s="37">
        <f>('Balance Sheet'!F15-'Balance Sheet'!F9)/F8</f>
        <v>0.43250872828751902</v>
      </c>
      <c r="G41" s="37">
        <f>('Balance Sheet'!G15-'Balance Sheet'!G9)/G8</f>
        <v>1.066915516131304</v>
      </c>
      <c r="H41" s="37">
        <f>('Balance Sheet'!H15-'Balance Sheet'!H9)/H8</f>
        <v>1.3961814871702045</v>
      </c>
      <c r="I41" s="37">
        <f>('Balance Sheet'!I15-'Balance Sheet'!I9)/I8</f>
        <v>1.5958267920642464</v>
      </c>
      <c r="J41" s="37">
        <f>('Balance Sheet'!J15-'Balance Sheet'!J9)/J8</f>
        <v>1.6672816421631622</v>
      </c>
      <c r="K41" s="37">
        <f>('Balance Sheet'!K15-'Balance Sheet'!K9)/K8</f>
        <v>1.1283713988482367</v>
      </c>
    </row>
    <row r="42" spans="2:12" x14ac:dyDescent="0.25">
      <c r="B42" s="1" t="s">
        <v>284</v>
      </c>
      <c r="C42" s="37">
        <f t="shared" ref="C42:K42" si="4">C10/C11</f>
        <v>34.133720930232563</v>
      </c>
      <c r="D42" s="37">
        <f t="shared" si="4"/>
        <v>24.623024830699777</v>
      </c>
      <c r="E42" s="37">
        <f t="shared" si="4"/>
        <v>19.997752808988761</v>
      </c>
      <c r="F42" s="37">
        <f t="shared" si="4"/>
        <v>21.340150112359581</v>
      </c>
      <c r="G42" s="37">
        <f t="shared" si="4"/>
        <v>11.287257240000017</v>
      </c>
      <c r="H42" s="37">
        <f t="shared" si="4"/>
        <v>7.9115469652039287</v>
      </c>
      <c r="I42" s="37">
        <f t="shared" si="4"/>
        <v>6.534306520477414</v>
      </c>
      <c r="J42" s="37">
        <f t="shared" si="4"/>
        <v>5.8956152713361742</v>
      </c>
      <c r="K42" s="37">
        <f t="shared" si="4"/>
        <v>5.467454396115162</v>
      </c>
    </row>
    <row r="44" spans="2:12" x14ac:dyDescent="0.25">
      <c r="B44" s="89" t="s">
        <v>285</v>
      </c>
      <c r="C44" s="89"/>
      <c r="D44" s="89"/>
      <c r="E44" s="89"/>
      <c r="F44" s="89"/>
      <c r="G44" s="89"/>
      <c r="H44" s="89"/>
      <c r="I44" s="89"/>
      <c r="J44" s="89"/>
      <c r="K44" s="89"/>
      <c r="L44" s="89"/>
    </row>
    <row r="45" spans="2:12" x14ac:dyDescent="0.25">
      <c r="B45" s="1" t="s">
        <v>286</v>
      </c>
      <c r="C45" s="37">
        <f>C7/('Balance Sheet'!C6+'Balance Sheet'!C7+'Balance Sheet'!C8+'Balance Sheet'!C9)</f>
        <v>1.9219369665134605</v>
      </c>
      <c r="D45" s="37">
        <f>D7/('Balance Sheet'!D6+'Balance Sheet'!D7+'Balance Sheet'!D8+'Balance Sheet'!D9)</f>
        <v>1.9080487768651506</v>
      </c>
      <c r="E45" s="37">
        <f>E7/('Balance Sheet'!E6+'Balance Sheet'!E7+'Balance Sheet'!E8+'Balance Sheet'!E9)</f>
        <v>1.7816699770423301</v>
      </c>
      <c r="F45" s="37">
        <f>F7/('Balance Sheet'!F6+'Balance Sheet'!F7+'Balance Sheet'!F8+'Balance Sheet'!F9+'Balance Sheet'!F16)</f>
        <v>1.6018321539120142</v>
      </c>
      <c r="G45" s="37">
        <f>G7/('Balance Sheet'!G6+'Balance Sheet'!G7+'Balance Sheet'!G8+'Balance Sheet'!G9+'Balance Sheet'!G16)</f>
        <v>1.6114926758265089</v>
      </c>
      <c r="H45" s="37">
        <f>H7/('Balance Sheet'!H6+'Balance Sheet'!H7+'Balance Sheet'!H8+'Balance Sheet'!H9+'Balance Sheet'!H16)</f>
        <v>1.6064848215909437</v>
      </c>
      <c r="I45" s="37">
        <f>I7/('Balance Sheet'!I6+'Balance Sheet'!I7+'Balance Sheet'!I8+'Balance Sheet'!I9+'Balance Sheet'!I16)</f>
        <v>1.5905815388569817</v>
      </c>
      <c r="J45" s="37">
        <f>J7/('Balance Sheet'!J6+'Balance Sheet'!J7+'Balance Sheet'!J8+'Balance Sheet'!J9+'Balance Sheet'!J16)</f>
        <v>1.5638014865068934</v>
      </c>
      <c r="K45" s="37">
        <f>K7/('Balance Sheet'!K6+'Balance Sheet'!K7+'Balance Sheet'!K8+'Balance Sheet'!K9+'Balance Sheet'!K16)</f>
        <v>1.5302582767777217</v>
      </c>
    </row>
    <row r="46" spans="2:12" x14ac:dyDescent="0.25">
      <c r="B46" s="90" t="s">
        <v>287</v>
      </c>
      <c r="C46" s="90"/>
      <c r="D46" s="90"/>
      <c r="E46" s="90"/>
      <c r="F46" s="90"/>
      <c r="G46" s="90"/>
      <c r="H46" s="90"/>
      <c r="I46" s="90"/>
      <c r="J46" s="90"/>
      <c r="K46" s="90"/>
    </row>
    <row r="48" spans="2:12" x14ac:dyDescent="0.25">
      <c r="B48" s="89" t="s">
        <v>288</v>
      </c>
      <c r="C48" s="89"/>
      <c r="D48" s="89"/>
      <c r="E48" s="89"/>
      <c r="F48" s="89"/>
      <c r="G48" s="89"/>
      <c r="H48" s="89"/>
      <c r="I48" s="89"/>
      <c r="J48" s="89"/>
      <c r="K48" s="89"/>
      <c r="L48" s="89"/>
    </row>
    <row r="49" spans="2:11" x14ac:dyDescent="0.25">
      <c r="B49" s="1" t="s">
        <v>289</v>
      </c>
      <c r="C49" s="5">
        <f>C14/Assumptions!$D$106</f>
        <v>51.053033283408737</v>
      </c>
      <c r="D49" s="5">
        <f>D14/Assumptions!$D$106</f>
        <v>51.615796813823025</v>
      </c>
      <c r="E49" s="5">
        <f>E14/Assumptions!$D$106</f>
        <v>48.944035975254224</v>
      </c>
      <c r="F49" s="5">
        <f>F14/Assumptions!$D$106</f>
        <v>41.442480617058131</v>
      </c>
      <c r="G49" s="5">
        <f>G14/Assumptions!$D$106</f>
        <v>50.933183433799996</v>
      </c>
      <c r="H49" s="5">
        <f>H14/Assumptions!$D$106</f>
        <v>62.128912672245853</v>
      </c>
      <c r="I49" s="5">
        <f>I14/Assumptions!$D$106</f>
        <v>71.820217354219977</v>
      </c>
      <c r="J49" s="5">
        <f>J14/Assumptions!$D$106</f>
        <v>82.791212387335179</v>
      </c>
      <c r="K49" s="5">
        <f>K14/Assumptions!$D$106</f>
        <v>93.047827031686523</v>
      </c>
    </row>
    <row r="50" spans="2:11" x14ac:dyDescent="0.25">
      <c r="B50" s="1" t="s">
        <v>290</v>
      </c>
      <c r="C50" s="5">
        <f>('Balance Sheet'!C13+'Balance Sheet'!C12)/Assumptions!$D$106</f>
        <v>371.46217613860335</v>
      </c>
      <c r="D50" s="5">
        <f>('Balance Sheet'!D13+'Balance Sheet'!D12)/Assumptions!$D$106</f>
        <v>403.7200002508942</v>
      </c>
      <c r="E50" s="5">
        <f>('Balance Sheet'!E13+'Balance Sheet'!E12)/Assumptions!$D$106</f>
        <v>442.50697406070992</v>
      </c>
      <c r="F50" s="5">
        <f>('Balance Sheet'!F13+'Balance Sheet'!F12)/Assumptions!$D$106</f>
        <v>473.34983090103293</v>
      </c>
      <c r="G50" s="5">
        <f>('Balance Sheet'!G13+'Balance Sheet'!G12)/Assumptions!$D$106</f>
        <v>513.68339055809781</v>
      </c>
      <c r="H50" s="5">
        <f>('Balance Sheet'!H13+'Balance Sheet'!H12)/Assumptions!$D$106</f>
        <v>565.21267945360853</v>
      </c>
      <c r="I50" s="5">
        <f>('Balance Sheet'!I13+'Balance Sheet'!I12)/Assumptions!$D$106</f>
        <v>626.43327303109345</v>
      </c>
      <c r="J50" s="5">
        <f>('Balance Sheet'!J13+'Balance Sheet'!J12)/Assumptions!$D$106</f>
        <v>698.62486164169354</v>
      </c>
      <c r="K50" s="5">
        <f>('Balance Sheet'!K13+'Balance Sheet'!K12)/Assumptions!$D$106</f>
        <v>781.07306489664495</v>
      </c>
    </row>
    <row r="51" spans="2:11" x14ac:dyDescent="0.25">
      <c r="B51" s="1" t="s">
        <v>291</v>
      </c>
      <c r="C51" s="37">
        <f>Assumptions!$D$108/C8</f>
        <v>9.6671823252336466</v>
      </c>
      <c r="D51" s="37">
        <f>Assumptions!$D$108/D8</f>
        <v>9.9183556364986085</v>
      </c>
      <c r="E51" s="37">
        <f>Assumptions!$D$108/E8</f>
        <v>10.709386070669964</v>
      </c>
      <c r="F51" s="37">
        <f>Assumptions!$D$108/F8</f>
        <v>11.213536986311173</v>
      </c>
      <c r="G51" s="37">
        <f>Assumptions!$D$108/G8</f>
        <v>9.3536574559050294</v>
      </c>
      <c r="H51" s="37">
        <f>Assumptions!$D$108/H8</f>
        <v>7.746514424895552</v>
      </c>
      <c r="I51" s="37">
        <f>Assumptions!$D$108/I8</f>
        <v>6.7071044097228727</v>
      </c>
      <c r="J51" s="37">
        <f>Assumptions!$D$108/J8</f>
        <v>5.8430137861204834</v>
      </c>
      <c r="K51" s="37">
        <f>Assumptions!$D$108/K8</f>
        <v>5.2032911850000678</v>
      </c>
    </row>
    <row r="52" spans="2:11" x14ac:dyDescent="0.25">
      <c r="B52" s="1" t="s">
        <v>292</v>
      </c>
      <c r="C52" s="37">
        <f>Assumptions!$D$107/C49</f>
        <v>17.158627875000001</v>
      </c>
      <c r="D52" s="37">
        <f>Assumptions!$D$107/D49</f>
        <v>16.97154851953001</v>
      </c>
      <c r="E52" s="37">
        <f>Assumptions!$D$107/E49</f>
        <v>17.897992728734096</v>
      </c>
      <c r="F52" s="37">
        <f>Assumptions!$D$107/F49</f>
        <v>21.137730824911813</v>
      </c>
      <c r="G52" s="37">
        <f>Assumptions!$D$107/G49</f>
        <v>17.199003497171429</v>
      </c>
      <c r="H52" s="37">
        <f>Assumptions!$D$107/H49</f>
        <v>14.099715612620493</v>
      </c>
      <c r="I52" s="37">
        <f>Assumptions!$D$107/I49</f>
        <v>12.197122652519074</v>
      </c>
      <c r="J52" s="37">
        <f>Assumptions!$D$107/J49</f>
        <v>10.580833094962676</v>
      </c>
      <c r="K52" s="37">
        <f>Assumptions!$D$107/K49</f>
        <v>9.4145132449109941</v>
      </c>
    </row>
    <row r="53" spans="2:11" x14ac:dyDescent="0.25">
      <c r="B53" s="1" t="s">
        <v>293</v>
      </c>
      <c r="C53" s="37">
        <f>Assumptions!$D$107/C50</f>
        <v>2.3582481777986972</v>
      </c>
      <c r="D53" s="37">
        <f>Assumptions!$D$107/D50</f>
        <v>2.169820666441109</v>
      </c>
      <c r="E53" s="37">
        <f>Assumptions!$D$107/E50</f>
        <v>1.9796298168168911</v>
      </c>
      <c r="F53" s="37">
        <f>Assumptions!$D$107/F50</f>
        <v>1.8506397231250991</v>
      </c>
      <c r="G53" s="37">
        <f>Assumptions!$D$107/G50</f>
        <v>1.7053305909857408</v>
      </c>
      <c r="H53" s="37">
        <f>Assumptions!$D$107/H50</f>
        <v>1.5498590740158726</v>
      </c>
      <c r="I53" s="37">
        <f>Assumptions!$D$107/I50</f>
        <v>1.398393153290437</v>
      </c>
      <c r="J53" s="37">
        <f>Assumptions!$D$107/J50</f>
        <v>1.2538918210575758</v>
      </c>
      <c r="K53" s="37">
        <f>Assumptions!$D$107/K50</f>
        <v>1.1215340015801418</v>
      </c>
    </row>
    <row r="55" spans="2:11" x14ac:dyDescent="0.25">
      <c r="B55" s="89" t="s">
        <v>294</v>
      </c>
      <c r="C55" s="89"/>
      <c r="D55" s="89"/>
      <c r="E55" s="89"/>
    </row>
    <row r="56" spans="2:11" ht="29.25" x14ac:dyDescent="0.25">
      <c r="C56" s="39" t="s">
        <v>295</v>
      </c>
      <c r="D56" s="39" t="s">
        <v>296</v>
      </c>
    </row>
    <row r="57" spans="2:11" x14ac:dyDescent="0.25">
      <c r="B57" s="1" t="s">
        <v>292</v>
      </c>
      <c r="C57" s="38">
        <f>E52</f>
        <v>17.897992728734096</v>
      </c>
      <c r="D57" s="38">
        <f>F52</f>
        <v>21.137730824911813</v>
      </c>
    </row>
    <row r="58" spans="2:11" x14ac:dyDescent="0.25">
      <c r="B58" s="1" t="s">
        <v>293</v>
      </c>
      <c r="C58" s="38">
        <f>E53</f>
        <v>1.9796298168168911</v>
      </c>
      <c r="D58" s="38">
        <f>F53</f>
        <v>1.8506397231250991</v>
      </c>
    </row>
    <row r="59" spans="2:11" x14ac:dyDescent="0.25">
      <c r="B59" s="1" t="s">
        <v>297</v>
      </c>
      <c r="C59" s="38">
        <f>E51</f>
        <v>10.709386070669964</v>
      </c>
      <c r="D59" s="38">
        <f>F51</f>
        <v>11.213536986311173</v>
      </c>
    </row>
  </sheetData>
  <mergeCells count="13">
    <mergeCell ref="B6:L6"/>
    <mergeCell ref="B15:K15"/>
    <mergeCell ref="B16:L16"/>
    <mergeCell ref="B21:L21"/>
    <mergeCell ref="B23:K23"/>
    <mergeCell ref="B46:K46"/>
    <mergeCell ref="B48:L48"/>
    <mergeCell ref="B55:E55"/>
    <mergeCell ref="B27:L27"/>
    <mergeCell ref="B34:L34"/>
    <mergeCell ref="B37:K37"/>
    <mergeCell ref="B39:L39"/>
    <mergeCell ref="B44:L44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Drop Down 1">
              <controlPr defaultSize="0" autoLine="0" autoPict="0">
                <anchor moveWithCells="1">
                  <from>
                    <xdr:col>3</xdr:col>
                    <xdr:colOff>0</xdr:colOff>
                    <xdr:row>0</xdr:row>
                    <xdr:rowOff>19050</xdr:rowOff>
                  </from>
                  <to>
                    <xdr:col>4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Assumptions</vt:lpstr>
      <vt:lpstr>P&amp;L</vt:lpstr>
      <vt:lpstr>Cash Flow</vt:lpstr>
      <vt:lpstr>DCF &amp; SOTP</vt:lpstr>
      <vt:lpstr>Balance Sheet</vt:lpstr>
      <vt:lpstr>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Deepesh Joshi</cp:lastModifiedBy>
  <cp:revision>0</cp:revision>
  <dcterms:created xsi:type="dcterms:W3CDTF">2026-07-23T10:27:13Z</dcterms:created>
  <dcterms:modified xsi:type="dcterms:W3CDTF">2026-08-24T05:36:45Z</dcterms:modified>
  <dc:language>en-US</dc:language>
</cp:coreProperties>
</file>