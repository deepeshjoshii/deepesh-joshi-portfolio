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e\Downloads\Phone Link\"/>
    </mc:Choice>
  </mc:AlternateContent>
  <xr:revisionPtr revIDLastSave="0" documentId="8_{2A85E012-FA9B-8D48-B7B3-98C6D0E684FF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Working" sheetId="2" r:id="rId1"/>
    <sheet name="Price Data" sheetId="3" r:id="rId2"/>
    <sheet name="Advanced Analysis" sheetId="4" r:id="rId3"/>
  </sheets>
  <definedNames>
    <definedName name="_xlchart.v1.0" hidden="1">Working!$V$16</definedName>
    <definedName name="_xlchart.v1.1" hidden="1">Working!$V$17:$V$1016</definedName>
    <definedName name="_xlchart.v1.10" hidden="1">'Advanced Analysis'!$E$139:$E$141</definedName>
    <definedName name="_xlchart.v1.2" hidden="1">'Advanced Analysis'!$B$139:$B$141</definedName>
    <definedName name="_xlchart.v1.3" hidden="1">'Advanced Analysis'!$C$138</definedName>
    <definedName name="_xlchart.v1.4" hidden="1">'Advanced Analysis'!$C$139:$C$141</definedName>
    <definedName name="_xlchart.v1.5" hidden="1">'Advanced Analysis'!$B$139:$B$141</definedName>
    <definedName name="_xlchart.v1.6" hidden="1">'Advanced Analysis'!$D$138</definedName>
    <definedName name="_xlchart.v1.7" hidden="1">'Advanced Analysis'!$D$139:$D$141</definedName>
    <definedName name="_xlchart.v1.8" hidden="1">'Advanced Analysis'!$B$139:$B$141</definedName>
    <definedName name="_xlchart.v1.9" hidden="1">'Advanced Analysis'!$E$138</definedName>
  </definedName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5" i="4" l="1"/>
  <c r="K34" i="4"/>
  <c r="K33" i="4"/>
  <c r="K32" i="4"/>
  <c r="K31" i="4"/>
  <c r="K30" i="4"/>
  <c r="K29" i="4"/>
  <c r="B16" i="2"/>
  <c r="B18" i="2"/>
  <c r="B19" i="4"/>
  <c r="C6" i="4"/>
  <c r="C2" i="4"/>
  <c r="E140" i="4"/>
  <c r="D140" i="4"/>
  <c r="C4" i="4"/>
  <c r="C5" i="4"/>
  <c r="D139" i="4"/>
  <c r="E139" i="4"/>
  <c r="C139" i="4"/>
  <c r="D141" i="4"/>
  <c r="E141" i="4"/>
  <c r="C140" i="4"/>
  <c r="C141" i="4"/>
  <c r="D104" i="4"/>
  <c r="E4" i="2"/>
  <c r="C7" i="4"/>
  <c r="D105" i="4"/>
  <c r="E105" i="4"/>
  <c r="F105" i="4"/>
  <c r="G105" i="4"/>
  <c r="H105" i="4"/>
  <c r="I105" i="4"/>
  <c r="B106" i="4"/>
  <c r="D106" i="4"/>
  <c r="E106" i="4"/>
  <c r="F106" i="4"/>
  <c r="G106" i="4"/>
  <c r="H106" i="4"/>
  <c r="I106" i="4"/>
  <c r="B107" i="4"/>
  <c r="D107" i="4"/>
  <c r="E107" i="4"/>
  <c r="F107" i="4"/>
  <c r="G107" i="4"/>
  <c r="H107" i="4"/>
  <c r="I107" i="4"/>
  <c r="B108" i="4"/>
  <c r="D108" i="4"/>
  <c r="E108" i="4"/>
  <c r="F108" i="4"/>
  <c r="G108" i="4"/>
  <c r="H108" i="4"/>
  <c r="I108" i="4"/>
  <c r="B109" i="4"/>
  <c r="D109" i="4"/>
  <c r="E109" i="4"/>
  <c r="F109" i="4"/>
  <c r="G109" i="4"/>
  <c r="H109" i="4"/>
  <c r="I109" i="4"/>
  <c r="B110" i="4"/>
  <c r="D110" i="4"/>
  <c r="E110" i="4"/>
  <c r="F110" i="4"/>
  <c r="G110" i="4"/>
  <c r="H110" i="4"/>
  <c r="I110" i="4"/>
  <c r="B111" i="4"/>
  <c r="D111" i="4"/>
  <c r="E111" i="4"/>
  <c r="F111" i="4"/>
  <c r="G111" i="4"/>
  <c r="H111" i="4"/>
  <c r="I111" i="4"/>
  <c r="B112" i="4"/>
  <c r="D112" i="4"/>
  <c r="E112" i="4"/>
  <c r="F112" i="4"/>
  <c r="G112" i="4"/>
  <c r="H112" i="4"/>
  <c r="I112" i="4"/>
  <c r="B113" i="4"/>
  <c r="D113" i="4"/>
  <c r="E113" i="4"/>
  <c r="F113" i="4"/>
  <c r="G113" i="4"/>
  <c r="H113" i="4"/>
  <c r="I113" i="4"/>
  <c r="B114" i="4"/>
  <c r="D114" i="4"/>
  <c r="E114" i="4"/>
  <c r="F114" i="4"/>
  <c r="G114" i="4"/>
  <c r="H114" i="4"/>
  <c r="I114" i="4"/>
  <c r="B115" i="4"/>
  <c r="D115" i="4"/>
  <c r="E115" i="4"/>
  <c r="F115" i="4"/>
  <c r="G115" i="4"/>
  <c r="H115" i="4"/>
  <c r="I115" i="4"/>
  <c r="B116" i="4"/>
  <c r="D116" i="4"/>
  <c r="E116" i="4"/>
  <c r="F116" i="4"/>
  <c r="G116" i="4"/>
  <c r="H116" i="4"/>
  <c r="I116" i="4"/>
  <c r="B117" i="4"/>
  <c r="D117" i="4"/>
  <c r="E117" i="4"/>
  <c r="F117" i="4"/>
  <c r="G117" i="4"/>
  <c r="H117" i="4"/>
  <c r="I117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05" i="4"/>
  <c r="C2" i="3"/>
  <c r="C3" i="3"/>
  <c r="C4" i="3"/>
  <c r="C5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F4" i="3"/>
  <c r="C97" i="4"/>
  <c r="C95" i="4"/>
  <c r="D95" i="4"/>
  <c r="C89" i="4"/>
  <c r="D89" i="4"/>
  <c r="C90" i="4"/>
  <c r="D90" i="4"/>
  <c r="C91" i="4"/>
  <c r="D91" i="4"/>
  <c r="C88" i="4"/>
  <c r="D88" i="4"/>
  <c r="D80" i="4"/>
  <c r="D81" i="4"/>
  <c r="D82" i="4"/>
  <c r="D83" i="4"/>
  <c r="D79" i="4"/>
  <c r="B68" i="4"/>
  <c r="C68" i="4"/>
  <c r="D68" i="4"/>
  <c r="E68" i="4"/>
  <c r="B69" i="4"/>
  <c r="C69" i="4"/>
  <c r="D69" i="4"/>
  <c r="E69" i="4"/>
  <c r="B70" i="4"/>
  <c r="C70" i="4"/>
  <c r="D70" i="4"/>
  <c r="E70" i="4"/>
  <c r="B71" i="4"/>
  <c r="C71" i="4"/>
  <c r="D71" i="4"/>
  <c r="E71" i="4"/>
  <c r="B72" i="4"/>
  <c r="C72" i="4"/>
  <c r="D72" i="4"/>
  <c r="E72" i="4"/>
  <c r="B73" i="4"/>
  <c r="C73" i="4"/>
  <c r="D73" i="4"/>
  <c r="E73" i="4"/>
  <c r="B74" i="4"/>
  <c r="C74" i="4"/>
  <c r="D74" i="4"/>
  <c r="E74" i="4"/>
  <c r="B75" i="4"/>
  <c r="C75" i="4"/>
  <c r="D75" i="4"/>
  <c r="E75" i="4"/>
  <c r="C67" i="4"/>
  <c r="E67" i="4"/>
  <c r="D67" i="4"/>
  <c r="C60" i="4"/>
  <c r="C59" i="4"/>
  <c r="C3" i="4"/>
  <c r="C57" i="4"/>
  <c r="D42" i="4"/>
  <c r="C41" i="4"/>
  <c r="B30" i="4"/>
  <c r="Q6" i="2"/>
  <c r="C9" i="4"/>
  <c r="C8" i="4"/>
  <c r="Q5" i="2"/>
  <c r="Q7" i="2"/>
  <c r="Q9" i="2"/>
  <c r="Q10" i="2"/>
  <c r="S17" i="2"/>
  <c r="U7" i="2"/>
  <c r="U8" i="2"/>
  <c r="U9" i="2"/>
  <c r="R1017" i="2"/>
  <c r="T1017" i="2"/>
  <c r="S1017" i="2"/>
  <c r="U10" i="2"/>
  <c r="U11" i="2"/>
  <c r="R1018" i="2"/>
  <c r="S1018" i="2"/>
  <c r="T1018" i="2"/>
  <c r="U1018" i="2"/>
  <c r="V1018" i="2"/>
  <c r="W1018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3078" i="2"/>
  <c r="Q3079" i="2"/>
  <c r="Q3080" i="2"/>
  <c r="Q3081" i="2"/>
  <c r="Q3082" i="2"/>
  <c r="Q3083" i="2"/>
  <c r="Q3084" i="2"/>
  <c r="Q3085" i="2"/>
  <c r="Q3086" i="2"/>
  <c r="Q3087" i="2"/>
  <c r="Q3088" i="2"/>
  <c r="Q3089" i="2"/>
  <c r="Q3090" i="2"/>
  <c r="Q3091" i="2"/>
  <c r="Q3092" i="2"/>
  <c r="Q3093" i="2"/>
  <c r="Q3094" i="2"/>
  <c r="Q3095" i="2"/>
  <c r="Q3096" i="2"/>
  <c r="Q3097" i="2"/>
  <c r="Q3098" i="2"/>
  <c r="Q3099" i="2"/>
  <c r="Q3100" i="2"/>
  <c r="Q3101" i="2"/>
  <c r="Q3102" i="2"/>
  <c r="Q3103" i="2"/>
  <c r="Q3104" i="2"/>
  <c r="Q3105" i="2"/>
  <c r="Q3106" i="2"/>
  <c r="Q3107" i="2"/>
  <c r="Q3108" i="2"/>
  <c r="Q3109" i="2"/>
  <c r="Q3110" i="2"/>
  <c r="Q3111" i="2"/>
  <c r="Q3112" i="2"/>
  <c r="Q3113" i="2"/>
  <c r="Q3114" i="2"/>
  <c r="Q3115" i="2"/>
  <c r="Q3116" i="2"/>
  <c r="Q3117" i="2"/>
  <c r="Q3118" i="2"/>
  <c r="Q3119" i="2"/>
  <c r="Q3120" i="2"/>
  <c r="Q3121" i="2"/>
  <c r="Q3122" i="2"/>
  <c r="Q3123" i="2"/>
  <c r="Q3124" i="2"/>
  <c r="Q3125" i="2"/>
  <c r="Q3126" i="2"/>
  <c r="Q3127" i="2"/>
  <c r="Q3128" i="2"/>
  <c r="Q3129" i="2"/>
  <c r="Q3130" i="2"/>
  <c r="Q3131" i="2"/>
  <c r="Q3132" i="2"/>
  <c r="Q3133" i="2"/>
  <c r="Q3134" i="2"/>
  <c r="Q3135" i="2"/>
  <c r="Q3136" i="2"/>
  <c r="Q3137" i="2"/>
  <c r="Q3138" i="2"/>
  <c r="Q3139" i="2"/>
  <c r="Q3140" i="2"/>
  <c r="Q3141" i="2"/>
  <c r="Q3142" i="2"/>
  <c r="Q3143" i="2"/>
  <c r="Q3144" i="2"/>
  <c r="Q3145" i="2"/>
  <c r="Q3146" i="2"/>
  <c r="Q3147" i="2"/>
  <c r="Q3148" i="2"/>
  <c r="Q3149" i="2"/>
  <c r="Q3150" i="2"/>
  <c r="Q3151" i="2"/>
  <c r="Q3152" i="2"/>
  <c r="Q3153" i="2"/>
  <c r="Q3154" i="2"/>
  <c r="Q3155" i="2"/>
  <c r="Q3156" i="2"/>
  <c r="Q3157" i="2"/>
  <c r="Q3158" i="2"/>
  <c r="Q3159" i="2"/>
  <c r="Q3160" i="2"/>
  <c r="Q3161" i="2"/>
  <c r="Q3162" i="2"/>
  <c r="Q3163" i="2"/>
  <c r="Q3164" i="2"/>
  <c r="Q3165" i="2"/>
  <c r="Q3166" i="2"/>
  <c r="Q3167" i="2"/>
  <c r="Q3168" i="2"/>
  <c r="Q3169" i="2"/>
  <c r="Q3170" i="2"/>
  <c r="Q3171" i="2"/>
  <c r="Q3172" i="2"/>
  <c r="Q3173" i="2"/>
  <c r="Q3174" i="2"/>
  <c r="Q3175" i="2"/>
  <c r="Q3176" i="2"/>
  <c r="Q3177" i="2"/>
  <c r="Q3178" i="2"/>
  <c r="Q3179" i="2"/>
  <c r="Q3180" i="2"/>
  <c r="Q3181" i="2"/>
  <c r="Q3182" i="2"/>
  <c r="Q3183" i="2"/>
  <c r="Q3184" i="2"/>
  <c r="Q3185" i="2"/>
  <c r="Q3186" i="2"/>
  <c r="Q3187" i="2"/>
  <c r="Q3188" i="2"/>
  <c r="Q3189" i="2"/>
  <c r="Q3190" i="2"/>
  <c r="Q3191" i="2"/>
  <c r="Q3192" i="2"/>
  <c r="Q3193" i="2"/>
  <c r="Q3194" i="2"/>
  <c r="Q3195" i="2"/>
  <c r="Q3196" i="2"/>
  <c r="Q3197" i="2"/>
  <c r="Q3198" i="2"/>
  <c r="Q3199" i="2"/>
  <c r="Q3200" i="2"/>
  <c r="Q3201" i="2"/>
  <c r="Q3202" i="2"/>
  <c r="Q3203" i="2"/>
  <c r="Q3204" i="2"/>
  <c r="Q3205" i="2"/>
  <c r="Q3206" i="2"/>
  <c r="Q3207" i="2"/>
  <c r="Q3208" i="2"/>
  <c r="Q3209" i="2"/>
  <c r="Q3210" i="2"/>
  <c r="Q3211" i="2"/>
  <c r="Q3212" i="2"/>
  <c r="Q3213" i="2"/>
  <c r="Q3214" i="2"/>
  <c r="Q3215" i="2"/>
  <c r="Q3216" i="2"/>
  <c r="Q3217" i="2"/>
  <c r="Q3218" i="2"/>
  <c r="Q3219" i="2"/>
  <c r="Q3220" i="2"/>
  <c r="Q3221" i="2"/>
  <c r="Q3222" i="2"/>
  <c r="Q3223" i="2"/>
  <c r="Q3224" i="2"/>
  <c r="Q3225" i="2"/>
  <c r="Q3226" i="2"/>
  <c r="Q3227" i="2"/>
  <c r="Q3228" i="2"/>
  <c r="Q3229" i="2"/>
  <c r="Q3230" i="2"/>
  <c r="Q3231" i="2"/>
  <c r="Q3232" i="2"/>
  <c r="Q3233" i="2"/>
  <c r="Q3234" i="2"/>
  <c r="Q3235" i="2"/>
  <c r="Q3236" i="2"/>
  <c r="Q3237" i="2"/>
  <c r="Q3238" i="2"/>
  <c r="Q3239" i="2"/>
  <c r="Q3240" i="2"/>
  <c r="Q3241" i="2"/>
  <c r="Q3242" i="2"/>
  <c r="Q3243" i="2"/>
  <c r="Q3244" i="2"/>
  <c r="Q3245" i="2"/>
  <c r="Q3246" i="2"/>
  <c r="Q3247" i="2"/>
  <c r="Q3248" i="2"/>
  <c r="Q3249" i="2"/>
  <c r="Q3250" i="2"/>
  <c r="Q3251" i="2"/>
  <c r="Q3252" i="2"/>
  <c r="Q3253" i="2"/>
  <c r="Q3254" i="2"/>
  <c r="Q3255" i="2"/>
  <c r="Q3256" i="2"/>
  <c r="Q3257" i="2"/>
  <c r="Q3258" i="2"/>
  <c r="Q3259" i="2"/>
  <c r="Q3260" i="2"/>
  <c r="Q3261" i="2"/>
  <c r="Q3262" i="2"/>
  <c r="Q3263" i="2"/>
  <c r="Q3264" i="2"/>
  <c r="Q3265" i="2"/>
  <c r="Q3266" i="2"/>
  <c r="Q3267" i="2"/>
  <c r="Q3268" i="2"/>
  <c r="Q3269" i="2"/>
  <c r="Q3270" i="2"/>
  <c r="Q3271" i="2"/>
  <c r="Q3272" i="2"/>
  <c r="Q3273" i="2"/>
  <c r="Q3274" i="2"/>
  <c r="Q3275" i="2"/>
  <c r="Q3276" i="2"/>
  <c r="Q3277" i="2"/>
  <c r="Q3278" i="2"/>
  <c r="Q3279" i="2"/>
  <c r="Q3280" i="2"/>
  <c r="Q3281" i="2"/>
  <c r="Q3282" i="2"/>
  <c r="Q3283" i="2"/>
  <c r="Q3284" i="2"/>
  <c r="Q3285" i="2"/>
  <c r="Q3286" i="2"/>
  <c r="Q3287" i="2"/>
  <c r="Q3288" i="2"/>
  <c r="Q3289" i="2"/>
  <c r="Q3290" i="2"/>
  <c r="Q3291" i="2"/>
  <c r="Q3292" i="2"/>
  <c r="Q3293" i="2"/>
  <c r="Q3294" i="2"/>
  <c r="Q3295" i="2"/>
  <c r="Q3296" i="2"/>
  <c r="Q3297" i="2"/>
  <c r="Q3298" i="2"/>
  <c r="Q3299" i="2"/>
  <c r="Q3300" i="2"/>
  <c r="Q3301" i="2"/>
  <c r="Q3302" i="2"/>
  <c r="Q3303" i="2"/>
  <c r="Q3304" i="2"/>
  <c r="Q3305" i="2"/>
  <c r="Q3306" i="2"/>
  <c r="Q3307" i="2"/>
  <c r="Q3308" i="2"/>
  <c r="Q3309" i="2"/>
  <c r="Q3310" i="2"/>
  <c r="Q3311" i="2"/>
  <c r="Q3312" i="2"/>
  <c r="Q3313" i="2"/>
  <c r="Q3314" i="2"/>
  <c r="Q3315" i="2"/>
  <c r="Q3316" i="2"/>
  <c r="Q3317" i="2"/>
  <c r="Q3318" i="2"/>
  <c r="Q3319" i="2"/>
  <c r="Q3320" i="2"/>
  <c r="Q3321" i="2"/>
  <c r="Q3322" i="2"/>
  <c r="Q3323" i="2"/>
  <c r="Q3324" i="2"/>
  <c r="Q3325" i="2"/>
  <c r="Q3326" i="2"/>
  <c r="Q3327" i="2"/>
  <c r="Q3328" i="2"/>
  <c r="Q3329" i="2"/>
  <c r="Q3330" i="2"/>
  <c r="Q3331" i="2"/>
  <c r="Q3332" i="2"/>
  <c r="Q3333" i="2"/>
  <c r="Q3334" i="2"/>
  <c r="Q3335" i="2"/>
  <c r="Q3336" i="2"/>
  <c r="Q3337" i="2"/>
  <c r="Q3338" i="2"/>
  <c r="Q3339" i="2"/>
  <c r="Q3340" i="2"/>
  <c r="Q3341" i="2"/>
  <c r="Q3342" i="2"/>
  <c r="Q3343" i="2"/>
  <c r="Q3344" i="2"/>
  <c r="Q3345" i="2"/>
  <c r="Q3346" i="2"/>
  <c r="Q3347" i="2"/>
  <c r="Q3348" i="2"/>
  <c r="Q3349" i="2"/>
  <c r="Q3350" i="2"/>
  <c r="Q3351" i="2"/>
  <c r="Q3352" i="2"/>
  <c r="Q3353" i="2"/>
  <c r="Q3354" i="2"/>
  <c r="Q3355" i="2"/>
  <c r="Q3356" i="2"/>
  <c r="Q3357" i="2"/>
  <c r="Q3358" i="2"/>
  <c r="Q3359" i="2"/>
  <c r="Q3360" i="2"/>
  <c r="Q3361" i="2"/>
  <c r="Q3362" i="2"/>
  <c r="Q3363" i="2"/>
  <c r="Q3364" i="2"/>
  <c r="Q3365" i="2"/>
  <c r="Q3366" i="2"/>
  <c r="Q3367" i="2"/>
  <c r="Q3368" i="2"/>
  <c r="Q3369" i="2"/>
  <c r="Q3370" i="2"/>
  <c r="Q3371" i="2"/>
  <c r="Q3372" i="2"/>
  <c r="Q3373" i="2"/>
  <c r="Q3374" i="2"/>
  <c r="Q3375" i="2"/>
  <c r="Q3376" i="2"/>
  <c r="Q3377" i="2"/>
  <c r="Q3378" i="2"/>
  <c r="Q3379" i="2"/>
  <c r="Q3380" i="2"/>
  <c r="Q3381" i="2"/>
  <c r="Q3382" i="2"/>
  <c r="Q3383" i="2"/>
  <c r="Q3384" i="2"/>
  <c r="Q3385" i="2"/>
  <c r="Q3386" i="2"/>
  <c r="Q3387" i="2"/>
  <c r="Q3388" i="2"/>
  <c r="Q3389" i="2"/>
  <c r="Q3390" i="2"/>
  <c r="Q3391" i="2"/>
  <c r="Q3392" i="2"/>
  <c r="Q3393" i="2"/>
  <c r="Q3394" i="2"/>
  <c r="Q3395" i="2"/>
  <c r="Q3396" i="2"/>
  <c r="Q3397" i="2"/>
  <c r="Q3398" i="2"/>
  <c r="Q3399" i="2"/>
  <c r="Q3400" i="2"/>
  <c r="Q3401" i="2"/>
  <c r="Q3402" i="2"/>
  <c r="Q3403" i="2"/>
  <c r="Q3404" i="2"/>
  <c r="Q3405" i="2"/>
  <c r="Q3406" i="2"/>
  <c r="Q3407" i="2"/>
  <c r="Q3408" i="2"/>
  <c r="Q3409" i="2"/>
  <c r="Q3410" i="2"/>
  <c r="Q3411" i="2"/>
  <c r="Q3412" i="2"/>
  <c r="Q3413" i="2"/>
  <c r="Q3414" i="2"/>
  <c r="Q3415" i="2"/>
  <c r="Q3416" i="2"/>
  <c r="Q3417" i="2"/>
  <c r="Q3418" i="2"/>
  <c r="Q3419" i="2"/>
  <c r="Q3420" i="2"/>
  <c r="Q3421" i="2"/>
  <c r="Q3422" i="2"/>
  <c r="Q3423" i="2"/>
  <c r="Q3424" i="2"/>
  <c r="Q3425" i="2"/>
  <c r="Q3426" i="2"/>
  <c r="Q3427" i="2"/>
  <c r="Q3428" i="2"/>
  <c r="Q3429" i="2"/>
  <c r="Q3430" i="2"/>
  <c r="Q3431" i="2"/>
  <c r="Q3432" i="2"/>
  <c r="Q3433" i="2"/>
  <c r="Q3434" i="2"/>
  <c r="Q3435" i="2"/>
  <c r="Q3436" i="2"/>
  <c r="Q3437" i="2"/>
  <c r="Q3438" i="2"/>
  <c r="Q3439" i="2"/>
  <c r="Q3440" i="2"/>
  <c r="Q3441" i="2"/>
  <c r="Q3442" i="2"/>
  <c r="Q3443" i="2"/>
  <c r="Q3444" i="2"/>
  <c r="Q3445" i="2"/>
  <c r="Q3446" i="2"/>
  <c r="Q3447" i="2"/>
  <c r="Q3448" i="2"/>
  <c r="Q3449" i="2"/>
  <c r="Q3450" i="2"/>
  <c r="Q3451" i="2"/>
  <c r="Q3452" i="2"/>
  <c r="Q3453" i="2"/>
  <c r="Q3454" i="2"/>
  <c r="Q3455" i="2"/>
  <c r="Q3456" i="2"/>
  <c r="Q3457" i="2"/>
  <c r="Q3458" i="2"/>
  <c r="Q3459" i="2"/>
  <c r="Q3460" i="2"/>
  <c r="Q3461" i="2"/>
  <c r="Q3462" i="2"/>
  <c r="Q3463" i="2"/>
  <c r="Q3464" i="2"/>
  <c r="Q3465" i="2"/>
  <c r="Q3466" i="2"/>
  <c r="Q3467" i="2"/>
  <c r="Q3468" i="2"/>
  <c r="Q3469" i="2"/>
  <c r="Q3470" i="2"/>
  <c r="Q3471" i="2"/>
  <c r="Q3472" i="2"/>
  <c r="Q3473" i="2"/>
  <c r="Q3474" i="2"/>
  <c r="Q3475" i="2"/>
  <c r="Q3476" i="2"/>
  <c r="Q3477" i="2"/>
  <c r="Q3478" i="2"/>
  <c r="Q3479" i="2"/>
  <c r="Q3480" i="2"/>
  <c r="Q3481" i="2"/>
  <c r="Q3482" i="2"/>
  <c r="Q3483" i="2"/>
  <c r="Q3484" i="2"/>
  <c r="Q3485" i="2"/>
  <c r="Q3486" i="2"/>
  <c r="Q3487" i="2"/>
  <c r="Q3488" i="2"/>
  <c r="Q3489" i="2"/>
  <c r="Q3490" i="2"/>
  <c r="Q3491" i="2"/>
  <c r="Q3492" i="2"/>
  <c r="Q3493" i="2"/>
  <c r="Q3494" i="2"/>
  <c r="Q3495" i="2"/>
  <c r="Q3496" i="2"/>
  <c r="Q3497" i="2"/>
  <c r="Q3498" i="2"/>
  <c r="Q3499" i="2"/>
  <c r="Q3500" i="2"/>
  <c r="Q3501" i="2"/>
  <c r="Q3502" i="2"/>
  <c r="Q3503" i="2"/>
  <c r="Q3504" i="2"/>
  <c r="Q3505" i="2"/>
  <c r="Q3506" i="2"/>
  <c r="Q3507" i="2"/>
  <c r="Q3508" i="2"/>
  <c r="Q3509" i="2"/>
  <c r="Q3510" i="2"/>
  <c r="Q3511" i="2"/>
  <c r="Q3512" i="2"/>
  <c r="Q3513" i="2"/>
  <c r="Q3514" i="2"/>
  <c r="Q3515" i="2"/>
  <c r="Q3516" i="2"/>
  <c r="Q3517" i="2"/>
  <c r="Q3518" i="2"/>
  <c r="Q3519" i="2"/>
  <c r="Q3520" i="2"/>
  <c r="Q3521" i="2"/>
  <c r="Q3522" i="2"/>
  <c r="Q3523" i="2"/>
  <c r="Q3524" i="2"/>
  <c r="Q3525" i="2"/>
  <c r="Q3526" i="2"/>
  <c r="Q3527" i="2"/>
  <c r="Q3528" i="2"/>
  <c r="Q3529" i="2"/>
  <c r="Q3530" i="2"/>
  <c r="Q3531" i="2"/>
  <c r="Q3532" i="2"/>
  <c r="Q3533" i="2"/>
  <c r="Q3534" i="2"/>
  <c r="Q3535" i="2"/>
  <c r="Q3536" i="2"/>
  <c r="Q3537" i="2"/>
  <c r="Q3538" i="2"/>
  <c r="Q3539" i="2"/>
  <c r="Q3540" i="2"/>
  <c r="Q3541" i="2"/>
  <c r="Q3542" i="2"/>
  <c r="Q3543" i="2"/>
  <c r="Q3544" i="2"/>
  <c r="Q3545" i="2"/>
  <c r="Q3546" i="2"/>
  <c r="Q3547" i="2"/>
  <c r="Q3548" i="2"/>
  <c r="Q3549" i="2"/>
  <c r="Q3550" i="2"/>
  <c r="Q3551" i="2"/>
  <c r="Q3552" i="2"/>
  <c r="Q3553" i="2"/>
  <c r="Q3554" i="2"/>
  <c r="Q3555" i="2"/>
  <c r="Q3556" i="2"/>
  <c r="Q3557" i="2"/>
  <c r="Q3558" i="2"/>
  <c r="Q3559" i="2"/>
  <c r="Q3560" i="2"/>
  <c r="Q3561" i="2"/>
  <c r="Q3562" i="2"/>
  <c r="Q3563" i="2"/>
  <c r="Q3564" i="2"/>
  <c r="Q3565" i="2"/>
  <c r="Q3566" i="2"/>
  <c r="Q3567" i="2"/>
  <c r="Q3568" i="2"/>
  <c r="Q3569" i="2"/>
  <c r="Q3570" i="2"/>
  <c r="Q3571" i="2"/>
  <c r="Q3572" i="2"/>
  <c r="Q3573" i="2"/>
  <c r="Q3574" i="2"/>
  <c r="Q3575" i="2"/>
  <c r="Q3576" i="2"/>
  <c r="Q3577" i="2"/>
  <c r="Q3578" i="2"/>
  <c r="Q3579" i="2"/>
  <c r="Q3580" i="2"/>
  <c r="Q3581" i="2"/>
  <c r="Q3582" i="2"/>
  <c r="Q3583" i="2"/>
  <c r="Q3584" i="2"/>
  <c r="Q3585" i="2"/>
  <c r="Q3586" i="2"/>
  <c r="Q3587" i="2"/>
  <c r="Q3588" i="2"/>
  <c r="Q3589" i="2"/>
  <c r="Q3590" i="2"/>
  <c r="Q3591" i="2"/>
  <c r="Q3592" i="2"/>
  <c r="Q3593" i="2"/>
  <c r="Q3594" i="2"/>
  <c r="Q3595" i="2"/>
  <c r="Q3596" i="2"/>
  <c r="Q3597" i="2"/>
  <c r="Q3598" i="2"/>
  <c r="Q3599" i="2"/>
  <c r="Q3600" i="2"/>
  <c r="Q3601" i="2"/>
  <c r="Q3602" i="2"/>
  <c r="Q3603" i="2"/>
  <c r="Q3604" i="2"/>
  <c r="Q3605" i="2"/>
  <c r="Q3606" i="2"/>
  <c r="Q3607" i="2"/>
  <c r="Q3608" i="2"/>
  <c r="Q3609" i="2"/>
  <c r="Q3610" i="2"/>
  <c r="Q3611" i="2"/>
  <c r="Q3612" i="2"/>
  <c r="Q3613" i="2"/>
  <c r="Q3614" i="2"/>
  <c r="Q3615" i="2"/>
  <c r="Q3616" i="2"/>
  <c r="Q3617" i="2"/>
  <c r="Q3618" i="2"/>
  <c r="Q3619" i="2"/>
  <c r="Q3620" i="2"/>
  <c r="Q3621" i="2"/>
  <c r="Q3622" i="2"/>
  <c r="Q3623" i="2"/>
  <c r="Q3624" i="2"/>
  <c r="Q3625" i="2"/>
  <c r="Q3626" i="2"/>
  <c r="Q3627" i="2"/>
  <c r="Q3628" i="2"/>
  <c r="Q3629" i="2"/>
  <c r="Q3630" i="2"/>
  <c r="Q3631" i="2"/>
  <c r="Q3632" i="2"/>
  <c r="Q3633" i="2"/>
  <c r="Q3634" i="2"/>
  <c r="Q3635" i="2"/>
  <c r="Q3636" i="2"/>
  <c r="Q3637" i="2"/>
  <c r="Q3638" i="2"/>
  <c r="Q3639" i="2"/>
  <c r="Q3640" i="2"/>
  <c r="Q3641" i="2"/>
  <c r="Q3642" i="2"/>
  <c r="Q3643" i="2"/>
  <c r="Q3644" i="2"/>
  <c r="Q3645" i="2"/>
  <c r="Q3646" i="2"/>
  <c r="Q3647" i="2"/>
  <c r="Q3648" i="2"/>
  <c r="Q3649" i="2"/>
  <c r="Q3650" i="2"/>
  <c r="Q3651" i="2"/>
  <c r="Q3652" i="2"/>
  <c r="Q3653" i="2"/>
  <c r="Q3654" i="2"/>
  <c r="Q3655" i="2"/>
  <c r="Q3656" i="2"/>
  <c r="Q3657" i="2"/>
  <c r="Q3658" i="2"/>
  <c r="Q3659" i="2"/>
  <c r="Q3660" i="2"/>
  <c r="Q3661" i="2"/>
  <c r="Q3662" i="2"/>
  <c r="Q3663" i="2"/>
  <c r="Q3664" i="2"/>
  <c r="Q3665" i="2"/>
  <c r="Q3666" i="2"/>
  <c r="Q3667" i="2"/>
  <c r="Q3668" i="2"/>
  <c r="Q3669" i="2"/>
  <c r="Q3670" i="2"/>
  <c r="Q3671" i="2"/>
  <c r="Q3672" i="2"/>
  <c r="Q3673" i="2"/>
  <c r="Q3674" i="2"/>
  <c r="Q3675" i="2"/>
  <c r="Q3676" i="2"/>
  <c r="Q3677" i="2"/>
  <c r="Q3678" i="2"/>
  <c r="Q3679" i="2"/>
  <c r="Q3680" i="2"/>
  <c r="Q3681" i="2"/>
  <c r="Q3682" i="2"/>
  <c r="Q3683" i="2"/>
  <c r="Q3684" i="2"/>
  <c r="Q3685" i="2"/>
  <c r="Q3686" i="2"/>
  <c r="Q3687" i="2"/>
  <c r="Q3688" i="2"/>
  <c r="Q3689" i="2"/>
  <c r="Q3690" i="2"/>
  <c r="Q3691" i="2"/>
  <c r="Q3692" i="2"/>
  <c r="Q3693" i="2"/>
  <c r="Q3694" i="2"/>
  <c r="Q3695" i="2"/>
  <c r="Q3696" i="2"/>
  <c r="Q3697" i="2"/>
  <c r="Q3698" i="2"/>
  <c r="Q3699" i="2"/>
  <c r="Q3700" i="2"/>
  <c r="Q3701" i="2"/>
  <c r="Q3702" i="2"/>
  <c r="Q3703" i="2"/>
  <c r="Q3704" i="2"/>
  <c r="Q3705" i="2"/>
  <c r="Q3706" i="2"/>
  <c r="Q3707" i="2"/>
  <c r="Q3708" i="2"/>
  <c r="Q3709" i="2"/>
  <c r="Q3710" i="2"/>
  <c r="Q3711" i="2"/>
  <c r="Q3712" i="2"/>
  <c r="Q3713" i="2"/>
  <c r="Q3714" i="2"/>
  <c r="Q3715" i="2"/>
  <c r="Q3716" i="2"/>
  <c r="Q3717" i="2"/>
  <c r="Q3718" i="2"/>
  <c r="Q3719" i="2"/>
  <c r="Q3720" i="2"/>
  <c r="Q3721" i="2"/>
  <c r="Q3722" i="2"/>
  <c r="Q3723" i="2"/>
  <c r="Q3724" i="2"/>
  <c r="Q3725" i="2"/>
  <c r="Q3726" i="2"/>
  <c r="Q3727" i="2"/>
  <c r="Q3728" i="2"/>
  <c r="Q3729" i="2"/>
  <c r="Q3730" i="2"/>
  <c r="Q3731" i="2"/>
  <c r="Q3732" i="2"/>
  <c r="Q3733" i="2"/>
  <c r="Q3734" i="2"/>
  <c r="Q3735" i="2"/>
  <c r="Q3736" i="2"/>
  <c r="Q3737" i="2"/>
  <c r="Q3738" i="2"/>
  <c r="Q3739" i="2"/>
  <c r="Q3740" i="2"/>
  <c r="Q3741" i="2"/>
  <c r="Q3742" i="2"/>
  <c r="Q3743" i="2"/>
  <c r="Q3744" i="2"/>
  <c r="Q3745" i="2"/>
  <c r="Q3746" i="2"/>
  <c r="Q3747" i="2"/>
  <c r="Q3748" i="2"/>
  <c r="Q3749" i="2"/>
  <c r="Q3750" i="2"/>
  <c r="Q3751" i="2"/>
  <c r="Q3752" i="2"/>
  <c r="Q3753" i="2"/>
  <c r="Q3754" i="2"/>
  <c r="Q3755" i="2"/>
  <c r="Q3756" i="2"/>
  <c r="Q3757" i="2"/>
  <c r="Q3758" i="2"/>
  <c r="Q3759" i="2"/>
  <c r="Q3760" i="2"/>
  <c r="Q3761" i="2"/>
  <c r="Q3762" i="2"/>
  <c r="Q3763" i="2"/>
  <c r="Q3764" i="2"/>
  <c r="Q3765" i="2"/>
  <c r="Q3766" i="2"/>
  <c r="Q3767" i="2"/>
  <c r="Q3768" i="2"/>
  <c r="Q3769" i="2"/>
  <c r="Q3770" i="2"/>
  <c r="Q3771" i="2"/>
  <c r="Q3772" i="2"/>
  <c r="Q3773" i="2"/>
  <c r="Q3774" i="2"/>
  <c r="Q3775" i="2"/>
  <c r="Q3776" i="2"/>
  <c r="Q3777" i="2"/>
  <c r="Q3778" i="2"/>
  <c r="Q3779" i="2"/>
  <c r="Q3780" i="2"/>
  <c r="Q3781" i="2"/>
  <c r="Q3782" i="2"/>
  <c r="Q3783" i="2"/>
  <c r="Q3784" i="2"/>
  <c r="Q3785" i="2"/>
  <c r="Q3786" i="2"/>
  <c r="Q3787" i="2"/>
  <c r="Q3788" i="2"/>
  <c r="Q3789" i="2"/>
  <c r="Q3790" i="2"/>
  <c r="Q3791" i="2"/>
  <c r="Q3792" i="2"/>
  <c r="Q3793" i="2"/>
  <c r="Q3794" i="2"/>
  <c r="Q3795" i="2"/>
  <c r="Q3796" i="2"/>
  <c r="Q3797" i="2"/>
  <c r="Q3798" i="2"/>
  <c r="Q3799" i="2"/>
  <c r="Q3800" i="2"/>
  <c r="Q3801" i="2"/>
  <c r="Q3802" i="2"/>
  <c r="Q3803" i="2"/>
  <c r="Q3804" i="2"/>
  <c r="Q3805" i="2"/>
  <c r="Q3806" i="2"/>
  <c r="Q3807" i="2"/>
  <c r="Q3808" i="2"/>
  <c r="Q3809" i="2"/>
  <c r="Q3810" i="2"/>
  <c r="Q3811" i="2"/>
  <c r="Q3812" i="2"/>
  <c r="Q3813" i="2"/>
  <c r="Q3814" i="2"/>
  <c r="Q3815" i="2"/>
  <c r="Q3816" i="2"/>
  <c r="Q3817" i="2"/>
  <c r="Q3818" i="2"/>
  <c r="Q3819" i="2"/>
  <c r="Q3820" i="2"/>
  <c r="Q3821" i="2"/>
  <c r="Q3822" i="2"/>
  <c r="Q3823" i="2"/>
  <c r="Q3824" i="2"/>
  <c r="Q3825" i="2"/>
  <c r="Q3826" i="2"/>
  <c r="Q3827" i="2"/>
  <c r="Q3828" i="2"/>
  <c r="Q3829" i="2"/>
  <c r="Q3830" i="2"/>
  <c r="Q3831" i="2"/>
  <c r="Q3832" i="2"/>
  <c r="Q3833" i="2"/>
  <c r="Q3834" i="2"/>
  <c r="Q3835" i="2"/>
  <c r="Q3836" i="2"/>
  <c r="Q3837" i="2"/>
  <c r="Q3838" i="2"/>
  <c r="Q3839" i="2"/>
  <c r="Q3840" i="2"/>
  <c r="Q3841" i="2"/>
  <c r="Q3842" i="2"/>
  <c r="Q3843" i="2"/>
  <c r="Q3844" i="2"/>
  <c r="Q3845" i="2"/>
  <c r="Q3846" i="2"/>
  <c r="Q3847" i="2"/>
  <c r="Q3848" i="2"/>
  <c r="Q3849" i="2"/>
  <c r="Q3850" i="2"/>
  <c r="Q3851" i="2"/>
  <c r="Q3852" i="2"/>
  <c r="Q3853" i="2"/>
  <c r="Q3854" i="2"/>
  <c r="Q3855" i="2"/>
  <c r="Q3856" i="2"/>
  <c r="Q3857" i="2"/>
  <c r="Q3858" i="2"/>
  <c r="Q3859" i="2"/>
  <c r="Q3860" i="2"/>
  <c r="Q3861" i="2"/>
  <c r="Q3862" i="2"/>
  <c r="Q3863" i="2"/>
  <c r="Q3864" i="2"/>
  <c r="Q3865" i="2"/>
  <c r="Q3866" i="2"/>
  <c r="Q3867" i="2"/>
  <c r="Q3868" i="2"/>
  <c r="Q3869" i="2"/>
  <c r="Q3870" i="2"/>
  <c r="Q3871" i="2"/>
  <c r="Q3872" i="2"/>
  <c r="Q3873" i="2"/>
  <c r="Q3874" i="2"/>
  <c r="Q3875" i="2"/>
  <c r="Q3876" i="2"/>
  <c r="Q3877" i="2"/>
  <c r="Q3878" i="2"/>
  <c r="Q3879" i="2"/>
  <c r="Q3880" i="2"/>
  <c r="Q3881" i="2"/>
  <c r="Q3882" i="2"/>
  <c r="Q3883" i="2"/>
  <c r="Q3884" i="2"/>
  <c r="Q3885" i="2"/>
  <c r="Q3886" i="2"/>
  <c r="Q3887" i="2"/>
  <c r="Q3888" i="2"/>
  <c r="Q3889" i="2"/>
  <c r="Q3890" i="2"/>
  <c r="Q3891" i="2"/>
  <c r="Q3892" i="2"/>
  <c r="Q3893" i="2"/>
  <c r="Q3894" i="2"/>
  <c r="Q3895" i="2"/>
  <c r="Q3896" i="2"/>
  <c r="Q3897" i="2"/>
  <c r="Q3898" i="2"/>
  <c r="Q3899" i="2"/>
  <c r="Q3900" i="2"/>
  <c r="Q3901" i="2"/>
  <c r="Q3902" i="2"/>
  <c r="Q3903" i="2"/>
  <c r="Q3904" i="2"/>
  <c r="Q3905" i="2"/>
  <c r="Q3906" i="2"/>
  <c r="Q3907" i="2"/>
  <c r="Q3908" i="2"/>
  <c r="Q3909" i="2"/>
  <c r="Q3910" i="2"/>
  <c r="Q3911" i="2"/>
  <c r="Q3912" i="2"/>
  <c r="Q3913" i="2"/>
  <c r="Q3914" i="2"/>
  <c r="Q3915" i="2"/>
  <c r="Q3916" i="2"/>
  <c r="Q3917" i="2"/>
  <c r="Q3918" i="2"/>
  <c r="Q3919" i="2"/>
  <c r="Q3920" i="2"/>
  <c r="Q3921" i="2"/>
  <c r="Q3922" i="2"/>
  <c r="Q3923" i="2"/>
  <c r="Q3924" i="2"/>
  <c r="Q3925" i="2"/>
  <c r="Q3926" i="2"/>
  <c r="Q3927" i="2"/>
  <c r="Q3928" i="2"/>
  <c r="Q3929" i="2"/>
  <c r="Q3930" i="2"/>
  <c r="Q3931" i="2"/>
  <c r="Q3932" i="2"/>
  <c r="Q3933" i="2"/>
  <c r="Q3934" i="2"/>
  <c r="Q3935" i="2"/>
  <c r="Q3936" i="2"/>
  <c r="Q3937" i="2"/>
  <c r="Q3938" i="2"/>
  <c r="Q3939" i="2"/>
  <c r="Q3940" i="2"/>
  <c r="Q3941" i="2"/>
  <c r="Q3942" i="2"/>
  <c r="Q3943" i="2"/>
  <c r="Q3944" i="2"/>
  <c r="Q3945" i="2"/>
  <c r="Q3946" i="2"/>
  <c r="Q3947" i="2"/>
  <c r="Q3948" i="2"/>
  <c r="Q3949" i="2"/>
  <c r="Q3950" i="2"/>
  <c r="Q3951" i="2"/>
  <c r="Q3952" i="2"/>
  <c r="Q3953" i="2"/>
  <c r="Q3954" i="2"/>
  <c r="Q3955" i="2"/>
  <c r="Q3956" i="2"/>
  <c r="Q3957" i="2"/>
  <c r="Q3958" i="2"/>
  <c r="Q3959" i="2"/>
  <c r="Q3960" i="2"/>
  <c r="Q3961" i="2"/>
  <c r="Q3962" i="2"/>
  <c r="Q3963" i="2"/>
  <c r="Q3964" i="2"/>
  <c r="Q3965" i="2"/>
  <c r="Q3966" i="2"/>
  <c r="Q3967" i="2"/>
  <c r="Q3968" i="2"/>
  <c r="Q3969" i="2"/>
  <c r="Q3970" i="2"/>
  <c r="Q3971" i="2"/>
  <c r="Q3972" i="2"/>
  <c r="Q3973" i="2"/>
  <c r="Q3974" i="2"/>
  <c r="Q3975" i="2"/>
  <c r="Q3976" i="2"/>
  <c r="Q3977" i="2"/>
  <c r="Q3978" i="2"/>
  <c r="Q3979" i="2"/>
  <c r="Q3980" i="2"/>
  <c r="Q3981" i="2"/>
  <c r="Q3982" i="2"/>
  <c r="Q3983" i="2"/>
  <c r="Q3984" i="2"/>
  <c r="Q3985" i="2"/>
  <c r="Q3986" i="2"/>
  <c r="Q3987" i="2"/>
  <c r="Q3988" i="2"/>
  <c r="Q3989" i="2"/>
  <c r="Q3990" i="2"/>
  <c r="Q3991" i="2"/>
  <c r="Q3992" i="2"/>
  <c r="Q3993" i="2"/>
  <c r="Q3994" i="2"/>
  <c r="Q3995" i="2"/>
  <c r="Q3996" i="2"/>
  <c r="Q3997" i="2"/>
  <c r="Q3998" i="2"/>
  <c r="Q3999" i="2"/>
  <c r="Q4000" i="2"/>
  <c r="Q4001" i="2"/>
  <c r="Q4002" i="2"/>
  <c r="Q4003" i="2"/>
  <c r="Q4004" i="2"/>
  <c r="Q4005" i="2"/>
  <c r="Q4006" i="2"/>
  <c r="Q4007" i="2"/>
  <c r="Q4008" i="2"/>
  <c r="Q4009" i="2"/>
  <c r="Q4010" i="2"/>
  <c r="Q4011" i="2"/>
  <c r="Q4012" i="2"/>
  <c r="Q4013" i="2"/>
  <c r="Q4014" i="2"/>
  <c r="Q4015" i="2"/>
  <c r="Q4016" i="2"/>
  <c r="Q4017" i="2"/>
  <c r="Q4018" i="2"/>
  <c r="Q4019" i="2"/>
  <c r="Q4020" i="2"/>
  <c r="Q4021" i="2"/>
  <c r="Q4022" i="2"/>
  <c r="Q4023" i="2"/>
  <c r="Q4024" i="2"/>
  <c r="Q4025" i="2"/>
  <c r="Q4026" i="2"/>
  <c r="Q4027" i="2"/>
  <c r="Q4028" i="2"/>
  <c r="Q4029" i="2"/>
  <c r="Q4030" i="2"/>
  <c r="Q4031" i="2"/>
  <c r="Q4032" i="2"/>
  <c r="Q4033" i="2"/>
  <c r="Q4034" i="2"/>
  <c r="Q4035" i="2"/>
  <c r="Q4036" i="2"/>
  <c r="Q4037" i="2"/>
  <c r="Q4038" i="2"/>
  <c r="Q4039" i="2"/>
  <c r="Q4040" i="2"/>
  <c r="Q4041" i="2"/>
  <c r="Q4042" i="2"/>
  <c r="Q4043" i="2"/>
  <c r="Q4044" i="2"/>
  <c r="Q4045" i="2"/>
  <c r="Q4046" i="2"/>
  <c r="Q4047" i="2"/>
  <c r="Q4048" i="2"/>
  <c r="Q4049" i="2"/>
  <c r="Q4050" i="2"/>
  <c r="Q4051" i="2"/>
  <c r="Q4052" i="2"/>
  <c r="Q4053" i="2"/>
  <c r="Q4054" i="2"/>
  <c r="Q4055" i="2"/>
  <c r="Q4056" i="2"/>
  <c r="Q4057" i="2"/>
  <c r="Q4058" i="2"/>
  <c r="Q4059" i="2"/>
  <c r="Q4060" i="2"/>
  <c r="Q4061" i="2"/>
  <c r="Q4062" i="2"/>
  <c r="Q4063" i="2"/>
  <c r="Q4064" i="2"/>
  <c r="Q4065" i="2"/>
  <c r="Q4066" i="2"/>
  <c r="Q4067" i="2"/>
  <c r="Q4068" i="2"/>
  <c r="Q4069" i="2"/>
  <c r="Q4070" i="2"/>
  <c r="Q4071" i="2"/>
  <c r="Q4072" i="2"/>
  <c r="Q4073" i="2"/>
  <c r="Q4074" i="2"/>
  <c r="Q4075" i="2"/>
  <c r="Q4076" i="2"/>
  <c r="Q4077" i="2"/>
  <c r="Q4078" i="2"/>
  <c r="Q4079" i="2"/>
  <c r="Q4080" i="2"/>
  <c r="Q4081" i="2"/>
  <c r="Q4082" i="2"/>
  <c r="Q4083" i="2"/>
  <c r="Q4084" i="2"/>
  <c r="Q4085" i="2"/>
  <c r="Q4086" i="2"/>
  <c r="Q4087" i="2"/>
  <c r="Q4088" i="2"/>
  <c r="Q4089" i="2"/>
  <c r="Q4090" i="2"/>
  <c r="Q4091" i="2"/>
  <c r="Q4092" i="2"/>
  <c r="Q4093" i="2"/>
  <c r="Q4094" i="2"/>
  <c r="Q4095" i="2"/>
  <c r="Q4096" i="2"/>
  <c r="Q4097" i="2"/>
  <c r="Q4098" i="2"/>
  <c r="Q4099" i="2"/>
  <c r="Q4100" i="2"/>
  <c r="Q4101" i="2"/>
  <c r="Q4102" i="2"/>
  <c r="Q4103" i="2"/>
  <c r="Q4104" i="2"/>
  <c r="Q4105" i="2"/>
  <c r="Q4106" i="2"/>
  <c r="Q4107" i="2"/>
  <c r="Q4108" i="2"/>
  <c r="Q4109" i="2"/>
  <c r="Q4110" i="2"/>
  <c r="Q4111" i="2"/>
  <c r="Q4112" i="2"/>
  <c r="Q4113" i="2"/>
  <c r="Q4114" i="2"/>
  <c r="Q4115" i="2"/>
  <c r="Q4116" i="2"/>
  <c r="Q4117" i="2"/>
  <c r="Q4118" i="2"/>
  <c r="Q4119" i="2"/>
  <c r="Q4120" i="2"/>
  <c r="Q4121" i="2"/>
  <c r="Q4122" i="2"/>
  <c r="Q4123" i="2"/>
  <c r="Q4124" i="2"/>
  <c r="Q4125" i="2"/>
  <c r="Q4126" i="2"/>
  <c r="Q4127" i="2"/>
  <c r="Q4128" i="2"/>
  <c r="Q4129" i="2"/>
  <c r="Q4130" i="2"/>
  <c r="Q4131" i="2"/>
  <c r="Q4132" i="2"/>
  <c r="Q4133" i="2"/>
  <c r="Q4134" i="2"/>
  <c r="Q4135" i="2"/>
  <c r="Q4136" i="2"/>
  <c r="Q4137" i="2"/>
  <c r="Q4138" i="2"/>
  <c r="Q4139" i="2"/>
  <c r="Q4140" i="2"/>
  <c r="Q4141" i="2"/>
  <c r="Q4142" i="2"/>
  <c r="Q4143" i="2"/>
  <c r="Q4144" i="2"/>
  <c r="Q4145" i="2"/>
  <c r="Q4146" i="2"/>
  <c r="Q4147" i="2"/>
  <c r="Q4148" i="2"/>
  <c r="Q4149" i="2"/>
  <c r="Q4150" i="2"/>
  <c r="Q4151" i="2"/>
  <c r="Q4152" i="2"/>
  <c r="Q4153" i="2"/>
  <c r="Q4154" i="2"/>
  <c r="Q4155" i="2"/>
  <c r="Q4156" i="2"/>
  <c r="Q4157" i="2"/>
  <c r="Q4158" i="2"/>
  <c r="Q4159" i="2"/>
  <c r="Q4160" i="2"/>
  <c r="Q4161" i="2"/>
  <c r="Q4162" i="2"/>
  <c r="Q4163" i="2"/>
  <c r="Q4164" i="2"/>
  <c r="Q4165" i="2"/>
  <c r="Q4166" i="2"/>
  <c r="Q4167" i="2"/>
  <c r="Q4168" i="2"/>
  <c r="Q4169" i="2"/>
  <c r="Q4170" i="2"/>
  <c r="Q4171" i="2"/>
  <c r="Q4172" i="2"/>
  <c r="Q4173" i="2"/>
  <c r="Q4174" i="2"/>
  <c r="Q4175" i="2"/>
  <c r="Q4176" i="2"/>
  <c r="Q4177" i="2"/>
  <c r="Q4178" i="2"/>
  <c r="Q4179" i="2"/>
  <c r="Q4180" i="2"/>
  <c r="Q4181" i="2"/>
  <c r="Q4182" i="2"/>
  <c r="Q4183" i="2"/>
  <c r="Q4184" i="2"/>
  <c r="Q4185" i="2"/>
  <c r="Q4186" i="2"/>
  <c r="Q4187" i="2"/>
  <c r="Q4188" i="2"/>
  <c r="Q4189" i="2"/>
  <c r="Q4190" i="2"/>
  <c r="Q4191" i="2"/>
  <c r="Q4192" i="2"/>
  <c r="Q4193" i="2"/>
  <c r="Q4194" i="2"/>
  <c r="Q4195" i="2"/>
  <c r="Q4196" i="2"/>
  <c r="Q4197" i="2"/>
  <c r="Q4198" i="2"/>
  <c r="Q4199" i="2"/>
  <c r="Q4200" i="2"/>
  <c r="Q4201" i="2"/>
  <c r="Q4202" i="2"/>
  <c r="Q4203" i="2"/>
  <c r="Q4204" i="2"/>
  <c r="Q4205" i="2"/>
  <c r="Q4206" i="2"/>
  <c r="Q4207" i="2"/>
  <c r="Q4208" i="2"/>
  <c r="Q4209" i="2"/>
  <c r="Q4210" i="2"/>
  <c r="Q4211" i="2"/>
  <c r="Q4212" i="2"/>
  <c r="Q4213" i="2"/>
  <c r="Q4214" i="2"/>
  <c r="Q4215" i="2"/>
  <c r="Q4216" i="2"/>
  <c r="Q4217" i="2"/>
  <c r="Q4218" i="2"/>
  <c r="Q4219" i="2"/>
  <c r="Q4220" i="2"/>
  <c r="Q4221" i="2"/>
  <c r="Q4222" i="2"/>
  <c r="Q4223" i="2"/>
  <c r="Q4224" i="2"/>
  <c r="Q4225" i="2"/>
  <c r="Q4226" i="2"/>
  <c r="Q4227" i="2"/>
  <c r="Q4228" i="2"/>
  <c r="Q4229" i="2"/>
  <c r="Q4230" i="2"/>
  <c r="Q4231" i="2"/>
  <c r="Q4232" i="2"/>
  <c r="Q4233" i="2"/>
  <c r="Q4234" i="2"/>
  <c r="Q4235" i="2"/>
  <c r="Q4236" i="2"/>
  <c r="Q4237" i="2"/>
  <c r="Q4238" i="2"/>
  <c r="Q4239" i="2"/>
  <c r="Q4240" i="2"/>
  <c r="Q4241" i="2"/>
  <c r="Q4242" i="2"/>
  <c r="Q4243" i="2"/>
  <c r="Q4244" i="2"/>
  <c r="Q4245" i="2"/>
  <c r="Q4246" i="2"/>
  <c r="Q4247" i="2"/>
  <c r="Q4248" i="2"/>
  <c r="Q4249" i="2"/>
  <c r="Q4250" i="2"/>
  <c r="Q4251" i="2"/>
  <c r="Q4252" i="2"/>
  <c r="Q4253" i="2"/>
  <c r="Q4254" i="2"/>
  <c r="Q4255" i="2"/>
  <c r="Q4256" i="2"/>
  <c r="Q4257" i="2"/>
  <c r="Q4258" i="2"/>
  <c r="Q4259" i="2"/>
  <c r="Q4260" i="2"/>
  <c r="Q4261" i="2"/>
  <c r="Q4262" i="2"/>
  <c r="Q4263" i="2"/>
  <c r="Q4264" i="2"/>
  <c r="Q4265" i="2"/>
  <c r="Q4266" i="2"/>
  <c r="Q4267" i="2"/>
  <c r="Q4268" i="2"/>
  <c r="Q4269" i="2"/>
  <c r="Q4270" i="2"/>
  <c r="Q4271" i="2"/>
  <c r="Q4272" i="2"/>
  <c r="Q4273" i="2"/>
  <c r="Q4274" i="2"/>
  <c r="Q4275" i="2"/>
  <c r="Q4276" i="2"/>
  <c r="Q4277" i="2"/>
  <c r="Q4278" i="2"/>
  <c r="Q4279" i="2"/>
  <c r="Q4280" i="2"/>
  <c r="Q4281" i="2"/>
  <c r="Q4282" i="2"/>
  <c r="Q4283" i="2"/>
  <c r="Q4284" i="2"/>
  <c r="Q4285" i="2"/>
  <c r="Q4286" i="2"/>
  <c r="Q4287" i="2"/>
  <c r="Q4288" i="2"/>
  <c r="Q4289" i="2"/>
  <c r="Q4290" i="2"/>
  <c r="Q4291" i="2"/>
  <c r="Q4292" i="2"/>
  <c r="Q4293" i="2"/>
  <c r="Q4294" i="2"/>
  <c r="Q4295" i="2"/>
  <c r="Q4296" i="2"/>
  <c r="Q4297" i="2"/>
  <c r="Q4298" i="2"/>
  <c r="Q4299" i="2"/>
  <c r="Q4300" i="2"/>
  <c r="Q4301" i="2"/>
  <c r="Q4302" i="2"/>
  <c r="Q4303" i="2"/>
  <c r="Q4304" i="2"/>
  <c r="Q4305" i="2"/>
  <c r="Q4306" i="2"/>
  <c r="Q4307" i="2"/>
  <c r="Q4308" i="2"/>
  <c r="Q4309" i="2"/>
  <c r="Q4310" i="2"/>
  <c r="Q4311" i="2"/>
  <c r="Q4312" i="2"/>
  <c r="Q4313" i="2"/>
  <c r="Q4314" i="2"/>
  <c r="Q4315" i="2"/>
  <c r="Q4316" i="2"/>
  <c r="Q4317" i="2"/>
  <c r="Q4318" i="2"/>
  <c r="Q4319" i="2"/>
  <c r="Q4320" i="2"/>
  <c r="Q4321" i="2"/>
  <c r="Q4322" i="2"/>
  <c r="Q4323" i="2"/>
  <c r="Q4324" i="2"/>
  <c r="Q4325" i="2"/>
  <c r="Q4326" i="2"/>
  <c r="Q4327" i="2"/>
  <c r="Q4328" i="2"/>
  <c r="Q4329" i="2"/>
  <c r="Q4330" i="2"/>
  <c r="Q4331" i="2"/>
  <c r="Q4332" i="2"/>
  <c r="Q4333" i="2"/>
  <c r="Q4334" i="2"/>
  <c r="Q4335" i="2"/>
  <c r="Q4336" i="2"/>
  <c r="Q4337" i="2"/>
  <c r="Q4338" i="2"/>
  <c r="Q4339" i="2"/>
  <c r="Q4340" i="2"/>
  <c r="Q4341" i="2"/>
  <c r="Q4342" i="2"/>
  <c r="Q4343" i="2"/>
  <c r="Q4344" i="2"/>
  <c r="Q4345" i="2"/>
  <c r="Q4346" i="2"/>
  <c r="Q4347" i="2"/>
  <c r="Q4348" i="2"/>
  <c r="Q4349" i="2"/>
  <c r="Q4350" i="2"/>
  <c r="Q4351" i="2"/>
  <c r="Q4352" i="2"/>
  <c r="Q4353" i="2"/>
  <c r="Q4354" i="2"/>
  <c r="Q4355" i="2"/>
  <c r="Q4356" i="2"/>
  <c r="Q4357" i="2"/>
  <c r="Q4358" i="2"/>
  <c r="Q4359" i="2"/>
  <c r="Q4360" i="2"/>
  <c r="Q4361" i="2"/>
  <c r="Q4362" i="2"/>
  <c r="Q4363" i="2"/>
  <c r="Q4364" i="2"/>
  <c r="Q4365" i="2"/>
  <c r="Q4366" i="2"/>
  <c r="Q4367" i="2"/>
  <c r="Q4368" i="2"/>
  <c r="Q4369" i="2"/>
  <c r="Q4370" i="2"/>
  <c r="Q4371" i="2"/>
  <c r="Q4372" i="2"/>
  <c r="Q4373" i="2"/>
  <c r="Q4374" i="2"/>
  <c r="Q4375" i="2"/>
  <c r="Q4376" i="2"/>
  <c r="Q4377" i="2"/>
  <c r="Q4378" i="2"/>
  <c r="Q4379" i="2"/>
  <c r="Q4380" i="2"/>
  <c r="Q4381" i="2"/>
  <c r="Q4382" i="2"/>
  <c r="Q4383" i="2"/>
  <c r="Q4384" i="2"/>
  <c r="Q4385" i="2"/>
  <c r="Q4386" i="2"/>
  <c r="Q4387" i="2"/>
  <c r="Q4388" i="2"/>
  <c r="Q4389" i="2"/>
  <c r="Q4390" i="2"/>
  <c r="Q4391" i="2"/>
  <c r="Q4392" i="2"/>
  <c r="Q4393" i="2"/>
  <c r="Q4394" i="2"/>
  <c r="Q4395" i="2"/>
  <c r="Q4396" i="2"/>
  <c r="Q4397" i="2"/>
  <c r="Q4398" i="2"/>
  <c r="Q4399" i="2"/>
  <c r="Q4400" i="2"/>
  <c r="Q4401" i="2"/>
  <c r="Q4402" i="2"/>
  <c r="Q4403" i="2"/>
  <c r="Q4404" i="2"/>
  <c r="Q4405" i="2"/>
  <c r="Q4406" i="2"/>
  <c r="Q4407" i="2"/>
  <c r="Q4408" i="2"/>
  <c r="Q4409" i="2"/>
  <c r="Q4410" i="2"/>
  <c r="Q4411" i="2"/>
  <c r="Q4412" i="2"/>
  <c r="Q4413" i="2"/>
  <c r="Q4414" i="2"/>
  <c r="Q4415" i="2"/>
  <c r="Q4416" i="2"/>
  <c r="Q4417" i="2"/>
  <c r="Q4418" i="2"/>
  <c r="Q4419" i="2"/>
  <c r="Q4420" i="2"/>
  <c r="Q4421" i="2"/>
  <c r="Q4422" i="2"/>
  <c r="Q4423" i="2"/>
  <c r="Q4424" i="2"/>
  <c r="Q4425" i="2"/>
  <c r="Q4426" i="2"/>
  <c r="Q4427" i="2"/>
  <c r="Q4428" i="2"/>
  <c r="Q4429" i="2"/>
  <c r="Q4430" i="2"/>
  <c r="Q4431" i="2"/>
  <c r="Q4432" i="2"/>
  <c r="Q4433" i="2"/>
  <c r="Q4434" i="2"/>
  <c r="Q4435" i="2"/>
  <c r="Q4436" i="2"/>
  <c r="Q4437" i="2"/>
  <c r="Q4438" i="2"/>
  <c r="Q4439" i="2"/>
  <c r="Q4440" i="2"/>
  <c r="Q4441" i="2"/>
  <c r="Q4442" i="2"/>
  <c r="Q4443" i="2"/>
  <c r="Q4444" i="2"/>
  <c r="Q4445" i="2"/>
  <c r="Q4446" i="2"/>
  <c r="Q4447" i="2"/>
  <c r="Q4448" i="2"/>
  <c r="Q4449" i="2"/>
  <c r="Q4450" i="2"/>
  <c r="Q4451" i="2"/>
  <c r="Q4452" i="2"/>
  <c r="Q4453" i="2"/>
  <c r="Q4454" i="2"/>
  <c r="Q4455" i="2"/>
  <c r="Q4456" i="2"/>
  <c r="Q4457" i="2"/>
  <c r="Q4458" i="2"/>
  <c r="Q4459" i="2"/>
  <c r="Q4460" i="2"/>
  <c r="Q4461" i="2"/>
  <c r="Q4462" i="2"/>
  <c r="Q4463" i="2"/>
  <c r="Q4464" i="2"/>
  <c r="Q4465" i="2"/>
  <c r="Q4466" i="2"/>
  <c r="Q4467" i="2"/>
  <c r="Q4468" i="2"/>
  <c r="Q4469" i="2"/>
  <c r="Q4470" i="2"/>
  <c r="Q4471" i="2"/>
  <c r="Q4472" i="2"/>
  <c r="Q4473" i="2"/>
  <c r="Q4474" i="2"/>
  <c r="Q4475" i="2"/>
  <c r="Q4476" i="2"/>
  <c r="Q4477" i="2"/>
  <c r="Q4478" i="2"/>
  <c r="Q4479" i="2"/>
  <c r="Q4480" i="2"/>
  <c r="Q4481" i="2"/>
  <c r="Q4482" i="2"/>
  <c r="Q4483" i="2"/>
  <c r="Q4484" i="2"/>
  <c r="Q4485" i="2"/>
  <c r="Q4486" i="2"/>
  <c r="Q4487" i="2"/>
  <c r="Q4488" i="2"/>
  <c r="Q4489" i="2"/>
  <c r="Q4490" i="2"/>
  <c r="Q4491" i="2"/>
  <c r="Q4492" i="2"/>
  <c r="Q4493" i="2"/>
  <c r="Q4494" i="2"/>
  <c r="Q4495" i="2"/>
  <c r="Q4496" i="2"/>
  <c r="Q4497" i="2"/>
  <c r="Q4498" i="2"/>
  <c r="Q4499" i="2"/>
  <c r="Q4500" i="2"/>
  <c r="Q4501" i="2"/>
  <c r="Q4502" i="2"/>
  <c r="Q4503" i="2"/>
  <c r="Q4504" i="2"/>
  <c r="Q4505" i="2"/>
  <c r="Q4506" i="2"/>
  <c r="Q4507" i="2"/>
  <c r="Q4508" i="2"/>
  <c r="Q4509" i="2"/>
  <c r="Q4510" i="2"/>
  <c r="Q4511" i="2"/>
  <c r="Q4512" i="2"/>
  <c r="Q4513" i="2"/>
  <c r="Q4514" i="2"/>
  <c r="Q4515" i="2"/>
  <c r="Q4516" i="2"/>
  <c r="Q4517" i="2"/>
  <c r="Q4518" i="2"/>
  <c r="Q4519" i="2"/>
  <c r="Q4520" i="2"/>
  <c r="Q4521" i="2"/>
  <c r="Q4522" i="2"/>
  <c r="Q4523" i="2"/>
  <c r="Q4524" i="2"/>
  <c r="Q4525" i="2"/>
  <c r="Q4526" i="2"/>
  <c r="Q4527" i="2"/>
  <c r="Q4528" i="2"/>
  <c r="Q4529" i="2"/>
  <c r="Q4530" i="2"/>
  <c r="Q4531" i="2"/>
  <c r="Q4532" i="2"/>
  <c r="Q4533" i="2"/>
  <c r="Q4534" i="2"/>
  <c r="Q4535" i="2"/>
  <c r="Q4536" i="2"/>
  <c r="Q4537" i="2"/>
  <c r="Q4538" i="2"/>
  <c r="Q4539" i="2"/>
  <c r="Q4540" i="2"/>
  <c r="Q4541" i="2"/>
  <c r="Q4542" i="2"/>
  <c r="Q4543" i="2"/>
  <c r="Q4544" i="2"/>
  <c r="Q4545" i="2"/>
  <c r="Q4546" i="2"/>
  <c r="Q4547" i="2"/>
  <c r="Q4548" i="2"/>
  <c r="Q4549" i="2"/>
  <c r="Q4550" i="2"/>
  <c r="Q4551" i="2"/>
  <c r="Q4552" i="2"/>
  <c r="Q4553" i="2"/>
  <c r="Q4554" i="2"/>
  <c r="Q4555" i="2"/>
  <c r="Q4556" i="2"/>
  <c r="Q4557" i="2"/>
  <c r="Q4558" i="2"/>
  <c r="Q4559" i="2"/>
  <c r="Q4560" i="2"/>
  <c r="Q4561" i="2"/>
  <c r="Q4562" i="2"/>
  <c r="Q4563" i="2"/>
  <c r="Q4564" i="2"/>
  <c r="Q4565" i="2"/>
  <c r="Q4566" i="2"/>
  <c r="Q4567" i="2"/>
  <c r="Q4568" i="2"/>
  <c r="Q4569" i="2"/>
  <c r="Q4570" i="2"/>
  <c r="Q4571" i="2"/>
  <c r="Q4572" i="2"/>
  <c r="Q4573" i="2"/>
  <c r="Q4574" i="2"/>
  <c r="Q4575" i="2"/>
  <c r="Q4576" i="2"/>
  <c r="Q4577" i="2"/>
  <c r="Q4578" i="2"/>
  <c r="Q4579" i="2"/>
  <c r="Q4580" i="2"/>
  <c r="Q4581" i="2"/>
  <c r="Q4582" i="2"/>
  <c r="Q4583" i="2"/>
  <c r="Q4584" i="2"/>
  <c r="Q4585" i="2"/>
  <c r="Q4586" i="2"/>
  <c r="Q4587" i="2"/>
  <c r="Q4588" i="2"/>
  <c r="Q4589" i="2"/>
  <c r="Q4590" i="2"/>
  <c r="Q4591" i="2"/>
  <c r="Q4592" i="2"/>
  <c r="Q4593" i="2"/>
  <c r="Q4594" i="2"/>
  <c r="Q4595" i="2"/>
  <c r="Q4596" i="2"/>
  <c r="Q4597" i="2"/>
  <c r="Q4598" i="2"/>
  <c r="Q4599" i="2"/>
  <c r="Q4600" i="2"/>
  <c r="Q4601" i="2"/>
  <c r="Q4602" i="2"/>
  <c r="Q4603" i="2"/>
  <c r="Q4604" i="2"/>
  <c r="Q4605" i="2"/>
  <c r="Q4606" i="2"/>
  <c r="Q4607" i="2"/>
  <c r="Q4608" i="2"/>
  <c r="Q4609" i="2"/>
  <c r="Q4610" i="2"/>
  <c r="Q4611" i="2"/>
  <c r="Q4612" i="2"/>
  <c r="Q4613" i="2"/>
  <c r="Q4614" i="2"/>
  <c r="Q4615" i="2"/>
  <c r="Q4616" i="2"/>
  <c r="Q4617" i="2"/>
  <c r="Q4618" i="2"/>
  <c r="Q4619" i="2"/>
  <c r="Q4620" i="2"/>
  <c r="Q4621" i="2"/>
  <c r="Q4622" i="2"/>
  <c r="Q4623" i="2"/>
  <c r="Q4624" i="2"/>
  <c r="Q4625" i="2"/>
  <c r="Q4626" i="2"/>
  <c r="Q4627" i="2"/>
  <c r="Q4628" i="2"/>
  <c r="Q4629" i="2"/>
  <c r="Q4630" i="2"/>
  <c r="Q4631" i="2"/>
  <c r="Q4632" i="2"/>
  <c r="Q4633" i="2"/>
  <c r="Q4634" i="2"/>
  <c r="Q4635" i="2"/>
  <c r="Q4636" i="2"/>
  <c r="Q4637" i="2"/>
  <c r="Q4638" i="2"/>
  <c r="Q4639" i="2"/>
  <c r="Q4640" i="2"/>
  <c r="Q4641" i="2"/>
  <c r="Q4642" i="2"/>
  <c r="Q4643" i="2"/>
  <c r="Q4644" i="2"/>
  <c r="Q4645" i="2"/>
  <c r="Q4646" i="2"/>
  <c r="Q4647" i="2"/>
  <c r="Q4648" i="2"/>
  <c r="Q4649" i="2"/>
  <c r="Q4650" i="2"/>
  <c r="Q4651" i="2"/>
  <c r="Q4652" i="2"/>
  <c r="Q4653" i="2"/>
  <c r="Q4654" i="2"/>
  <c r="Q4655" i="2"/>
  <c r="Q4656" i="2"/>
  <c r="Q4657" i="2"/>
  <c r="Q4658" i="2"/>
  <c r="Q4659" i="2"/>
  <c r="Q4660" i="2"/>
  <c r="Q4661" i="2"/>
  <c r="Q4662" i="2"/>
  <c r="Q4663" i="2"/>
  <c r="Q4664" i="2"/>
  <c r="Q4665" i="2"/>
  <c r="Q4666" i="2"/>
  <c r="Q4667" i="2"/>
  <c r="Q4668" i="2"/>
  <c r="Q4669" i="2"/>
  <c r="Q4670" i="2"/>
  <c r="Q4671" i="2"/>
  <c r="Q4672" i="2"/>
  <c r="Q4673" i="2"/>
  <c r="Q4674" i="2"/>
  <c r="Q4675" i="2"/>
  <c r="Q4676" i="2"/>
  <c r="Q4677" i="2"/>
  <c r="Q4678" i="2"/>
  <c r="Q4679" i="2"/>
  <c r="Q4680" i="2"/>
  <c r="Q4681" i="2"/>
  <c r="Q4682" i="2"/>
  <c r="Q4683" i="2"/>
  <c r="Q4684" i="2"/>
  <c r="Q4685" i="2"/>
  <c r="Q4686" i="2"/>
  <c r="Q4687" i="2"/>
  <c r="Q4688" i="2"/>
  <c r="Q4689" i="2"/>
  <c r="Q4690" i="2"/>
  <c r="Q4691" i="2"/>
  <c r="Q4692" i="2"/>
  <c r="Q4693" i="2"/>
  <c r="Q4694" i="2"/>
  <c r="Q4695" i="2"/>
  <c r="Q4696" i="2"/>
  <c r="Q4697" i="2"/>
  <c r="Q4698" i="2"/>
  <c r="Q4699" i="2"/>
  <c r="Q4700" i="2"/>
  <c r="Q4701" i="2"/>
  <c r="Q4702" i="2"/>
  <c r="Q4703" i="2"/>
  <c r="Q4704" i="2"/>
  <c r="Q4705" i="2"/>
  <c r="Q4706" i="2"/>
  <c r="Q4707" i="2"/>
  <c r="Q4708" i="2"/>
  <c r="Q4709" i="2"/>
  <c r="Q4710" i="2"/>
  <c r="Q4711" i="2"/>
  <c r="Q4712" i="2"/>
  <c r="Q4713" i="2"/>
  <c r="Q4714" i="2"/>
  <c r="Q4715" i="2"/>
  <c r="Q4716" i="2"/>
  <c r="Q4717" i="2"/>
  <c r="Q4718" i="2"/>
  <c r="Q4719" i="2"/>
  <c r="Q4720" i="2"/>
  <c r="Q4721" i="2"/>
  <c r="Q4722" i="2"/>
  <c r="Q4723" i="2"/>
  <c r="Q4724" i="2"/>
  <c r="Q4725" i="2"/>
  <c r="Q4726" i="2"/>
  <c r="Q4727" i="2"/>
  <c r="Q4728" i="2"/>
  <c r="Q4729" i="2"/>
  <c r="Q4730" i="2"/>
  <c r="Q4731" i="2"/>
  <c r="Q4732" i="2"/>
  <c r="Q4733" i="2"/>
  <c r="Q4734" i="2"/>
  <c r="Q4735" i="2"/>
  <c r="Q4736" i="2"/>
  <c r="Q4737" i="2"/>
  <c r="Q4738" i="2"/>
  <c r="Q4739" i="2"/>
  <c r="Q4740" i="2"/>
  <c r="Q4741" i="2"/>
  <c r="Q4742" i="2"/>
  <c r="Q4743" i="2"/>
  <c r="Q4744" i="2"/>
  <c r="Q4745" i="2"/>
  <c r="Q4746" i="2"/>
  <c r="Q4747" i="2"/>
  <c r="Q4748" i="2"/>
  <c r="Q4749" i="2"/>
  <c r="Q4750" i="2"/>
  <c r="Q4751" i="2"/>
  <c r="Q4752" i="2"/>
  <c r="Q4753" i="2"/>
  <c r="Q4754" i="2"/>
  <c r="Q4755" i="2"/>
  <c r="Q4756" i="2"/>
  <c r="Q4757" i="2"/>
  <c r="Q4758" i="2"/>
  <c r="Q4759" i="2"/>
  <c r="Q4760" i="2"/>
  <c r="Q4761" i="2"/>
  <c r="Q4762" i="2"/>
  <c r="Q4763" i="2"/>
  <c r="Q4764" i="2"/>
  <c r="Q4765" i="2"/>
  <c r="Q4766" i="2"/>
  <c r="Q4767" i="2"/>
  <c r="Q4768" i="2"/>
  <c r="Q4769" i="2"/>
  <c r="Q4770" i="2"/>
  <c r="Q4771" i="2"/>
  <c r="Q4772" i="2"/>
  <c r="Q4773" i="2"/>
  <c r="Q4774" i="2"/>
  <c r="Q4775" i="2"/>
  <c r="Q4776" i="2"/>
  <c r="Q4777" i="2"/>
  <c r="Q4778" i="2"/>
  <c r="Q4779" i="2"/>
  <c r="Q4780" i="2"/>
  <c r="Q4781" i="2"/>
  <c r="Q4782" i="2"/>
  <c r="Q4783" i="2"/>
  <c r="Q4784" i="2"/>
  <c r="Q4785" i="2"/>
  <c r="Q4786" i="2"/>
  <c r="Q4787" i="2"/>
  <c r="Q4788" i="2"/>
  <c r="Q4789" i="2"/>
  <c r="Q4790" i="2"/>
  <c r="Q4791" i="2"/>
  <c r="Q4792" i="2"/>
  <c r="Q4793" i="2"/>
  <c r="Q4794" i="2"/>
  <c r="Q4795" i="2"/>
  <c r="Q4796" i="2"/>
  <c r="Q4797" i="2"/>
  <c r="Q4798" i="2"/>
  <c r="Q4799" i="2"/>
  <c r="Q4800" i="2"/>
  <c r="Q4801" i="2"/>
  <c r="Q4802" i="2"/>
  <c r="Q4803" i="2"/>
  <c r="Q4804" i="2"/>
  <c r="Q4805" i="2"/>
  <c r="Q4806" i="2"/>
  <c r="Q4807" i="2"/>
  <c r="Q4808" i="2"/>
  <c r="Q4809" i="2"/>
  <c r="Q4810" i="2"/>
  <c r="Q4811" i="2"/>
  <c r="Q4812" i="2"/>
  <c r="Q4813" i="2"/>
  <c r="Q4814" i="2"/>
  <c r="Q4815" i="2"/>
  <c r="Q4816" i="2"/>
  <c r="Q4817" i="2"/>
  <c r="Q4818" i="2"/>
  <c r="Q4819" i="2"/>
  <c r="Q4820" i="2"/>
  <c r="Q4821" i="2"/>
  <c r="Q4822" i="2"/>
  <c r="Q4823" i="2"/>
  <c r="Q4824" i="2"/>
  <c r="Q4825" i="2"/>
  <c r="Q4826" i="2"/>
  <c r="Q4827" i="2"/>
  <c r="Q4828" i="2"/>
  <c r="Q4829" i="2"/>
  <c r="Q4830" i="2"/>
  <c r="Q4831" i="2"/>
  <c r="Q4832" i="2"/>
  <c r="Q4833" i="2"/>
  <c r="Q4834" i="2"/>
  <c r="Q4835" i="2"/>
  <c r="Q4836" i="2"/>
  <c r="Q4837" i="2"/>
  <c r="Q4838" i="2"/>
  <c r="Q4839" i="2"/>
  <c r="Q4840" i="2"/>
  <c r="Q4841" i="2"/>
  <c r="Q4842" i="2"/>
  <c r="Q4843" i="2"/>
  <c r="Q4844" i="2"/>
  <c r="Q4845" i="2"/>
  <c r="Q4846" i="2"/>
  <c r="Q4847" i="2"/>
  <c r="Q4848" i="2"/>
  <c r="Q4849" i="2"/>
  <c r="Q4850" i="2"/>
  <c r="Q4851" i="2"/>
  <c r="Q4852" i="2"/>
  <c r="Q4853" i="2"/>
  <c r="Q4854" i="2"/>
  <c r="Q4855" i="2"/>
  <c r="Q4856" i="2"/>
  <c r="Q4857" i="2"/>
  <c r="Q4858" i="2"/>
  <c r="Q4859" i="2"/>
  <c r="Q4860" i="2"/>
  <c r="Q4861" i="2"/>
  <c r="Q4862" i="2"/>
  <c r="Q4863" i="2"/>
  <c r="Q4864" i="2"/>
  <c r="Q4865" i="2"/>
  <c r="Q4866" i="2"/>
  <c r="Q4867" i="2"/>
  <c r="Q4868" i="2"/>
  <c r="Q4869" i="2"/>
  <c r="Q4870" i="2"/>
  <c r="Q4871" i="2"/>
  <c r="Q4872" i="2"/>
  <c r="Q4873" i="2"/>
  <c r="Q4874" i="2"/>
  <c r="Q4875" i="2"/>
  <c r="Q4876" i="2"/>
  <c r="Q4877" i="2"/>
  <c r="Q4878" i="2"/>
  <c r="Q4879" i="2"/>
  <c r="Q4880" i="2"/>
  <c r="Q4881" i="2"/>
  <c r="Q4882" i="2"/>
  <c r="Q4883" i="2"/>
  <c r="Q4884" i="2"/>
  <c r="Q4885" i="2"/>
  <c r="Q4886" i="2"/>
  <c r="Q4887" i="2"/>
  <c r="Q4888" i="2"/>
  <c r="Q4889" i="2"/>
  <c r="Q4890" i="2"/>
  <c r="Q4891" i="2"/>
  <c r="Q4892" i="2"/>
  <c r="Q4893" i="2"/>
  <c r="Q4894" i="2"/>
  <c r="Q4895" i="2"/>
  <c r="Q4896" i="2"/>
  <c r="Q4897" i="2"/>
  <c r="Q4898" i="2"/>
  <c r="Q4899" i="2"/>
  <c r="Q4900" i="2"/>
  <c r="Q4901" i="2"/>
  <c r="Q4902" i="2"/>
  <c r="Q4903" i="2"/>
  <c r="Q4904" i="2"/>
  <c r="Q4905" i="2"/>
  <c r="Q4906" i="2"/>
  <c r="Q4907" i="2"/>
  <c r="Q4908" i="2"/>
  <c r="Q4909" i="2"/>
  <c r="Q4910" i="2"/>
  <c r="Q4911" i="2"/>
  <c r="Q4912" i="2"/>
  <c r="Q4913" i="2"/>
  <c r="Q4914" i="2"/>
  <c r="Q4915" i="2"/>
  <c r="Q4916" i="2"/>
  <c r="Q4917" i="2"/>
  <c r="Q4918" i="2"/>
  <c r="Q4919" i="2"/>
  <c r="Q4920" i="2"/>
  <c r="Q4921" i="2"/>
  <c r="Q4922" i="2"/>
  <c r="Q4923" i="2"/>
  <c r="Q4924" i="2"/>
  <c r="Q4925" i="2"/>
  <c r="Q4926" i="2"/>
  <c r="Q4927" i="2"/>
  <c r="Q4928" i="2"/>
  <c r="Q4929" i="2"/>
  <c r="Q4930" i="2"/>
  <c r="Q4931" i="2"/>
  <c r="Q4932" i="2"/>
  <c r="Q4933" i="2"/>
  <c r="Q4934" i="2"/>
  <c r="Q4935" i="2"/>
  <c r="Q4936" i="2"/>
  <c r="Q4937" i="2"/>
  <c r="Q4938" i="2"/>
  <c r="Q4939" i="2"/>
  <c r="Q4940" i="2"/>
  <c r="Q4941" i="2"/>
  <c r="Q4942" i="2"/>
  <c r="Q4943" i="2"/>
  <c r="Q4944" i="2"/>
  <c r="Q4945" i="2"/>
  <c r="Q4946" i="2"/>
  <c r="Q4947" i="2"/>
  <c r="Q4948" i="2"/>
  <c r="Q4949" i="2"/>
  <c r="Q4950" i="2"/>
  <c r="Q4951" i="2"/>
  <c r="Q4952" i="2"/>
  <c r="Q4953" i="2"/>
  <c r="Q4954" i="2"/>
  <c r="Q4955" i="2"/>
  <c r="Q4956" i="2"/>
  <c r="Q4957" i="2"/>
  <c r="Q4958" i="2"/>
  <c r="Q4959" i="2"/>
  <c r="Q4960" i="2"/>
  <c r="Q4961" i="2"/>
  <c r="Q4962" i="2"/>
  <c r="Q4963" i="2"/>
  <c r="Q4964" i="2"/>
  <c r="Q4965" i="2"/>
  <c r="Q4966" i="2"/>
  <c r="Q4967" i="2"/>
  <c r="Q4968" i="2"/>
  <c r="Q4969" i="2"/>
  <c r="Q4970" i="2"/>
  <c r="Q4971" i="2"/>
  <c r="Q4972" i="2"/>
  <c r="Q4973" i="2"/>
  <c r="Q4974" i="2"/>
  <c r="Q4975" i="2"/>
  <c r="Q4976" i="2"/>
  <c r="Q4977" i="2"/>
  <c r="Q4978" i="2"/>
  <c r="Q4979" i="2"/>
  <c r="Q4980" i="2"/>
  <c r="Q4981" i="2"/>
  <c r="Q4982" i="2"/>
  <c r="Q4983" i="2"/>
  <c r="Q4984" i="2"/>
  <c r="Q4985" i="2"/>
  <c r="Q4986" i="2"/>
  <c r="Q4987" i="2"/>
  <c r="Q4988" i="2"/>
  <c r="Q4989" i="2"/>
  <c r="Q4990" i="2"/>
  <c r="Q4991" i="2"/>
  <c r="Q4992" i="2"/>
  <c r="Q4993" i="2"/>
  <c r="Q4994" i="2"/>
  <c r="Q4995" i="2"/>
  <c r="Q4996" i="2"/>
  <c r="Q4997" i="2"/>
  <c r="Q4998" i="2"/>
  <c r="Q4999" i="2"/>
  <c r="Q5000" i="2"/>
  <c r="Q5001" i="2"/>
  <c r="Q5002" i="2"/>
  <c r="Q5003" i="2"/>
  <c r="Q5004" i="2"/>
  <c r="Q5005" i="2"/>
  <c r="Q5006" i="2"/>
  <c r="Q5007" i="2"/>
  <c r="Q5008" i="2"/>
  <c r="Q5009" i="2"/>
  <c r="Q5010" i="2"/>
  <c r="Q5011" i="2"/>
  <c r="Q5012" i="2"/>
  <c r="Q5013" i="2"/>
  <c r="Q5014" i="2"/>
  <c r="Q5015" i="2"/>
  <c r="Q5016" i="2"/>
  <c r="R1016" i="2"/>
  <c r="T1016" i="2"/>
  <c r="S1016" i="2"/>
  <c r="R1019" i="2"/>
  <c r="T1019" i="2"/>
  <c r="S1019" i="2"/>
  <c r="R1020" i="2"/>
  <c r="T1020" i="2"/>
  <c r="S1020" i="2"/>
  <c r="R1021" i="2"/>
  <c r="T1021" i="2"/>
  <c r="S1021" i="2"/>
  <c r="R1022" i="2"/>
  <c r="T1022" i="2"/>
  <c r="S1022" i="2"/>
  <c r="R1023" i="2"/>
  <c r="T1023" i="2"/>
  <c r="S1023" i="2"/>
  <c r="R1024" i="2"/>
  <c r="T1024" i="2"/>
  <c r="S1024" i="2"/>
  <c r="R1025" i="2"/>
  <c r="T1025" i="2"/>
  <c r="S1025" i="2"/>
  <c r="R1026" i="2"/>
  <c r="T1026" i="2"/>
  <c r="S1026" i="2"/>
  <c r="R1027" i="2"/>
  <c r="T1027" i="2"/>
  <c r="S1027" i="2"/>
  <c r="R1028" i="2"/>
  <c r="T1028" i="2"/>
  <c r="S1028" i="2"/>
  <c r="U12" i="2"/>
  <c r="R1029" i="2"/>
  <c r="T1029" i="2"/>
  <c r="S1029" i="2"/>
  <c r="R1030" i="2"/>
  <c r="S1030" i="2"/>
  <c r="T1030" i="2"/>
  <c r="R1031" i="2"/>
  <c r="T1031" i="2"/>
  <c r="S1031" i="2"/>
  <c r="R1032" i="2"/>
  <c r="T1032" i="2"/>
  <c r="S1032" i="2"/>
  <c r="R1033" i="2"/>
  <c r="T1033" i="2"/>
  <c r="S1033" i="2"/>
  <c r="R1034" i="2"/>
  <c r="T1034" i="2"/>
  <c r="S1034" i="2"/>
  <c r="R1035" i="2"/>
  <c r="T1035" i="2"/>
  <c r="S1035" i="2"/>
  <c r="R1036" i="2"/>
  <c r="T1036" i="2"/>
  <c r="S1036" i="2"/>
  <c r="R1037" i="2"/>
  <c r="T1037" i="2"/>
  <c r="S1037" i="2"/>
  <c r="R1038" i="2"/>
  <c r="T1038" i="2"/>
  <c r="S1038" i="2"/>
  <c r="R1039" i="2"/>
  <c r="T1039" i="2"/>
  <c r="S1039" i="2"/>
  <c r="R1040" i="2"/>
  <c r="T1040" i="2"/>
  <c r="S1040" i="2"/>
  <c r="R1041" i="2"/>
  <c r="T1041" i="2"/>
  <c r="S1041" i="2"/>
  <c r="R1042" i="2"/>
  <c r="T1042" i="2"/>
  <c r="S1042" i="2"/>
  <c r="R1043" i="2"/>
  <c r="T1043" i="2"/>
  <c r="S1043" i="2"/>
  <c r="R1044" i="2"/>
  <c r="T1044" i="2"/>
  <c r="S1044" i="2"/>
  <c r="R1045" i="2"/>
  <c r="T1045" i="2"/>
  <c r="S1045" i="2"/>
  <c r="R1046" i="2"/>
  <c r="T1046" i="2"/>
  <c r="S1046" i="2"/>
  <c r="R1047" i="2"/>
  <c r="T1047" i="2"/>
  <c r="S1047" i="2"/>
  <c r="R1048" i="2"/>
  <c r="T1048" i="2"/>
  <c r="S1048" i="2"/>
  <c r="R1049" i="2"/>
  <c r="S1049" i="2"/>
  <c r="T1049" i="2"/>
  <c r="R1050" i="2"/>
  <c r="T1050" i="2"/>
  <c r="S1050" i="2"/>
  <c r="R1051" i="2"/>
  <c r="T1051" i="2"/>
  <c r="S1051" i="2"/>
  <c r="R1052" i="2"/>
  <c r="T1052" i="2"/>
  <c r="S1052" i="2"/>
  <c r="R1053" i="2"/>
  <c r="T1053" i="2"/>
  <c r="S1053" i="2"/>
  <c r="R1054" i="2"/>
  <c r="T1054" i="2"/>
  <c r="S1054" i="2"/>
  <c r="R1055" i="2"/>
  <c r="T1055" i="2"/>
  <c r="S1055" i="2"/>
  <c r="R1056" i="2"/>
  <c r="T1056" i="2"/>
  <c r="S1056" i="2"/>
  <c r="R1057" i="2"/>
  <c r="S1057" i="2"/>
  <c r="T1057" i="2"/>
  <c r="R1058" i="2"/>
  <c r="T1058" i="2"/>
  <c r="S1058" i="2"/>
  <c r="R1059" i="2"/>
  <c r="T1059" i="2"/>
  <c r="S1059" i="2"/>
  <c r="R1060" i="2"/>
  <c r="T1060" i="2"/>
  <c r="S1060" i="2"/>
  <c r="R1061" i="2"/>
  <c r="T1061" i="2"/>
  <c r="S1061" i="2"/>
  <c r="R1062" i="2"/>
  <c r="T1062" i="2"/>
  <c r="S1062" i="2"/>
  <c r="R1063" i="2"/>
  <c r="T1063" i="2"/>
  <c r="S1063" i="2"/>
  <c r="R1064" i="2"/>
  <c r="T1064" i="2"/>
  <c r="S1064" i="2"/>
  <c r="R1065" i="2"/>
  <c r="T1065" i="2"/>
  <c r="S1065" i="2"/>
  <c r="R1066" i="2"/>
  <c r="T1066" i="2"/>
  <c r="S1066" i="2"/>
  <c r="R1067" i="2"/>
  <c r="T1067" i="2"/>
  <c r="S1067" i="2"/>
  <c r="R1068" i="2"/>
  <c r="T1068" i="2"/>
  <c r="S1068" i="2"/>
  <c r="R1069" i="2"/>
  <c r="T1069" i="2"/>
  <c r="S1069" i="2"/>
  <c r="R1070" i="2"/>
  <c r="T1070" i="2"/>
  <c r="S1070" i="2"/>
  <c r="R1071" i="2"/>
  <c r="T1071" i="2"/>
  <c r="S1071" i="2"/>
  <c r="R1072" i="2"/>
  <c r="T1072" i="2"/>
  <c r="S1072" i="2"/>
  <c r="R1073" i="2"/>
  <c r="T1073" i="2"/>
  <c r="S1073" i="2"/>
  <c r="R1074" i="2"/>
  <c r="T1074" i="2"/>
  <c r="S1074" i="2"/>
  <c r="R1075" i="2"/>
  <c r="S1075" i="2"/>
  <c r="T1075" i="2"/>
  <c r="R1076" i="2"/>
  <c r="T1076" i="2"/>
  <c r="S1076" i="2"/>
  <c r="R1077" i="2"/>
  <c r="T1077" i="2"/>
  <c r="S1077" i="2"/>
  <c r="R1078" i="2"/>
  <c r="T1078" i="2"/>
  <c r="S1078" i="2"/>
  <c r="R1079" i="2"/>
  <c r="T1079" i="2"/>
  <c r="S1079" i="2"/>
  <c r="R1080" i="2"/>
  <c r="T1080" i="2"/>
  <c r="S1080" i="2"/>
  <c r="R1081" i="2"/>
  <c r="T1081" i="2"/>
  <c r="S1081" i="2"/>
  <c r="R1082" i="2"/>
  <c r="T1082" i="2"/>
  <c r="S1082" i="2"/>
  <c r="R1083" i="2"/>
  <c r="T1083" i="2"/>
  <c r="S1083" i="2"/>
  <c r="R1084" i="2"/>
  <c r="T1084" i="2"/>
  <c r="S1084" i="2"/>
  <c r="R1085" i="2"/>
  <c r="T1085" i="2"/>
  <c r="S1085" i="2"/>
  <c r="R1086" i="2"/>
  <c r="T1086" i="2"/>
  <c r="S1086" i="2"/>
  <c r="R1087" i="2"/>
  <c r="T1087" i="2"/>
  <c r="S1087" i="2"/>
  <c r="R1088" i="2"/>
  <c r="T1088" i="2"/>
  <c r="S1088" i="2"/>
  <c r="R1089" i="2"/>
  <c r="T1089" i="2"/>
  <c r="S1089" i="2"/>
  <c r="R1090" i="2"/>
  <c r="T1090" i="2"/>
  <c r="S1090" i="2"/>
  <c r="R1091" i="2"/>
  <c r="T1091" i="2"/>
  <c r="S1091" i="2"/>
  <c r="R1092" i="2"/>
  <c r="T1092" i="2"/>
  <c r="S1092" i="2"/>
  <c r="R1093" i="2"/>
  <c r="T1093" i="2"/>
  <c r="S1093" i="2"/>
  <c r="R1094" i="2"/>
  <c r="T1094" i="2"/>
  <c r="S1094" i="2"/>
  <c r="R1095" i="2"/>
  <c r="T1095" i="2"/>
  <c r="S1095" i="2"/>
  <c r="R1096" i="2"/>
  <c r="T1096" i="2"/>
  <c r="S1096" i="2"/>
  <c r="R1097" i="2"/>
  <c r="T1097" i="2"/>
  <c r="S1097" i="2"/>
  <c r="R1098" i="2"/>
  <c r="T1098" i="2"/>
  <c r="S1098" i="2"/>
  <c r="R1099" i="2"/>
  <c r="T1099" i="2"/>
  <c r="S1099" i="2"/>
  <c r="R1100" i="2"/>
  <c r="T1100" i="2"/>
  <c r="S1100" i="2"/>
  <c r="R1101" i="2"/>
  <c r="T1101" i="2"/>
  <c r="S1101" i="2"/>
  <c r="R1102" i="2"/>
  <c r="T1102" i="2"/>
  <c r="S1102" i="2"/>
  <c r="R1103" i="2"/>
  <c r="T1103" i="2"/>
  <c r="S1103" i="2"/>
  <c r="R1104" i="2"/>
  <c r="T1104" i="2"/>
  <c r="S1104" i="2"/>
  <c r="R1105" i="2"/>
  <c r="T1105" i="2"/>
  <c r="S1105" i="2"/>
  <c r="R1106" i="2"/>
  <c r="T1106" i="2"/>
  <c r="S1106" i="2"/>
  <c r="R1107" i="2"/>
  <c r="T1107" i="2"/>
  <c r="S1107" i="2"/>
  <c r="R1108" i="2"/>
  <c r="T1108" i="2"/>
  <c r="S1108" i="2"/>
  <c r="R1109" i="2"/>
  <c r="T1109" i="2"/>
  <c r="S1109" i="2"/>
  <c r="R1110" i="2"/>
  <c r="T1110" i="2"/>
  <c r="S1110" i="2"/>
  <c r="R1111" i="2"/>
  <c r="T1111" i="2"/>
  <c r="S1111" i="2"/>
  <c r="R1112" i="2"/>
  <c r="T1112" i="2"/>
  <c r="S1112" i="2"/>
  <c r="R1113" i="2"/>
  <c r="T1113" i="2"/>
  <c r="S1113" i="2"/>
  <c r="R1114" i="2"/>
  <c r="T1114" i="2"/>
  <c r="S1114" i="2"/>
  <c r="R1115" i="2"/>
  <c r="T1115" i="2"/>
  <c r="S1115" i="2"/>
  <c r="R1116" i="2"/>
  <c r="T1116" i="2"/>
  <c r="S1116" i="2"/>
  <c r="R1117" i="2"/>
  <c r="T1117" i="2"/>
  <c r="S1117" i="2"/>
  <c r="R1118" i="2"/>
  <c r="T1118" i="2"/>
  <c r="S1118" i="2"/>
  <c r="R1119" i="2"/>
  <c r="T1119" i="2"/>
  <c r="S1119" i="2"/>
  <c r="R1120" i="2"/>
  <c r="T1120" i="2"/>
  <c r="S1120" i="2"/>
  <c r="R1121" i="2"/>
  <c r="T1121" i="2"/>
  <c r="S1121" i="2"/>
  <c r="R1122" i="2"/>
  <c r="T1122" i="2"/>
  <c r="S1122" i="2"/>
  <c r="R1123" i="2"/>
  <c r="T1123" i="2"/>
  <c r="S1123" i="2"/>
  <c r="R1124" i="2"/>
  <c r="T1124" i="2"/>
  <c r="S1124" i="2"/>
  <c r="R1125" i="2"/>
  <c r="T1125" i="2"/>
  <c r="S1125" i="2"/>
  <c r="R1126" i="2"/>
  <c r="T1126" i="2"/>
  <c r="S1126" i="2"/>
  <c r="R1127" i="2"/>
  <c r="T1127" i="2"/>
  <c r="S1127" i="2"/>
  <c r="R1128" i="2"/>
  <c r="T1128" i="2"/>
  <c r="S1128" i="2"/>
  <c r="R1129" i="2"/>
  <c r="T1129" i="2"/>
  <c r="S1129" i="2"/>
  <c r="R1130" i="2"/>
  <c r="T1130" i="2"/>
  <c r="S1130" i="2"/>
  <c r="R1131" i="2"/>
  <c r="T1131" i="2"/>
  <c r="S1131" i="2"/>
  <c r="R1132" i="2"/>
  <c r="T1132" i="2"/>
  <c r="S1132" i="2"/>
  <c r="R1133" i="2"/>
  <c r="T1133" i="2"/>
  <c r="S1133" i="2"/>
  <c r="R1134" i="2"/>
  <c r="T1134" i="2"/>
  <c r="S1134" i="2"/>
  <c r="R1135" i="2"/>
  <c r="T1135" i="2"/>
  <c r="S1135" i="2"/>
  <c r="R1136" i="2"/>
  <c r="T1136" i="2"/>
  <c r="S1136" i="2"/>
  <c r="R1137" i="2"/>
  <c r="T1137" i="2"/>
  <c r="S1137" i="2"/>
  <c r="R1138" i="2"/>
  <c r="T1138" i="2"/>
  <c r="S1138" i="2"/>
  <c r="R1139" i="2"/>
  <c r="T1139" i="2"/>
  <c r="S1139" i="2"/>
  <c r="R1140" i="2"/>
  <c r="T1140" i="2"/>
  <c r="S1140" i="2"/>
  <c r="R1141" i="2"/>
  <c r="T1141" i="2"/>
  <c r="S1141" i="2"/>
  <c r="R1142" i="2"/>
  <c r="T1142" i="2"/>
  <c r="S1142" i="2"/>
  <c r="R1143" i="2"/>
  <c r="T1143" i="2"/>
  <c r="S1143" i="2"/>
  <c r="R1144" i="2"/>
  <c r="T1144" i="2"/>
  <c r="S1144" i="2"/>
  <c r="R1145" i="2"/>
  <c r="T1145" i="2"/>
  <c r="S1145" i="2"/>
  <c r="R1146" i="2"/>
  <c r="T1146" i="2"/>
  <c r="S1146" i="2"/>
  <c r="R1147" i="2"/>
  <c r="T1147" i="2"/>
  <c r="S1147" i="2"/>
  <c r="R1148" i="2"/>
  <c r="T1148" i="2"/>
  <c r="S1148" i="2"/>
  <c r="R1149" i="2"/>
  <c r="T1149" i="2"/>
  <c r="S1149" i="2"/>
  <c r="R1150" i="2"/>
  <c r="T1150" i="2"/>
  <c r="S1150" i="2"/>
  <c r="R1151" i="2"/>
  <c r="T1151" i="2"/>
  <c r="S1151" i="2"/>
  <c r="R1152" i="2"/>
  <c r="T1152" i="2"/>
  <c r="S1152" i="2"/>
  <c r="R1153" i="2"/>
  <c r="T1153" i="2"/>
  <c r="S1153" i="2"/>
  <c r="R1154" i="2"/>
  <c r="T1154" i="2"/>
  <c r="S1154" i="2"/>
  <c r="R1155" i="2"/>
  <c r="T1155" i="2"/>
  <c r="S1155" i="2"/>
  <c r="R1156" i="2"/>
  <c r="T1156" i="2"/>
  <c r="S1156" i="2"/>
  <c r="R1157" i="2"/>
  <c r="T1157" i="2"/>
  <c r="S1157" i="2"/>
  <c r="R1158" i="2"/>
  <c r="T1158" i="2"/>
  <c r="S1158" i="2"/>
  <c r="R1159" i="2"/>
  <c r="T1159" i="2"/>
  <c r="S1159" i="2"/>
  <c r="R1160" i="2"/>
  <c r="T1160" i="2"/>
  <c r="S1160" i="2"/>
  <c r="R1161" i="2"/>
  <c r="T1161" i="2"/>
  <c r="S1161" i="2"/>
  <c r="R1162" i="2"/>
  <c r="T1162" i="2"/>
  <c r="S1162" i="2"/>
  <c r="R1163" i="2"/>
  <c r="T1163" i="2"/>
  <c r="S1163" i="2"/>
  <c r="R1164" i="2"/>
  <c r="T1164" i="2"/>
  <c r="S1164" i="2"/>
  <c r="R1165" i="2"/>
  <c r="T1165" i="2"/>
  <c r="S1165" i="2"/>
  <c r="R1166" i="2"/>
  <c r="T1166" i="2"/>
  <c r="S1166" i="2"/>
  <c r="R1167" i="2"/>
  <c r="T1167" i="2"/>
  <c r="S1167" i="2"/>
  <c r="R1168" i="2"/>
  <c r="T1168" i="2"/>
  <c r="S1168" i="2"/>
  <c r="R1169" i="2"/>
  <c r="T1169" i="2"/>
  <c r="S1169" i="2"/>
  <c r="R1170" i="2"/>
  <c r="T1170" i="2"/>
  <c r="S1170" i="2"/>
  <c r="R1171" i="2"/>
  <c r="T1171" i="2"/>
  <c r="S1171" i="2"/>
  <c r="R1172" i="2"/>
  <c r="T1172" i="2"/>
  <c r="S1172" i="2"/>
  <c r="R1173" i="2"/>
  <c r="T1173" i="2"/>
  <c r="S1173" i="2"/>
  <c r="R1174" i="2"/>
  <c r="T1174" i="2"/>
  <c r="S1174" i="2"/>
  <c r="R1175" i="2"/>
  <c r="T1175" i="2"/>
  <c r="S1175" i="2"/>
  <c r="R1176" i="2"/>
  <c r="T1176" i="2"/>
  <c r="S1176" i="2"/>
  <c r="R1177" i="2"/>
  <c r="T1177" i="2"/>
  <c r="S1177" i="2"/>
  <c r="R1178" i="2"/>
  <c r="T1178" i="2"/>
  <c r="S1178" i="2"/>
  <c r="R1179" i="2"/>
  <c r="T1179" i="2"/>
  <c r="S1179" i="2"/>
  <c r="R1180" i="2"/>
  <c r="T1180" i="2"/>
  <c r="S1180" i="2"/>
  <c r="R1181" i="2"/>
  <c r="T1181" i="2"/>
  <c r="S1181" i="2"/>
  <c r="R1182" i="2"/>
  <c r="T1182" i="2"/>
  <c r="S1182" i="2"/>
  <c r="R1183" i="2"/>
  <c r="T1183" i="2"/>
  <c r="S1183" i="2"/>
  <c r="R1184" i="2"/>
  <c r="T1184" i="2"/>
  <c r="S1184" i="2"/>
  <c r="R1185" i="2"/>
  <c r="T1185" i="2"/>
  <c r="S1185" i="2"/>
  <c r="R1186" i="2"/>
  <c r="T1186" i="2"/>
  <c r="S1186" i="2"/>
  <c r="R1187" i="2"/>
  <c r="T1187" i="2"/>
  <c r="S1187" i="2"/>
  <c r="R1188" i="2"/>
  <c r="T1188" i="2"/>
  <c r="S1188" i="2"/>
  <c r="R1189" i="2"/>
  <c r="T1189" i="2"/>
  <c r="S1189" i="2"/>
  <c r="R1190" i="2"/>
  <c r="T1190" i="2"/>
  <c r="S1190" i="2"/>
  <c r="R1191" i="2"/>
  <c r="T1191" i="2"/>
  <c r="S1191" i="2"/>
  <c r="R1192" i="2"/>
  <c r="T1192" i="2"/>
  <c r="S1192" i="2"/>
  <c r="R1193" i="2"/>
  <c r="T1193" i="2"/>
  <c r="S1193" i="2"/>
  <c r="R1194" i="2"/>
  <c r="T1194" i="2"/>
  <c r="S1194" i="2"/>
  <c r="R1195" i="2"/>
  <c r="T1195" i="2"/>
  <c r="S1195" i="2"/>
  <c r="R1196" i="2"/>
  <c r="T1196" i="2"/>
  <c r="S1196" i="2"/>
  <c r="R1197" i="2"/>
  <c r="T1197" i="2"/>
  <c r="S1197" i="2"/>
  <c r="R1198" i="2"/>
  <c r="T1198" i="2"/>
  <c r="S1198" i="2"/>
  <c r="R1199" i="2"/>
  <c r="T1199" i="2"/>
  <c r="S1199" i="2"/>
  <c r="R1200" i="2"/>
  <c r="T1200" i="2"/>
  <c r="S1200" i="2"/>
  <c r="R1201" i="2"/>
  <c r="T1201" i="2"/>
  <c r="S1201" i="2"/>
  <c r="R1202" i="2"/>
  <c r="T1202" i="2"/>
  <c r="S1202" i="2"/>
  <c r="R1203" i="2"/>
  <c r="T1203" i="2"/>
  <c r="S1203" i="2"/>
  <c r="R1204" i="2"/>
  <c r="T1204" i="2"/>
  <c r="S1204" i="2"/>
  <c r="R1205" i="2"/>
  <c r="T1205" i="2"/>
  <c r="S1205" i="2"/>
  <c r="R1206" i="2"/>
  <c r="T1206" i="2"/>
  <c r="S1206" i="2"/>
  <c r="R1207" i="2"/>
  <c r="T1207" i="2"/>
  <c r="S1207" i="2"/>
  <c r="R1208" i="2"/>
  <c r="T1208" i="2"/>
  <c r="S1208" i="2"/>
  <c r="R1209" i="2"/>
  <c r="T1209" i="2"/>
  <c r="S1209" i="2"/>
  <c r="R1210" i="2"/>
  <c r="T1210" i="2"/>
  <c r="S1210" i="2"/>
  <c r="R1211" i="2"/>
  <c r="T1211" i="2"/>
  <c r="S1211" i="2"/>
  <c r="R1212" i="2"/>
  <c r="T1212" i="2"/>
  <c r="S1212" i="2"/>
  <c r="R1213" i="2"/>
  <c r="T1213" i="2"/>
  <c r="S1213" i="2"/>
  <c r="R1214" i="2"/>
  <c r="T1214" i="2"/>
  <c r="S1214" i="2"/>
  <c r="R1215" i="2"/>
  <c r="T1215" i="2"/>
  <c r="S1215" i="2"/>
  <c r="R1216" i="2"/>
  <c r="T1216" i="2"/>
  <c r="S1216" i="2"/>
  <c r="R1217" i="2"/>
  <c r="T1217" i="2"/>
  <c r="S1217" i="2"/>
  <c r="R1218" i="2"/>
  <c r="T1218" i="2"/>
  <c r="S1218" i="2"/>
  <c r="R1219" i="2"/>
  <c r="T1219" i="2"/>
  <c r="S1219" i="2"/>
  <c r="R1220" i="2"/>
  <c r="T1220" i="2"/>
  <c r="S1220" i="2"/>
  <c r="R1221" i="2"/>
  <c r="T1221" i="2"/>
  <c r="S1221" i="2"/>
  <c r="R1222" i="2"/>
  <c r="T1222" i="2"/>
  <c r="S1222" i="2"/>
  <c r="R1223" i="2"/>
  <c r="T1223" i="2"/>
  <c r="S1223" i="2"/>
  <c r="R1224" i="2"/>
  <c r="T1224" i="2"/>
  <c r="S1224" i="2"/>
  <c r="R1225" i="2"/>
  <c r="T1225" i="2"/>
  <c r="S1225" i="2"/>
  <c r="R1226" i="2"/>
  <c r="T1226" i="2"/>
  <c r="S1226" i="2"/>
  <c r="R1227" i="2"/>
  <c r="T1227" i="2"/>
  <c r="S1227" i="2"/>
  <c r="R1228" i="2"/>
  <c r="T1228" i="2"/>
  <c r="S1228" i="2"/>
  <c r="R1229" i="2"/>
  <c r="T1229" i="2"/>
  <c r="S1229" i="2"/>
  <c r="R1230" i="2"/>
  <c r="T1230" i="2"/>
  <c r="S1230" i="2"/>
  <c r="R1231" i="2"/>
  <c r="T1231" i="2"/>
  <c r="S1231" i="2"/>
  <c r="R1232" i="2"/>
  <c r="T1232" i="2"/>
  <c r="S1232" i="2"/>
  <c r="R1233" i="2"/>
  <c r="T1233" i="2"/>
  <c r="S1233" i="2"/>
  <c r="R1234" i="2"/>
  <c r="T1234" i="2"/>
  <c r="S1234" i="2"/>
  <c r="R1235" i="2"/>
  <c r="T1235" i="2"/>
  <c r="S1235" i="2"/>
  <c r="R1236" i="2"/>
  <c r="T1236" i="2"/>
  <c r="S1236" i="2"/>
  <c r="R1237" i="2"/>
  <c r="T1237" i="2"/>
  <c r="S1237" i="2"/>
  <c r="R1238" i="2"/>
  <c r="T1238" i="2"/>
  <c r="S1238" i="2"/>
  <c r="R1239" i="2"/>
  <c r="T1239" i="2"/>
  <c r="S1239" i="2"/>
  <c r="R1240" i="2"/>
  <c r="T1240" i="2"/>
  <c r="S1240" i="2"/>
  <c r="R1241" i="2"/>
  <c r="T1241" i="2"/>
  <c r="S1241" i="2"/>
  <c r="R1242" i="2"/>
  <c r="T1242" i="2"/>
  <c r="S1242" i="2"/>
  <c r="R1243" i="2"/>
  <c r="T1243" i="2"/>
  <c r="S1243" i="2"/>
  <c r="R1244" i="2"/>
  <c r="T1244" i="2"/>
  <c r="S1244" i="2"/>
  <c r="R1245" i="2"/>
  <c r="T1245" i="2"/>
  <c r="S1245" i="2"/>
  <c r="R1246" i="2"/>
  <c r="T1246" i="2"/>
  <c r="S1246" i="2"/>
  <c r="R1247" i="2"/>
  <c r="T1247" i="2"/>
  <c r="S1247" i="2"/>
  <c r="R1248" i="2"/>
  <c r="T1248" i="2"/>
  <c r="S1248" i="2"/>
  <c r="R1249" i="2"/>
  <c r="T1249" i="2"/>
  <c r="S1249" i="2"/>
  <c r="R1250" i="2"/>
  <c r="T1250" i="2"/>
  <c r="S1250" i="2"/>
  <c r="R1251" i="2"/>
  <c r="T1251" i="2"/>
  <c r="S1251" i="2"/>
  <c r="R1252" i="2"/>
  <c r="T1252" i="2"/>
  <c r="S1252" i="2"/>
  <c r="R1253" i="2"/>
  <c r="T1253" i="2"/>
  <c r="S1253" i="2"/>
  <c r="R1254" i="2"/>
  <c r="T1254" i="2"/>
  <c r="S1254" i="2"/>
  <c r="R1255" i="2"/>
  <c r="T1255" i="2"/>
  <c r="S1255" i="2"/>
  <c r="R1256" i="2"/>
  <c r="T1256" i="2"/>
  <c r="S1256" i="2"/>
  <c r="R1257" i="2"/>
  <c r="T1257" i="2"/>
  <c r="S1257" i="2"/>
  <c r="R1258" i="2"/>
  <c r="T1258" i="2"/>
  <c r="S1258" i="2"/>
  <c r="R1259" i="2"/>
  <c r="T1259" i="2"/>
  <c r="S1259" i="2"/>
  <c r="R1260" i="2"/>
  <c r="T1260" i="2"/>
  <c r="S1260" i="2"/>
  <c r="R1261" i="2"/>
  <c r="T1261" i="2"/>
  <c r="S1261" i="2"/>
  <c r="R1262" i="2"/>
  <c r="T1262" i="2"/>
  <c r="S1262" i="2"/>
  <c r="R1263" i="2"/>
  <c r="T1263" i="2"/>
  <c r="S1263" i="2"/>
  <c r="R1264" i="2"/>
  <c r="T1264" i="2"/>
  <c r="S1264" i="2"/>
  <c r="R1265" i="2"/>
  <c r="T1265" i="2"/>
  <c r="S1265" i="2"/>
  <c r="R1266" i="2"/>
  <c r="T1266" i="2"/>
  <c r="S1266" i="2"/>
  <c r="R1267" i="2"/>
  <c r="T1267" i="2"/>
  <c r="S1267" i="2"/>
  <c r="R1268" i="2"/>
  <c r="T1268" i="2"/>
  <c r="S1268" i="2"/>
  <c r="R1269" i="2"/>
  <c r="T1269" i="2"/>
  <c r="S1269" i="2"/>
  <c r="R1270" i="2"/>
  <c r="T1270" i="2"/>
  <c r="S1270" i="2"/>
  <c r="R1271" i="2"/>
  <c r="T1271" i="2"/>
  <c r="S1271" i="2"/>
  <c r="R1272" i="2"/>
  <c r="T1272" i="2"/>
  <c r="S1272" i="2"/>
  <c r="R1273" i="2"/>
  <c r="T1273" i="2"/>
  <c r="S1273" i="2"/>
  <c r="R1274" i="2"/>
  <c r="T1274" i="2"/>
  <c r="S1274" i="2"/>
  <c r="R1275" i="2"/>
  <c r="T1275" i="2"/>
  <c r="S1275" i="2"/>
  <c r="R1276" i="2"/>
  <c r="T1276" i="2"/>
  <c r="S1276" i="2"/>
  <c r="R1277" i="2"/>
  <c r="T1277" i="2"/>
  <c r="S1277" i="2"/>
  <c r="R1278" i="2"/>
  <c r="T1278" i="2"/>
  <c r="S1278" i="2"/>
  <c r="R1279" i="2"/>
  <c r="T1279" i="2"/>
  <c r="S1279" i="2"/>
  <c r="R1280" i="2"/>
  <c r="T1280" i="2"/>
  <c r="S1280" i="2"/>
  <c r="R1281" i="2"/>
  <c r="T1281" i="2"/>
  <c r="S1281" i="2"/>
  <c r="R1282" i="2"/>
  <c r="T1282" i="2"/>
  <c r="S1282" i="2"/>
  <c r="R1283" i="2"/>
  <c r="T1283" i="2"/>
  <c r="S1283" i="2"/>
  <c r="R1284" i="2"/>
  <c r="T1284" i="2"/>
  <c r="S1284" i="2"/>
  <c r="R1285" i="2"/>
  <c r="T1285" i="2"/>
  <c r="S1285" i="2"/>
  <c r="R1286" i="2"/>
  <c r="T1286" i="2"/>
  <c r="S1286" i="2"/>
  <c r="R1287" i="2"/>
  <c r="T1287" i="2"/>
  <c r="S1287" i="2"/>
  <c r="R1288" i="2"/>
  <c r="T1288" i="2"/>
  <c r="S1288" i="2"/>
  <c r="R1289" i="2"/>
  <c r="T1289" i="2"/>
  <c r="S1289" i="2"/>
  <c r="R1290" i="2"/>
  <c r="T1290" i="2"/>
  <c r="S1290" i="2"/>
  <c r="R1291" i="2"/>
  <c r="T1291" i="2"/>
  <c r="S1291" i="2"/>
  <c r="R1292" i="2"/>
  <c r="T1292" i="2"/>
  <c r="S1292" i="2"/>
  <c r="R1293" i="2"/>
  <c r="T1293" i="2"/>
  <c r="S1293" i="2"/>
  <c r="R1294" i="2"/>
  <c r="T1294" i="2"/>
  <c r="S1294" i="2"/>
  <c r="R1295" i="2"/>
  <c r="T1295" i="2"/>
  <c r="S1295" i="2"/>
  <c r="R1296" i="2"/>
  <c r="T1296" i="2"/>
  <c r="S1296" i="2"/>
  <c r="R1297" i="2"/>
  <c r="T1297" i="2"/>
  <c r="S1297" i="2"/>
  <c r="R1298" i="2"/>
  <c r="T1298" i="2"/>
  <c r="S1298" i="2"/>
  <c r="R1299" i="2"/>
  <c r="T1299" i="2"/>
  <c r="S1299" i="2"/>
  <c r="R1300" i="2"/>
  <c r="T1300" i="2"/>
  <c r="S1300" i="2"/>
  <c r="R1301" i="2"/>
  <c r="T1301" i="2"/>
  <c r="S1301" i="2"/>
  <c r="R1302" i="2"/>
  <c r="T1302" i="2"/>
  <c r="S1302" i="2"/>
  <c r="R1303" i="2"/>
  <c r="T1303" i="2"/>
  <c r="S1303" i="2"/>
  <c r="R1304" i="2"/>
  <c r="T1304" i="2"/>
  <c r="S1304" i="2"/>
  <c r="R1305" i="2"/>
  <c r="T1305" i="2"/>
  <c r="S1305" i="2"/>
  <c r="R1306" i="2"/>
  <c r="T1306" i="2"/>
  <c r="S1306" i="2"/>
  <c r="R1307" i="2"/>
  <c r="T1307" i="2"/>
  <c r="S1307" i="2"/>
  <c r="R1308" i="2"/>
  <c r="T1308" i="2"/>
  <c r="S1308" i="2"/>
  <c r="R1309" i="2"/>
  <c r="T1309" i="2"/>
  <c r="S1309" i="2"/>
  <c r="R1310" i="2"/>
  <c r="T1310" i="2"/>
  <c r="S1310" i="2"/>
  <c r="R1311" i="2"/>
  <c r="T1311" i="2"/>
  <c r="S1311" i="2"/>
  <c r="R1312" i="2"/>
  <c r="T1312" i="2"/>
  <c r="S1312" i="2"/>
  <c r="R1313" i="2"/>
  <c r="T1313" i="2"/>
  <c r="S1313" i="2"/>
  <c r="R1314" i="2"/>
  <c r="T1314" i="2"/>
  <c r="S1314" i="2"/>
  <c r="R1315" i="2"/>
  <c r="T1315" i="2"/>
  <c r="S1315" i="2"/>
  <c r="R1316" i="2"/>
  <c r="T1316" i="2"/>
  <c r="S1316" i="2"/>
  <c r="R1317" i="2"/>
  <c r="T1317" i="2"/>
  <c r="S1317" i="2"/>
  <c r="R1318" i="2"/>
  <c r="T1318" i="2"/>
  <c r="S1318" i="2"/>
  <c r="R1319" i="2"/>
  <c r="T1319" i="2"/>
  <c r="S1319" i="2"/>
  <c r="R1320" i="2"/>
  <c r="T1320" i="2"/>
  <c r="S1320" i="2"/>
  <c r="R1321" i="2"/>
  <c r="T1321" i="2"/>
  <c r="S1321" i="2"/>
  <c r="R1322" i="2"/>
  <c r="T1322" i="2"/>
  <c r="S1322" i="2"/>
  <c r="R1323" i="2"/>
  <c r="T1323" i="2"/>
  <c r="S1323" i="2"/>
  <c r="R1324" i="2"/>
  <c r="T1324" i="2"/>
  <c r="S1324" i="2"/>
  <c r="R1325" i="2"/>
  <c r="T1325" i="2"/>
  <c r="S1325" i="2"/>
  <c r="R1326" i="2"/>
  <c r="T1326" i="2"/>
  <c r="S1326" i="2"/>
  <c r="R1327" i="2"/>
  <c r="T1327" i="2"/>
  <c r="S1327" i="2"/>
  <c r="R1328" i="2"/>
  <c r="T1328" i="2"/>
  <c r="S1328" i="2"/>
  <c r="R1329" i="2"/>
  <c r="T1329" i="2"/>
  <c r="S1329" i="2"/>
  <c r="R1330" i="2"/>
  <c r="T1330" i="2"/>
  <c r="S1330" i="2"/>
  <c r="R1331" i="2"/>
  <c r="T1331" i="2"/>
  <c r="S1331" i="2"/>
  <c r="R1332" i="2"/>
  <c r="T1332" i="2"/>
  <c r="S1332" i="2"/>
  <c r="R1333" i="2"/>
  <c r="T1333" i="2"/>
  <c r="S1333" i="2"/>
  <c r="R1334" i="2"/>
  <c r="T1334" i="2"/>
  <c r="S1334" i="2"/>
  <c r="R1335" i="2"/>
  <c r="T1335" i="2"/>
  <c r="S1335" i="2"/>
  <c r="R1336" i="2"/>
  <c r="T1336" i="2"/>
  <c r="S1336" i="2"/>
  <c r="R1337" i="2"/>
  <c r="T1337" i="2"/>
  <c r="S1337" i="2"/>
  <c r="R1338" i="2"/>
  <c r="T1338" i="2"/>
  <c r="S1338" i="2"/>
  <c r="R1339" i="2"/>
  <c r="T1339" i="2"/>
  <c r="S1339" i="2"/>
  <c r="R1340" i="2"/>
  <c r="T1340" i="2"/>
  <c r="S1340" i="2"/>
  <c r="R1341" i="2"/>
  <c r="T1341" i="2"/>
  <c r="S1341" i="2"/>
  <c r="R1342" i="2"/>
  <c r="T1342" i="2"/>
  <c r="S1342" i="2"/>
  <c r="R1343" i="2"/>
  <c r="T1343" i="2"/>
  <c r="S1343" i="2"/>
  <c r="R1344" i="2"/>
  <c r="T1344" i="2"/>
  <c r="S1344" i="2"/>
  <c r="R1345" i="2"/>
  <c r="T1345" i="2"/>
  <c r="S1345" i="2"/>
  <c r="R1346" i="2"/>
  <c r="T1346" i="2"/>
  <c r="S1346" i="2"/>
  <c r="R1347" i="2"/>
  <c r="T1347" i="2"/>
  <c r="S1347" i="2"/>
  <c r="R1348" i="2"/>
  <c r="T1348" i="2"/>
  <c r="S1348" i="2"/>
  <c r="R1349" i="2"/>
  <c r="T1349" i="2"/>
  <c r="S1349" i="2"/>
  <c r="R1350" i="2"/>
  <c r="T1350" i="2"/>
  <c r="S1350" i="2"/>
  <c r="R1351" i="2"/>
  <c r="T1351" i="2"/>
  <c r="S1351" i="2"/>
  <c r="R1352" i="2"/>
  <c r="T1352" i="2"/>
  <c r="S1352" i="2"/>
  <c r="R1353" i="2"/>
  <c r="T1353" i="2"/>
  <c r="S1353" i="2"/>
  <c r="R1354" i="2"/>
  <c r="T1354" i="2"/>
  <c r="S1354" i="2"/>
  <c r="R1355" i="2"/>
  <c r="T1355" i="2"/>
  <c r="S1355" i="2"/>
  <c r="R1356" i="2"/>
  <c r="T1356" i="2"/>
  <c r="S1356" i="2"/>
  <c r="R1357" i="2"/>
  <c r="T1357" i="2"/>
  <c r="S1357" i="2"/>
  <c r="R1358" i="2"/>
  <c r="T1358" i="2"/>
  <c r="S1358" i="2"/>
  <c r="R1359" i="2"/>
  <c r="T1359" i="2"/>
  <c r="S1359" i="2"/>
  <c r="R1360" i="2"/>
  <c r="T1360" i="2"/>
  <c r="S1360" i="2"/>
  <c r="R1361" i="2"/>
  <c r="T1361" i="2"/>
  <c r="S1361" i="2"/>
  <c r="R1362" i="2"/>
  <c r="T1362" i="2"/>
  <c r="S1362" i="2"/>
  <c r="R1363" i="2"/>
  <c r="T1363" i="2"/>
  <c r="S1363" i="2"/>
  <c r="R1364" i="2"/>
  <c r="T1364" i="2"/>
  <c r="S1364" i="2"/>
  <c r="R1365" i="2"/>
  <c r="T1365" i="2"/>
  <c r="S1365" i="2"/>
  <c r="R1366" i="2"/>
  <c r="T1366" i="2"/>
  <c r="S1366" i="2"/>
  <c r="R1367" i="2"/>
  <c r="T1367" i="2"/>
  <c r="S1367" i="2"/>
  <c r="R1368" i="2"/>
  <c r="T1368" i="2"/>
  <c r="S1368" i="2"/>
  <c r="R1369" i="2"/>
  <c r="T1369" i="2"/>
  <c r="S1369" i="2"/>
  <c r="R1370" i="2"/>
  <c r="T1370" i="2"/>
  <c r="S1370" i="2"/>
  <c r="R1371" i="2"/>
  <c r="T1371" i="2"/>
  <c r="S1371" i="2"/>
  <c r="R1372" i="2"/>
  <c r="T1372" i="2"/>
  <c r="S1372" i="2"/>
  <c r="R1373" i="2"/>
  <c r="T1373" i="2"/>
  <c r="S1373" i="2"/>
  <c r="R1374" i="2"/>
  <c r="T1374" i="2"/>
  <c r="S1374" i="2"/>
  <c r="R1375" i="2"/>
  <c r="T1375" i="2"/>
  <c r="S1375" i="2"/>
  <c r="R1376" i="2"/>
  <c r="T1376" i="2"/>
  <c r="S1376" i="2"/>
  <c r="R1377" i="2"/>
  <c r="T1377" i="2"/>
  <c r="S1377" i="2"/>
  <c r="R1378" i="2"/>
  <c r="T1378" i="2"/>
  <c r="S1378" i="2"/>
  <c r="R1379" i="2"/>
  <c r="T1379" i="2"/>
  <c r="S1379" i="2"/>
  <c r="R1380" i="2"/>
  <c r="T1380" i="2"/>
  <c r="S1380" i="2"/>
  <c r="R1381" i="2"/>
  <c r="T1381" i="2"/>
  <c r="S1381" i="2"/>
  <c r="R1382" i="2"/>
  <c r="T1382" i="2"/>
  <c r="S1382" i="2"/>
  <c r="R1383" i="2"/>
  <c r="T1383" i="2"/>
  <c r="S1383" i="2"/>
  <c r="R1384" i="2"/>
  <c r="T1384" i="2"/>
  <c r="S1384" i="2"/>
  <c r="R1385" i="2"/>
  <c r="T1385" i="2"/>
  <c r="S1385" i="2"/>
  <c r="R1386" i="2"/>
  <c r="T1386" i="2"/>
  <c r="S1386" i="2"/>
  <c r="R1387" i="2"/>
  <c r="T1387" i="2"/>
  <c r="S1387" i="2"/>
  <c r="R1388" i="2"/>
  <c r="T1388" i="2"/>
  <c r="S1388" i="2"/>
  <c r="R1389" i="2"/>
  <c r="T1389" i="2"/>
  <c r="S1389" i="2"/>
  <c r="R1390" i="2"/>
  <c r="T1390" i="2"/>
  <c r="S1390" i="2"/>
  <c r="R1391" i="2"/>
  <c r="T1391" i="2"/>
  <c r="S1391" i="2"/>
  <c r="R1392" i="2"/>
  <c r="T1392" i="2"/>
  <c r="S1392" i="2"/>
  <c r="R1393" i="2"/>
  <c r="T1393" i="2"/>
  <c r="S1393" i="2"/>
  <c r="R1394" i="2"/>
  <c r="T1394" i="2"/>
  <c r="S1394" i="2"/>
  <c r="R1395" i="2"/>
  <c r="T1395" i="2"/>
  <c r="S1395" i="2"/>
  <c r="R1396" i="2"/>
  <c r="T1396" i="2"/>
  <c r="S1396" i="2"/>
  <c r="R1397" i="2"/>
  <c r="T1397" i="2"/>
  <c r="S1397" i="2"/>
  <c r="R1398" i="2"/>
  <c r="T1398" i="2"/>
  <c r="S1398" i="2"/>
  <c r="R1399" i="2"/>
  <c r="T1399" i="2"/>
  <c r="S1399" i="2"/>
  <c r="R1400" i="2"/>
  <c r="T1400" i="2"/>
  <c r="S1400" i="2"/>
  <c r="R1401" i="2"/>
  <c r="T1401" i="2"/>
  <c r="S1401" i="2"/>
  <c r="R1402" i="2"/>
  <c r="T1402" i="2"/>
  <c r="S1402" i="2"/>
  <c r="R1403" i="2"/>
  <c r="T1403" i="2"/>
  <c r="S1403" i="2"/>
  <c r="R1404" i="2"/>
  <c r="T1404" i="2"/>
  <c r="S1404" i="2"/>
  <c r="R1405" i="2"/>
  <c r="T1405" i="2"/>
  <c r="S1405" i="2"/>
  <c r="R1406" i="2"/>
  <c r="T1406" i="2"/>
  <c r="S1406" i="2"/>
  <c r="R1407" i="2"/>
  <c r="T1407" i="2"/>
  <c r="S1407" i="2"/>
  <c r="R1408" i="2"/>
  <c r="T1408" i="2"/>
  <c r="S1408" i="2"/>
  <c r="R1409" i="2"/>
  <c r="T1409" i="2"/>
  <c r="S1409" i="2"/>
  <c r="R1410" i="2"/>
  <c r="T1410" i="2"/>
  <c r="S1410" i="2"/>
  <c r="R1411" i="2"/>
  <c r="T1411" i="2"/>
  <c r="S1411" i="2"/>
  <c r="R1412" i="2"/>
  <c r="T1412" i="2"/>
  <c r="S1412" i="2"/>
  <c r="R1413" i="2"/>
  <c r="T1413" i="2"/>
  <c r="S1413" i="2"/>
  <c r="R1414" i="2"/>
  <c r="T1414" i="2"/>
  <c r="S1414" i="2"/>
  <c r="R1415" i="2"/>
  <c r="T1415" i="2"/>
  <c r="S1415" i="2"/>
  <c r="R1416" i="2"/>
  <c r="T1416" i="2"/>
  <c r="S1416" i="2"/>
  <c r="R1417" i="2"/>
  <c r="T1417" i="2"/>
  <c r="S1417" i="2"/>
  <c r="R1418" i="2"/>
  <c r="T1418" i="2"/>
  <c r="S1418" i="2"/>
  <c r="R1419" i="2"/>
  <c r="T1419" i="2"/>
  <c r="S1419" i="2"/>
  <c r="R1420" i="2"/>
  <c r="T1420" i="2"/>
  <c r="S1420" i="2"/>
  <c r="R1421" i="2"/>
  <c r="T1421" i="2"/>
  <c r="S1421" i="2"/>
  <c r="R1422" i="2"/>
  <c r="T1422" i="2"/>
  <c r="S1422" i="2"/>
  <c r="R1423" i="2"/>
  <c r="T1423" i="2"/>
  <c r="S1423" i="2"/>
  <c r="R1424" i="2"/>
  <c r="T1424" i="2"/>
  <c r="S1424" i="2"/>
  <c r="R1425" i="2"/>
  <c r="T1425" i="2"/>
  <c r="S1425" i="2"/>
  <c r="R1426" i="2"/>
  <c r="T1426" i="2"/>
  <c r="S1426" i="2"/>
  <c r="R1427" i="2"/>
  <c r="T1427" i="2"/>
  <c r="S1427" i="2"/>
  <c r="R1428" i="2"/>
  <c r="T1428" i="2"/>
  <c r="S1428" i="2"/>
  <c r="R1429" i="2"/>
  <c r="T1429" i="2"/>
  <c r="S1429" i="2"/>
  <c r="R1430" i="2"/>
  <c r="T1430" i="2"/>
  <c r="S1430" i="2"/>
  <c r="R1431" i="2"/>
  <c r="T1431" i="2"/>
  <c r="S1431" i="2"/>
  <c r="R1432" i="2"/>
  <c r="T1432" i="2"/>
  <c r="S1432" i="2"/>
  <c r="R1433" i="2"/>
  <c r="T1433" i="2"/>
  <c r="S1433" i="2"/>
  <c r="R1434" i="2"/>
  <c r="T1434" i="2"/>
  <c r="S1434" i="2"/>
  <c r="R1435" i="2"/>
  <c r="T1435" i="2"/>
  <c r="S1435" i="2"/>
  <c r="R1436" i="2"/>
  <c r="T1436" i="2"/>
  <c r="S1436" i="2"/>
  <c r="R1437" i="2"/>
  <c r="T1437" i="2"/>
  <c r="S1437" i="2"/>
  <c r="R1438" i="2"/>
  <c r="T1438" i="2"/>
  <c r="S1438" i="2"/>
  <c r="R1439" i="2"/>
  <c r="T1439" i="2"/>
  <c r="S1439" i="2"/>
  <c r="R1440" i="2"/>
  <c r="T1440" i="2"/>
  <c r="S1440" i="2"/>
  <c r="R1441" i="2"/>
  <c r="T1441" i="2"/>
  <c r="S1441" i="2"/>
  <c r="R1442" i="2"/>
  <c r="T1442" i="2"/>
  <c r="S1442" i="2"/>
  <c r="R1443" i="2"/>
  <c r="T1443" i="2"/>
  <c r="S1443" i="2"/>
  <c r="R1444" i="2"/>
  <c r="T1444" i="2"/>
  <c r="S1444" i="2"/>
  <c r="R1445" i="2"/>
  <c r="T1445" i="2"/>
  <c r="S1445" i="2"/>
  <c r="R1446" i="2"/>
  <c r="T1446" i="2"/>
  <c r="S1446" i="2"/>
  <c r="R1447" i="2"/>
  <c r="T1447" i="2"/>
  <c r="S1447" i="2"/>
  <c r="R1448" i="2"/>
  <c r="T1448" i="2"/>
  <c r="S1448" i="2"/>
  <c r="R1449" i="2"/>
  <c r="T1449" i="2"/>
  <c r="S1449" i="2"/>
  <c r="R1450" i="2"/>
  <c r="T1450" i="2"/>
  <c r="S1450" i="2"/>
  <c r="R1451" i="2"/>
  <c r="T1451" i="2"/>
  <c r="S1451" i="2"/>
  <c r="R1452" i="2"/>
  <c r="T1452" i="2"/>
  <c r="S1452" i="2"/>
  <c r="R1453" i="2"/>
  <c r="T1453" i="2"/>
  <c r="S1453" i="2"/>
  <c r="R1454" i="2"/>
  <c r="T1454" i="2"/>
  <c r="S1454" i="2"/>
  <c r="R1455" i="2"/>
  <c r="T1455" i="2"/>
  <c r="S1455" i="2"/>
  <c r="R1456" i="2"/>
  <c r="T1456" i="2"/>
  <c r="S1456" i="2"/>
  <c r="R1457" i="2"/>
  <c r="T1457" i="2"/>
  <c r="S1457" i="2"/>
  <c r="R1458" i="2"/>
  <c r="T1458" i="2"/>
  <c r="S1458" i="2"/>
  <c r="R1459" i="2"/>
  <c r="T1459" i="2"/>
  <c r="S1459" i="2"/>
  <c r="R1460" i="2"/>
  <c r="T1460" i="2"/>
  <c r="S1460" i="2"/>
  <c r="R1461" i="2"/>
  <c r="T1461" i="2"/>
  <c r="S1461" i="2"/>
  <c r="R1462" i="2"/>
  <c r="T1462" i="2"/>
  <c r="S1462" i="2"/>
  <c r="R1463" i="2"/>
  <c r="T1463" i="2"/>
  <c r="S1463" i="2"/>
  <c r="R1464" i="2"/>
  <c r="T1464" i="2"/>
  <c r="S1464" i="2"/>
  <c r="R1465" i="2"/>
  <c r="T1465" i="2"/>
  <c r="S1465" i="2"/>
  <c r="R1466" i="2"/>
  <c r="T1466" i="2"/>
  <c r="S1466" i="2"/>
  <c r="R1467" i="2"/>
  <c r="T1467" i="2"/>
  <c r="S1467" i="2"/>
  <c r="R1468" i="2"/>
  <c r="T1468" i="2"/>
  <c r="S1468" i="2"/>
  <c r="R1469" i="2"/>
  <c r="T1469" i="2"/>
  <c r="S1469" i="2"/>
  <c r="R1470" i="2"/>
  <c r="T1470" i="2"/>
  <c r="S1470" i="2"/>
  <c r="R1471" i="2"/>
  <c r="T1471" i="2"/>
  <c r="S1471" i="2"/>
  <c r="R1472" i="2"/>
  <c r="T1472" i="2"/>
  <c r="S1472" i="2"/>
  <c r="R1473" i="2"/>
  <c r="T1473" i="2"/>
  <c r="S1473" i="2"/>
  <c r="R1474" i="2"/>
  <c r="T1474" i="2"/>
  <c r="S1474" i="2"/>
  <c r="R1475" i="2"/>
  <c r="T1475" i="2"/>
  <c r="S1475" i="2"/>
  <c r="R1476" i="2"/>
  <c r="T1476" i="2"/>
  <c r="S1476" i="2"/>
  <c r="R1477" i="2"/>
  <c r="T1477" i="2"/>
  <c r="S1477" i="2"/>
  <c r="R1478" i="2"/>
  <c r="T1478" i="2"/>
  <c r="S1478" i="2"/>
  <c r="R1479" i="2"/>
  <c r="T1479" i="2"/>
  <c r="S1479" i="2"/>
  <c r="R1480" i="2"/>
  <c r="T1480" i="2"/>
  <c r="S1480" i="2"/>
  <c r="R1481" i="2"/>
  <c r="T1481" i="2"/>
  <c r="S1481" i="2"/>
  <c r="R1482" i="2"/>
  <c r="T1482" i="2"/>
  <c r="S1482" i="2"/>
  <c r="R1483" i="2"/>
  <c r="T1483" i="2"/>
  <c r="S1483" i="2"/>
  <c r="R1484" i="2"/>
  <c r="T1484" i="2"/>
  <c r="S1484" i="2"/>
  <c r="R1485" i="2"/>
  <c r="T1485" i="2"/>
  <c r="S1485" i="2"/>
  <c r="R1486" i="2"/>
  <c r="T1486" i="2"/>
  <c r="S1486" i="2"/>
  <c r="R1487" i="2"/>
  <c r="T1487" i="2"/>
  <c r="S1487" i="2"/>
  <c r="R1488" i="2"/>
  <c r="T1488" i="2"/>
  <c r="S1488" i="2"/>
  <c r="R1489" i="2"/>
  <c r="T1489" i="2"/>
  <c r="S1489" i="2"/>
  <c r="R1490" i="2"/>
  <c r="T1490" i="2"/>
  <c r="S1490" i="2"/>
  <c r="R1491" i="2"/>
  <c r="T1491" i="2"/>
  <c r="S1491" i="2"/>
  <c r="R1492" i="2"/>
  <c r="T1492" i="2"/>
  <c r="S1492" i="2"/>
  <c r="R1493" i="2"/>
  <c r="T1493" i="2"/>
  <c r="S1493" i="2"/>
  <c r="R1494" i="2"/>
  <c r="T1494" i="2"/>
  <c r="S1494" i="2"/>
  <c r="R1495" i="2"/>
  <c r="T1495" i="2"/>
  <c r="S1495" i="2"/>
  <c r="R1496" i="2"/>
  <c r="T1496" i="2"/>
  <c r="S1496" i="2"/>
  <c r="R1497" i="2"/>
  <c r="T1497" i="2"/>
  <c r="S1497" i="2"/>
  <c r="R1498" i="2"/>
  <c r="T1498" i="2"/>
  <c r="S1498" i="2"/>
  <c r="R1499" i="2"/>
  <c r="T1499" i="2"/>
  <c r="S1499" i="2"/>
  <c r="R1500" i="2"/>
  <c r="T1500" i="2"/>
  <c r="S1500" i="2"/>
  <c r="R1501" i="2"/>
  <c r="T1501" i="2"/>
  <c r="S1501" i="2"/>
  <c r="R1502" i="2"/>
  <c r="T1502" i="2"/>
  <c r="S1502" i="2"/>
  <c r="R1503" i="2"/>
  <c r="T1503" i="2"/>
  <c r="S1503" i="2"/>
  <c r="R1504" i="2"/>
  <c r="T1504" i="2"/>
  <c r="S1504" i="2"/>
  <c r="R1505" i="2"/>
  <c r="T1505" i="2"/>
  <c r="S1505" i="2"/>
  <c r="R1506" i="2"/>
  <c r="T1506" i="2"/>
  <c r="S1506" i="2"/>
  <c r="R1507" i="2"/>
  <c r="T1507" i="2"/>
  <c r="S1507" i="2"/>
  <c r="R1508" i="2"/>
  <c r="T1508" i="2"/>
  <c r="S1508" i="2"/>
  <c r="R1509" i="2"/>
  <c r="T1509" i="2"/>
  <c r="S1509" i="2"/>
  <c r="R1510" i="2"/>
  <c r="T1510" i="2"/>
  <c r="S1510" i="2"/>
  <c r="R1511" i="2"/>
  <c r="T1511" i="2"/>
  <c r="S1511" i="2"/>
  <c r="R1512" i="2"/>
  <c r="T1512" i="2"/>
  <c r="S1512" i="2"/>
  <c r="R1513" i="2"/>
  <c r="T1513" i="2"/>
  <c r="S1513" i="2"/>
  <c r="R1514" i="2"/>
  <c r="T1514" i="2"/>
  <c r="S1514" i="2"/>
  <c r="R1515" i="2"/>
  <c r="T1515" i="2"/>
  <c r="S1515" i="2"/>
  <c r="R1516" i="2"/>
  <c r="T1516" i="2"/>
  <c r="S1516" i="2"/>
  <c r="R1517" i="2"/>
  <c r="T1517" i="2"/>
  <c r="S1517" i="2"/>
  <c r="R1518" i="2"/>
  <c r="T1518" i="2"/>
  <c r="S1518" i="2"/>
  <c r="R1519" i="2"/>
  <c r="T1519" i="2"/>
  <c r="S1519" i="2"/>
  <c r="R1520" i="2"/>
  <c r="T1520" i="2"/>
  <c r="S1520" i="2"/>
  <c r="R1521" i="2"/>
  <c r="T1521" i="2"/>
  <c r="S1521" i="2"/>
  <c r="R1522" i="2"/>
  <c r="T1522" i="2"/>
  <c r="S1522" i="2"/>
  <c r="R1523" i="2"/>
  <c r="T1523" i="2"/>
  <c r="S1523" i="2"/>
  <c r="R1524" i="2"/>
  <c r="T1524" i="2"/>
  <c r="S1524" i="2"/>
  <c r="R1525" i="2"/>
  <c r="T1525" i="2"/>
  <c r="S1525" i="2"/>
  <c r="R1526" i="2"/>
  <c r="T1526" i="2"/>
  <c r="S1526" i="2"/>
  <c r="R1527" i="2"/>
  <c r="T1527" i="2"/>
  <c r="S1527" i="2"/>
  <c r="R1528" i="2"/>
  <c r="T1528" i="2"/>
  <c r="S1528" i="2"/>
  <c r="R1529" i="2"/>
  <c r="T1529" i="2"/>
  <c r="S1529" i="2"/>
  <c r="R1530" i="2"/>
  <c r="T1530" i="2"/>
  <c r="S1530" i="2"/>
  <c r="R1531" i="2"/>
  <c r="T1531" i="2"/>
  <c r="S1531" i="2"/>
  <c r="R1532" i="2"/>
  <c r="T1532" i="2"/>
  <c r="S1532" i="2"/>
  <c r="R1533" i="2"/>
  <c r="T1533" i="2"/>
  <c r="S1533" i="2"/>
  <c r="R1534" i="2"/>
  <c r="T1534" i="2"/>
  <c r="S1534" i="2"/>
  <c r="R1535" i="2"/>
  <c r="T1535" i="2"/>
  <c r="S1535" i="2"/>
  <c r="R1536" i="2"/>
  <c r="T1536" i="2"/>
  <c r="S1536" i="2"/>
  <c r="R1537" i="2"/>
  <c r="T1537" i="2"/>
  <c r="S1537" i="2"/>
  <c r="R1538" i="2"/>
  <c r="T1538" i="2"/>
  <c r="S1538" i="2"/>
  <c r="R1539" i="2"/>
  <c r="T1539" i="2"/>
  <c r="S1539" i="2"/>
  <c r="R1540" i="2"/>
  <c r="T1540" i="2"/>
  <c r="S1540" i="2"/>
  <c r="R1541" i="2"/>
  <c r="T1541" i="2"/>
  <c r="S1541" i="2"/>
  <c r="R1542" i="2"/>
  <c r="T1542" i="2"/>
  <c r="S1542" i="2"/>
  <c r="R1543" i="2"/>
  <c r="T1543" i="2"/>
  <c r="S1543" i="2"/>
  <c r="R1544" i="2"/>
  <c r="T1544" i="2"/>
  <c r="S1544" i="2"/>
  <c r="R1545" i="2"/>
  <c r="T1545" i="2"/>
  <c r="S1545" i="2"/>
  <c r="R1546" i="2"/>
  <c r="T1546" i="2"/>
  <c r="S1546" i="2"/>
  <c r="R1547" i="2"/>
  <c r="T1547" i="2"/>
  <c r="S1547" i="2"/>
  <c r="R1548" i="2"/>
  <c r="T1548" i="2"/>
  <c r="S1548" i="2"/>
  <c r="R1549" i="2"/>
  <c r="T1549" i="2"/>
  <c r="S1549" i="2"/>
  <c r="R1550" i="2"/>
  <c r="T1550" i="2"/>
  <c r="S1550" i="2"/>
  <c r="R1551" i="2"/>
  <c r="T1551" i="2"/>
  <c r="S1551" i="2"/>
  <c r="R1552" i="2"/>
  <c r="T1552" i="2"/>
  <c r="S1552" i="2"/>
  <c r="R1553" i="2"/>
  <c r="T1553" i="2"/>
  <c r="S1553" i="2"/>
  <c r="R1554" i="2"/>
  <c r="T1554" i="2"/>
  <c r="S1554" i="2"/>
  <c r="R1555" i="2"/>
  <c r="T1555" i="2"/>
  <c r="S1555" i="2"/>
  <c r="R1556" i="2"/>
  <c r="T1556" i="2"/>
  <c r="S1556" i="2"/>
  <c r="R1557" i="2"/>
  <c r="T1557" i="2"/>
  <c r="S1557" i="2"/>
  <c r="R1558" i="2"/>
  <c r="T1558" i="2"/>
  <c r="S1558" i="2"/>
  <c r="R1559" i="2"/>
  <c r="T1559" i="2"/>
  <c r="S1559" i="2"/>
  <c r="R1560" i="2"/>
  <c r="T1560" i="2"/>
  <c r="S1560" i="2"/>
  <c r="R1561" i="2"/>
  <c r="T1561" i="2"/>
  <c r="S1561" i="2"/>
  <c r="R1562" i="2"/>
  <c r="T1562" i="2"/>
  <c r="S1562" i="2"/>
  <c r="R1563" i="2"/>
  <c r="T1563" i="2"/>
  <c r="S1563" i="2"/>
  <c r="R1564" i="2"/>
  <c r="T1564" i="2"/>
  <c r="S1564" i="2"/>
  <c r="R1565" i="2"/>
  <c r="T1565" i="2"/>
  <c r="S1565" i="2"/>
  <c r="R1566" i="2"/>
  <c r="T1566" i="2"/>
  <c r="S1566" i="2"/>
  <c r="R1567" i="2"/>
  <c r="T1567" i="2"/>
  <c r="S1567" i="2"/>
  <c r="R1568" i="2"/>
  <c r="T1568" i="2"/>
  <c r="S1568" i="2"/>
  <c r="R1569" i="2"/>
  <c r="T1569" i="2"/>
  <c r="S1569" i="2"/>
  <c r="R1570" i="2"/>
  <c r="T1570" i="2"/>
  <c r="S1570" i="2"/>
  <c r="R1571" i="2"/>
  <c r="T1571" i="2"/>
  <c r="S1571" i="2"/>
  <c r="R1572" i="2"/>
  <c r="T1572" i="2"/>
  <c r="S1572" i="2"/>
  <c r="R1573" i="2"/>
  <c r="T1573" i="2"/>
  <c r="S1573" i="2"/>
  <c r="R1574" i="2"/>
  <c r="T1574" i="2"/>
  <c r="S1574" i="2"/>
  <c r="R1575" i="2"/>
  <c r="T1575" i="2"/>
  <c r="S1575" i="2"/>
  <c r="R1576" i="2"/>
  <c r="T1576" i="2"/>
  <c r="S1576" i="2"/>
  <c r="R1577" i="2"/>
  <c r="T1577" i="2"/>
  <c r="S1577" i="2"/>
  <c r="R1578" i="2"/>
  <c r="T1578" i="2"/>
  <c r="S1578" i="2"/>
  <c r="R1579" i="2"/>
  <c r="T1579" i="2"/>
  <c r="S1579" i="2"/>
  <c r="R1580" i="2"/>
  <c r="T1580" i="2"/>
  <c r="S1580" i="2"/>
  <c r="R1581" i="2"/>
  <c r="T1581" i="2"/>
  <c r="S1581" i="2"/>
  <c r="R1582" i="2"/>
  <c r="T1582" i="2"/>
  <c r="S1582" i="2"/>
  <c r="R1583" i="2"/>
  <c r="T1583" i="2"/>
  <c r="S1583" i="2"/>
  <c r="R1584" i="2"/>
  <c r="T1584" i="2"/>
  <c r="S1584" i="2"/>
  <c r="R1585" i="2"/>
  <c r="T1585" i="2"/>
  <c r="S1585" i="2"/>
  <c r="R1586" i="2"/>
  <c r="T1586" i="2"/>
  <c r="S1586" i="2"/>
  <c r="R1587" i="2"/>
  <c r="T1587" i="2"/>
  <c r="S1587" i="2"/>
  <c r="R1588" i="2"/>
  <c r="T1588" i="2"/>
  <c r="S1588" i="2"/>
  <c r="R1589" i="2"/>
  <c r="T1589" i="2"/>
  <c r="S1589" i="2"/>
  <c r="R1590" i="2"/>
  <c r="T1590" i="2"/>
  <c r="S1590" i="2"/>
  <c r="R1591" i="2"/>
  <c r="T1591" i="2"/>
  <c r="S1591" i="2"/>
  <c r="R1592" i="2"/>
  <c r="T1592" i="2"/>
  <c r="S1592" i="2"/>
  <c r="R1593" i="2"/>
  <c r="T1593" i="2"/>
  <c r="S1593" i="2"/>
  <c r="R1594" i="2"/>
  <c r="T1594" i="2"/>
  <c r="S1594" i="2"/>
  <c r="R1595" i="2"/>
  <c r="T1595" i="2"/>
  <c r="S1595" i="2"/>
  <c r="R1596" i="2"/>
  <c r="T1596" i="2"/>
  <c r="S1596" i="2"/>
  <c r="R1597" i="2"/>
  <c r="T1597" i="2"/>
  <c r="S1597" i="2"/>
  <c r="R1598" i="2"/>
  <c r="T1598" i="2"/>
  <c r="S1598" i="2"/>
  <c r="R1599" i="2"/>
  <c r="T1599" i="2"/>
  <c r="S1599" i="2"/>
  <c r="R1600" i="2"/>
  <c r="T1600" i="2"/>
  <c r="S1600" i="2"/>
  <c r="R1601" i="2"/>
  <c r="T1601" i="2"/>
  <c r="S1601" i="2"/>
  <c r="R1602" i="2"/>
  <c r="T1602" i="2"/>
  <c r="S1602" i="2"/>
  <c r="R1603" i="2"/>
  <c r="T1603" i="2"/>
  <c r="S1603" i="2"/>
  <c r="R1604" i="2"/>
  <c r="T1604" i="2"/>
  <c r="S1604" i="2"/>
  <c r="R1605" i="2"/>
  <c r="T1605" i="2"/>
  <c r="S1605" i="2"/>
  <c r="R1606" i="2"/>
  <c r="T1606" i="2"/>
  <c r="S1606" i="2"/>
  <c r="R1607" i="2"/>
  <c r="T1607" i="2"/>
  <c r="S1607" i="2"/>
  <c r="R1608" i="2"/>
  <c r="T1608" i="2"/>
  <c r="S1608" i="2"/>
  <c r="R1609" i="2"/>
  <c r="T1609" i="2"/>
  <c r="S1609" i="2"/>
  <c r="R1610" i="2"/>
  <c r="T1610" i="2"/>
  <c r="S1610" i="2"/>
  <c r="R1611" i="2"/>
  <c r="T1611" i="2"/>
  <c r="S1611" i="2"/>
  <c r="R1612" i="2"/>
  <c r="T1612" i="2"/>
  <c r="S1612" i="2"/>
  <c r="R1613" i="2"/>
  <c r="T1613" i="2"/>
  <c r="S1613" i="2"/>
  <c r="R1614" i="2"/>
  <c r="T1614" i="2"/>
  <c r="S1614" i="2"/>
  <c r="R1615" i="2"/>
  <c r="T1615" i="2"/>
  <c r="S1615" i="2"/>
  <c r="R1616" i="2"/>
  <c r="T1616" i="2"/>
  <c r="S1616" i="2"/>
  <c r="R1617" i="2"/>
  <c r="T1617" i="2"/>
  <c r="S1617" i="2"/>
  <c r="R1618" i="2"/>
  <c r="T1618" i="2"/>
  <c r="S1618" i="2"/>
  <c r="R1619" i="2"/>
  <c r="T1619" i="2"/>
  <c r="S1619" i="2"/>
  <c r="R1620" i="2"/>
  <c r="T1620" i="2"/>
  <c r="S1620" i="2"/>
  <c r="R1621" i="2"/>
  <c r="T1621" i="2"/>
  <c r="S1621" i="2"/>
  <c r="R1622" i="2"/>
  <c r="T1622" i="2"/>
  <c r="S1622" i="2"/>
  <c r="R1623" i="2"/>
  <c r="T1623" i="2"/>
  <c r="S1623" i="2"/>
  <c r="R1624" i="2"/>
  <c r="T1624" i="2"/>
  <c r="S1624" i="2"/>
  <c r="R1625" i="2"/>
  <c r="T1625" i="2"/>
  <c r="S1625" i="2"/>
  <c r="R1626" i="2"/>
  <c r="T1626" i="2"/>
  <c r="S1626" i="2"/>
  <c r="R1627" i="2"/>
  <c r="T1627" i="2"/>
  <c r="S1627" i="2"/>
  <c r="R1628" i="2"/>
  <c r="T1628" i="2"/>
  <c r="S1628" i="2"/>
  <c r="R1629" i="2"/>
  <c r="T1629" i="2"/>
  <c r="S1629" i="2"/>
  <c r="R1630" i="2"/>
  <c r="T1630" i="2"/>
  <c r="S1630" i="2"/>
  <c r="R1631" i="2"/>
  <c r="T1631" i="2"/>
  <c r="S1631" i="2"/>
  <c r="R1632" i="2"/>
  <c r="T1632" i="2"/>
  <c r="S1632" i="2"/>
  <c r="R1633" i="2"/>
  <c r="T1633" i="2"/>
  <c r="S1633" i="2"/>
  <c r="R1634" i="2"/>
  <c r="T1634" i="2"/>
  <c r="S1634" i="2"/>
  <c r="R1635" i="2"/>
  <c r="T1635" i="2"/>
  <c r="S1635" i="2"/>
  <c r="R1636" i="2"/>
  <c r="T1636" i="2"/>
  <c r="S1636" i="2"/>
  <c r="R1637" i="2"/>
  <c r="T1637" i="2"/>
  <c r="S1637" i="2"/>
  <c r="R1638" i="2"/>
  <c r="T1638" i="2"/>
  <c r="S1638" i="2"/>
  <c r="R1639" i="2"/>
  <c r="T1639" i="2"/>
  <c r="S1639" i="2"/>
  <c r="R1640" i="2"/>
  <c r="T1640" i="2"/>
  <c r="S1640" i="2"/>
  <c r="R1641" i="2"/>
  <c r="T1641" i="2"/>
  <c r="S1641" i="2"/>
  <c r="R1642" i="2"/>
  <c r="T1642" i="2"/>
  <c r="S1642" i="2"/>
  <c r="R1643" i="2"/>
  <c r="T1643" i="2"/>
  <c r="S1643" i="2"/>
  <c r="R1644" i="2"/>
  <c r="T1644" i="2"/>
  <c r="S1644" i="2"/>
  <c r="R1645" i="2"/>
  <c r="T1645" i="2"/>
  <c r="S1645" i="2"/>
  <c r="R1646" i="2"/>
  <c r="T1646" i="2"/>
  <c r="S1646" i="2"/>
  <c r="R1647" i="2"/>
  <c r="T1647" i="2"/>
  <c r="S1647" i="2"/>
  <c r="R1648" i="2"/>
  <c r="T1648" i="2"/>
  <c r="S1648" i="2"/>
  <c r="R1649" i="2"/>
  <c r="T1649" i="2"/>
  <c r="S1649" i="2"/>
  <c r="R1650" i="2"/>
  <c r="T1650" i="2"/>
  <c r="S1650" i="2"/>
  <c r="R1651" i="2"/>
  <c r="T1651" i="2"/>
  <c r="S1651" i="2"/>
  <c r="R1652" i="2"/>
  <c r="T1652" i="2"/>
  <c r="S1652" i="2"/>
  <c r="R1653" i="2"/>
  <c r="T1653" i="2"/>
  <c r="S1653" i="2"/>
  <c r="R1654" i="2"/>
  <c r="T1654" i="2"/>
  <c r="S1654" i="2"/>
  <c r="R1655" i="2"/>
  <c r="T1655" i="2"/>
  <c r="S1655" i="2"/>
  <c r="R1656" i="2"/>
  <c r="T1656" i="2"/>
  <c r="S1656" i="2"/>
  <c r="R1657" i="2"/>
  <c r="T1657" i="2"/>
  <c r="S1657" i="2"/>
  <c r="R1658" i="2"/>
  <c r="T1658" i="2"/>
  <c r="S1658" i="2"/>
  <c r="R1659" i="2"/>
  <c r="T1659" i="2"/>
  <c r="S1659" i="2"/>
  <c r="R1660" i="2"/>
  <c r="T1660" i="2"/>
  <c r="S1660" i="2"/>
  <c r="R1661" i="2"/>
  <c r="T1661" i="2"/>
  <c r="S1661" i="2"/>
  <c r="R1662" i="2"/>
  <c r="T1662" i="2"/>
  <c r="S1662" i="2"/>
  <c r="R1663" i="2"/>
  <c r="T1663" i="2"/>
  <c r="S1663" i="2"/>
  <c r="R1664" i="2"/>
  <c r="T1664" i="2"/>
  <c r="S1664" i="2"/>
  <c r="R1665" i="2"/>
  <c r="T1665" i="2"/>
  <c r="S1665" i="2"/>
  <c r="R1666" i="2"/>
  <c r="T1666" i="2"/>
  <c r="S1666" i="2"/>
  <c r="R1667" i="2"/>
  <c r="T1667" i="2"/>
  <c r="S1667" i="2"/>
  <c r="R1668" i="2"/>
  <c r="T1668" i="2"/>
  <c r="S1668" i="2"/>
  <c r="R1669" i="2"/>
  <c r="T1669" i="2"/>
  <c r="S1669" i="2"/>
  <c r="R1670" i="2"/>
  <c r="T1670" i="2"/>
  <c r="S1670" i="2"/>
  <c r="R1671" i="2"/>
  <c r="T1671" i="2"/>
  <c r="S1671" i="2"/>
  <c r="R1672" i="2"/>
  <c r="T1672" i="2"/>
  <c r="S1672" i="2"/>
  <c r="R1673" i="2"/>
  <c r="T1673" i="2"/>
  <c r="S1673" i="2"/>
  <c r="R1674" i="2"/>
  <c r="T1674" i="2"/>
  <c r="S1674" i="2"/>
  <c r="R1675" i="2"/>
  <c r="T1675" i="2"/>
  <c r="S1675" i="2"/>
  <c r="R1676" i="2"/>
  <c r="T1676" i="2"/>
  <c r="S1676" i="2"/>
  <c r="R1677" i="2"/>
  <c r="T1677" i="2"/>
  <c r="S1677" i="2"/>
  <c r="R1678" i="2"/>
  <c r="T1678" i="2"/>
  <c r="S1678" i="2"/>
  <c r="R1679" i="2"/>
  <c r="T1679" i="2"/>
  <c r="S1679" i="2"/>
  <c r="R1680" i="2"/>
  <c r="T1680" i="2"/>
  <c r="S1680" i="2"/>
  <c r="R1681" i="2"/>
  <c r="T1681" i="2"/>
  <c r="S1681" i="2"/>
  <c r="R1682" i="2"/>
  <c r="T1682" i="2"/>
  <c r="S1682" i="2"/>
  <c r="R1683" i="2"/>
  <c r="T1683" i="2"/>
  <c r="S1683" i="2"/>
  <c r="R1684" i="2"/>
  <c r="T1684" i="2"/>
  <c r="S1684" i="2"/>
  <c r="R1685" i="2"/>
  <c r="T1685" i="2"/>
  <c r="S1685" i="2"/>
  <c r="R1686" i="2"/>
  <c r="T1686" i="2"/>
  <c r="S1686" i="2"/>
  <c r="R1687" i="2"/>
  <c r="T1687" i="2"/>
  <c r="S1687" i="2"/>
  <c r="R1688" i="2"/>
  <c r="T1688" i="2"/>
  <c r="S1688" i="2"/>
  <c r="R1689" i="2"/>
  <c r="T1689" i="2"/>
  <c r="S1689" i="2"/>
  <c r="R1690" i="2"/>
  <c r="T1690" i="2"/>
  <c r="S1690" i="2"/>
  <c r="R1691" i="2"/>
  <c r="T1691" i="2"/>
  <c r="S1691" i="2"/>
  <c r="R1692" i="2"/>
  <c r="T1692" i="2"/>
  <c r="S1692" i="2"/>
  <c r="R1693" i="2"/>
  <c r="T1693" i="2"/>
  <c r="S1693" i="2"/>
  <c r="R1694" i="2"/>
  <c r="T1694" i="2"/>
  <c r="S1694" i="2"/>
  <c r="R1695" i="2"/>
  <c r="T1695" i="2"/>
  <c r="S1695" i="2"/>
  <c r="R1696" i="2"/>
  <c r="T1696" i="2"/>
  <c r="S1696" i="2"/>
  <c r="R1697" i="2"/>
  <c r="T1697" i="2"/>
  <c r="S1697" i="2"/>
  <c r="R1698" i="2"/>
  <c r="T1698" i="2"/>
  <c r="S1698" i="2"/>
  <c r="R1699" i="2"/>
  <c r="T1699" i="2"/>
  <c r="S1699" i="2"/>
  <c r="R1700" i="2"/>
  <c r="T1700" i="2"/>
  <c r="S1700" i="2"/>
  <c r="R1701" i="2"/>
  <c r="T1701" i="2"/>
  <c r="S1701" i="2"/>
  <c r="R1702" i="2"/>
  <c r="T1702" i="2"/>
  <c r="S1702" i="2"/>
  <c r="R1703" i="2"/>
  <c r="T1703" i="2"/>
  <c r="S1703" i="2"/>
  <c r="R1704" i="2"/>
  <c r="T1704" i="2"/>
  <c r="S1704" i="2"/>
  <c r="R1705" i="2"/>
  <c r="T1705" i="2"/>
  <c r="S1705" i="2"/>
  <c r="R1706" i="2"/>
  <c r="T1706" i="2"/>
  <c r="S1706" i="2"/>
  <c r="R1707" i="2"/>
  <c r="T1707" i="2"/>
  <c r="S1707" i="2"/>
  <c r="R1708" i="2"/>
  <c r="T1708" i="2"/>
  <c r="S1708" i="2"/>
  <c r="R1709" i="2"/>
  <c r="T1709" i="2"/>
  <c r="S1709" i="2"/>
  <c r="R1710" i="2"/>
  <c r="T1710" i="2"/>
  <c r="S1710" i="2"/>
  <c r="R1711" i="2"/>
  <c r="T1711" i="2"/>
  <c r="S1711" i="2"/>
  <c r="R1712" i="2"/>
  <c r="T1712" i="2"/>
  <c r="S1712" i="2"/>
  <c r="R1713" i="2"/>
  <c r="T1713" i="2"/>
  <c r="S1713" i="2"/>
  <c r="R1714" i="2"/>
  <c r="T1714" i="2"/>
  <c r="S1714" i="2"/>
  <c r="R1715" i="2"/>
  <c r="T1715" i="2"/>
  <c r="S1715" i="2"/>
  <c r="R1716" i="2"/>
  <c r="T1716" i="2"/>
  <c r="S1716" i="2"/>
  <c r="R1717" i="2"/>
  <c r="T1717" i="2"/>
  <c r="S1717" i="2"/>
  <c r="R1718" i="2"/>
  <c r="T1718" i="2"/>
  <c r="S1718" i="2"/>
  <c r="R1719" i="2"/>
  <c r="T1719" i="2"/>
  <c r="S1719" i="2"/>
  <c r="R1720" i="2"/>
  <c r="T1720" i="2"/>
  <c r="S1720" i="2"/>
  <c r="R1721" i="2"/>
  <c r="T1721" i="2"/>
  <c r="S1721" i="2"/>
  <c r="R1722" i="2"/>
  <c r="T1722" i="2"/>
  <c r="S1722" i="2"/>
  <c r="R1723" i="2"/>
  <c r="T1723" i="2"/>
  <c r="S1723" i="2"/>
  <c r="R1724" i="2"/>
  <c r="T1724" i="2"/>
  <c r="S1724" i="2"/>
  <c r="R1725" i="2"/>
  <c r="T1725" i="2"/>
  <c r="S1725" i="2"/>
  <c r="R1726" i="2"/>
  <c r="T1726" i="2"/>
  <c r="S1726" i="2"/>
  <c r="R1727" i="2"/>
  <c r="T1727" i="2"/>
  <c r="S1727" i="2"/>
  <c r="R1728" i="2"/>
  <c r="T1728" i="2"/>
  <c r="S1728" i="2"/>
  <c r="R1729" i="2"/>
  <c r="T1729" i="2"/>
  <c r="S1729" i="2"/>
  <c r="R1730" i="2"/>
  <c r="T1730" i="2"/>
  <c r="S1730" i="2"/>
  <c r="R1731" i="2"/>
  <c r="T1731" i="2"/>
  <c r="S1731" i="2"/>
  <c r="R1732" i="2"/>
  <c r="T1732" i="2"/>
  <c r="S1732" i="2"/>
  <c r="R1733" i="2"/>
  <c r="T1733" i="2"/>
  <c r="S1733" i="2"/>
  <c r="R1734" i="2"/>
  <c r="T1734" i="2"/>
  <c r="S1734" i="2"/>
  <c r="R1735" i="2"/>
  <c r="T1735" i="2"/>
  <c r="S1735" i="2"/>
  <c r="R1736" i="2"/>
  <c r="T1736" i="2"/>
  <c r="S1736" i="2"/>
  <c r="R1737" i="2"/>
  <c r="T1737" i="2"/>
  <c r="S1737" i="2"/>
  <c r="R1738" i="2"/>
  <c r="T1738" i="2"/>
  <c r="S1738" i="2"/>
  <c r="R1739" i="2"/>
  <c r="T1739" i="2"/>
  <c r="S1739" i="2"/>
  <c r="R1740" i="2"/>
  <c r="T1740" i="2"/>
  <c r="S1740" i="2"/>
  <c r="R1741" i="2"/>
  <c r="T1741" i="2"/>
  <c r="S1741" i="2"/>
  <c r="R1742" i="2"/>
  <c r="T1742" i="2"/>
  <c r="S1742" i="2"/>
  <c r="R1743" i="2"/>
  <c r="T1743" i="2"/>
  <c r="S1743" i="2"/>
  <c r="R1744" i="2"/>
  <c r="T1744" i="2"/>
  <c r="S1744" i="2"/>
  <c r="R1745" i="2"/>
  <c r="T1745" i="2"/>
  <c r="S1745" i="2"/>
  <c r="R1746" i="2"/>
  <c r="T1746" i="2"/>
  <c r="S1746" i="2"/>
  <c r="R1747" i="2"/>
  <c r="T1747" i="2"/>
  <c r="S1747" i="2"/>
  <c r="R1748" i="2"/>
  <c r="T1748" i="2"/>
  <c r="S1748" i="2"/>
  <c r="R1749" i="2"/>
  <c r="T1749" i="2"/>
  <c r="S1749" i="2"/>
  <c r="R1750" i="2"/>
  <c r="T1750" i="2"/>
  <c r="S1750" i="2"/>
  <c r="R1751" i="2"/>
  <c r="T1751" i="2"/>
  <c r="S1751" i="2"/>
  <c r="R1752" i="2"/>
  <c r="T1752" i="2"/>
  <c r="S1752" i="2"/>
  <c r="R1753" i="2"/>
  <c r="T1753" i="2"/>
  <c r="S1753" i="2"/>
  <c r="R1754" i="2"/>
  <c r="T1754" i="2"/>
  <c r="S1754" i="2"/>
  <c r="R1755" i="2"/>
  <c r="T1755" i="2"/>
  <c r="S1755" i="2"/>
  <c r="R1756" i="2"/>
  <c r="T1756" i="2"/>
  <c r="S1756" i="2"/>
  <c r="R1757" i="2"/>
  <c r="T1757" i="2"/>
  <c r="S1757" i="2"/>
  <c r="R1758" i="2"/>
  <c r="T1758" i="2"/>
  <c r="S1758" i="2"/>
  <c r="R1759" i="2"/>
  <c r="T1759" i="2"/>
  <c r="S1759" i="2"/>
  <c r="R1760" i="2"/>
  <c r="T1760" i="2"/>
  <c r="S1760" i="2"/>
  <c r="R1761" i="2"/>
  <c r="T1761" i="2"/>
  <c r="S1761" i="2"/>
  <c r="R1762" i="2"/>
  <c r="T1762" i="2"/>
  <c r="S1762" i="2"/>
  <c r="R1763" i="2"/>
  <c r="T1763" i="2"/>
  <c r="S1763" i="2"/>
  <c r="R1764" i="2"/>
  <c r="T1764" i="2"/>
  <c r="S1764" i="2"/>
  <c r="R1765" i="2"/>
  <c r="T1765" i="2"/>
  <c r="S1765" i="2"/>
  <c r="R1766" i="2"/>
  <c r="T1766" i="2"/>
  <c r="S1766" i="2"/>
  <c r="R1767" i="2"/>
  <c r="T1767" i="2"/>
  <c r="S1767" i="2"/>
  <c r="R1768" i="2"/>
  <c r="T1768" i="2"/>
  <c r="S1768" i="2"/>
  <c r="R1769" i="2"/>
  <c r="T1769" i="2"/>
  <c r="S1769" i="2"/>
  <c r="R1770" i="2"/>
  <c r="T1770" i="2"/>
  <c r="S1770" i="2"/>
  <c r="R1771" i="2"/>
  <c r="T1771" i="2"/>
  <c r="S1771" i="2"/>
  <c r="R1772" i="2"/>
  <c r="T1772" i="2"/>
  <c r="S1772" i="2"/>
  <c r="R1773" i="2"/>
  <c r="T1773" i="2"/>
  <c r="S1773" i="2"/>
  <c r="R1774" i="2"/>
  <c r="T1774" i="2"/>
  <c r="S1774" i="2"/>
  <c r="R1775" i="2"/>
  <c r="T1775" i="2"/>
  <c r="S1775" i="2"/>
  <c r="R1776" i="2"/>
  <c r="T1776" i="2"/>
  <c r="S1776" i="2"/>
  <c r="R1777" i="2"/>
  <c r="T1777" i="2"/>
  <c r="S1777" i="2"/>
  <c r="R1778" i="2"/>
  <c r="T1778" i="2"/>
  <c r="S1778" i="2"/>
  <c r="R1779" i="2"/>
  <c r="T1779" i="2"/>
  <c r="S1779" i="2"/>
  <c r="R1780" i="2"/>
  <c r="T1780" i="2"/>
  <c r="S1780" i="2"/>
  <c r="R1781" i="2"/>
  <c r="T1781" i="2"/>
  <c r="S1781" i="2"/>
  <c r="R1782" i="2"/>
  <c r="T1782" i="2"/>
  <c r="S1782" i="2"/>
  <c r="R1783" i="2"/>
  <c r="T1783" i="2"/>
  <c r="S1783" i="2"/>
  <c r="R1784" i="2"/>
  <c r="T1784" i="2"/>
  <c r="S1784" i="2"/>
  <c r="R1785" i="2"/>
  <c r="T1785" i="2"/>
  <c r="S1785" i="2"/>
  <c r="R1786" i="2"/>
  <c r="T1786" i="2"/>
  <c r="S1786" i="2"/>
  <c r="R1787" i="2"/>
  <c r="T1787" i="2"/>
  <c r="S1787" i="2"/>
  <c r="R1788" i="2"/>
  <c r="T1788" i="2"/>
  <c r="S1788" i="2"/>
  <c r="R1789" i="2"/>
  <c r="T1789" i="2"/>
  <c r="S1789" i="2"/>
  <c r="R1790" i="2"/>
  <c r="T1790" i="2"/>
  <c r="S1790" i="2"/>
  <c r="R1791" i="2"/>
  <c r="T1791" i="2"/>
  <c r="S1791" i="2"/>
  <c r="R1792" i="2"/>
  <c r="T1792" i="2"/>
  <c r="S1792" i="2"/>
  <c r="R1793" i="2"/>
  <c r="T1793" i="2"/>
  <c r="S1793" i="2"/>
  <c r="R1794" i="2"/>
  <c r="T1794" i="2"/>
  <c r="S1794" i="2"/>
  <c r="R1795" i="2"/>
  <c r="T1795" i="2"/>
  <c r="S1795" i="2"/>
  <c r="R1796" i="2"/>
  <c r="T1796" i="2"/>
  <c r="S1796" i="2"/>
  <c r="R1797" i="2"/>
  <c r="T1797" i="2"/>
  <c r="S1797" i="2"/>
  <c r="R1798" i="2"/>
  <c r="T1798" i="2"/>
  <c r="S1798" i="2"/>
  <c r="R1799" i="2"/>
  <c r="T1799" i="2"/>
  <c r="S1799" i="2"/>
  <c r="R1800" i="2"/>
  <c r="T1800" i="2"/>
  <c r="S1800" i="2"/>
  <c r="R1801" i="2"/>
  <c r="T1801" i="2"/>
  <c r="S1801" i="2"/>
  <c r="R1802" i="2"/>
  <c r="T1802" i="2"/>
  <c r="S1802" i="2"/>
  <c r="R1803" i="2"/>
  <c r="T1803" i="2"/>
  <c r="S1803" i="2"/>
  <c r="R1804" i="2"/>
  <c r="T1804" i="2"/>
  <c r="S1804" i="2"/>
  <c r="R1805" i="2"/>
  <c r="T1805" i="2"/>
  <c r="S1805" i="2"/>
  <c r="R1806" i="2"/>
  <c r="T1806" i="2"/>
  <c r="S1806" i="2"/>
  <c r="R1807" i="2"/>
  <c r="T1807" i="2"/>
  <c r="S1807" i="2"/>
  <c r="R1808" i="2"/>
  <c r="T1808" i="2"/>
  <c r="S1808" i="2"/>
  <c r="R1809" i="2"/>
  <c r="T1809" i="2"/>
  <c r="S1809" i="2"/>
  <c r="R1810" i="2"/>
  <c r="T1810" i="2"/>
  <c r="S1810" i="2"/>
  <c r="R1811" i="2"/>
  <c r="T1811" i="2"/>
  <c r="S1811" i="2"/>
  <c r="R1812" i="2"/>
  <c r="T1812" i="2"/>
  <c r="S1812" i="2"/>
  <c r="R1813" i="2"/>
  <c r="T1813" i="2"/>
  <c r="S1813" i="2"/>
  <c r="R1814" i="2"/>
  <c r="T1814" i="2"/>
  <c r="S1814" i="2"/>
  <c r="R1815" i="2"/>
  <c r="T1815" i="2"/>
  <c r="S1815" i="2"/>
  <c r="R1816" i="2"/>
  <c r="T1816" i="2"/>
  <c r="S1816" i="2"/>
  <c r="R1817" i="2"/>
  <c r="T1817" i="2"/>
  <c r="S1817" i="2"/>
  <c r="R1818" i="2"/>
  <c r="T1818" i="2"/>
  <c r="S1818" i="2"/>
  <c r="R1819" i="2"/>
  <c r="T1819" i="2"/>
  <c r="S1819" i="2"/>
  <c r="R1820" i="2"/>
  <c r="T1820" i="2"/>
  <c r="S1820" i="2"/>
  <c r="R1821" i="2"/>
  <c r="T1821" i="2"/>
  <c r="S1821" i="2"/>
  <c r="R1822" i="2"/>
  <c r="T1822" i="2"/>
  <c r="S1822" i="2"/>
  <c r="R1823" i="2"/>
  <c r="T1823" i="2"/>
  <c r="S1823" i="2"/>
  <c r="R1824" i="2"/>
  <c r="T1824" i="2"/>
  <c r="S1824" i="2"/>
  <c r="R1825" i="2"/>
  <c r="T1825" i="2"/>
  <c r="S1825" i="2"/>
  <c r="R1826" i="2"/>
  <c r="T1826" i="2"/>
  <c r="S1826" i="2"/>
  <c r="R1827" i="2"/>
  <c r="T1827" i="2"/>
  <c r="S1827" i="2"/>
  <c r="R1828" i="2"/>
  <c r="T1828" i="2"/>
  <c r="S1828" i="2"/>
  <c r="R1829" i="2"/>
  <c r="T1829" i="2"/>
  <c r="S1829" i="2"/>
  <c r="R1830" i="2"/>
  <c r="T1830" i="2"/>
  <c r="S1830" i="2"/>
  <c r="R1831" i="2"/>
  <c r="T1831" i="2"/>
  <c r="S1831" i="2"/>
  <c r="R1832" i="2"/>
  <c r="T1832" i="2"/>
  <c r="S1832" i="2"/>
  <c r="R1833" i="2"/>
  <c r="T1833" i="2"/>
  <c r="S1833" i="2"/>
  <c r="R1834" i="2"/>
  <c r="T1834" i="2"/>
  <c r="S1834" i="2"/>
  <c r="R1835" i="2"/>
  <c r="T1835" i="2"/>
  <c r="S1835" i="2"/>
  <c r="R1836" i="2"/>
  <c r="T1836" i="2"/>
  <c r="S1836" i="2"/>
  <c r="R1837" i="2"/>
  <c r="T1837" i="2"/>
  <c r="S1837" i="2"/>
  <c r="R1838" i="2"/>
  <c r="T1838" i="2"/>
  <c r="S1838" i="2"/>
  <c r="R1839" i="2"/>
  <c r="T1839" i="2"/>
  <c r="S1839" i="2"/>
  <c r="R1840" i="2"/>
  <c r="T1840" i="2"/>
  <c r="S1840" i="2"/>
  <c r="R1841" i="2"/>
  <c r="T1841" i="2"/>
  <c r="S1841" i="2"/>
  <c r="R1842" i="2"/>
  <c r="T1842" i="2"/>
  <c r="S1842" i="2"/>
  <c r="R1843" i="2"/>
  <c r="T1843" i="2"/>
  <c r="S1843" i="2"/>
  <c r="R1844" i="2"/>
  <c r="T1844" i="2"/>
  <c r="S1844" i="2"/>
  <c r="R1845" i="2"/>
  <c r="T1845" i="2"/>
  <c r="S1845" i="2"/>
  <c r="R1846" i="2"/>
  <c r="T1846" i="2"/>
  <c r="S1846" i="2"/>
  <c r="R1847" i="2"/>
  <c r="T1847" i="2"/>
  <c r="S1847" i="2"/>
  <c r="R1848" i="2"/>
  <c r="T1848" i="2"/>
  <c r="S1848" i="2"/>
  <c r="R1849" i="2"/>
  <c r="T1849" i="2"/>
  <c r="S1849" i="2"/>
  <c r="R1850" i="2"/>
  <c r="T1850" i="2"/>
  <c r="S1850" i="2"/>
  <c r="R1851" i="2"/>
  <c r="T1851" i="2"/>
  <c r="S1851" i="2"/>
  <c r="R1852" i="2"/>
  <c r="T1852" i="2"/>
  <c r="S1852" i="2"/>
  <c r="R1853" i="2"/>
  <c r="T1853" i="2"/>
  <c r="S1853" i="2"/>
  <c r="R1854" i="2"/>
  <c r="T1854" i="2"/>
  <c r="S1854" i="2"/>
  <c r="R1855" i="2"/>
  <c r="T1855" i="2"/>
  <c r="S1855" i="2"/>
  <c r="R1856" i="2"/>
  <c r="T1856" i="2"/>
  <c r="S1856" i="2"/>
  <c r="R1857" i="2"/>
  <c r="T1857" i="2"/>
  <c r="S1857" i="2"/>
  <c r="R1858" i="2"/>
  <c r="T1858" i="2"/>
  <c r="S1858" i="2"/>
  <c r="R1859" i="2"/>
  <c r="T1859" i="2"/>
  <c r="S1859" i="2"/>
  <c r="R1860" i="2"/>
  <c r="T1860" i="2"/>
  <c r="S1860" i="2"/>
  <c r="R1861" i="2"/>
  <c r="T1861" i="2"/>
  <c r="S1861" i="2"/>
  <c r="R1862" i="2"/>
  <c r="T1862" i="2"/>
  <c r="S1862" i="2"/>
  <c r="R1863" i="2"/>
  <c r="T1863" i="2"/>
  <c r="S1863" i="2"/>
  <c r="R1864" i="2"/>
  <c r="T1864" i="2"/>
  <c r="S1864" i="2"/>
  <c r="R1865" i="2"/>
  <c r="T1865" i="2"/>
  <c r="S1865" i="2"/>
  <c r="R1866" i="2"/>
  <c r="T1866" i="2"/>
  <c r="S1866" i="2"/>
  <c r="R1867" i="2"/>
  <c r="T1867" i="2"/>
  <c r="S1867" i="2"/>
  <c r="R1868" i="2"/>
  <c r="T1868" i="2"/>
  <c r="S1868" i="2"/>
  <c r="R1869" i="2"/>
  <c r="T1869" i="2"/>
  <c r="S1869" i="2"/>
  <c r="R1870" i="2"/>
  <c r="T1870" i="2"/>
  <c r="S1870" i="2"/>
  <c r="R1871" i="2"/>
  <c r="T1871" i="2"/>
  <c r="S1871" i="2"/>
  <c r="R1872" i="2"/>
  <c r="T1872" i="2"/>
  <c r="S1872" i="2"/>
  <c r="R1873" i="2"/>
  <c r="T1873" i="2"/>
  <c r="S1873" i="2"/>
  <c r="R1874" i="2"/>
  <c r="T1874" i="2"/>
  <c r="S1874" i="2"/>
  <c r="R1875" i="2"/>
  <c r="T1875" i="2"/>
  <c r="S1875" i="2"/>
  <c r="R1876" i="2"/>
  <c r="T1876" i="2"/>
  <c r="S1876" i="2"/>
  <c r="R1877" i="2"/>
  <c r="T1877" i="2"/>
  <c r="S1877" i="2"/>
  <c r="R1878" i="2"/>
  <c r="T1878" i="2"/>
  <c r="S1878" i="2"/>
  <c r="R1879" i="2"/>
  <c r="T1879" i="2"/>
  <c r="S1879" i="2"/>
  <c r="R1880" i="2"/>
  <c r="T1880" i="2"/>
  <c r="S1880" i="2"/>
  <c r="R1881" i="2"/>
  <c r="T1881" i="2"/>
  <c r="S1881" i="2"/>
  <c r="R1882" i="2"/>
  <c r="T1882" i="2"/>
  <c r="S1882" i="2"/>
  <c r="R1883" i="2"/>
  <c r="T1883" i="2"/>
  <c r="S1883" i="2"/>
  <c r="R1884" i="2"/>
  <c r="T1884" i="2"/>
  <c r="S1884" i="2"/>
  <c r="R1885" i="2"/>
  <c r="T1885" i="2"/>
  <c r="S1885" i="2"/>
  <c r="R1886" i="2"/>
  <c r="T1886" i="2"/>
  <c r="S1886" i="2"/>
  <c r="R1887" i="2"/>
  <c r="T1887" i="2"/>
  <c r="S1887" i="2"/>
  <c r="R1888" i="2"/>
  <c r="T1888" i="2"/>
  <c r="S1888" i="2"/>
  <c r="R1889" i="2"/>
  <c r="T1889" i="2"/>
  <c r="S1889" i="2"/>
  <c r="R1890" i="2"/>
  <c r="T1890" i="2"/>
  <c r="S1890" i="2"/>
  <c r="R1891" i="2"/>
  <c r="T1891" i="2"/>
  <c r="S1891" i="2"/>
  <c r="R1892" i="2"/>
  <c r="T1892" i="2"/>
  <c r="S1892" i="2"/>
  <c r="R1893" i="2"/>
  <c r="T1893" i="2"/>
  <c r="S1893" i="2"/>
  <c r="R1894" i="2"/>
  <c r="T1894" i="2"/>
  <c r="S1894" i="2"/>
  <c r="R1895" i="2"/>
  <c r="T1895" i="2"/>
  <c r="S1895" i="2"/>
  <c r="R1896" i="2"/>
  <c r="T1896" i="2"/>
  <c r="S1896" i="2"/>
  <c r="R1897" i="2"/>
  <c r="T1897" i="2"/>
  <c r="S1897" i="2"/>
  <c r="R1898" i="2"/>
  <c r="T1898" i="2"/>
  <c r="S1898" i="2"/>
  <c r="R1899" i="2"/>
  <c r="T1899" i="2"/>
  <c r="S1899" i="2"/>
  <c r="R1900" i="2"/>
  <c r="T1900" i="2"/>
  <c r="S1900" i="2"/>
  <c r="R1901" i="2"/>
  <c r="T1901" i="2"/>
  <c r="S1901" i="2"/>
  <c r="R1902" i="2"/>
  <c r="T1902" i="2"/>
  <c r="S1902" i="2"/>
  <c r="R1903" i="2"/>
  <c r="T1903" i="2"/>
  <c r="S1903" i="2"/>
  <c r="R1904" i="2"/>
  <c r="T1904" i="2"/>
  <c r="S1904" i="2"/>
  <c r="R1905" i="2"/>
  <c r="T1905" i="2"/>
  <c r="S1905" i="2"/>
  <c r="R1906" i="2"/>
  <c r="T1906" i="2"/>
  <c r="S1906" i="2"/>
  <c r="R1907" i="2"/>
  <c r="T1907" i="2"/>
  <c r="S1907" i="2"/>
  <c r="R1908" i="2"/>
  <c r="T1908" i="2"/>
  <c r="S1908" i="2"/>
  <c r="R1909" i="2"/>
  <c r="T1909" i="2"/>
  <c r="S1909" i="2"/>
  <c r="R1910" i="2"/>
  <c r="T1910" i="2"/>
  <c r="S1910" i="2"/>
  <c r="R1911" i="2"/>
  <c r="T1911" i="2"/>
  <c r="S1911" i="2"/>
  <c r="R1912" i="2"/>
  <c r="T1912" i="2"/>
  <c r="S1912" i="2"/>
  <c r="R1913" i="2"/>
  <c r="T1913" i="2"/>
  <c r="S1913" i="2"/>
  <c r="R1914" i="2"/>
  <c r="T1914" i="2"/>
  <c r="S1914" i="2"/>
  <c r="R1915" i="2"/>
  <c r="T1915" i="2"/>
  <c r="S1915" i="2"/>
  <c r="R1916" i="2"/>
  <c r="T1916" i="2"/>
  <c r="S1916" i="2"/>
  <c r="R1917" i="2"/>
  <c r="T1917" i="2"/>
  <c r="S1917" i="2"/>
  <c r="R1918" i="2"/>
  <c r="T1918" i="2"/>
  <c r="S1918" i="2"/>
  <c r="R1919" i="2"/>
  <c r="T1919" i="2"/>
  <c r="S1919" i="2"/>
  <c r="R1920" i="2"/>
  <c r="T1920" i="2"/>
  <c r="S1920" i="2"/>
  <c r="R1921" i="2"/>
  <c r="T1921" i="2"/>
  <c r="S1921" i="2"/>
  <c r="R1922" i="2"/>
  <c r="T1922" i="2"/>
  <c r="S1922" i="2"/>
  <c r="R1923" i="2"/>
  <c r="T1923" i="2"/>
  <c r="S1923" i="2"/>
  <c r="R1924" i="2"/>
  <c r="T1924" i="2"/>
  <c r="S1924" i="2"/>
  <c r="R1925" i="2"/>
  <c r="T1925" i="2"/>
  <c r="S1925" i="2"/>
  <c r="R1926" i="2"/>
  <c r="T1926" i="2"/>
  <c r="S1926" i="2"/>
  <c r="R1927" i="2"/>
  <c r="T1927" i="2"/>
  <c r="S1927" i="2"/>
  <c r="R1928" i="2"/>
  <c r="T1928" i="2"/>
  <c r="S1928" i="2"/>
  <c r="R1929" i="2"/>
  <c r="T1929" i="2"/>
  <c r="S1929" i="2"/>
  <c r="R1930" i="2"/>
  <c r="T1930" i="2"/>
  <c r="S1930" i="2"/>
  <c r="R1931" i="2"/>
  <c r="T1931" i="2"/>
  <c r="S1931" i="2"/>
  <c r="R1932" i="2"/>
  <c r="T1932" i="2"/>
  <c r="S1932" i="2"/>
  <c r="R1933" i="2"/>
  <c r="T1933" i="2"/>
  <c r="S1933" i="2"/>
  <c r="R1934" i="2"/>
  <c r="T1934" i="2"/>
  <c r="S1934" i="2"/>
  <c r="R1935" i="2"/>
  <c r="T1935" i="2"/>
  <c r="S1935" i="2"/>
  <c r="R1936" i="2"/>
  <c r="T1936" i="2"/>
  <c r="S1936" i="2"/>
  <c r="R1937" i="2"/>
  <c r="T1937" i="2"/>
  <c r="S1937" i="2"/>
  <c r="R1938" i="2"/>
  <c r="T1938" i="2"/>
  <c r="S1938" i="2"/>
  <c r="R1939" i="2"/>
  <c r="T1939" i="2"/>
  <c r="S1939" i="2"/>
  <c r="R1940" i="2"/>
  <c r="T1940" i="2"/>
  <c r="S1940" i="2"/>
  <c r="R1941" i="2"/>
  <c r="T1941" i="2"/>
  <c r="S1941" i="2"/>
  <c r="R1942" i="2"/>
  <c r="T1942" i="2"/>
  <c r="S1942" i="2"/>
  <c r="R1943" i="2"/>
  <c r="T1943" i="2"/>
  <c r="S1943" i="2"/>
  <c r="R1944" i="2"/>
  <c r="T1944" i="2"/>
  <c r="S1944" i="2"/>
  <c r="R1945" i="2"/>
  <c r="T1945" i="2"/>
  <c r="S1945" i="2"/>
  <c r="R1946" i="2"/>
  <c r="T1946" i="2"/>
  <c r="S1946" i="2"/>
  <c r="R1947" i="2"/>
  <c r="T1947" i="2"/>
  <c r="S1947" i="2"/>
  <c r="R1948" i="2"/>
  <c r="T1948" i="2"/>
  <c r="S1948" i="2"/>
  <c r="R1949" i="2"/>
  <c r="T1949" i="2"/>
  <c r="S1949" i="2"/>
  <c r="R1950" i="2"/>
  <c r="T1950" i="2"/>
  <c r="S1950" i="2"/>
  <c r="R1951" i="2"/>
  <c r="T1951" i="2"/>
  <c r="S1951" i="2"/>
  <c r="R1952" i="2"/>
  <c r="T1952" i="2"/>
  <c r="S1952" i="2"/>
  <c r="R1953" i="2"/>
  <c r="T1953" i="2"/>
  <c r="S1953" i="2"/>
  <c r="R1954" i="2"/>
  <c r="T1954" i="2"/>
  <c r="S1954" i="2"/>
  <c r="R1955" i="2"/>
  <c r="T1955" i="2"/>
  <c r="S1955" i="2"/>
  <c r="R1956" i="2"/>
  <c r="T1956" i="2"/>
  <c r="S1956" i="2"/>
  <c r="R1957" i="2"/>
  <c r="T1957" i="2"/>
  <c r="S1957" i="2"/>
  <c r="R1958" i="2"/>
  <c r="T1958" i="2"/>
  <c r="S1958" i="2"/>
  <c r="R1959" i="2"/>
  <c r="T1959" i="2"/>
  <c r="S1959" i="2"/>
  <c r="R1960" i="2"/>
  <c r="T1960" i="2"/>
  <c r="S1960" i="2"/>
  <c r="R1961" i="2"/>
  <c r="T1961" i="2"/>
  <c r="S1961" i="2"/>
  <c r="R1962" i="2"/>
  <c r="T1962" i="2"/>
  <c r="S1962" i="2"/>
  <c r="R1963" i="2"/>
  <c r="T1963" i="2"/>
  <c r="S1963" i="2"/>
  <c r="R1964" i="2"/>
  <c r="T1964" i="2"/>
  <c r="S1964" i="2"/>
  <c r="R1965" i="2"/>
  <c r="T1965" i="2"/>
  <c r="S1965" i="2"/>
  <c r="R1966" i="2"/>
  <c r="T1966" i="2"/>
  <c r="S1966" i="2"/>
  <c r="R1967" i="2"/>
  <c r="T1967" i="2"/>
  <c r="S1967" i="2"/>
  <c r="R1968" i="2"/>
  <c r="T1968" i="2"/>
  <c r="S1968" i="2"/>
  <c r="R1969" i="2"/>
  <c r="T1969" i="2"/>
  <c r="S1969" i="2"/>
  <c r="R1970" i="2"/>
  <c r="T1970" i="2"/>
  <c r="S1970" i="2"/>
  <c r="R1971" i="2"/>
  <c r="T1971" i="2"/>
  <c r="S1971" i="2"/>
  <c r="R1972" i="2"/>
  <c r="T1972" i="2"/>
  <c r="S1972" i="2"/>
  <c r="R1973" i="2"/>
  <c r="T1973" i="2"/>
  <c r="S1973" i="2"/>
  <c r="R1974" i="2"/>
  <c r="T1974" i="2"/>
  <c r="S1974" i="2"/>
  <c r="R1975" i="2"/>
  <c r="T1975" i="2"/>
  <c r="S1975" i="2"/>
  <c r="R1976" i="2"/>
  <c r="T1976" i="2"/>
  <c r="S1976" i="2"/>
  <c r="R1977" i="2"/>
  <c r="T1977" i="2"/>
  <c r="S1977" i="2"/>
  <c r="R1978" i="2"/>
  <c r="T1978" i="2"/>
  <c r="S1978" i="2"/>
  <c r="R1979" i="2"/>
  <c r="T1979" i="2"/>
  <c r="S1979" i="2"/>
  <c r="R1980" i="2"/>
  <c r="T1980" i="2"/>
  <c r="S1980" i="2"/>
  <c r="R1981" i="2"/>
  <c r="T1981" i="2"/>
  <c r="S1981" i="2"/>
  <c r="R1982" i="2"/>
  <c r="T1982" i="2"/>
  <c r="S1982" i="2"/>
  <c r="R1983" i="2"/>
  <c r="T1983" i="2"/>
  <c r="S1983" i="2"/>
  <c r="R1984" i="2"/>
  <c r="T1984" i="2"/>
  <c r="S1984" i="2"/>
  <c r="R1985" i="2"/>
  <c r="T1985" i="2"/>
  <c r="S1985" i="2"/>
  <c r="R1986" i="2"/>
  <c r="T1986" i="2"/>
  <c r="S1986" i="2"/>
  <c r="R1987" i="2"/>
  <c r="T1987" i="2"/>
  <c r="S1987" i="2"/>
  <c r="R1988" i="2"/>
  <c r="T1988" i="2"/>
  <c r="S1988" i="2"/>
  <c r="R1989" i="2"/>
  <c r="T1989" i="2"/>
  <c r="S1989" i="2"/>
  <c r="R1990" i="2"/>
  <c r="T1990" i="2"/>
  <c r="S1990" i="2"/>
  <c r="R1991" i="2"/>
  <c r="T1991" i="2"/>
  <c r="S1991" i="2"/>
  <c r="R1992" i="2"/>
  <c r="T1992" i="2"/>
  <c r="S1992" i="2"/>
  <c r="R1993" i="2"/>
  <c r="T1993" i="2"/>
  <c r="S1993" i="2"/>
  <c r="R1994" i="2"/>
  <c r="T1994" i="2"/>
  <c r="S1994" i="2"/>
  <c r="R1995" i="2"/>
  <c r="T1995" i="2"/>
  <c r="S1995" i="2"/>
  <c r="R1996" i="2"/>
  <c r="T1996" i="2"/>
  <c r="S1996" i="2"/>
  <c r="R1997" i="2"/>
  <c r="T1997" i="2"/>
  <c r="S1997" i="2"/>
  <c r="R1998" i="2"/>
  <c r="T1998" i="2"/>
  <c r="S1998" i="2"/>
  <c r="R1999" i="2"/>
  <c r="T1999" i="2"/>
  <c r="S1999" i="2"/>
  <c r="R2000" i="2"/>
  <c r="T2000" i="2"/>
  <c r="S2000" i="2"/>
  <c r="R2001" i="2"/>
  <c r="T2001" i="2"/>
  <c r="S2001" i="2"/>
  <c r="R2002" i="2"/>
  <c r="T2002" i="2"/>
  <c r="S2002" i="2"/>
  <c r="R2003" i="2"/>
  <c r="T2003" i="2"/>
  <c r="S2003" i="2"/>
  <c r="R2004" i="2"/>
  <c r="T2004" i="2"/>
  <c r="S2004" i="2"/>
  <c r="R2005" i="2"/>
  <c r="T2005" i="2"/>
  <c r="S2005" i="2"/>
  <c r="R2006" i="2"/>
  <c r="T2006" i="2"/>
  <c r="S2006" i="2"/>
  <c r="R2007" i="2"/>
  <c r="T2007" i="2"/>
  <c r="S2007" i="2"/>
  <c r="R2008" i="2"/>
  <c r="T2008" i="2"/>
  <c r="S2008" i="2"/>
  <c r="R2009" i="2"/>
  <c r="T2009" i="2"/>
  <c r="S2009" i="2"/>
  <c r="R2010" i="2"/>
  <c r="T2010" i="2"/>
  <c r="S2010" i="2"/>
  <c r="R2011" i="2"/>
  <c r="T2011" i="2"/>
  <c r="S2011" i="2"/>
  <c r="R2012" i="2"/>
  <c r="T2012" i="2"/>
  <c r="S2012" i="2"/>
  <c r="R2013" i="2"/>
  <c r="T2013" i="2"/>
  <c r="S2013" i="2"/>
  <c r="R2014" i="2"/>
  <c r="T2014" i="2"/>
  <c r="S2014" i="2"/>
  <c r="R2015" i="2"/>
  <c r="T2015" i="2"/>
  <c r="S2015" i="2"/>
  <c r="R2016" i="2"/>
  <c r="T2016" i="2"/>
  <c r="S2016" i="2"/>
  <c r="R2017" i="2"/>
  <c r="T2017" i="2"/>
  <c r="S2017" i="2"/>
  <c r="R2018" i="2"/>
  <c r="T2018" i="2"/>
  <c r="S2018" i="2"/>
  <c r="R2019" i="2"/>
  <c r="T2019" i="2"/>
  <c r="S2019" i="2"/>
  <c r="R2020" i="2"/>
  <c r="T2020" i="2"/>
  <c r="S2020" i="2"/>
  <c r="R2021" i="2"/>
  <c r="T2021" i="2"/>
  <c r="S2021" i="2"/>
  <c r="R2022" i="2"/>
  <c r="T2022" i="2"/>
  <c r="S2022" i="2"/>
  <c r="R2023" i="2"/>
  <c r="T2023" i="2"/>
  <c r="S2023" i="2"/>
  <c r="R2024" i="2"/>
  <c r="T2024" i="2"/>
  <c r="S2024" i="2"/>
  <c r="R2025" i="2"/>
  <c r="T2025" i="2"/>
  <c r="S2025" i="2"/>
  <c r="R2026" i="2"/>
  <c r="T2026" i="2"/>
  <c r="S2026" i="2"/>
  <c r="R2027" i="2"/>
  <c r="T2027" i="2"/>
  <c r="S2027" i="2"/>
  <c r="R2028" i="2"/>
  <c r="T2028" i="2"/>
  <c r="S2028" i="2"/>
  <c r="R2029" i="2"/>
  <c r="T2029" i="2"/>
  <c r="S2029" i="2"/>
  <c r="R2030" i="2"/>
  <c r="T2030" i="2"/>
  <c r="S2030" i="2"/>
  <c r="R2031" i="2"/>
  <c r="T2031" i="2"/>
  <c r="S2031" i="2"/>
  <c r="R2032" i="2"/>
  <c r="T2032" i="2"/>
  <c r="S2032" i="2"/>
  <c r="R2033" i="2"/>
  <c r="T2033" i="2"/>
  <c r="S2033" i="2"/>
  <c r="R2034" i="2"/>
  <c r="T2034" i="2"/>
  <c r="S2034" i="2"/>
  <c r="R2035" i="2"/>
  <c r="T2035" i="2"/>
  <c r="S2035" i="2"/>
  <c r="R2036" i="2"/>
  <c r="T2036" i="2"/>
  <c r="S2036" i="2"/>
  <c r="R2037" i="2"/>
  <c r="T2037" i="2"/>
  <c r="S2037" i="2"/>
  <c r="R2038" i="2"/>
  <c r="T2038" i="2"/>
  <c r="S2038" i="2"/>
  <c r="R2039" i="2"/>
  <c r="T2039" i="2"/>
  <c r="S2039" i="2"/>
  <c r="R2040" i="2"/>
  <c r="T2040" i="2"/>
  <c r="S2040" i="2"/>
  <c r="R2041" i="2"/>
  <c r="T2041" i="2"/>
  <c r="S2041" i="2"/>
  <c r="R2042" i="2"/>
  <c r="T2042" i="2"/>
  <c r="S2042" i="2"/>
  <c r="R2043" i="2"/>
  <c r="T2043" i="2"/>
  <c r="S2043" i="2"/>
  <c r="R2044" i="2"/>
  <c r="T2044" i="2"/>
  <c r="S2044" i="2"/>
  <c r="R2045" i="2"/>
  <c r="T2045" i="2"/>
  <c r="S2045" i="2"/>
  <c r="R2046" i="2"/>
  <c r="T2046" i="2"/>
  <c r="S2046" i="2"/>
  <c r="R2047" i="2"/>
  <c r="T2047" i="2"/>
  <c r="S2047" i="2"/>
  <c r="R2048" i="2"/>
  <c r="T2048" i="2"/>
  <c r="S2048" i="2"/>
  <c r="R2049" i="2"/>
  <c r="T2049" i="2"/>
  <c r="S2049" i="2"/>
  <c r="R2050" i="2"/>
  <c r="T2050" i="2"/>
  <c r="S2050" i="2"/>
  <c r="R2051" i="2"/>
  <c r="T2051" i="2"/>
  <c r="S2051" i="2"/>
  <c r="R2052" i="2"/>
  <c r="T2052" i="2"/>
  <c r="S2052" i="2"/>
  <c r="R2053" i="2"/>
  <c r="T2053" i="2"/>
  <c r="S2053" i="2"/>
  <c r="R2054" i="2"/>
  <c r="T2054" i="2"/>
  <c r="S2054" i="2"/>
  <c r="R2055" i="2"/>
  <c r="T2055" i="2"/>
  <c r="S2055" i="2"/>
  <c r="R2056" i="2"/>
  <c r="T2056" i="2"/>
  <c r="S2056" i="2"/>
  <c r="R2057" i="2"/>
  <c r="T2057" i="2"/>
  <c r="S2057" i="2"/>
  <c r="R2058" i="2"/>
  <c r="T2058" i="2"/>
  <c r="S2058" i="2"/>
  <c r="R2059" i="2"/>
  <c r="T2059" i="2"/>
  <c r="S2059" i="2"/>
  <c r="R2060" i="2"/>
  <c r="T2060" i="2"/>
  <c r="S2060" i="2"/>
  <c r="R2061" i="2"/>
  <c r="T2061" i="2"/>
  <c r="S2061" i="2"/>
  <c r="R2062" i="2"/>
  <c r="T2062" i="2"/>
  <c r="S2062" i="2"/>
  <c r="R2063" i="2"/>
  <c r="T2063" i="2"/>
  <c r="S2063" i="2"/>
  <c r="R2064" i="2"/>
  <c r="T2064" i="2"/>
  <c r="S2064" i="2"/>
  <c r="R2065" i="2"/>
  <c r="T2065" i="2"/>
  <c r="S2065" i="2"/>
  <c r="R2066" i="2"/>
  <c r="T2066" i="2"/>
  <c r="S2066" i="2"/>
  <c r="R2067" i="2"/>
  <c r="T2067" i="2"/>
  <c r="S2067" i="2"/>
  <c r="R2068" i="2"/>
  <c r="T2068" i="2"/>
  <c r="S2068" i="2"/>
  <c r="R2069" i="2"/>
  <c r="T2069" i="2"/>
  <c r="S2069" i="2"/>
  <c r="R2070" i="2"/>
  <c r="T2070" i="2"/>
  <c r="S2070" i="2"/>
  <c r="R2071" i="2"/>
  <c r="T2071" i="2"/>
  <c r="S2071" i="2"/>
  <c r="R2072" i="2"/>
  <c r="T2072" i="2"/>
  <c r="S2072" i="2"/>
  <c r="R2073" i="2"/>
  <c r="T2073" i="2"/>
  <c r="S2073" i="2"/>
  <c r="R2074" i="2"/>
  <c r="T2074" i="2"/>
  <c r="S2074" i="2"/>
  <c r="R2075" i="2"/>
  <c r="T2075" i="2"/>
  <c r="S2075" i="2"/>
  <c r="R2076" i="2"/>
  <c r="T2076" i="2"/>
  <c r="S2076" i="2"/>
  <c r="R2077" i="2"/>
  <c r="T2077" i="2"/>
  <c r="S2077" i="2"/>
  <c r="R2078" i="2"/>
  <c r="T2078" i="2"/>
  <c r="S2078" i="2"/>
  <c r="R2079" i="2"/>
  <c r="T2079" i="2"/>
  <c r="S2079" i="2"/>
  <c r="R2080" i="2"/>
  <c r="T2080" i="2"/>
  <c r="S2080" i="2"/>
  <c r="R2081" i="2"/>
  <c r="T2081" i="2"/>
  <c r="S2081" i="2"/>
  <c r="R2082" i="2"/>
  <c r="T2082" i="2"/>
  <c r="S2082" i="2"/>
  <c r="R2083" i="2"/>
  <c r="T2083" i="2"/>
  <c r="S2083" i="2"/>
  <c r="R2084" i="2"/>
  <c r="T2084" i="2"/>
  <c r="S2084" i="2"/>
  <c r="R2085" i="2"/>
  <c r="T2085" i="2"/>
  <c r="S2085" i="2"/>
  <c r="R2086" i="2"/>
  <c r="T2086" i="2"/>
  <c r="S2086" i="2"/>
  <c r="R2087" i="2"/>
  <c r="T2087" i="2"/>
  <c r="S2087" i="2"/>
  <c r="R2088" i="2"/>
  <c r="T2088" i="2"/>
  <c r="S2088" i="2"/>
  <c r="R2089" i="2"/>
  <c r="T2089" i="2"/>
  <c r="S2089" i="2"/>
  <c r="R2090" i="2"/>
  <c r="T2090" i="2"/>
  <c r="S2090" i="2"/>
  <c r="R2091" i="2"/>
  <c r="T2091" i="2"/>
  <c r="S2091" i="2"/>
  <c r="R2092" i="2"/>
  <c r="T2092" i="2"/>
  <c r="S2092" i="2"/>
  <c r="R2093" i="2"/>
  <c r="T2093" i="2"/>
  <c r="S2093" i="2"/>
  <c r="R2094" i="2"/>
  <c r="T2094" i="2"/>
  <c r="S2094" i="2"/>
  <c r="R2095" i="2"/>
  <c r="T2095" i="2"/>
  <c r="S2095" i="2"/>
  <c r="R2096" i="2"/>
  <c r="T2096" i="2"/>
  <c r="S2096" i="2"/>
  <c r="R2097" i="2"/>
  <c r="T2097" i="2"/>
  <c r="S2097" i="2"/>
  <c r="R2098" i="2"/>
  <c r="T2098" i="2"/>
  <c r="S2098" i="2"/>
  <c r="R2099" i="2"/>
  <c r="T2099" i="2"/>
  <c r="S2099" i="2"/>
  <c r="R2100" i="2"/>
  <c r="T2100" i="2"/>
  <c r="S2100" i="2"/>
  <c r="R2101" i="2"/>
  <c r="T2101" i="2"/>
  <c r="S2101" i="2"/>
  <c r="R2102" i="2"/>
  <c r="T2102" i="2"/>
  <c r="S2102" i="2"/>
  <c r="R2103" i="2"/>
  <c r="T2103" i="2"/>
  <c r="S2103" i="2"/>
  <c r="R2104" i="2"/>
  <c r="T2104" i="2"/>
  <c r="S2104" i="2"/>
  <c r="R2105" i="2"/>
  <c r="T2105" i="2"/>
  <c r="S2105" i="2"/>
  <c r="R2106" i="2"/>
  <c r="T2106" i="2"/>
  <c r="S2106" i="2"/>
  <c r="R2107" i="2"/>
  <c r="T2107" i="2"/>
  <c r="S2107" i="2"/>
  <c r="R2108" i="2"/>
  <c r="T2108" i="2"/>
  <c r="S2108" i="2"/>
  <c r="R2109" i="2"/>
  <c r="T2109" i="2"/>
  <c r="S2109" i="2"/>
  <c r="R2110" i="2"/>
  <c r="T2110" i="2"/>
  <c r="S2110" i="2"/>
  <c r="R2111" i="2"/>
  <c r="T2111" i="2"/>
  <c r="S2111" i="2"/>
  <c r="R2112" i="2"/>
  <c r="T2112" i="2"/>
  <c r="S2112" i="2"/>
  <c r="R2113" i="2"/>
  <c r="T2113" i="2"/>
  <c r="S2113" i="2"/>
  <c r="R2114" i="2"/>
  <c r="T2114" i="2"/>
  <c r="S2114" i="2"/>
  <c r="R2115" i="2"/>
  <c r="T2115" i="2"/>
  <c r="S2115" i="2"/>
  <c r="R2116" i="2"/>
  <c r="T2116" i="2"/>
  <c r="S2116" i="2"/>
  <c r="R2117" i="2"/>
  <c r="T2117" i="2"/>
  <c r="S2117" i="2"/>
  <c r="R2118" i="2"/>
  <c r="T2118" i="2"/>
  <c r="S2118" i="2"/>
  <c r="R2119" i="2"/>
  <c r="T2119" i="2"/>
  <c r="S2119" i="2"/>
  <c r="R2120" i="2"/>
  <c r="T2120" i="2"/>
  <c r="S2120" i="2"/>
  <c r="R2121" i="2"/>
  <c r="T2121" i="2"/>
  <c r="S2121" i="2"/>
  <c r="R2122" i="2"/>
  <c r="T2122" i="2"/>
  <c r="S2122" i="2"/>
  <c r="R2123" i="2"/>
  <c r="T2123" i="2"/>
  <c r="S2123" i="2"/>
  <c r="R2124" i="2"/>
  <c r="T2124" i="2"/>
  <c r="S2124" i="2"/>
  <c r="R2125" i="2"/>
  <c r="T2125" i="2"/>
  <c r="S2125" i="2"/>
  <c r="R2126" i="2"/>
  <c r="T2126" i="2"/>
  <c r="S2126" i="2"/>
  <c r="R2127" i="2"/>
  <c r="T2127" i="2"/>
  <c r="S2127" i="2"/>
  <c r="R2128" i="2"/>
  <c r="T2128" i="2"/>
  <c r="S2128" i="2"/>
  <c r="R2129" i="2"/>
  <c r="T2129" i="2"/>
  <c r="S2129" i="2"/>
  <c r="R2130" i="2"/>
  <c r="T2130" i="2"/>
  <c r="S2130" i="2"/>
  <c r="R2131" i="2"/>
  <c r="T2131" i="2"/>
  <c r="S2131" i="2"/>
  <c r="R2132" i="2"/>
  <c r="T2132" i="2"/>
  <c r="S2132" i="2"/>
  <c r="R2133" i="2"/>
  <c r="T2133" i="2"/>
  <c r="S2133" i="2"/>
  <c r="R2134" i="2"/>
  <c r="T2134" i="2"/>
  <c r="S2134" i="2"/>
  <c r="R2135" i="2"/>
  <c r="T2135" i="2"/>
  <c r="S2135" i="2"/>
  <c r="R2136" i="2"/>
  <c r="T2136" i="2"/>
  <c r="S2136" i="2"/>
  <c r="R2137" i="2"/>
  <c r="T2137" i="2"/>
  <c r="S2137" i="2"/>
  <c r="R2138" i="2"/>
  <c r="T2138" i="2"/>
  <c r="S2138" i="2"/>
  <c r="R2139" i="2"/>
  <c r="T2139" i="2"/>
  <c r="S2139" i="2"/>
  <c r="R2140" i="2"/>
  <c r="T2140" i="2"/>
  <c r="S2140" i="2"/>
  <c r="R2141" i="2"/>
  <c r="T2141" i="2"/>
  <c r="S2141" i="2"/>
  <c r="R2142" i="2"/>
  <c r="T2142" i="2"/>
  <c r="S2142" i="2"/>
  <c r="R2143" i="2"/>
  <c r="T2143" i="2"/>
  <c r="S2143" i="2"/>
  <c r="R2144" i="2"/>
  <c r="T2144" i="2"/>
  <c r="S2144" i="2"/>
  <c r="R2145" i="2"/>
  <c r="T2145" i="2"/>
  <c r="S2145" i="2"/>
  <c r="R2146" i="2"/>
  <c r="T2146" i="2"/>
  <c r="S2146" i="2"/>
  <c r="R2147" i="2"/>
  <c r="T2147" i="2"/>
  <c r="S2147" i="2"/>
  <c r="R2148" i="2"/>
  <c r="T2148" i="2"/>
  <c r="S2148" i="2"/>
  <c r="R2149" i="2"/>
  <c r="T2149" i="2"/>
  <c r="S2149" i="2"/>
  <c r="R2150" i="2"/>
  <c r="T2150" i="2"/>
  <c r="S2150" i="2"/>
  <c r="R2151" i="2"/>
  <c r="T2151" i="2"/>
  <c r="S2151" i="2"/>
  <c r="R2152" i="2"/>
  <c r="T2152" i="2"/>
  <c r="S2152" i="2"/>
  <c r="R2153" i="2"/>
  <c r="T2153" i="2"/>
  <c r="S2153" i="2"/>
  <c r="R2154" i="2"/>
  <c r="T2154" i="2"/>
  <c r="S2154" i="2"/>
  <c r="R2155" i="2"/>
  <c r="T2155" i="2"/>
  <c r="S2155" i="2"/>
  <c r="R2156" i="2"/>
  <c r="T2156" i="2"/>
  <c r="S2156" i="2"/>
  <c r="R2157" i="2"/>
  <c r="T2157" i="2"/>
  <c r="S2157" i="2"/>
  <c r="R2158" i="2"/>
  <c r="T2158" i="2"/>
  <c r="S2158" i="2"/>
  <c r="R2159" i="2"/>
  <c r="T2159" i="2"/>
  <c r="S2159" i="2"/>
  <c r="R2160" i="2"/>
  <c r="T2160" i="2"/>
  <c r="S2160" i="2"/>
  <c r="R2161" i="2"/>
  <c r="T2161" i="2"/>
  <c r="S2161" i="2"/>
  <c r="R2162" i="2"/>
  <c r="T2162" i="2"/>
  <c r="S2162" i="2"/>
  <c r="R2163" i="2"/>
  <c r="T2163" i="2"/>
  <c r="S2163" i="2"/>
  <c r="R2164" i="2"/>
  <c r="T2164" i="2"/>
  <c r="S2164" i="2"/>
  <c r="R2165" i="2"/>
  <c r="T2165" i="2"/>
  <c r="S2165" i="2"/>
  <c r="R2166" i="2"/>
  <c r="T2166" i="2"/>
  <c r="S2166" i="2"/>
  <c r="R2167" i="2"/>
  <c r="T2167" i="2"/>
  <c r="S2167" i="2"/>
  <c r="R2168" i="2"/>
  <c r="T2168" i="2"/>
  <c r="S2168" i="2"/>
  <c r="R2169" i="2"/>
  <c r="T2169" i="2"/>
  <c r="S2169" i="2"/>
  <c r="R2170" i="2"/>
  <c r="T2170" i="2"/>
  <c r="S2170" i="2"/>
  <c r="R2171" i="2"/>
  <c r="T2171" i="2"/>
  <c r="S2171" i="2"/>
  <c r="R2172" i="2"/>
  <c r="T2172" i="2"/>
  <c r="S2172" i="2"/>
  <c r="R2173" i="2"/>
  <c r="T2173" i="2"/>
  <c r="S2173" i="2"/>
  <c r="R2174" i="2"/>
  <c r="T2174" i="2"/>
  <c r="S2174" i="2"/>
  <c r="R2175" i="2"/>
  <c r="T2175" i="2"/>
  <c r="S2175" i="2"/>
  <c r="R2176" i="2"/>
  <c r="T2176" i="2"/>
  <c r="S2176" i="2"/>
  <c r="R2177" i="2"/>
  <c r="T2177" i="2"/>
  <c r="S2177" i="2"/>
  <c r="R2178" i="2"/>
  <c r="T2178" i="2"/>
  <c r="S2178" i="2"/>
  <c r="R2179" i="2"/>
  <c r="T2179" i="2"/>
  <c r="S2179" i="2"/>
  <c r="R2180" i="2"/>
  <c r="T2180" i="2"/>
  <c r="S2180" i="2"/>
  <c r="R2181" i="2"/>
  <c r="T2181" i="2"/>
  <c r="S2181" i="2"/>
  <c r="R2182" i="2"/>
  <c r="T2182" i="2"/>
  <c r="S2182" i="2"/>
  <c r="R2183" i="2"/>
  <c r="T2183" i="2"/>
  <c r="S2183" i="2"/>
  <c r="R2184" i="2"/>
  <c r="T2184" i="2"/>
  <c r="S2184" i="2"/>
  <c r="R2185" i="2"/>
  <c r="T2185" i="2"/>
  <c r="S2185" i="2"/>
  <c r="R2186" i="2"/>
  <c r="T2186" i="2"/>
  <c r="S2186" i="2"/>
  <c r="R2187" i="2"/>
  <c r="T2187" i="2"/>
  <c r="S2187" i="2"/>
  <c r="R2188" i="2"/>
  <c r="T2188" i="2"/>
  <c r="S2188" i="2"/>
  <c r="R2189" i="2"/>
  <c r="T2189" i="2"/>
  <c r="S2189" i="2"/>
  <c r="R2190" i="2"/>
  <c r="T2190" i="2"/>
  <c r="S2190" i="2"/>
  <c r="R2191" i="2"/>
  <c r="T2191" i="2"/>
  <c r="S2191" i="2"/>
  <c r="R2192" i="2"/>
  <c r="T2192" i="2"/>
  <c r="S2192" i="2"/>
  <c r="R2193" i="2"/>
  <c r="T2193" i="2"/>
  <c r="S2193" i="2"/>
  <c r="R2194" i="2"/>
  <c r="T2194" i="2"/>
  <c r="S2194" i="2"/>
  <c r="R2195" i="2"/>
  <c r="T2195" i="2"/>
  <c r="S2195" i="2"/>
  <c r="R2196" i="2"/>
  <c r="T2196" i="2"/>
  <c r="S2196" i="2"/>
  <c r="R2197" i="2"/>
  <c r="T2197" i="2"/>
  <c r="S2197" i="2"/>
  <c r="R2198" i="2"/>
  <c r="T2198" i="2"/>
  <c r="S2198" i="2"/>
  <c r="R2199" i="2"/>
  <c r="T2199" i="2"/>
  <c r="S2199" i="2"/>
  <c r="R2200" i="2"/>
  <c r="T2200" i="2"/>
  <c r="S2200" i="2"/>
  <c r="R2201" i="2"/>
  <c r="T2201" i="2"/>
  <c r="S2201" i="2"/>
  <c r="R2202" i="2"/>
  <c r="T2202" i="2"/>
  <c r="S2202" i="2"/>
  <c r="R2203" i="2"/>
  <c r="T2203" i="2"/>
  <c r="S2203" i="2"/>
  <c r="R2204" i="2"/>
  <c r="T2204" i="2"/>
  <c r="S2204" i="2"/>
  <c r="R2205" i="2"/>
  <c r="T2205" i="2"/>
  <c r="S2205" i="2"/>
  <c r="R2206" i="2"/>
  <c r="T2206" i="2"/>
  <c r="S2206" i="2"/>
  <c r="R2207" i="2"/>
  <c r="T2207" i="2"/>
  <c r="S2207" i="2"/>
  <c r="R2208" i="2"/>
  <c r="T2208" i="2"/>
  <c r="S2208" i="2"/>
  <c r="R2209" i="2"/>
  <c r="T2209" i="2"/>
  <c r="S2209" i="2"/>
  <c r="R2210" i="2"/>
  <c r="T2210" i="2"/>
  <c r="S2210" i="2"/>
  <c r="R2211" i="2"/>
  <c r="T2211" i="2"/>
  <c r="S2211" i="2"/>
  <c r="R2212" i="2"/>
  <c r="T2212" i="2"/>
  <c r="S2212" i="2"/>
  <c r="R2213" i="2"/>
  <c r="T2213" i="2"/>
  <c r="S2213" i="2"/>
  <c r="R2214" i="2"/>
  <c r="T2214" i="2"/>
  <c r="S2214" i="2"/>
  <c r="R2215" i="2"/>
  <c r="T2215" i="2"/>
  <c r="S2215" i="2"/>
  <c r="R2216" i="2"/>
  <c r="T2216" i="2"/>
  <c r="S2216" i="2"/>
  <c r="R2217" i="2"/>
  <c r="T2217" i="2"/>
  <c r="S2217" i="2"/>
  <c r="R2218" i="2"/>
  <c r="T2218" i="2"/>
  <c r="S2218" i="2"/>
  <c r="R2219" i="2"/>
  <c r="T2219" i="2"/>
  <c r="S2219" i="2"/>
  <c r="R2220" i="2"/>
  <c r="T2220" i="2"/>
  <c r="S2220" i="2"/>
  <c r="R2221" i="2"/>
  <c r="T2221" i="2"/>
  <c r="S2221" i="2"/>
  <c r="R2222" i="2"/>
  <c r="T2222" i="2"/>
  <c r="S2222" i="2"/>
  <c r="R2223" i="2"/>
  <c r="T2223" i="2"/>
  <c r="S2223" i="2"/>
  <c r="R2224" i="2"/>
  <c r="T2224" i="2"/>
  <c r="S2224" i="2"/>
  <c r="R2225" i="2"/>
  <c r="T2225" i="2"/>
  <c r="S2225" i="2"/>
  <c r="R2226" i="2"/>
  <c r="T2226" i="2"/>
  <c r="S2226" i="2"/>
  <c r="R2227" i="2"/>
  <c r="T2227" i="2"/>
  <c r="S2227" i="2"/>
  <c r="R2228" i="2"/>
  <c r="T2228" i="2"/>
  <c r="S2228" i="2"/>
  <c r="R2229" i="2"/>
  <c r="T2229" i="2"/>
  <c r="S2229" i="2"/>
  <c r="R2230" i="2"/>
  <c r="T2230" i="2"/>
  <c r="S2230" i="2"/>
  <c r="R2231" i="2"/>
  <c r="T2231" i="2"/>
  <c r="S2231" i="2"/>
  <c r="R2232" i="2"/>
  <c r="T2232" i="2"/>
  <c r="S2232" i="2"/>
  <c r="R2233" i="2"/>
  <c r="T2233" i="2"/>
  <c r="S2233" i="2"/>
  <c r="R2234" i="2"/>
  <c r="T2234" i="2"/>
  <c r="S2234" i="2"/>
  <c r="R2235" i="2"/>
  <c r="T2235" i="2"/>
  <c r="S2235" i="2"/>
  <c r="R2236" i="2"/>
  <c r="T2236" i="2"/>
  <c r="S2236" i="2"/>
  <c r="R2237" i="2"/>
  <c r="T2237" i="2"/>
  <c r="S2237" i="2"/>
  <c r="R2238" i="2"/>
  <c r="T2238" i="2"/>
  <c r="S2238" i="2"/>
  <c r="R2239" i="2"/>
  <c r="T2239" i="2"/>
  <c r="S2239" i="2"/>
  <c r="R2240" i="2"/>
  <c r="T2240" i="2"/>
  <c r="S2240" i="2"/>
  <c r="R2241" i="2"/>
  <c r="T2241" i="2"/>
  <c r="S2241" i="2"/>
  <c r="R2242" i="2"/>
  <c r="T2242" i="2"/>
  <c r="S2242" i="2"/>
  <c r="R2243" i="2"/>
  <c r="T2243" i="2"/>
  <c r="S2243" i="2"/>
  <c r="R2244" i="2"/>
  <c r="T2244" i="2"/>
  <c r="S2244" i="2"/>
  <c r="R2245" i="2"/>
  <c r="T2245" i="2"/>
  <c r="S2245" i="2"/>
  <c r="R2246" i="2"/>
  <c r="T2246" i="2"/>
  <c r="S2246" i="2"/>
  <c r="R2247" i="2"/>
  <c r="T2247" i="2"/>
  <c r="S2247" i="2"/>
  <c r="R2248" i="2"/>
  <c r="T2248" i="2"/>
  <c r="S2248" i="2"/>
  <c r="R2249" i="2"/>
  <c r="T2249" i="2"/>
  <c r="S2249" i="2"/>
  <c r="R2250" i="2"/>
  <c r="T2250" i="2"/>
  <c r="S2250" i="2"/>
  <c r="R2251" i="2"/>
  <c r="T2251" i="2"/>
  <c r="S2251" i="2"/>
  <c r="R2252" i="2"/>
  <c r="T2252" i="2"/>
  <c r="S2252" i="2"/>
  <c r="R2253" i="2"/>
  <c r="T2253" i="2"/>
  <c r="S2253" i="2"/>
  <c r="R2254" i="2"/>
  <c r="T2254" i="2"/>
  <c r="S2254" i="2"/>
  <c r="R2255" i="2"/>
  <c r="T2255" i="2"/>
  <c r="S2255" i="2"/>
  <c r="R2256" i="2"/>
  <c r="T2256" i="2"/>
  <c r="S2256" i="2"/>
  <c r="R2257" i="2"/>
  <c r="T2257" i="2"/>
  <c r="S2257" i="2"/>
  <c r="R2258" i="2"/>
  <c r="T2258" i="2"/>
  <c r="S2258" i="2"/>
  <c r="R2259" i="2"/>
  <c r="T2259" i="2"/>
  <c r="S2259" i="2"/>
  <c r="R2260" i="2"/>
  <c r="T2260" i="2"/>
  <c r="S2260" i="2"/>
  <c r="R2261" i="2"/>
  <c r="T2261" i="2"/>
  <c r="S2261" i="2"/>
  <c r="R2262" i="2"/>
  <c r="T2262" i="2"/>
  <c r="S2262" i="2"/>
  <c r="R2263" i="2"/>
  <c r="T2263" i="2"/>
  <c r="S2263" i="2"/>
  <c r="R2264" i="2"/>
  <c r="T2264" i="2"/>
  <c r="S2264" i="2"/>
  <c r="R2265" i="2"/>
  <c r="T2265" i="2"/>
  <c r="S2265" i="2"/>
  <c r="R2266" i="2"/>
  <c r="T2266" i="2"/>
  <c r="S2266" i="2"/>
  <c r="R2267" i="2"/>
  <c r="T2267" i="2"/>
  <c r="S2267" i="2"/>
  <c r="R2268" i="2"/>
  <c r="T2268" i="2"/>
  <c r="S2268" i="2"/>
  <c r="R2269" i="2"/>
  <c r="T2269" i="2"/>
  <c r="S2269" i="2"/>
  <c r="R2270" i="2"/>
  <c r="T2270" i="2"/>
  <c r="S2270" i="2"/>
  <c r="R2271" i="2"/>
  <c r="T2271" i="2"/>
  <c r="S2271" i="2"/>
  <c r="R2272" i="2"/>
  <c r="T2272" i="2"/>
  <c r="S2272" i="2"/>
  <c r="R2273" i="2"/>
  <c r="T2273" i="2"/>
  <c r="S2273" i="2"/>
  <c r="R2274" i="2"/>
  <c r="T2274" i="2"/>
  <c r="S2274" i="2"/>
  <c r="R2275" i="2"/>
  <c r="T2275" i="2"/>
  <c r="S2275" i="2"/>
  <c r="R2276" i="2"/>
  <c r="T2276" i="2"/>
  <c r="S2276" i="2"/>
  <c r="R2277" i="2"/>
  <c r="T2277" i="2"/>
  <c r="S2277" i="2"/>
  <c r="R2278" i="2"/>
  <c r="T2278" i="2"/>
  <c r="S2278" i="2"/>
  <c r="R2279" i="2"/>
  <c r="T2279" i="2"/>
  <c r="S2279" i="2"/>
  <c r="R2280" i="2"/>
  <c r="T2280" i="2"/>
  <c r="S2280" i="2"/>
  <c r="R2281" i="2"/>
  <c r="T2281" i="2"/>
  <c r="S2281" i="2"/>
  <c r="R2282" i="2"/>
  <c r="T2282" i="2"/>
  <c r="S2282" i="2"/>
  <c r="R2283" i="2"/>
  <c r="T2283" i="2"/>
  <c r="S2283" i="2"/>
  <c r="R2284" i="2"/>
  <c r="T2284" i="2"/>
  <c r="S2284" i="2"/>
  <c r="R2285" i="2"/>
  <c r="T2285" i="2"/>
  <c r="S2285" i="2"/>
  <c r="R2286" i="2"/>
  <c r="T2286" i="2"/>
  <c r="S2286" i="2"/>
  <c r="R2287" i="2"/>
  <c r="T2287" i="2"/>
  <c r="S2287" i="2"/>
  <c r="R2288" i="2"/>
  <c r="T2288" i="2"/>
  <c r="S2288" i="2"/>
  <c r="R2289" i="2"/>
  <c r="T2289" i="2"/>
  <c r="S2289" i="2"/>
  <c r="R2290" i="2"/>
  <c r="T2290" i="2"/>
  <c r="S2290" i="2"/>
  <c r="R2291" i="2"/>
  <c r="T2291" i="2"/>
  <c r="S2291" i="2"/>
  <c r="R2292" i="2"/>
  <c r="T2292" i="2"/>
  <c r="S2292" i="2"/>
  <c r="R2293" i="2"/>
  <c r="T2293" i="2"/>
  <c r="S2293" i="2"/>
  <c r="R2294" i="2"/>
  <c r="T2294" i="2"/>
  <c r="S2294" i="2"/>
  <c r="R2295" i="2"/>
  <c r="T2295" i="2"/>
  <c r="S2295" i="2"/>
  <c r="R2296" i="2"/>
  <c r="T2296" i="2"/>
  <c r="S2296" i="2"/>
  <c r="R2297" i="2"/>
  <c r="T2297" i="2"/>
  <c r="S2297" i="2"/>
  <c r="R2298" i="2"/>
  <c r="T2298" i="2"/>
  <c r="S2298" i="2"/>
  <c r="R2299" i="2"/>
  <c r="T2299" i="2"/>
  <c r="S2299" i="2"/>
  <c r="R2300" i="2"/>
  <c r="T2300" i="2"/>
  <c r="S2300" i="2"/>
  <c r="R2301" i="2"/>
  <c r="T2301" i="2"/>
  <c r="S2301" i="2"/>
  <c r="R2302" i="2"/>
  <c r="T2302" i="2"/>
  <c r="S2302" i="2"/>
  <c r="R2303" i="2"/>
  <c r="T2303" i="2"/>
  <c r="S2303" i="2"/>
  <c r="R2304" i="2"/>
  <c r="T2304" i="2"/>
  <c r="S2304" i="2"/>
  <c r="R2305" i="2"/>
  <c r="T2305" i="2"/>
  <c r="S2305" i="2"/>
  <c r="R2306" i="2"/>
  <c r="T2306" i="2"/>
  <c r="S2306" i="2"/>
  <c r="R2307" i="2"/>
  <c r="T2307" i="2"/>
  <c r="S2307" i="2"/>
  <c r="R2308" i="2"/>
  <c r="T2308" i="2"/>
  <c r="S2308" i="2"/>
  <c r="R2309" i="2"/>
  <c r="T2309" i="2"/>
  <c r="S2309" i="2"/>
  <c r="R2310" i="2"/>
  <c r="T2310" i="2"/>
  <c r="S2310" i="2"/>
  <c r="R2311" i="2"/>
  <c r="T2311" i="2"/>
  <c r="S2311" i="2"/>
  <c r="R2312" i="2"/>
  <c r="T2312" i="2"/>
  <c r="S2312" i="2"/>
  <c r="R2313" i="2"/>
  <c r="T2313" i="2"/>
  <c r="S2313" i="2"/>
  <c r="R2314" i="2"/>
  <c r="T2314" i="2"/>
  <c r="S2314" i="2"/>
  <c r="R2315" i="2"/>
  <c r="T2315" i="2"/>
  <c r="S2315" i="2"/>
  <c r="R2316" i="2"/>
  <c r="T2316" i="2"/>
  <c r="S2316" i="2"/>
  <c r="R2317" i="2"/>
  <c r="T2317" i="2"/>
  <c r="S2317" i="2"/>
  <c r="R2318" i="2"/>
  <c r="T2318" i="2"/>
  <c r="S2318" i="2"/>
  <c r="R2319" i="2"/>
  <c r="T2319" i="2"/>
  <c r="S2319" i="2"/>
  <c r="R2320" i="2"/>
  <c r="T2320" i="2"/>
  <c r="S2320" i="2"/>
  <c r="R2321" i="2"/>
  <c r="T2321" i="2"/>
  <c r="S2321" i="2"/>
  <c r="R2322" i="2"/>
  <c r="T2322" i="2"/>
  <c r="S2322" i="2"/>
  <c r="R2323" i="2"/>
  <c r="T2323" i="2"/>
  <c r="S2323" i="2"/>
  <c r="R2324" i="2"/>
  <c r="T2324" i="2"/>
  <c r="S2324" i="2"/>
  <c r="R2325" i="2"/>
  <c r="T2325" i="2"/>
  <c r="S2325" i="2"/>
  <c r="R2326" i="2"/>
  <c r="T2326" i="2"/>
  <c r="S2326" i="2"/>
  <c r="R2327" i="2"/>
  <c r="T2327" i="2"/>
  <c r="S2327" i="2"/>
  <c r="R2328" i="2"/>
  <c r="T2328" i="2"/>
  <c r="S2328" i="2"/>
  <c r="R2329" i="2"/>
  <c r="T2329" i="2"/>
  <c r="S2329" i="2"/>
  <c r="R2330" i="2"/>
  <c r="T2330" i="2"/>
  <c r="S2330" i="2"/>
  <c r="R2331" i="2"/>
  <c r="T2331" i="2"/>
  <c r="S2331" i="2"/>
  <c r="R2332" i="2"/>
  <c r="T2332" i="2"/>
  <c r="S2332" i="2"/>
  <c r="R2333" i="2"/>
  <c r="T2333" i="2"/>
  <c r="S2333" i="2"/>
  <c r="R2334" i="2"/>
  <c r="T2334" i="2"/>
  <c r="S2334" i="2"/>
  <c r="R2335" i="2"/>
  <c r="T2335" i="2"/>
  <c r="S2335" i="2"/>
  <c r="R2336" i="2"/>
  <c r="T2336" i="2"/>
  <c r="S2336" i="2"/>
  <c r="R2337" i="2"/>
  <c r="T2337" i="2"/>
  <c r="S2337" i="2"/>
  <c r="R2338" i="2"/>
  <c r="T2338" i="2"/>
  <c r="S2338" i="2"/>
  <c r="R2339" i="2"/>
  <c r="T2339" i="2"/>
  <c r="S2339" i="2"/>
  <c r="R2340" i="2"/>
  <c r="T2340" i="2"/>
  <c r="S2340" i="2"/>
  <c r="R2341" i="2"/>
  <c r="T2341" i="2"/>
  <c r="S2341" i="2"/>
  <c r="R2342" i="2"/>
  <c r="T2342" i="2"/>
  <c r="S2342" i="2"/>
  <c r="R2343" i="2"/>
  <c r="T2343" i="2"/>
  <c r="S2343" i="2"/>
  <c r="R2344" i="2"/>
  <c r="T2344" i="2"/>
  <c r="S2344" i="2"/>
  <c r="R2345" i="2"/>
  <c r="T2345" i="2"/>
  <c r="S2345" i="2"/>
  <c r="R2346" i="2"/>
  <c r="T2346" i="2"/>
  <c r="S2346" i="2"/>
  <c r="R2347" i="2"/>
  <c r="T2347" i="2"/>
  <c r="S2347" i="2"/>
  <c r="R2348" i="2"/>
  <c r="T2348" i="2"/>
  <c r="S2348" i="2"/>
  <c r="R2349" i="2"/>
  <c r="T2349" i="2"/>
  <c r="S2349" i="2"/>
  <c r="R2350" i="2"/>
  <c r="T2350" i="2"/>
  <c r="S2350" i="2"/>
  <c r="R2351" i="2"/>
  <c r="T2351" i="2"/>
  <c r="S2351" i="2"/>
  <c r="R2352" i="2"/>
  <c r="T2352" i="2"/>
  <c r="S2352" i="2"/>
  <c r="R2353" i="2"/>
  <c r="T2353" i="2"/>
  <c r="S2353" i="2"/>
  <c r="R2354" i="2"/>
  <c r="T2354" i="2"/>
  <c r="S2354" i="2"/>
  <c r="R2355" i="2"/>
  <c r="T2355" i="2"/>
  <c r="S2355" i="2"/>
  <c r="R2356" i="2"/>
  <c r="T2356" i="2"/>
  <c r="S2356" i="2"/>
  <c r="R2357" i="2"/>
  <c r="T2357" i="2"/>
  <c r="S2357" i="2"/>
  <c r="R2358" i="2"/>
  <c r="T2358" i="2"/>
  <c r="S2358" i="2"/>
  <c r="R2359" i="2"/>
  <c r="T2359" i="2"/>
  <c r="S2359" i="2"/>
  <c r="R2360" i="2"/>
  <c r="T2360" i="2"/>
  <c r="S2360" i="2"/>
  <c r="R2361" i="2"/>
  <c r="T2361" i="2"/>
  <c r="S2361" i="2"/>
  <c r="R2362" i="2"/>
  <c r="T2362" i="2"/>
  <c r="S2362" i="2"/>
  <c r="R2363" i="2"/>
  <c r="T2363" i="2"/>
  <c r="S2363" i="2"/>
  <c r="R2364" i="2"/>
  <c r="T2364" i="2"/>
  <c r="S2364" i="2"/>
  <c r="R2365" i="2"/>
  <c r="T2365" i="2"/>
  <c r="S2365" i="2"/>
  <c r="R2366" i="2"/>
  <c r="T2366" i="2"/>
  <c r="S2366" i="2"/>
  <c r="R2367" i="2"/>
  <c r="T2367" i="2"/>
  <c r="S2367" i="2"/>
  <c r="R2368" i="2"/>
  <c r="T2368" i="2"/>
  <c r="S2368" i="2"/>
  <c r="R2369" i="2"/>
  <c r="T2369" i="2"/>
  <c r="S2369" i="2"/>
  <c r="R2370" i="2"/>
  <c r="T2370" i="2"/>
  <c r="S2370" i="2"/>
  <c r="R2371" i="2"/>
  <c r="T2371" i="2"/>
  <c r="S2371" i="2"/>
  <c r="R2372" i="2"/>
  <c r="T2372" i="2"/>
  <c r="S2372" i="2"/>
  <c r="R2373" i="2"/>
  <c r="T2373" i="2"/>
  <c r="S2373" i="2"/>
  <c r="R2374" i="2"/>
  <c r="T2374" i="2"/>
  <c r="S2374" i="2"/>
  <c r="R2375" i="2"/>
  <c r="T2375" i="2"/>
  <c r="S2375" i="2"/>
  <c r="R2376" i="2"/>
  <c r="T2376" i="2"/>
  <c r="S2376" i="2"/>
  <c r="R2377" i="2"/>
  <c r="T2377" i="2"/>
  <c r="S2377" i="2"/>
  <c r="R2378" i="2"/>
  <c r="T2378" i="2"/>
  <c r="S2378" i="2"/>
  <c r="R2379" i="2"/>
  <c r="T2379" i="2"/>
  <c r="S2379" i="2"/>
  <c r="R2380" i="2"/>
  <c r="T2380" i="2"/>
  <c r="S2380" i="2"/>
  <c r="R2381" i="2"/>
  <c r="T2381" i="2"/>
  <c r="S2381" i="2"/>
  <c r="R2382" i="2"/>
  <c r="T2382" i="2"/>
  <c r="S2382" i="2"/>
  <c r="R2383" i="2"/>
  <c r="T2383" i="2"/>
  <c r="S2383" i="2"/>
  <c r="R2384" i="2"/>
  <c r="T2384" i="2"/>
  <c r="S2384" i="2"/>
  <c r="R2385" i="2"/>
  <c r="T2385" i="2"/>
  <c r="S2385" i="2"/>
  <c r="R2386" i="2"/>
  <c r="T2386" i="2"/>
  <c r="S2386" i="2"/>
  <c r="R2387" i="2"/>
  <c r="T2387" i="2"/>
  <c r="S2387" i="2"/>
  <c r="R2388" i="2"/>
  <c r="T2388" i="2"/>
  <c r="S2388" i="2"/>
  <c r="R2389" i="2"/>
  <c r="T2389" i="2"/>
  <c r="S2389" i="2"/>
  <c r="R2390" i="2"/>
  <c r="T2390" i="2"/>
  <c r="S2390" i="2"/>
  <c r="R2391" i="2"/>
  <c r="T2391" i="2"/>
  <c r="S2391" i="2"/>
  <c r="R2392" i="2"/>
  <c r="T2392" i="2"/>
  <c r="S2392" i="2"/>
  <c r="R2393" i="2"/>
  <c r="T2393" i="2"/>
  <c r="S2393" i="2"/>
  <c r="R2394" i="2"/>
  <c r="T2394" i="2"/>
  <c r="S2394" i="2"/>
  <c r="R2395" i="2"/>
  <c r="T2395" i="2"/>
  <c r="S2395" i="2"/>
  <c r="R2396" i="2"/>
  <c r="T2396" i="2"/>
  <c r="S2396" i="2"/>
  <c r="R2397" i="2"/>
  <c r="T2397" i="2"/>
  <c r="S2397" i="2"/>
  <c r="R2398" i="2"/>
  <c r="T2398" i="2"/>
  <c r="S2398" i="2"/>
  <c r="R2399" i="2"/>
  <c r="T2399" i="2"/>
  <c r="S2399" i="2"/>
  <c r="R2400" i="2"/>
  <c r="T2400" i="2"/>
  <c r="S2400" i="2"/>
  <c r="R2401" i="2"/>
  <c r="T2401" i="2"/>
  <c r="S2401" i="2"/>
  <c r="R2402" i="2"/>
  <c r="T2402" i="2"/>
  <c r="S2402" i="2"/>
  <c r="R2403" i="2"/>
  <c r="T2403" i="2"/>
  <c r="S2403" i="2"/>
  <c r="R2404" i="2"/>
  <c r="T2404" i="2"/>
  <c r="S2404" i="2"/>
  <c r="R2405" i="2"/>
  <c r="T2405" i="2"/>
  <c r="S2405" i="2"/>
  <c r="R2406" i="2"/>
  <c r="T2406" i="2"/>
  <c r="S2406" i="2"/>
  <c r="R2407" i="2"/>
  <c r="T2407" i="2"/>
  <c r="S2407" i="2"/>
  <c r="R2408" i="2"/>
  <c r="T2408" i="2"/>
  <c r="S2408" i="2"/>
  <c r="R2409" i="2"/>
  <c r="T2409" i="2"/>
  <c r="S2409" i="2"/>
  <c r="R2410" i="2"/>
  <c r="T2410" i="2"/>
  <c r="S2410" i="2"/>
  <c r="R2411" i="2"/>
  <c r="T2411" i="2"/>
  <c r="S2411" i="2"/>
  <c r="R2412" i="2"/>
  <c r="T2412" i="2"/>
  <c r="S2412" i="2"/>
  <c r="R2413" i="2"/>
  <c r="T2413" i="2"/>
  <c r="S2413" i="2"/>
  <c r="R2414" i="2"/>
  <c r="T2414" i="2"/>
  <c r="S2414" i="2"/>
  <c r="R2415" i="2"/>
  <c r="T2415" i="2"/>
  <c r="S2415" i="2"/>
  <c r="R2416" i="2"/>
  <c r="T2416" i="2"/>
  <c r="S2416" i="2"/>
  <c r="R2417" i="2"/>
  <c r="T2417" i="2"/>
  <c r="S2417" i="2"/>
  <c r="R2418" i="2"/>
  <c r="T2418" i="2"/>
  <c r="S2418" i="2"/>
  <c r="R2419" i="2"/>
  <c r="T2419" i="2"/>
  <c r="S2419" i="2"/>
  <c r="R2420" i="2"/>
  <c r="T2420" i="2"/>
  <c r="S2420" i="2"/>
  <c r="R2421" i="2"/>
  <c r="T2421" i="2"/>
  <c r="S2421" i="2"/>
  <c r="R2422" i="2"/>
  <c r="T2422" i="2"/>
  <c r="S2422" i="2"/>
  <c r="R2423" i="2"/>
  <c r="T2423" i="2"/>
  <c r="S2423" i="2"/>
  <c r="R2424" i="2"/>
  <c r="T2424" i="2"/>
  <c r="S2424" i="2"/>
  <c r="R2425" i="2"/>
  <c r="T2425" i="2"/>
  <c r="S2425" i="2"/>
  <c r="R2426" i="2"/>
  <c r="T2426" i="2"/>
  <c r="S2426" i="2"/>
  <c r="R2427" i="2"/>
  <c r="T2427" i="2"/>
  <c r="S2427" i="2"/>
  <c r="R2428" i="2"/>
  <c r="T2428" i="2"/>
  <c r="S2428" i="2"/>
  <c r="R2429" i="2"/>
  <c r="T2429" i="2"/>
  <c r="S2429" i="2"/>
  <c r="R2430" i="2"/>
  <c r="T2430" i="2"/>
  <c r="S2430" i="2"/>
  <c r="R2431" i="2"/>
  <c r="T2431" i="2"/>
  <c r="S2431" i="2"/>
  <c r="R2432" i="2"/>
  <c r="T2432" i="2"/>
  <c r="S2432" i="2"/>
  <c r="R2433" i="2"/>
  <c r="T2433" i="2"/>
  <c r="S2433" i="2"/>
  <c r="R2434" i="2"/>
  <c r="T2434" i="2"/>
  <c r="S2434" i="2"/>
  <c r="R2435" i="2"/>
  <c r="T2435" i="2"/>
  <c r="S2435" i="2"/>
  <c r="R2436" i="2"/>
  <c r="T2436" i="2"/>
  <c r="S2436" i="2"/>
  <c r="R2437" i="2"/>
  <c r="T2437" i="2"/>
  <c r="S2437" i="2"/>
  <c r="R2438" i="2"/>
  <c r="T2438" i="2"/>
  <c r="S2438" i="2"/>
  <c r="R2439" i="2"/>
  <c r="T2439" i="2"/>
  <c r="S2439" i="2"/>
  <c r="R2440" i="2"/>
  <c r="T2440" i="2"/>
  <c r="S2440" i="2"/>
  <c r="R2441" i="2"/>
  <c r="T2441" i="2"/>
  <c r="S2441" i="2"/>
  <c r="R2442" i="2"/>
  <c r="T2442" i="2"/>
  <c r="S2442" i="2"/>
  <c r="R2443" i="2"/>
  <c r="T2443" i="2"/>
  <c r="S2443" i="2"/>
  <c r="R2444" i="2"/>
  <c r="T2444" i="2"/>
  <c r="S2444" i="2"/>
  <c r="R2445" i="2"/>
  <c r="T2445" i="2"/>
  <c r="S2445" i="2"/>
  <c r="R2446" i="2"/>
  <c r="T2446" i="2"/>
  <c r="S2446" i="2"/>
  <c r="R2447" i="2"/>
  <c r="T2447" i="2"/>
  <c r="S2447" i="2"/>
  <c r="R2448" i="2"/>
  <c r="T2448" i="2"/>
  <c r="S2448" i="2"/>
  <c r="R2449" i="2"/>
  <c r="T2449" i="2"/>
  <c r="S2449" i="2"/>
  <c r="R2450" i="2"/>
  <c r="T2450" i="2"/>
  <c r="S2450" i="2"/>
  <c r="R2451" i="2"/>
  <c r="T2451" i="2"/>
  <c r="S2451" i="2"/>
  <c r="R2452" i="2"/>
  <c r="T2452" i="2"/>
  <c r="S2452" i="2"/>
  <c r="R2453" i="2"/>
  <c r="T2453" i="2"/>
  <c r="S2453" i="2"/>
  <c r="R2454" i="2"/>
  <c r="T2454" i="2"/>
  <c r="S2454" i="2"/>
  <c r="R2455" i="2"/>
  <c r="T2455" i="2"/>
  <c r="S2455" i="2"/>
  <c r="R2456" i="2"/>
  <c r="T2456" i="2"/>
  <c r="S2456" i="2"/>
  <c r="R2457" i="2"/>
  <c r="T2457" i="2"/>
  <c r="S2457" i="2"/>
  <c r="R2458" i="2"/>
  <c r="T2458" i="2"/>
  <c r="S2458" i="2"/>
  <c r="R2459" i="2"/>
  <c r="T2459" i="2"/>
  <c r="S2459" i="2"/>
  <c r="R2460" i="2"/>
  <c r="T2460" i="2"/>
  <c r="S2460" i="2"/>
  <c r="R2461" i="2"/>
  <c r="T2461" i="2"/>
  <c r="S2461" i="2"/>
  <c r="R2462" i="2"/>
  <c r="T2462" i="2"/>
  <c r="S2462" i="2"/>
  <c r="R2463" i="2"/>
  <c r="T2463" i="2"/>
  <c r="S2463" i="2"/>
  <c r="R2464" i="2"/>
  <c r="T2464" i="2"/>
  <c r="S2464" i="2"/>
  <c r="R2465" i="2"/>
  <c r="T2465" i="2"/>
  <c r="S2465" i="2"/>
  <c r="R2466" i="2"/>
  <c r="T2466" i="2"/>
  <c r="S2466" i="2"/>
  <c r="R2467" i="2"/>
  <c r="T2467" i="2"/>
  <c r="S2467" i="2"/>
  <c r="R2468" i="2"/>
  <c r="T2468" i="2"/>
  <c r="S2468" i="2"/>
  <c r="R2469" i="2"/>
  <c r="T2469" i="2"/>
  <c r="S2469" i="2"/>
  <c r="R2470" i="2"/>
  <c r="T2470" i="2"/>
  <c r="S2470" i="2"/>
  <c r="R2471" i="2"/>
  <c r="T2471" i="2"/>
  <c r="S2471" i="2"/>
  <c r="R2472" i="2"/>
  <c r="T2472" i="2"/>
  <c r="S2472" i="2"/>
  <c r="R2473" i="2"/>
  <c r="T2473" i="2"/>
  <c r="S2473" i="2"/>
  <c r="R2474" i="2"/>
  <c r="T2474" i="2"/>
  <c r="S2474" i="2"/>
  <c r="R2475" i="2"/>
  <c r="T2475" i="2"/>
  <c r="S2475" i="2"/>
  <c r="R2476" i="2"/>
  <c r="T2476" i="2"/>
  <c r="S2476" i="2"/>
  <c r="R2477" i="2"/>
  <c r="T2477" i="2"/>
  <c r="S2477" i="2"/>
  <c r="R2478" i="2"/>
  <c r="T2478" i="2"/>
  <c r="S2478" i="2"/>
  <c r="R2479" i="2"/>
  <c r="T2479" i="2"/>
  <c r="S2479" i="2"/>
  <c r="R2480" i="2"/>
  <c r="T2480" i="2"/>
  <c r="S2480" i="2"/>
  <c r="R2481" i="2"/>
  <c r="T2481" i="2"/>
  <c r="S2481" i="2"/>
  <c r="R2482" i="2"/>
  <c r="T2482" i="2"/>
  <c r="S2482" i="2"/>
  <c r="R2483" i="2"/>
  <c r="T2483" i="2"/>
  <c r="S2483" i="2"/>
  <c r="R2484" i="2"/>
  <c r="T2484" i="2"/>
  <c r="S2484" i="2"/>
  <c r="R2485" i="2"/>
  <c r="T2485" i="2"/>
  <c r="S2485" i="2"/>
  <c r="R2486" i="2"/>
  <c r="T2486" i="2"/>
  <c r="S2486" i="2"/>
  <c r="R2487" i="2"/>
  <c r="T2487" i="2"/>
  <c r="S2487" i="2"/>
  <c r="R2488" i="2"/>
  <c r="T2488" i="2"/>
  <c r="S2488" i="2"/>
  <c r="R2489" i="2"/>
  <c r="T2489" i="2"/>
  <c r="S2489" i="2"/>
  <c r="R2490" i="2"/>
  <c r="T2490" i="2"/>
  <c r="S2490" i="2"/>
  <c r="R2491" i="2"/>
  <c r="T2491" i="2"/>
  <c r="S2491" i="2"/>
  <c r="R2492" i="2"/>
  <c r="T2492" i="2"/>
  <c r="S2492" i="2"/>
  <c r="R2493" i="2"/>
  <c r="T2493" i="2"/>
  <c r="S2493" i="2"/>
  <c r="R2494" i="2"/>
  <c r="T2494" i="2"/>
  <c r="S2494" i="2"/>
  <c r="R2495" i="2"/>
  <c r="T2495" i="2"/>
  <c r="S2495" i="2"/>
  <c r="R2496" i="2"/>
  <c r="T2496" i="2"/>
  <c r="S2496" i="2"/>
  <c r="R2497" i="2"/>
  <c r="T2497" i="2"/>
  <c r="S2497" i="2"/>
  <c r="R2498" i="2"/>
  <c r="T2498" i="2"/>
  <c r="S2498" i="2"/>
  <c r="R2499" i="2"/>
  <c r="T2499" i="2"/>
  <c r="S2499" i="2"/>
  <c r="R2500" i="2"/>
  <c r="T2500" i="2"/>
  <c r="S2500" i="2"/>
  <c r="R2501" i="2"/>
  <c r="T2501" i="2"/>
  <c r="S2501" i="2"/>
  <c r="R2502" i="2"/>
  <c r="T2502" i="2"/>
  <c r="S2502" i="2"/>
  <c r="R2503" i="2"/>
  <c r="T2503" i="2"/>
  <c r="S2503" i="2"/>
  <c r="R2504" i="2"/>
  <c r="T2504" i="2"/>
  <c r="S2504" i="2"/>
  <c r="R2505" i="2"/>
  <c r="T2505" i="2"/>
  <c r="S2505" i="2"/>
  <c r="R2506" i="2"/>
  <c r="T2506" i="2"/>
  <c r="S2506" i="2"/>
  <c r="R2507" i="2"/>
  <c r="T2507" i="2"/>
  <c r="S2507" i="2"/>
  <c r="R2508" i="2"/>
  <c r="T2508" i="2"/>
  <c r="S2508" i="2"/>
  <c r="R2509" i="2"/>
  <c r="T2509" i="2"/>
  <c r="S2509" i="2"/>
  <c r="R2510" i="2"/>
  <c r="T2510" i="2"/>
  <c r="S2510" i="2"/>
  <c r="R2511" i="2"/>
  <c r="T2511" i="2"/>
  <c r="S2511" i="2"/>
  <c r="R2512" i="2"/>
  <c r="T2512" i="2"/>
  <c r="S2512" i="2"/>
  <c r="R2513" i="2"/>
  <c r="T2513" i="2"/>
  <c r="S2513" i="2"/>
  <c r="R2514" i="2"/>
  <c r="T2514" i="2"/>
  <c r="S2514" i="2"/>
  <c r="R2515" i="2"/>
  <c r="T2515" i="2"/>
  <c r="S2515" i="2"/>
  <c r="R2516" i="2"/>
  <c r="T2516" i="2"/>
  <c r="S2516" i="2"/>
  <c r="R2517" i="2"/>
  <c r="T2517" i="2"/>
  <c r="S2517" i="2"/>
  <c r="R2518" i="2"/>
  <c r="T2518" i="2"/>
  <c r="S2518" i="2"/>
  <c r="R2519" i="2"/>
  <c r="T2519" i="2"/>
  <c r="S2519" i="2"/>
  <c r="R2520" i="2"/>
  <c r="T2520" i="2"/>
  <c r="S2520" i="2"/>
  <c r="R2521" i="2"/>
  <c r="T2521" i="2"/>
  <c r="S2521" i="2"/>
  <c r="R2522" i="2"/>
  <c r="T2522" i="2"/>
  <c r="S2522" i="2"/>
  <c r="R2523" i="2"/>
  <c r="T2523" i="2"/>
  <c r="S2523" i="2"/>
  <c r="R2524" i="2"/>
  <c r="T2524" i="2"/>
  <c r="S2524" i="2"/>
  <c r="R2525" i="2"/>
  <c r="T2525" i="2"/>
  <c r="S2525" i="2"/>
  <c r="R2526" i="2"/>
  <c r="T2526" i="2"/>
  <c r="S2526" i="2"/>
  <c r="R2527" i="2"/>
  <c r="T2527" i="2"/>
  <c r="S2527" i="2"/>
  <c r="R2528" i="2"/>
  <c r="T2528" i="2"/>
  <c r="S2528" i="2"/>
  <c r="R2529" i="2"/>
  <c r="T2529" i="2"/>
  <c r="S2529" i="2"/>
  <c r="R2530" i="2"/>
  <c r="T2530" i="2"/>
  <c r="S2530" i="2"/>
  <c r="R2531" i="2"/>
  <c r="T2531" i="2"/>
  <c r="S2531" i="2"/>
  <c r="R2532" i="2"/>
  <c r="T2532" i="2"/>
  <c r="S2532" i="2"/>
  <c r="R2533" i="2"/>
  <c r="T2533" i="2"/>
  <c r="S2533" i="2"/>
  <c r="R2534" i="2"/>
  <c r="T2534" i="2"/>
  <c r="S2534" i="2"/>
  <c r="R2535" i="2"/>
  <c r="T2535" i="2"/>
  <c r="S2535" i="2"/>
  <c r="R2536" i="2"/>
  <c r="T2536" i="2"/>
  <c r="S2536" i="2"/>
  <c r="R2537" i="2"/>
  <c r="T2537" i="2"/>
  <c r="S2537" i="2"/>
  <c r="R2538" i="2"/>
  <c r="T2538" i="2"/>
  <c r="S2538" i="2"/>
  <c r="R2539" i="2"/>
  <c r="T2539" i="2"/>
  <c r="S2539" i="2"/>
  <c r="R2540" i="2"/>
  <c r="T2540" i="2"/>
  <c r="S2540" i="2"/>
  <c r="R2541" i="2"/>
  <c r="T2541" i="2"/>
  <c r="S2541" i="2"/>
  <c r="R2542" i="2"/>
  <c r="T2542" i="2"/>
  <c r="S2542" i="2"/>
  <c r="R2543" i="2"/>
  <c r="T2543" i="2"/>
  <c r="S2543" i="2"/>
  <c r="R2544" i="2"/>
  <c r="T2544" i="2"/>
  <c r="S2544" i="2"/>
  <c r="R2545" i="2"/>
  <c r="T2545" i="2"/>
  <c r="S2545" i="2"/>
  <c r="R2546" i="2"/>
  <c r="T2546" i="2"/>
  <c r="S2546" i="2"/>
  <c r="R2547" i="2"/>
  <c r="T2547" i="2"/>
  <c r="S2547" i="2"/>
  <c r="R2548" i="2"/>
  <c r="T2548" i="2"/>
  <c r="S2548" i="2"/>
  <c r="R2549" i="2"/>
  <c r="T2549" i="2"/>
  <c r="S2549" i="2"/>
  <c r="R2550" i="2"/>
  <c r="T2550" i="2"/>
  <c r="S2550" i="2"/>
  <c r="R2551" i="2"/>
  <c r="T2551" i="2"/>
  <c r="S2551" i="2"/>
  <c r="R2552" i="2"/>
  <c r="T2552" i="2"/>
  <c r="S2552" i="2"/>
  <c r="R2553" i="2"/>
  <c r="T2553" i="2"/>
  <c r="S2553" i="2"/>
  <c r="R2554" i="2"/>
  <c r="T2554" i="2"/>
  <c r="S2554" i="2"/>
  <c r="R2555" i="2"/>
  <c r="T2555" i="2"/>
  <c r="S2555" i="2"/>
  <c r="R2556" i="2"/>
  <c r="T2556" i="2"/>
  <c r="S2556" i="2"/>
  <c r="R2557" i="2"/>
  <c r="T2557" i="2"/>
  <c r="S2557" i="2"/>
  <c r="R2558" i="2"/>
  <c r="T2558" i="2"/>
  <c r="S2558" i="2"/>
  <c r="R2559" i="2"/>
  <c r="T2559" i="2"/>
  <c r="S2559" i="2"/>
  <c r="R2560" i="2"/>
  <c r="T2560" i="2"/>
  <c r="S2560" i="2"/>
  <c r="R2561" i="2"/>
  <c r="T2561" i="2"/>
  <c r="S2561" i="2"/>
  <c r="R2562" i="2"/>
  <c r="T2562" i="2"/>
  <c r="S2562" i="2"/>
  <c r="R2563" i="2"/>
  <c r="T2563" i="2"/>
  <c r="S2563" i="2"/>
  <c r="R2564" i="2"/>
  <c r="T2564" i="2"/>
  <c r="S2564" i="2"/>
  <c r="R2565" i="2"/>
  <c r="T2565" i="2"/>
  <c r="S2565" i="2"/>
  <c r="R2566" i="2"/>
  <c r="T2566" i="2"/>
  <c r="S2566" i="2"/>
  <c r="R2567" i="2"/>
  <c r="T2567" i="2"/>
  <c r="S2567" i="2"/>
  <c r="R2568" i="2"/>
  <c r="T2568" i="2"/>
  <c r="S2568" i="2"/>
  <c r="R2569" i="2"/>
  <c r="T2569" i="2"/>
  <c r="S2569" i="2"/>
  <c r="R2570" i="2"/>
  <c r="T2570" i="2"/>
  <c r="S2570" i="2"/>
  <c r="R2571" i="2"/>
  <c r="T2571" i="2"/>
  <c r="S2571" i="2"/>
  <c r="R2572" i="2"/>
  <c r="T2572" i="2"/>
  <c r="S2572" i="2"/>
  <c r="R2573" i="2"/>
  <c r="T2573" i="2"/>
  <c r="S2573" i="2"/>
  <c r="R2574" i="2"/>
  <c r="T2574" i="2"/>
  <c r="S2574" i="2"/>
  <c r="R2575" i="2"/>
  <c r="T2575" i="2"/>
  <c r="S2575" i="2"/>
  <c r="R2576" i="2"/>
  <c r="T2576" i="2"/>
  <c r="S2576" i="2"/>
  <c r="R2577" i="2"/>
  <c r="T2577" i="2"/>
  <c r="S2577" i="2"/>
  <c r="R2578" i="2"/>
  <c r="T2578" i="2"/>
  <c r="S2578" i="2"/>
  <c r="R2579" i="2"/>
  <c r="T2579" i="2"/>
  <c r="S2579" i="2"/>
  <c r="R2580" i="2"/>
  <c r="T2580" i="2"/>
  <c r="S2580" i="2"/>
  <c r="R2581" i="2"/>
  <c r="T2581" i="2"/>
  <c r="S2581" i="2"/>
  <c r="R2582" i="2"/>
  <c r="T2582" i="2"/>
  <c r="S2582" i="2"/>
  <c r="R2583" i="2"/>
  <c r="T2583" i="2"/>
  <c r="S2583" i="2"/>
  <c r="R2584" i="2"/>
  <c r="T2584" i="2"/>
  <c r="S2584" i="2"/>
  <c r="R2585" i="2"/>
  <c r="T2585" i="2"/>
  <c r="S2585" i="2"/>
  <c r="R2586" i="2"/>
  <c r="T2586" i="2"/>
  <c r="S2586" i="2"/>
  <c r="R2587" i="2"/>
  <c r="T2587" i="2"/>
  <c r="S2587" i="2"/>
  <c r="R2588" i="2"/>
  <c r="T2588" i="2"/>
  <c r="S2588" i="2"/>
  <c r="R2589" i="2"/>
  <c r="T2589" i="2"/>
  <c r="S2589" i="2"/>
  <c r="R2590" i="2"/>
  <c r="T2590" i="2"/>
  <c r="S2590" i="2"/>
  <c r="R2591" i="2"/>
  <c r="T2591" i="2"/>
  <c r="S2591" i="2"/>
  <c r="R2592" i="2"/>
  <c r="T2592" i="2"/>
  <c r="S2592" i="2"/>
  <c r="R2593" i="2"/>
  <c r="T2593" i="2"/>
  <c r="S2593" i="2"/>
  <c r="R2594" i="2"/>
  <c r="T2594" i="2"/>
  <c r="S2594" i="2"/>
  <c r="R2595" i="2"/>
  <c r="T2595" i="2"/>
  <c r="S2595" i="2"/>
  <c r="R2596" i="2"/>
  <c r="T2596" i="2"/>
  <c r="S2596" i="2"/>
  <c r="R2597" i="2"/>
  <c r="T2597" i="2"/>
  <c r="S2597" i="2"/>
  <c r="R2598" i="2"/>
  <c r="T2598" i="2"/>
  <c r="S2598" i="2"/>
  <c r="R2599" i="2"/>
  <c r="T2599" i="2"/>
  <c r="S2599" i="2"/>
  <c r="R2600" i="2"/>
  <c r="T2600" i="2"/>
  <c r="S2600" i="2"/>
  <c r="R2601" i="2"/>
  <c r="T2601" i="2"/>
  <c r="S2601" i="2"/>
  <c r="R2602" i="2"/>
  <c r="T2602" i="2"/>
  <c r="S2602" i="2"/>
  <c r="R2603" i="2"/>
  <c r="T2603" i="2"/>
  <c r="S2603" i="2"/>
  <c r="R2604" i="2"/>
  <c r="T2604" i="2"/>
  <c r="S2604" i="2"/>
  <c r="R2605" i="2"/>
  <c r="T2605" i="2"/>
  <c r="S2605" i="2"/>
  <c r="R2606" i="2"/>
  <c r="T2606" i="2"/>
  <c r="S2606" i="2"/>
  <c r="R2607" i="2"/>
  <c r="T2607" i="2"/>
  <c r="S2607" i="2"/>
  <c r="R2608" i="2"/>
  <c r="T2608" i="2"/>
  <c r="S2608" i="2"/>
  <c r="R2609" i="2"/>
  <c r="T2609" i="2"/>
  <c r="S2609" i="2"/>
  <c r="R2610" i="2"/>
  <c r="T2610" i="2"/>
  <c r="S2610" i="2"/>
  <c r="R2611" i="2"/>
  <c r="T2611" i="2"/>
  <c r="S2611" i="2"/>
  <c r="R2612" i="2"/>
  <c r="T2612" i="2"/>
  <c r="S2612" i="2"/>
  <c r="R2613" i="2"/>
  <c r="T2613" i="2"/>
  <c r="S2613" i="2"/>
  <c r="R2614" i="2"/>
  <c r="T2614" i="2"/>
  <c r="S2614" i="2"/>
  <c r="R2615" i="2"/>
  <c r="T2615" i="2"/>
  <c r="S2615" i="2"/>
  <c r="R2616" i="2"/>
  <c r="T2616" i="2"/>
  <c r="S2616" i="2"/>
  <c r="R2617" i="2"/>
  <c r="T2617" i="2"/>
  <c r="S2617" i="2"/>
  <c r="R2618" i="2"/>
  <c r="T2618" i="2"/>
  <c r="S2618" i="2"/>
  <c r="R2619" i="2"/>
  <c r="T2619" i="2"/>
  <c r="S2619" i="2"/>
  <c r="R2620" i="2"/>
  <c r="T2620" i="2"/>
  <c r="S2620" i="2"/>
  <c r="R2621" i="2"/>
  <c r="T2621" i="2"/>
  <c r="S2621" i="2"/>
  <c r="R2622" i="2"/>
  <c r="T2622" i="2"/>
  <c r="S2622" i="2"/>
  <c r="R2623" i="2"/>
  <c r="T2623" i="2"/>
  <c r="S2623" i="2"/>
  <c r="R2624" i="2"/>
  <c r="T2624" i="2"/>
  <c r="S2624" i="2"/>
  <c r="R2625" i="2"/>
  <c r="T2625" i="2"/>
  <c r="S2625" i="2"/>
  <c r="R2626" i="2"/>
  <c r="T2626" i="2"/>
  <c r="S2626" i="2"/>
  <c r="R2627" i="2"/>
  <c r="T2627" i="2"/>
  <c r="S2627" i="2"/>
  <c r="R2628" i="2"/>
  <c r="T2628" i="2"/>
  <c r="S2628" i="2"/>
  <c r="R2629" i="2"/>
  <c r="T2629" i="2"/>
  <c r="S2629" i="2"/>
  <c r="R2630" i="2"/>
  <c r="T2630" i="2"/>
  <c r="S2630" i="2"/>
  <c r="R2631" i="2"/>
  <c r="T2631" i="2"/>
  <c r="S2631" i="2"/>
  <c r="R2632" i="2"/>
  <c r="T2632" i="2"/>
  <c r="S2632" i="2"/>
  <c r="R2633" i="2"/>
  <c r="T2633" i="2"/>
  <c r="S2633" i="2"/>
  <c r="R2634" i="2"/>
  <c r="T2634" i="2"/>
  <c r="S2634" i="2"/>
  <c r="R2635" i="2"/>
  <c r="T2635" i="2"/>
  <c r="S2635" i="2"/>
  <c r="R2636" i="2"/>
  <c r="T2636" i="2"/>
  <c r="S2636" i="2"/>
  <c r="R2637" i="2"/>
  <c r="T2637" i="2"/>
  <c r="S2637" i="2"/>
  <c r="R2638" i="2"/>
  <c r="T2638" i="2"/>
  <c r="S2638" i="2"/>
  <c r="R2639" i="2"/>
  <c r="T2639" i="2"/>
  <c r="S2639" i="2"/>
  <c r="R2640" i="2"/>
  <c r="T2640" i="2"/>
  <c r="S2640" i="2"/>
  <c r="R2641" i="2"/>
  <c r="T2641" i="2"/>
  <c r="S2641" i="2"/>
  <c r="R2642" i="2"/>
  <c r="T2642" i="2"/>
  <c r="S2642" i="2"/>
  <c r="R2643" i="2"/>
  <c r="T2643" i="2"/>
  <c r="S2643" i="2"/>
  <c r="R2644" i="2"/>
  <c r="T2644" i="2"/>
  <c r="S2644" i="2"/>
  <c r="R2645" i="2"/>
  <c r="T2645" i="2"/>
  <c r="S2645" i="2"/>
  <c r="R2646" i="2"/>
  <c r="T2646" i="2"/>
  <c r="S2646" i="2"/>
  <c r="R2647" i="2"/>
  <c r="T2647" i="2"/>
  <c r="S2647" i="2"/>
  <c r="R2648" i="2"/>
  <c r="T2648" i="2"/>
  <c r="S2648" i="2"/>
  <c r="R2649" i="2"/>
  <c r="T2649" i="2"/>
  <c r="S2649" i="2"/>
  <c r="R2650" i="2"/>
  <c r="T2650" i="2"/>
  <c r="S2650" i="2"/>
  <c r="R2651" i="2"/>
  <c r="T2651" i="2"/>
  <c r="S2651" i="2"/>
  <c r="R2652" i="2"/>
  <c r="T2652" i="2"/>
  <c r="S2652" i="2"/>
  <c r="R2653" i="2"/>
  <c r="T2653" i="2"/>
  <c r="S2653" i="2"/>
  <c r="R2654" i="2"/>
  <c r="T2654" i="2"/>
  <c r="S2654" i="2"/>
  <c r="R2655" i="2"/>
  <c r="T2655" i="2"/>
  <c r="S2655" i="2"/>
  <c r="R2656" i="2"/>
  <c r="T2656" i="2"/>
  <c r="S2656" i="2"/>
  <c r="R2657" i="2"/>
  <c r="T2657" i="2"/>
  <c r="S2657" i="2"/>
  <c r="R2658" i="2"/>
  <c r="T2658" i="2"/>
  <c r="S2658" i="2"/>
  <c r="R2659" i="2"/>
  <c r="T2659" i="2"/>
  <c r="S2659" i="2"/>
  <c r="R2660" i="2"/>
  <c r="T2660" i="2"/>
  <c r="S2660" i="2"/>
  <c r="R2661" i="2"/>
  <c r="T2661" i="2"/>
  <c r="S2661" i="2"/>
  <c r="R2662" i="2"/>
  <c r="T2662" i="2"/>
  <c r="S2662" i="2"/>
  <c r="R2663" i="2"/>
  <c r="T2663" i="2"/>
  <c r="S2663" i="2"/>
  <c r="R2664" i="2"/>
  <c r="T2664" i="2"/>
  <c r="S2664" i="2"/>
  <c r="R2665" i="2"/>
  <c r="T2665" i="2"/>
  <c r="S2665" i="2"/>
  <c r="R2666" i="2"/>
  <c r="T2666" i="2"/>
  <c r="S2666" i="2"/>
  <c r="R2667" i="2"/>
  <c r="T2667" i="2"/>
  <c r="S2667" i="2"/>
  <c r="R2668" i="2"/>
  <c r="T2668" i="2"/>
  <c r="S2668" i="2"/>
  <c r="R2669" i="2"/>
  <c r="T2669" i="2"/>
  <c r="S2669" i="2"/>
  <c r="R2670" i="2"/>
  <c r="T2670" i="2"/>
  <c r="S2670" i="2"/>
  <c r="R2671" i="2"/>
  <c r="T2671" i="2"/>
  <c r="S2671" i="2"/>
  <c r="R2672" i="2"/>
  <c r="T2672" i="2"/>
  <c r="S2672" i="2"/>
  <c r="R2673" i="2"/>
  <c r="T2673" i="2"/>
  <c r="S2673" i="2"/>
  <c r="R2674" i="2"/>
  <c r="T2674" i="2"/>
  <c r="S2674" i="2"/>
  <c r="R2675" i="2"/>
  <c r="T2675" i="2"/>
  <c r="S2675" i="2"/>
  <c r="R2676" i="2"/>
  <c r="T2676" i="2"/>
  <c r="S2676" i="2"/>
  <c r="R2677" i="2"/>
  <c r="T2677" i="2"/>
  <c r="S2677" i="2"/>
  <c r="R2678" i="2"/>
  <c r="T2678" i="2"/>
  <c r="S2678" i="2"/>
  <c r="R2679" i="2"/>
  <c r="T2679" i="2"/>
  <c r="S2679" i="2"/>
  <c r="R2680" i="2"/>
  <c r="T2680" i="2"/>
  <c r="S2680" i="2"/>
  <c r="R2681" i="2"/>
  <c r="T2681" i="2"/>
  <c r="S2681" i="2"/>
  <c r="R2682" i="2"/>
  <c r="T2682" i="2"/>
  <c r="S2682" i="2"/>
  <c r="R2683" i="2"/>
  <c r="T2683" i="2"/>
  <c r="S2683" i="2"/>
  <c r="R2684" i="2"/>
  <c r="T2684" i="2"/>
  <c r="S2684" i="2"/>
  <c r="R2685" i="2"/>
  <c r="T2685" i="2"/>
  <c r="S2685" i="2"/>
  <c r="R2686" i="2"/>
  <c r="T2686" i="2"/>
  <c r="S2686" i="2"/>
  <c r="R2687" i="2"/>
  <c r="T2687" i="2"/>
  <c r="S2687" i="2"/>
  <c r="R2688" i="2"/>
  <c r="T2688" i="2"/>
  <c r="S2688" i="2"/>
  <c r="R2689" i="2"/>
  <c r="T2689" i="2"/>
  <c r="S2689" i="2"/>
  <c r="R2690" i="2"/>
  <c r="T2690" i="2"/>
  <c r="S2690" i="2"/>
  <c r="R2691" i="2"/>
  <c r="T2691" i="2"/>
  <c r="S2691" i="2"/>
  <c r="R2692" i="2"/>
  <c r="T2692" i="2"/>
  <c r="S2692" i="2"/>
  <c r="R2693" i="2"/>
  <c r="T2693" i="2"/>
  <c r="S2693" i="2"/>
  <c r="R2694" i="2"/>
  <c r="T2694" i="2"/>
  <c r="S2694" i="2"/>
  <c r="R2695" i="2"/>
  <c r="T2695" i="2"/>
  <c r="S2695" i="2"/>
  <c r="R2696" i="2"/>
  <c r="T2696" i="2"/>
  <c r="S2696" i="2"/>
  <c r="R2697" i="2"/>
  <c r="T2697" i="2"/>
  <c r="S2697" i="2"/>
  <c r="R2698" i="2"/>
  <c r="T2698" i="2"/>
  <c r="S2698" i="2"/>
  <c r="R2699" i="2"/>
  <c r="T2699" i="2"/>
  <c r="S2699" i="2"/>
  <c r="R2700" i="2"/>
  <c r="T2700" i="2"/>
  <c r="S2700" i="2"/>
  <c r="R2701" i="2"/>
  <c r="T2701" i="2"/>
  <c r="S2701" i="2"/>
  <c r="R2702" i="2"/>
  <c r="T2702" i="2"/>
  <c r="S2702" i="2"/>
  <c r="R2703" i="2"/>
  <c r="T2703" i="2"/>
  <c r="S2703" i="2"/>
  <c r="R2704" i="2"/>
  <c r="T2704" i="2"/>
  <c r="S2704" i="2"/>
  <c r="R2705" i="2"/>
  <c r="T2705" i="2"/>
  <c r="S2705" i="2"/>
  <c r="R2706" i="2"/>
  <c r="T2706" i="2"/>
  <c r="S2706" i="2"/>
  <c r="R2707" i="2"/>
  <c r="T2707" i="2"/>
  <c r="S2707" i="2"/>
  <c r="R2708" i="2"/>
  <c r="T2708" i="2"/>
  <c r="S2708" i="2"/>
  <c r="R2709" i="2"/>
  <c r="T2709" i="2"/>
  <c r="S2709" i="2"/>
  <c r="R2710" i="2"/>
  <c r="T2710" i="2"/>
  <c r="S2710" i="2"/>
  <c r="R2711" i="2"/>
  <c r="T2711" i="2"/>
  <c r="S2711" i="2"/>
  <c r="R2712" i="2"/>
  <c r="T2712" i="2"/>
  <c r="S2712" i="2"/>
  <c r="R2713" i="2"/>
  <c r="T2713" i="2"/>
  <c r="S2713" i="2"/>
  <c r="R2714" i="2"/>
  <c r="T2714" i="2"/>
  <c r="S2714" i="2"/>
  <c r="R2715" i="2"/>
  <c r="T2715" i="2"/>
  <c r="S2715" i="2"/>
  <c r="R2716" i="2"/>
  <c r="T2716" i="2"/>
  <c r="S2716" i="2"/>
  <c r="R2717" i="2"/>
  <c r="T2717" i="2"/>
  <c r="S2717" i="2"/>
  <c r="R2718" i="2"/>
  <c r="T2718" i="2"/>
  <c r="S2718" i="2"/>
  <c r="R2719" i="2"/>
  <c r="T2719" i="2"/>
  <c r="S2719" i="2"/>
  <c r="R2720" i="2"/>
  <c r="T2720" i="2"/>
  <c r="S2720" i="2"/>
  <c r="R2721" i="2"/>
  <c r="T2721" i="2"/>
  <c r="S2721" i="2"/>
  <c r="R2722" i="2"/>
  <c r="T2722" i="2"/>
  <c r="S2722" i="2"/>
  <c r="R2723" i="2"/>
  <c r="T2723" i="2"/>
  <c r="S2723" i="2"/>
  <c r="R2724" i="2"/>
  <c r="T2724" i="2"/>
  <c r="S2724" i="2"/>
  <c r="R2725" i="2"/>
  <c r="T2725" i="2"/>
  <c r="S2725" i="2"/>
  <c r="R2726" i="2"/>
  <c r="T2726" i="2"/>
  <c r="S2726" i="2"/>
  <c r="R2727" i="2"/>
  <c r="T2727" i="2"/>
  <c r="S2727" i="2"/>
  <c r="R2728" i="2"/>
  <c r="T2728" i="2"/>
  <c r="S2728" i="2"/>
  <c r="R2729" i="2"/>
  <c r="T2729" i="2"/>
  <c r="S2729" i="2"/>
  <c r="R2730" i="2"/>
  <c r="T2730" i="2"/>
  <c r="S2730" i="2"/>
  <c r="R2731" i="2"/>
  <c r="T2731" i="2"/>
  <c r="S2731" i="2"/>
  <c r="R2732" i="2"/>
  <c r="T2732" i="2"/>
  <c r="S2732" i="2"/>
  <c r="R2733" i="2"/>
  <c r="T2733" i="2"/>
  <c r="S2733" i="2"/>
  <c r="R2734" i="2"/>
  <c r="T2734" i="2"/>
  <c r="S2734" i="2"/>
  <c r="R2735" i="2"/>
  <c r="T2735" i="2"/>
  <c r="S2735" i="2"/>
  <c r="R2736" i="2"/>
  <c r="T2736" i="2"/>
  <c r="S2736" i="2"/>
  <c r="R2737" i="2"/>
  <c r="T2737" i="2"/>
  <c r="S2737" i="2"/>
  <c r="R2738" i="2"/>
  <c r="T2738" i="2"/>
  <c r="S2738" i="2"/>
  <c r="R2739" i="2"/>
  <c r="T2739" i="2"/>
  <c r="S2739" i="2"/>
  <c r="R2740" i="2"/>
  <c r="T2740" i="2"/>
  <c r="S2740" i="2"/>
  <c r="R2741" i="2"/>
  <c r="T2741" i="2"/>
  <c r="S2741" i="2"/>
  <c r="R2742" i="2"/>
  <c r="T2742" i="2"/>
  <c r="S2742" i="2"/>
  <c r="R2743" i="2"/>
  <c r="T2743" i="2"/>
  <c r="S2743" i="2"/>
  <c r="R2744" i="2"/>
  <c r="T2744" i="2"/>
  <c r="S2744" i="2"/>
  <c r="R2745" i="2"/>
  <c r="T2745" i="2"/>
  <c r="S2745" i="2"/>
  <c r="R2746" i="2"/>
  <c r="T2746" i="2"/>
  <c r="S2746" i="2"/>
  <c r="R2747" i="2"/>
  <c r="T2747" i="2"/>
  <c r="S2747" i="2"/>
  <c r="R2748" i="2"/>
  <c r="T2748" i="2"/>
  <c r="S2748" i="2"/>
  <c r="R2749" i="2"/>
  <c r="T2749" i="2"/>
  <c r="S2749" i="2"/>
  <c r="R2750" i="2"/>
  <c r="T2750" i="2"/>
  <c r="S2750" i="2"/>
  <c r="R2751" i="2"/>
  <c r="T2751" i="2"/>
  <c r="S2751" i="2"/>
  <c r="R2752" i="2"/>
  <c r="T2752" i="2"/>
  <c r="S2752" i="2"/>
  <c r="R2753" i="2"/>
  <c r="T2753" i="2"/>
  <c r="S2753" i="2"/>
  <c r="R2754" i="2"/>
  <c r="T2754" i="2"/>
  <c r="S2754" i="2"/>
  <c r="R2755" i="2"/>
  <c r="T2755" i="2"/>
  <c r="S2755" i="2"/>
  <c r="R2756" i="2"/>
  <c r="T2756" i="2"/>
  <c r="S2756" i="2"/>
  <c r="R2757" i="2"/>
  <c r="T2757" i="2"/>
  <c r="S2757" i="2"/>
  <c r="R2758" i="2"/>
  <c r="T2758" i="2"/>
  <c r="S2758" i="2"/>
  <c r="R2759" i="2"/>
  <c r="T2759" i="2"/>
  <c r="S2759" i="2"/>
  <c r="R2760" i="2"/>
  <c r="T2760" i="2"/>
  <c r="S2760" i="2"/>
  <c r="R2761" i="2"/>
  <c r="T2761" i="2"/>
  <c r="S2761" i="2"/>
  <c r="R2762" i="2"/>
  <c r="T2762" i="2"/>
  <c r="S2762" i="2"/>
  <c r="R2763" i="2"/>
  <c r="T2763" i="2"/>
  <c r="S2763" i="2"/>
  <c r="R2764" i="2"/>
  <c r="T2764" i="2"/>
  <c r="S2764" i="2"/>
  <c r="R2765" i="2"/>
  <c r="T2765" i="2"/>
  <c r="S2765" i="2"/>
  <c r="R2766" i="2"/>
  <c r="T2766" i="2"/>
  <c r="S2766" i="2"/>
  <c r="R2767" i="2"/>
  <c r="T2767" i="2"/>
  <c r="S2767" i="2"/>
  <c r="R2768" i="2"/>
  <c r="T2768" i="2"/>
  <c r="S2768" i="2"/>
  <c r="R2769" i="2"/>
  <c r="T2769" i="2"/>
  <c r="S2769" i="2"/>
  <c r="R2770" i="2"/>
  <c r="T2770" i="2"/>
  <c r="S2770" i="2"/>
  <c r="R2771" i="2"/>
  <c r="T2771" i="2"/>
  <c r="S2771" i="2"/>
  <c r="R2772" i="2"/>
  <c r="T2772" i="2"/>
  <c r="S2772" i="2"/>
  <c r="R2773" i="2"/>
  <c r="T2773" i="2"/>
  <c r="S2773" i="2"/>
  <c r="R2774" i="2"/>
  <c r="T2774" i="2"/>
  <c r="S2774" i="2"/>
  <c r="R2775" i="2"/>
  <c r="T2775" i="2"/>
  <c r="S2775" i="2"/>
  <c r="R2776" i="2"/>
  <c r="T2776" i="2"/>
  <c r="S2776" i="2"/>
  <c r="R2777" i="2"/>
  <c r="T2777" i="2"/>
  <c r="S2777" i="2"/>
  <c r="R2778" i="2"/>
  <c r="T2778" i="2"/>
  <c r="S2778" i="2"/>
  <c r="R2779" i="2"/>
  <c r="T2779" i="2"/>
  <c r="S2779" i="2"/>
  <c r="R2780" i="2"/>
  <c r="T2780" i="2"/>
  <c r="S2780" i="2"/>
  <c r="R2781" i="2"/>
  <c r="T2781" i="2"/>
  <c r="S2781" i="2"/>
  <c r="R2782" i="2"/>
  <c r="T2782" i="2"/>
  <c r="S2782" i="2"/>
  <c r="R2783" i="2"/>
  <c r="T2783" i="2"/>
  <c r="S2783" i="2"/>
  <c r="R2784" i="2"/>
  <c r="T2784" i="2"/>
  <c r="S2784" i="2"/>
  <c r="R2785" i="2"/>
  <c r="T2785" i="2"/>
  <c r="S2785" i="2"/>
  <c r="R2786" i="2"/>
  <c r="T2786" i="2"/>
  <c r="S2786" i="2"/>
  <c r="R2787" i="2"/>
  <c r="T2787" i="2"/>
  <c r="S2787" i="2"/>
  <c r="R2788" i="2"/>
  <c r="T2788" i="2"/>
  <c r="S2788" i="2"/>
  <c r="R2789" i="2"/>
  <c r="T2789" i="2"/>
  <c r="S2789" i="2"/>
  <c r="R2790" i="2"/>
  <c r="T2790" i="2"/>
  <c r="S2790" i="2"/>
  <c r="R2791" i="2"/>
  <c r="T2791" i="2"/>
  <c r="S2791" i="2"/>
  <c r="R2792" i="2"/>
  <c r="T2792" i="2"/>
  <c r="S2792" i="2"/>
  <c r="R2793" i="2"/>
  <c r="T2793" i="2"/>
  <c r="S2793" i="2"/>
  <c r="R2794" i="2"/>
  <c r="T2794" i="2"/>
  <c r="S2794" i="2"/>
  <c r="R2795" i="2"/>
  <c r="T2795" i="2"/>
  <c r="S2795" i="2"/>
  <c r="R2796" i="2"/>
  <c r="T2796" i="2"/>
  <c r="S2796" i="2"/>
  <c r="R2797" i="2"/>
  <c r="T2797" i="2"/>
  <c r="S2797" i="2"/>
  <c r="R2798" i="2"/>
  <c r="T2798" i="2"/>
  <c r="S2798" i="2"/>
  <c r="R2799" i="2"/>
  <c r="T2799" i="2"/>
  <c r="S2799" i="2"/>
  <c r="R2800" i="2"/>
  <c r="T2800" i="2"/>
  <c r="S2800" i="2"/>
  <c r="R2801" i="2"/>
  <c r="T2801" i="2"/>
  <c r="S2801" i="2"/>
  <c r="R2802" i="2"/>
  <c r="T2802" i="2"/>
  <c r="S2802" i="2"/>
  <c r="R2803" i="2"/>
  <c r="T2803" i="2"/>
  <c r="S2803" i="2"/>
  <c r="R2804" i="2"/>
  <c r="T2804" i="2"/>
  <c r="S2804" i="2"/>
  <c r="R2805" i="2"/>
  <c r="T2805" i="2"/>
  <c r="S2805" i="2"/>
  <c r="R2806" i="2"/>
  <c r="T2806" i="2"/>
  <c r="S2806" i="2"/>
  <c r="R2807" i="2"/>
  <c r="T2807" i="2"/>
  <c r="S2807" i="2"/>
  <c r="R2808" i="2"/>
  <c r="T2808" i="2"/>
  <c r="S2808" i="2"/>
  <c r="R2809" i="2"/>
  <c r="T2809" i="2"/>
  <c r="S2809" i="2"/>
  <c r="R2810" i="2"/>
  <c r="T2810" i="2"/>
  <c r="S2810" i="2"/>
  <c r="R2811" i="2"/>
  <c r="T2811" i="2"/>
  <c r="S2811" i="2"/>
  <c r="R2812" i="2"/>
  <c r="T2812" i="2"/>
  <c r="S2812" i="2"/>
  <c r="R2813" i="2"/>
  <c r="T2813" i="2"/>
  <c r="S2813" i="2"/>
  <c r="R2814" i="2"/>
  <c r="T2814" i="2"/>
  <c r="S2814" i="2"/>
  <c r="R2815" i="2"/>
  <c r="T2815" i="2"/>
  <c r="S2815" i="2"/>
  <c r="R2816" i="2"/>
  <c r="T2816" i="2"/>
  <c r="S2816" i="2"/>
  <c r="R2817" i="2"/>
  <c r="T2817" i="2"/>
  <c r="S2817" i="2"/>
  <c r="R2818" i="2"/>
  <c r="T2818" i="2"/>
  <c r="S2818" i="2"/>
  <c r="R2819" i="2"/>
  <c r="T2819" i="2"/>
  <c r="S2819" i="2"/>
  <c r="R2820" i="2"/>
  <c r="T2820" i="2"/>
  <c r="S2820" i="2"/>
  <c r="R2821" i="2"/>
  <c r="T2821" i="2"/>
  <c r="S2821" i="2"/>
  <c r="R2822" i="2"/>
  <c r="T2822" i="2"/>
  <c r="S2822" i="2"/>
  <c r="R2823" i="2"/>
  <c r="T2823" i="2"/>
  <c r="S2823" i="2"/>
  <c r="R2824" i="2"/>
  <c r="T2824" i="2"/>
  <c r="S2824" i="2"/>
  <c r="R2825" i="2"/>
  <c r="T2825" i="2"/>
  <c r="S2825" i="2"/>
  <c r="R2826" i="2"/>
  <c r="T2826" i="2"/>
  <c r="S2826" i="2"/>
  <c r="R2827" i="2"/>
  <c r="T2827" i="2"/>
  <c r="S2827" i="2"/>
  <c r="R2828" i="2"/>
  <c r="T2828" i="2"/>
  <c r="S2828" i="2"/>
  <c r="R2829" i="2"/>
  <c r="T2829" i="2"/>
  <c r="S2829" i="2"/>
  <c r="R2830" i="2"/>
  <c r="T2830" i="2"/>
  <c r="S2830" i="2"/>
  <c r="R2831" i="2"/>
  <c r="T2831" i="2"/>
  <c r="S2831" i="2"/>
  <c r="R2832" i="2"/>
  <c r="T2832" i="2"/>
  <c r="S2832" i="2"/>
  <c r="R2833" i="2"/>
  <c r="T2833" i="2"/>
  <c r="S2833" i="2"/>
  <c r="R2834" i="2"/>
  <c r="T2834" i="2"/>
  <c r="S2834" i="2"/>
  <c r="R2835" i="2"/>
  <c r="T2835" i="2"/>
  <c r="S2835" i="2"/>
  <c r="R2836" i="2"/>
  <c r="T2836" i="2"/>
  <c r="S2836" i="2"/>
  <c r="R2837" i="2"/>
  <c r="T2837" i="2"/>
  <c r="S2837" i="2"/>
  <c r="R2838" i="2"/>
  <c r="T2838" i="2"/>
  <c r="S2838" i="2"/>
  <c r="R2839" i="2"/>
  <c r="T2839" i="2"/>
  <c r="S2839" i="2"/>
  <c r="R2840" i="2"/>
  <c r="T2840" i="2"/>
  <c r="S2840" i="2"/>
  <c r="R2841" i="2"/>
  <c r="T2841" i="2"/>
  <c r="S2841" i="2"/>
  <c r="R2842" i="2"/>
  <c r="T2842" i="2"/>
  <c r="S2842" i="2"/>
  <c r="R2843" i="2"/>
  <c r="T2843" i="2"/>
  <c r="S2843" i="2"/>
  <c r="R2844" i="2"/>
  <c r="T2844" i="2"/>
  <c r="S2844" i="2"/>
  <c r="R2845" i="2"/>
  <c r="T2845" i="2"/>
  <c r="S2845" i="2"/>
  <c r="R2846" i="2"/>
  <c r="T2846" i="2"/>
  <c r="S2846" i="2"/>
  <c r="R2847" i="2"/>
  <c r="T2847" i="2"/>
  <c r="S2847" i="2"/>
  <c r="R2848" i="2"/>
  <c r="T2848" i="2"/>
  <c r="S2848" i="2"/>
  <c r="R2849" i="2"/>
  <c r="T2849" i="2"/>
  <c r="S2849" i="2"/>
  <c r="R2850" i="2"/>
  <c r="T2850" i="2"/>
  <c r="S2850" i="2"/>
  <c r="R2851" i="2"/>
  <c r="T2851" i="2"/>
  <c r="S2851" i="2"/>
  <c r="R2852" i="2"/>
  <c r="T2852" i="2"/>
  <c r="S2852" i="2"/>
  <c r="R2853" i="2"/>
  <c r="T2853" i="2"/>
  <c r="S2853" i="2"/>
  <c r="R2854" i="2"/>
  <c r="T2854" i="2"/>
  <c r="S2854" i="2"/>
  <c r="R2855" i="2"/>
  <c r="T2855" i="2"/>
  <c r="S2855" i="2"/>
  <c r="R2856" i="2"/>
  <c r="T2856" i="2"/>
  <c r="S2856" i="2"/>
  <c r="R2857" i="2"/>
  <c r="T2857" i="2"/>
  <c r="S2857" i="2"/>
  <c r="R2858" i="2"/>
  <c r="T2858" i="2"/>
  <c r="S2858" i="2"/>
  <c r="R2859" i="2"/>
  <c r="T2859" i="2"/>
  <c r="S2859" i="2"/>
  <c r="R2860" i="2"/>
  <c r="T2860" i="2"/>
  <c r="S2860" i="2"/>
  <c r="R2861" i="2"/>
  <c r="T2861" i="2"/>
  <c r="S2861" i="2"/>
  <c r="R2862" i="2"/>
  <c r="T2862" i="2"/>
  <c r="S2862" i="2"/>
  <c r="R2863" i="2"/>
  <c r="T2863" i="2"/>
  <c r="S2863" i="2"/>
  <c r="R2864" i="2"/>
  <c r="T2864" i="2"/>
  <c r="S2864" i="2"/>
  <c r="R2865" i="2"/>
  <c r="T2865" i="2"/>
  <c r="S2865" i="2"/>
  <c r="R2866" i="2"/>
  <c r="T2866" i="2"/>
  <c r="S2866" i="2"/>
  <c r="R2867" i="2"/>
  <c r="T2867" i="2"/>
  <c r="S2867" i="2"/>
  <c r="R2868" i="2"/>
  <c r="T2868" i="2"/>
  <c r="S2868" i="2"/>
  <c r="R2869" i="2"/>
  <c r="T2869" i="2"/>
  <c r="S2869" i="2"/>
  <c r="R2870" i="2"/>
  <c r="T2870" i="2"/>
  <c r="S2870" i="2"/>
  <c r="R2871" i="2"/>
  <c r="T2871" i="2"/>
  <c r="S2871" i="2"/>
  <c r="R2872" i="2"/>
  <c r="T2872" i="2"/>
  <c r="S2872" i="2"/>
  <c r="R2873" i="2"/>
  <c r="T2873" i="2"/>
  <c r="S2873" i="2"/>
  <c r="R2874" i="2"/>
  <c r="T2874" i="2"/>
  <c r="S2874" i="2"/>
  <c r="R2875" i="2"/>
  <c r="T2875" i="2"/>
  <c r="S2875" i="2"/>
  <c r="R2876" i="2"/>
  <c r="T2876" i="2"/>
  <c r="S2876" i="2"/>
  <c r="R2877" i="2"/>
  <c r="T2877" i="2"/>
  <c r="S2877" i="2"/>
  <c r="R2878" i="2"/>
  <c r="T2878" i="2"/>
  <c r="S2878" i="2"/>
  <c r="R2879" i="2"/>
  <c r="T2879" i="2"/>
  <c r="S2879" i="2"/>
  <c r="R2880" i="2"/>
  <c r="T2880" i="2"/>
  <c r="S2880" i="2"/>
  <c r="R2881" i="2"/>
  <c r="T2881" i="2"/>
  <c r="S2881" i="2"/>
  <c r="R2882" i="2"/>
  <c r="T2882" i="2"/>
  <c r="S2882" i="2"/>
  <c r="R2883" i="2"/>
  <c r="T2883" i="2"/>
  <c r="S2883" i="2"/>
  <c r="R2884" i="2"/>
  <c r="T2884" i="2"/>
  <c r="S2884" i="2"/>
  <c r="R2885" i="2"/>
  <c r="T2885" i="2"/>
  <c r="S2885" i="2"/>
  <c r="R2886" i="2"/>
  <c r="T2886" i="2"/>
  <c r="S2886" i="2"/>
  <c r="R2887" i="2"/>
  <c r="T2887" i="2"/>
  <c r="S2887" i="2"/>
  <c r="R2888" i="2"/>
  <c r="T2888" i="2"/>
  <c r="S2888" i="2"/>
  <c r="R2889" i="2"/>
  <c r="T2889" i="2"/>
  <c r="S2889" i="2"/>
  <c r="R2890" i="2"/>
  <c r="T2890" i="2"/>
  <c r="S2890" i="2"/>
  <c r="R2891" i="2"/>
  <c r="T2891" i="2"/>
  <c r="S2891" i="2"/>
  <c r="R2892" i="2"/>
  <c r="T2892" i="2"/>
  <c r="S2892" i="2"/>
  <c r="R2893" i="2"/>
  <c r="T2893" i="2"/>
  <c r="S2893" i="2"/>
  <c r="R2894" i="2"/>
  <c r="T2894" i="2"/>
  <c r="S2894" i="2"/>
  <c r="R2895" i="2"/>
  <c r="T2895" i="2"/>
  <c r="S2895" i="2"/>
  <c r="R2896" i="2"/>
  <c r="T2896" i="2"/>
  <c r="S2896" i="2"/>
  <c r="R2897" i="2"/>
  <c r="T2897" i="2"/>
  <c r="S2897" i="2"/>
  <c r="R2898" i="2"/>
  <c r="T2898" i="2"/>
  <c r="S2898" i="2"/>
  <c r="R2899" i="2"/>
  <c r="T2899" i="2"/>
  <c r="S2899" i="2"/>
  <c r="R2900" i="2"/>
  <c r="T2900" i="2"/>
  <c r="S2900" i="2"/>
  <c r="R2901" i="2"/>
  <c r="T2901" i="2"/>
  <c r="S2901" i="2"/>
  <c r="R2902" i="2"/>
  <c r="T2902" i="2"/>
  <c r="S2902" i="2"/>
  <c r="R2903" i="2"/>
  <c r="T2903" i="2"/>
  <c r="S2903" i="2"/>
  <c r="R2904" i="2"/>
  <c r="T2904" i="2"/>
  <c r="S2904" i="2"/>
  <c r="R2905" i="2"/>
  <c r="T2905" i="2"/>
  <c r="S2905" i="2"/>
  <c r="R2906" i="2"/>
  <c r="T2906" i="2"/>
  <c r="S2906" i="2"/>
  <c r="R2907" i="2"/>
  <c r="T2907" i="2"/>
  <c r="S2907" i="2"/>
  <c r="R2908" i="2"/>
  <c r="T2908" i="2"/>
  <c r="S2908" i="2"/>
  <c r="R2909" i="2"/>
  <c r="T2909" i="2"/>
  <c r="S2909" i="2"/>
  <c r="R2910" i="2"/>
  <c r="T2910" i="2"/>
  <c r="S2910" i="2"/>
  <c r="R2911" i="2"/>
  <c r="T2911" i="2"/>
  <c r="S2911" i="2"/>
  <c r="R2912" i="2"/>
  <c r="T2912" i="2"/>
  <c r="S2912" i="2"/>
  <c r="R2913" i="2"/>
  <c r="T2913" i="2"/>
  <c r="S2913" i="2"/>
  <c r="R2914" i="2"/>
  <c r="T2914" i="2"/>
  <c r="S2914" i="2"/>
  <c r="R2915" i="2"/>
  <c r="T2915" i="2"/>
  <c r="S2915" i="2"/>
  <c r="R2916" i="2"/>
  <c r="T2916" i="2"/>
  <c r="S2916" i="2"/>
  <c r="R2917" i="2"/>
  <c r="T2917" i="2"/>
  <c r="S2917" i="2"/>
  <c r="R2918" i="2"/>
  <c r="T2918" i="2"/>
  <c r="S2918" i="2"/>
  <c r="R2919" i="2"/>
  <c r="T2919" i="2"/>
  <c r="S2919" i="2"/>
  <c r="R2920" i="2"/>
  <c r="T2920" i="2"/>
  <c r="S2920" i="2"/>
  <c r="R2921" i="2"/>
  <c r="T2921" i="2"/>
  <c r="S2921" i="2"/>
  <c r="R2922" i="2"/>
  <c r="T2922" i="2"/>
  <c r="S2922" i="2"/>
  <c r="R2923" i="2"/>
  <c r="T2923" i="2"/>
  <c r="S2923" i="2"/>
  <c r="R2924" i="2"/>
  <c r="T2924" i="2"/>
  <c r="S2924" i="2"/>
  <c r="R2925" i="2"/>
  <c r="T2925" i="2"/>
  <c r="S2925" i="2"/>
  <c r="R2926" i="2"/>
  <c r="T2926" i="2"/>
  <c r="S2926" i="2"/>
  <c r="R2927" i="2"/>
  <c r="T2927" i="2"/>
  <c r="S2927" i="2"/>
  <c r="R2928" i="2"/>
  <c r="T2928" i="2"/>
  <c r="S2928" i="2"/>
  <c r="R2929" i="2"/>
  <c r="T2929" i="2"/>
  <c r="S2929" i="2"/>
  <c r="R2930" i="2"/>
  <c r="T2930" i="2"/>
  <c r="S2930" i="2"/>
  <c r="R2931" i="2"/>
  <c r="T2931" i="2"/>
  <c r="S2931" i="2"/>
  <c r="R2932" i="2"/>
  <c r="T2932" i="2"/>
  <c r="S2932" i="2"/>
  <c r="R2933" i="2"/>
  <c r="T2933" i="2"/>
  <c r="S2933" i="2"/>
  <c r="R2934" i="2"/>
  <c r="T2934" i="2"/>
  <c r="S2934" i="2"/>
  <c r="R2935" i="2"/>
  <c r="T2935" i="2"/>
  <c r="S2935" i="2"/>
  <c r="R2936" i="2"/>
  <c r="T2936" i="2"/>
  <c r="S2936" i="2"/>
  <c r="R2937" i="2"/>
  <c r="T2937" i="2"/>
  <c r="S2937" i="2"/>
  <c r="R2938" i="2"/>
  <c r="T2938" i="2"/>
  <c r="S2938" i="2"/>
  <c r="R2939" i="2"/>
  <c r="T2939" i="2"/>
  <c r="S2939" i="2"/>
  <c r="R2940" i="2"/>
  <c r="T2940" i="2"/>
  <c r="S2940" i="2"/>
  <c r="R2941" i="2"/>
  <c r="T2941" i="2"/>
  <c r="S2941" i="2"/>
  <c r="R2942" i="2"/>
  <c r="T2942" i="2"/>
  <c r="S2942" i="2"/>
  <c r="R2943" i="2"/>
  <c r="T2943" i="2"/>
  <c r="S2943" i="2"/>
  <c r="R2944" i="2"/>
  <c r="T2944" i="2"/>
  <c r="S2944" i="2"/>
  <c r="R2945" i="2"/>
  <c r="T2945" i="2"/>
  <c r="S2945" i="2"/>
  <c r="R2946" i="2"/>
  <c r="T2946" i="2"/>
  <c r="S2946" i="2"/>
  <c r="R2947" i="2"/>
  <c r="T2947" i="2"/>
  <c r="S2947" i="2"/>
  <c r="R2948" i="2"/>
  <c r="T2948" i="2"/>
  <c r="S2948" i="2"/>
  <c r="R2949" i="2"/>
  <c r="T2949" i="2"/>
  <c r="S2949" i="2"/>
  <c r="R2950" i="2"/>
  <c r="T2950" i="2"/>
  <c r="S2950" i="2"/>
  <c r="R2951" i="2"/>
  <c r="T2951" i="2"/>
  <c r="S2951" i="2"/>
  <c r="R2952" i="2"/>
  <c r="T2952" i="2"/>
  <c r="S2952" i="2"/>
  <c r="R2953" i="2"/>
  <c r="T2953" i="2"/>
  <c r="S2953" i="2"/>
  <c r="R2954" i="2"/>
  <c r="T2954" i="2"/>
  <c r="S2954" i="2"/>
  <c r="R2955" i="2"/>
  <c r="T2955" i="2"/>
  <c r="S2955" i="2"/>
  <c r="R2956" i="2"/>
  <c r="T2956" i="2"/>
  <c r="S2956" i="2"/>
  <c r="R2957" i="2"/>
  <c r="T2957" i="2"/>
  <c r="S2957" i="2"/>
  <c r="R2958" i="2"/>
  <c r="T2958" i="2"/>
  <c r="S2958" i="2"/>
  <c r="R2959" i="2"/>
  <c r="T2959" i="2"/>
  <c r="S2959" i="2"/>
  <c r="R2960" i="2"/>
  <c r="T2960" i="2"/>
  <c r="S2960" i="2"/>
  <c r="R2961" i="2"/>
  <c r="T2961" i="2"/>
  <c r="S2961" i="2"/>
  <c r="R2962" i="2"/>
  <c r="T2962" i="2"/>
  <c r="S2962" i="2"/>
  <c r="R2963" i="2"/>
  <c r="T2963" i="2"/>
  <c r="S2963" i="2"/>
  <c r="R2964" i="2"/>
  <c r="T2964" i="2"/>
  <c r="S2964" i="2"/>
  <c r="R2965" i="2"/>
  <c r="T2965" i="2"/>
  <c r="S2965" i="2"/>
  <c r="R2966" i="2"/>
  <c r="T2966" i="2"/>
  <c r="S2966" i="2"/>
  <c r="R2967" i="2"/>
  <c r="T2967" i="2"/>
  <c r="S2967" i="2"/>
  <c r="R2968" i="2"/>
  <c r="T2968" i="2"/>
  <c r="S2968" i="2"/>
  <c r="R2969" i="2"/>
  <c r="T2969" i="2"/>
  <c r="S2969" i="2"/>
  <c r="R2970" i="2"/>
  <c r="T2970" i="2"/>
  <c r="S2970" i="2"/>
  <c r="R2971" i="2"/>
  <c r="T2971" i="2"/>
  <c r="S2971" i="2"/>
  <c r="R2972" i="2"/>
  <c r="T2972" i="2"/>
  <c r="S2972" i="2"/>
  <c r="R2973" i="2"/>
  <c r="T2973" i="2"/>
  <c r="S2973" i="2"/>
  <c r="R2974" i="2"/>
  <c r="T2974" i="2"/>
  <c r="S2974" i="2"/>
  <c r="R2975" i="2"/>
  <c r="T2975" i="2"/>
  <c r="S2975" i="2"/>
  <c r="R2976" i="2"/>
  <c r="T2976" i="2"/>
  <c r="S2976" i="2"/>
  <c r="R2977" i="2"/>
  <c r="T2977" i="2"/>
  <c r="S2977" i="2"/>
  <c r="R2978" i="2"/>
  <c r="T2978" i="2"/>
  <c r="S2978" i="2"/>
  <c r="R2979" i="2"/>
  <c r="T2979" i="2"/>
  <c r="S2979" i="2"/>
  <c r="R2980" i="2"/>
  <c r="T2980" i="2"/>
  <c r="S2980" i="2"/>
  <c r="R2981" i="2"/>
  <c r="T2981" i="2"/>
  <c r="S2981" i="2"/>
  <c r="R2982" i="2"/>
  <c r="T2982" i="2"/>
  <c r="S2982" i="2"/>
  <c r="R2983" i="2"/>
  <c r="T2983" i="2"/>
  <c r="S2983" i="2"/>
  <c r="R2984" i="2"/>
  <c r="T2984" i="2"/>
  <c r="S2984" i="2"/>
  <c r="R2985" i="2"/>
  <c r="T2985" i="2"/>
  <c r="S2985" i="2"/>
  <c r="R2986" i="2"/>
  <c r="T2986" i="2"/>
  <c r="S2986" i="2"/>
  <c r="R2987" i="2"/>
  <c r="T2987" i="2"/>
  <c r="S2987" i="2"/>
  <c r="R2988" i="2"/>
  <c r="T2988" i="2"/>
  <c r="S2988" i="2"/>
  <c r="R2989" i="2"/>
  <c r="T2989" i="2"/>
  <c r="S2989" i="2"/>
  <c r="R2990" i="2"/>
  <c r="T2990" i="2"/>
  <c r="S2990" i="2"/>
  <c r="R2991" i="2"/>
  <c r="T2991" i="2"/>
  <c r="S2991" i="2"/>
  <c r="R2992" i="2"/>
  <c r="T2992" i="2"/>
  <c r="S2992" i="2"/>
  <c r="R2993" i="2"/>
  <c r="T2993" i="2"/>
  <c r="S2993" i="2"/>
  <c r="R2994" i="2"/>
  <c r="T2994" i="2"/>
  <c r="S2994" i="2"/>
  <c r="R2995" i="2"/>
  <c r="T2995" i="2"/>
  <c r="S2995" i="2"/>
  <c r="R2996" i="2"/>
  <c r="T2996" i="2"/>
  <c r="S2996" i="2"/>
  <c r="R2997" i="2"/>
  <c r="T2997" i="2"/>
  <c r="S2997" i="2"/>
  <c r="R2998" i="2"/>
  <c r="T2998" i="2"/>
  <c r="S2998" i="2"/>
  <c r="R2999" i="2"/>
  <c r="T2999" i="2"/>
  <c r="S2999" i="2"/>
  <c r="R3000" i="2"/>
  <c r="T3000" i="2"/>
  <c r="S3000" i="2"/>
  <c r="R3001" i="2"/>
  <c r="T3001" i="2"/>
  <c r="S3001" i="2"/>
  <c r="R3002" i="2"/>
  <c r="T3002" i="2"/>
  <c r="S3002" i="2"/>
  <c r="R3003" i="2"/>
  <c r="T3003" i="2"/>
  <c r="S3003" i="2"/>
  <c r="R3004" i="2"/>
  <c r="T3004" i="2"/>
  <c r="S3004" i="2"/>
  <c r="R3005" i="2"/>
  <c r="T3005" i="2"/>
  <c r="S3005" i="2"/>
  <c r="R3006" i="2"/>
  <c r="T3006" i="2"/>
  <c r="S3006" i="2"/>
  <c r="R3007" i="2"/>
  <c r="T3007" i="2"/>
  <c r="S3007" i="2"/>
  <c r="R3008" i="2"/>
  <c r="T3008" i="2"/>
  <c r="S3008" i="2"/>
  <c r="R3009" i="2"/>
  <c r="T3009" i="2"/>
  <c r="S3009" i="2"/>
  <c r="R3010" i="2"/>
  <c r="T3010" i="2"/>
  <c r="S3010" i="2"/>
  <c r="R3011" i="2"/>
  <c r="T3011" i="2"/>
  <c r="S3011" i="2"/>
  <c r="R3012" i="2"/>
  <c r="T3012" i="2"/>
  <c r="S3012" i="2"/>
  <c r="R3013" i="2"/>
  <c r="T3013" i="2"/>
  <c r="S3013" i="2"/>
  <c r="R3014" i="2"/>
  <c r="T3014" i="2"/>
  <c r="S3014" i="2"/>
  <c r="R3015" i="2"/>
  <c r="T3015" i="2"/>
  <c r="S3015" i="2"/>
  <c r="R3016" i="2"/>
  <c r="T3016" i="2"/>
  <c r="S3016" i="2"/>
  <c r="R3017" i="2"/>
  <c r="T3017" i="2"/>
  <c r="S3017" i="2"/>
  <c r="R3018" i="2"/>
  <c r="T3018" i="2"/>
  <c r="S3018" i="2"/>
  <c r="R3019" i="2"/>
  <c r="T3019" i="2"/>
  <c r="S3019" i="2"/>
  <c r="R3020" i="2"/>
  <c r="T3020" i="2"/>
  <c r="S3020" i="2"/>
  <c r="R3021" i="2"/>
  <c r="T3021" i="2"/>
  <c r="S3021" i="2"/>
  <c r="R3022" i="2"/>
  <c r="T3022" i="2"/>
  <c r="S3022" i="2"/>
  <c r="R3023" i="2"/>
  <c r="T3023" i="2"/>
  <c r="S3023" i="2"/>
  <c r="R3024" i="2"/>
  <c r="T3024" i="2"/>
  <c r="S3024" i="2"/>
  <c r="R3025" i="2"/>
  <c r="T3025" i="2"/>
  <c r="S3025" i="2"/>
  <c r="R3026" i="2"/>
  <c r="T3026" i="2"/>
  <c r="S3026" i="2"/>
  <c r="R3027" i="2"/>
  <c r="T3027" i="2"/>
  <c r="S3027" i="2"/>
  <c r="R3028" i="2"/>
  <c r="T3028" i="2"/>
  <c r="S3028" i="2"/>
  <c r="R3029" i="2"/>
  <c r="T3029" i="2"/>
  <c r="S3029" i="2"/>
  <c r="R3030" i="2"/>
  <c r="T3030" i="2"/>
  <c r="S3030" i="2"/>
  <c r="R3031" i="2"/>
  <c r="T3031" i="2"/>
  <c r="S3031" i="2"/>
  <c r="R3032" i="2"/>
  <c r="T3032" i="2"/>
  <c r="S3032" i="2"/>
  <c r="R3033" i="2"/>
  <c r="T3033" i="2"/>
  <c r="S3033" i="2"/>
  <c r="R3034" i="2"/>
  <c r="T3034" i="2"/>
  <c r="S3034" i="2"/>
  <c r="R3035" i="2"/>
  <c r="T3035" i="2"/>
  <c r="S3035" i="2"/>
  <c r="R3036" i="2"/>
  <c r="T3036" i="2"/>
  <c r="S3036" i="2"/>
  <c r="R3037" i="2"/>
  <c r="T3037" i="2"/>
  <c r="S3037" i="2"/>
  <c r="R3038" i="2"/>
  <c r="T3038" i="2"/>
  <c r="S3038" i="2"/>
  <c r="R3039" i="2"/>
  <c r="T3039" i="2"/>
  <c r="S3039" i="2"/>
  <c r="R3040" i="2"/>
  <c r="T3040" i="2"/>
  <c r="S3040" i="2"/>
  <c r="R3041" i="2"/>
  <c r="T3041" i="2"/>
  <c r="S3041" i="2"/>
  <c r="R3042" i="2"/>
  <c r="T3042" i="2"/>
  <c r="S3042" i="2"/>
  <c r="R3043" i="2"/>
  <c r="T3043" i="2"/>
  <c r="S3043" i="2"/>
  <c r="R3044" i="2"/>
  <c r="T3044" i="2"/>
  <c r="S3044" i="2"/>
  <c r="R3045" i="2"/>
  <c r="T3045" i="2"/>
  <c r="S3045" i="2"/>
  <c r="R3046" i="2"/>
  <c r="T3046" i="2"/>
  <c r="S3046" i="2"/>
  <c r="R3047" i="2"/>
  <c r="T3047" i="2"/>
  <c r="S3047" i="2"/>
  <c r="R3048" i="2"/>
  <c r="T3048" i="2"/>
  <c r="S3048" i="2"/>
  <c r="R3049" i="2"/>
  <c r="T3049" i="2"/>
  <c r="S3049" i="2"/>
  <c r="R3050" i="2"/>
  <c r="T3050" i="2"/>
  <c r="S3050" i="2"/>
  <c r="R3051" i="2"/>
  <c r="T3051" i="2"/>
  <c r="S3051" i="2"/>
  <c r="R3052" i="2"/>
  <c r="T3052" i="2"/>
  <c r="S3052" i="2"/>
  <c r="R3053" i="2"/>
  <c r="T3053" i="2"/>
  <c r="S3053" i="2"/>
  <c r="R3054" i="2"/>
  <c r="T3054" i="2"/>
  <c r="S3054" i="2"/>
  <c r="R3055" i="2"/>
  <c r="T3055" i="2"/>
  <c r="S3055" i="2"/>
  <c r="R3056" i="2"/>
  <c r="T3056" i="2"/>
  <c r="S3056" i="2"/>
  <c r="R3057" i="2"/>
  <c r="T3057" i="2"/>
  <c r="S3057" i="2"/>
  <c r="R3058" i="2"/>
  <c r="T3058" i="2"/>
  <c r="S3058" i="2"/>
  <c r="R3059" i="2"/>
  <c r="T3059" i="2"/>
  <c r="S3059" i="2"/>
  <c r="R3060" i="2"/>
  <c r="T3060" i="2"/>
  <c r="S3060" i="2"/>
  <c r="R3061" i="2"/>
  <c r="T3061" i="2"/>
  <c r="S3061" i="2"/>
  <c r="R3062" i="2"/>
  <c r="T3062" i="2"/>
  <c r="S3062" i="2"/>
  <c r="R3063" i="2"/>
  <c r="T3063" i="2"/>
  <c r="S3063" i="2"/>
  <c r="R3064" i="2"/>
  <c r="T3064" i="2"/>
  <c r="S3064" i="2"/>
  <c r="R3065" i="2"/>
  <c r="T3065" i="2"/>
  <c r="S3065" i="2"/>
  <c r="R3066" i="2"/>
  <c r="T3066" i="2"/>
  <c r="S3066" i="2"/>
  <c r="R3067" i="2"/>
  <c r="T3067" i="2"/>
  <c r="S3067" i="2"/>
  <c r="R3068" i="2"/>
  <c r="T3068" i="2"/>
  <c r="S3068" i="2"/>
  <c r="R3069" i="2"/>
  <c r="T3069" i="2"/>
  <c r="S3069" i="2"/>
  <c r="R3070" i="2"/>
  <c r="T3070" i="2"/>
  <c r="S3070" i="2"/>
  <c r="R3071" i="2"/>
  <c r="T3071" i="2"/>
  <c r="S3071" i="2"/>
  <c r="R3072" i="2"/>
  <c r="T3072" i="2"/>
  <c r="S3072" i="2"/>
  <c r="R3073" i="2"/>
  <c r="T3073" i="2"/>
  <c r="S3073" i="2"/>
  <c r="R3074" i="2"/>
  <c r="T3074" i="2"/>
  <c r="S3074" i="2"/>
  <c r="R3075" i="2"/>
  <c r="T3075" i="2"/>
  <c r="S3075" i="2"/>
  <c r="R3076" i="2"/>
  <c r="T3076" i="2"/>
  <c r="S3076" i="2"/>
  <c r="R3077" i="2"/>
  <c r="T3077" i="2"/>
  <c r="S3077" i="2"/>
  <c r="R3078" i="2"/>
  <c r="T3078" i="2"/>
  <c r="S3078" i="2"/>
  <c r="R3079" i="2"/>
  <c r="T3079" i="2"/>
  <c r="S3079" i="2"/>
  <c r="R3080" i="2"/>
  <c r="T3080" i="2"/>
  <c r="S3080" i="2"/>
  <c r="R3081" i="2"/>
  <c r="T3081" i="2"/>
  <c r="S3081" i="2"/>
  <c r="R3082" i="2"/>
  <c r="T3082" i="2"/>
  <c r="S3082" i="2"/>
  <c r="R3083" i="2"/>
  <c r="T3083" i="2"/>
  <c r="S3083" i="2"/>
  <c r="R3084" i="2"/>
  <c r="T3084" i="2"/>
  <c r="S3084" i="2"/>
  <c r="R3085" i="2"/>
  <c r="T3085" i="2"/>
  <c r="S3085" i="2"/>
  <c r="R3086" i="2"/>
  <c r="T3086" i="2"/>
  <c r="S3086" i="2"/>
  <c r="R3087" i="2"/>
  <c r="T3087" i="2"/>
  <c r="S3087" i="2"/>
  <c r="R3088" i="2"/>
  <c r="T3088" i="2"/>
  <c r="S3088" i="2"/>
  <c r="R3089" i="2"/>
  <c r="T3089" i="2"/>
  <c r="S3089" i="2"/>
  <c r="R3090" i="2"/>
  <c r="T3090" i="2"/>
  <c r="S3090" i="2"/>
  <c r="R3091" i="2"/>
  <c r="T3091" i="2"/>
  <c r="S3091" i="2"/>
  <c r="R3092" i="2"/>
  <c r="T3092" i="2"/>
  <c r="S3092" i="2"/>
  <c r="R3093" i="2"/>
  <c r="T3093" i="2"/>
  <c r="S3093" i="2"/>
  <c r="R3094" i="2"/>
  <c r="T3094" i="2"/>
  <c r="S3094" i="2"/>
  <c r="R3095" i="2"/>
  <c r="T3095" i="2"/>
  <c r="S3095" i="2"/>
  <c r="R3096" i="2"/>
  <c r="T3096" i="2"/>
  <c r="S3096" i="2"/>
  <c r="R3097" i="2"/>
  <c r="T3097" i="2"/>
  <c r="S3097" i="2"/>
  <c r="R3098" i="2"/>
  <c r="T3098" i="2"/>
  <c r="S3098" i="2"/>
  <c r="R3099" i="2"/>
  <c r="T3099" i="2"/>
  <c r="S3099" i="2"/>
  <c r="R3100" i="2"/>
  <c r="T3100" i="2"/>
  <c r="S3100" i="2"/>
  <c r="R3101" i="2"/>
  <c r="T3101" i="2"/>
  <c r="S3101" i="2"/>
  <c r="R3102" i="2"/>
  <c r="T3102" i="2"/>
  <c r="S3102" i="2"/>
  <c r="R3103" i="2"/>
  <c r="T3103" i="2"/>
  <c r="S3103" i="2"/>
  <c r="R3104" i="2"/>
  <c r="T3104" i="2"/>
  <c r="S3104" i="2"/>
  <c r="R3105" i="2"/>
  <c r="T3105" i="2"/>
  <c r="S3105" i="2"/>
  <c r="R3106" i="2"/>
  <c r="T3106" i="2"/>
  <c r="S3106" i="2"/>
  <c r="R3107" i="2"/>
  <c r="T3107" i="2"/>
  <c r="S3107" i="2"/>
  <c r="R3108" i="2"/>
  <c r="T3108" i="2"/>
  <c r="S3108" i="2"/>
  <c r="R3109" i="2"/>
  <c r="T3109" i="2"/>
  <c r="S3109" i="2"/>
  <c r="R3110" i="2"/>
  <c r="T3110" i="2"/>
  <c r="S3110" i="2"/>
  <c r="R3111" i="2"/>
  <c r="T3111" i="2"/>
  <c r="S3111" i="2"/>
  <c r="R3112" i="2"/>
  <c r="T3112" i="2"/>
  <c r="S3112" i="2"/>
  <c r="R3113" i="2"/>
  <c r="T3113" i="2"/>
  <c r="S3113" i="2"/>
  <c r="R3114" i="2"/>
  <c r="T3114" i="2"/>
  <c r="S3114" i="2"/>
  <c r="R3115" i="2"/>
  <c r="T3115" i="2"/>
  <c r="S3115" i="2"/>
  <c r="R3116" i="2"/>
  <c r="T3116" i="2"/>
  <c r="S3116" i="2"/>
  <c r="R3117" i="2"/>
  <c r="T3117" i="2"/>
  <c r="S3117" i="2"/>
  <c r="R3118" i="2"/>
  <c r="T3118" i="2"/>
  <c r="S3118" i="2"/>
  <c r="R3119" i="2"/>
  <c r="T3119" i="2"/>
  <c r="S3119" i="2"/>
  <c r="R3120" i="2"/>
  <c r="T3120" i="2"/>
  <c r="S3120" i="2"/>
  <c r="R3121" i="2"/>
  <c r="T3121" i="2"/>
  <c r="S3121" i="2"/>
  <c r="R3122" i="2"/>
  <c r="T3122" i="2"/>
  <c r="S3122" i="2"/>
  <c r="R3123" i="2"/>
  <c r="T3123" i="2"/>
  <c r="S3123" i="2"/>
  <c r="R3124" i="2"/>
  <c r="T3124" i="2"/>
  <c r="S3124" i="2"/>
  <c r="R3125" i="2"/>
  <c r="T3125" i="2"/>
  <c r="S3125" i="2"/>
  <c r="R3126" i="2"/>
  <c r="T3126" i="2"/>
  <c r="S3126" i="2"/>
  <c r="R3127" i="2"/>
  <c r="T3127" i="2"/>
  <c r="S3127" i="2"/>
  <c r="R3128" i="2"/>
  <c r="T3128" i="2"/>
  <c r="S3128" i="2"/>
  <c r="R3129" i="2"/>
  <c r="T3129" i="2"/>
  <c r="S3129" i="2"/>
  <c r="R3130" i="2"/>
  <c r="T3130" i="2"/>
  <c r="S3130" i="2"/>
  <c r="R3131" i="2"/>
  <c r="T3131" i="2"/>
  <c r="S3131" i="2"/>
  <c r="R3132" i="2"/>
  <c r="T3132" i="2"/>
  <c r="S3132" i="2"/>
  <c r="R3133" i="2"/>
  <c r="T3133" i="2"/>
  <c r="S3133" i="2"/>
  <c r="R3134" i="2"/>
  <c r="T3134" i="2"/>
  <c r="S3134" i="2"/>
  <c r="R3135" i="2"/>
  <c r="T3135" i="2"/>
  <c r="S3135" i="2"/>
  <c r="R3136" i="2"/>
  <c r="T3136" i="2"/>
  <c r="S3136" i="2"/>
  <c r="R3137" i="2"/>
  <c r="T3137" i="2"/>
  <c r="S3137" i="2"/>
  <c r="R3138" i="2"/>
  <c r="T3138" i="2"/>
  <c r="S3138" i="2"/>
  <c r="R3139" i="2"/>
  <c r="T3139" i="2"/>
  <c r="S3139" i="2"/>
  <c r="R3140" i="2"/>
  <c r="T3140" i="2"/>
  <c r="S3140" i="2"/>
  <c r="R3141" i="2"/>
  <c r="T3141" i="2"/>
  <c r="S3141" i="2"/>
  <c r="R3142" i="2"/>
  <c r="T3142" i="2"/>
  <c r="S3142" i="2"/>
  <c r="R3143" i="2"/>
  <c r="T3143" i="2"/>
  <c r="S3143" i="2"/>
  <c r="R3144" i="2"/>
  <c r="T3144" i="2"/>
  <c r="S3144" i="2"/>
  <c r="R3145" i="2"/>
  <c r="T3145" i="2"/>
  <c r="S3145" i="2"/>
  <c r="R3146" i="2"/>
  <c r="T3146" i="2"/>
  <c r="S3146" i="2"/>
  <c r="R3147" i="2"/>
  <c r="T3147" i="2"/>
  <c r="S3147" i="2"/>
  <c r="R3148" i="2"/>
  <c r="T3148" i="2"/>
  <c r="S3148" i="2"/>
  <c r="R3149" i="2"/>
  <c r="T3149" i="2"/>
  <c r="S3149" i="2"/>
  <c r="R3150" i="2"/>
  <c r="T3150" i="2"/>
  <c r="S3150" i="2"/>
  <c r="R3151" i="2"/>
  <c r="T3151" i="2"/>
  <c r="S3151" i="2"/>
  <c r="R3152" i="2"/>
  <c r="T3152" i="2"/>
  <c r="S3152" i="2"/>
  <c r="R3153" i="2"/>
  <c r="T3153" i="2"/>
  <c r="S3153" i="2"/>
  <c r="R3154" i="2"/>
  <c r="T3154" i="2"/>
  <c r="S3154" i="2"/>
  <c r="R3155" i="2"/>
  <c r="T3155" i="2"/>
  <c r="S3155" i="2"/>
  <c r="R3156" i="2"/>
  <c r="T3156" i="2"/>
  <c r="S3156" i="2"/>
  <c r="R3157" i="2"/>
  <c r="T3157" i="2"/>
  <c r="S3157" i="2"/>
  <c r="R3158" i="2"/>
  <c r="T3158" i="2"/>
  <c r="S3158" i="2"/>
  <c r="R3159" i="2"/>
  <c r="T3159" i="2"/>
  <c r="S3159" i="2"/>
  <c r="R3160" i="2"/>
  <c r="T3160" i="2"/>
  <c r="S3160" i="2"/>
  <c r="R3161" i="2"/>
  <c r="T3161" i="2"/>
  <c r="S3161" i="2"/>
  <c r="R3162" i="2"/>
  <c r="T3162" i="2"/>
  <c r="S3162" i="2"/>
  <c r="R3163" i="2"/>
  <c r="T3163" i="2"/>
  <c r="S3163" i="2"/>
  <c r="R3164" i="2"/>
  <c r="T3164" i="2"/>
  <c r="S3164" i="2"/>
  <c r="R3165" i="2"/>
  <c r="T3165" i="2"/>
  <c r="S3165" i="2"/>
  <c r="R3166" i="2"/>
  <c r="T3166" i="2"/>
  <c r="S3166" i="2"/>
  <c r="R3167" i="2"/>
  <c r="T3167" i="2"/>
  <c r="S3167" i="2"/>
  <c r="R3168" i="2"/>
  <c r="T3168" i="2"/>
  <c r="S3168" i="2"/>
  <c r="R3169" i="2"/>
  <c r="T3169" i="2"/>
  <c r="S3169" i="2"/>
  <c r="R3170" i="2"/>
  <c r="T3170" i="2"/>
  <c r="S3170" i="2"/>
  <c r="R3171" i="2"/>
  <c r="T3171" i="2"/>
  <c r="S3171" i="2"/>
  <c r="R3172" i="2"/>
  <c r="T3172" i="2"/>
  <c r="S3172" i="2"/>
  <c r="R3173" i="2"/>
  <c r="T3173" i="2"/>
  <c r="S3173" i="2"/>
  <c r="R3174" i="2"/>
  <c r="T3174" i="2"/>
  <c r="S3174" i="2"/>
  <c r="R3175" i="2"/>
  <c r="T3175" i="2"/>
  <c r="S3175" i="2"/>
  <c r="R3176" i="2"/>
  <c r="T3176" i="2"/>
  <c r="S3176" i="2"/>
  <c r="R3177" i="2"/>
  <c r="T3177" i="2"/>
  <c r="S3177" i="2"/>
  <c r="R3178" i="2"/>
  <c r="T3178" i="2"/>
  <c r="S3178" i="2"/>
  <c r="R3179" i="2"/>
  <c r="T3179" i="2"/>
  <c r="S3179" i="2"/>
  <c r="R3180" i="2"/>
  <c r="T3180" i="2"/>
  <c r="S3180" i="2"/>
  <c r="R3181" i="2"/>
  <c r="T3181" i="2"/>
  <c r="S3181" i="2"/>
  <c r="R3182" i="2"/>
  <c r="T3182" i="2"/>
  <c r="S3182" i="2"/>
  <c r="R3183" i="2"/>
  <c r="T3183" i="2"/>
  <c r="S3183" i="2"/>
  <c r="R3184" i="2"/>
  <c r="T3184" i="2"/>
  <c r="S3184" i="2"/>
  <c r="R3185" i="2"/>
  <c r="T3185" i="2"/>
  <c r="S3185" i="2"/>
  <c r="R3186" i="2"/>
  <c r="T3186" i="2"/>
  <c r="S3186" i="2"/>
  <c r="R3187" i="2"/>
  <c r="T3187" i="2"/>
  <c r="S3187" i="2"/>
  <c r="R3188" i="2"/>
  <c r="T3188" i="2"/>
  <c r="S3188" i="2"/>
  <c r="R3189" i="2"/>
  <c r="T3189" i="2"/>
  <c r="S3189" i="2"/>
  <c r="R3190" i="2"/>
  <c r="T3190" i="2"/>
  <c r="S3190" i="2"/>
  <c r="R3191" i="2"/>
  <c r="T3191" i="2"/>
  <c r="S3191" i="2"/>
  <c r="R3192" i="2"/>
  <c r="T3192" i="2"/>
  <c r="S3192" i="2"/>
  <c r="R3193" i="2"/>
  <c r="T3193" i="2"/>
  <c r="S3193" i="2"/>
  <c r="R3194" i="2"/>
  <c r="T3194" i="2"/>
  <c r="S3194" i="2"/>
  <c r="R3195" i="2"/>
  <c r="T3195" i="2"/>
  <c r="S3195" i="2"/>
  <c r="R3196" i="2"/>
  <c r="T3196" i="2"/>
  <c r="S3196" i="2"/>
  <c r="R3197" i="2"/>
  <c r="T3197" i="2"/>
  <c r="S3197" i="2"/>
  <c r="R3198" i="2"/>
  <c r="T3198" i="2"/>
  <c r="S3198" i="2"/>
  <c r="R3199" i="2"/>
  <c r="T3199" i="2"/>
  <c r="S3199" i="2"/>
  <c r="R3200" i="2"/>
  <c r="T3200" i="2"/>
  <c r="S3200" i="2"/>
  <c r="R3201" i="2"/>
  <c r="T3201" i="2"/>
  <c r="S3201" i="2"/>
  <c r="R3202" i="2"/>
  <c r="T3202" i="2"/>
  <c r="S3202" i="2"/>
  <c r="R3203" i="2"/>
  <c r="T3203" i="2"/>
  <c r="S3203" i="2"/>
  <c r="R3204" i="2"/>
  <c r="T3204" i="2"/>
  <c r="S3204" i="2"/>
  <c r="R3205" i="2"/>
  <c r="T3205" i="2"/>
  <c r="S3205" i="2"/>
  <c r="R3206" i="2"/>
  <c r="T3206" i="2"/>
  <c r="S3206" i="2"/>
  <c r="R3207" i="2"/>
  <c r="T3207" i="2"/>
  <c r="S3207" i="2"/>
  <c r="R3208" i="2"/>
  <c r="T3208" i="2"/>
  <c r="S3208" i="2"/>
  <c r="R3209" i="2"/>
  <c r="T3209" i="2"/>
  <c r="S3209" i="2"/>
  <c r="R3210" i="2"/>
  <c r="T3210" i="2"/>
  <c r="S3210" i="2"/>
  <c r="R3211" i="2"/>
  <c r="T3211" i="2"/>
  <c r="S3211" i="2"/>
  <c r="R3212" i="2"/>
  <c r="T3212" i="2"/>
  <c r="S3212" i="2"/>
  <c r="R3213" i="2"/>
  <c r="T3213" i="2"/>
  <c r="S3213" i="2"/>
  <c r="R3214" i="2"/>
  <c r="T3214" i="2"/>
  <c r="S3214" i="2"/>
  <c r="R3215" i="2"/>
  <c r="T3215" i="2"/>
  <c r="S3215" i="2"/>
  <c r="R3216" i="2"/>
  <c r="T3216" i="2"/>
  <c r="S3216" i="2"/>
  <c r="R3217" i="2"/>
  <c r="T3217" i="2"/>
  <c r="S3217" i="2"/>
  <c r="R3218" i="2"/>
  <c r="T3218" i="2"/>
  <c r="S3218" i="2"/>
  <c r="R3219" i="2"/>
  <c r="T3219" i="2"/>
  <c r="S3219" i="2"/>
  <c r="R3220" i="2"/>
  <c r="T3220" i="2"/>
  <c r="S3220" i="2"/>
  <c r="R3221" i="2"/>
  <c r="T3221" i="2"/>
  <c r="S3221" i="2"/>
  <c r="R3222" i="2"/>
  <c r="T3222" i="2"/>
  <c r="S3222" i="2"/>
  <c r="R3223" i="2"/>
  <c r="T3223" i="2"/>
  <c r="S3223" i="2"/>
  <c r="R3224" i="2"/>
  <c r="T3224" i="2"/>
  <c r="S3224" i="2"/>
  <c r="R3225" i="2"/>
  <c r="T3225" i="2"/>
  <c r="S3225" i="2"/>
  <c r="R3226" i="2"/>
  <c r="T3226" i="2"/>
  <c r="S3226" i="2"/>
  <c r="R3227" i="2"/>
  <c r="T3227" i="2"/>
  <c r="S3227" i="2"/>
  <c r="R3228" i="2"/>
  <c r="T3228" i="2"/>
  <c r="S3228" i="2"/>
  <c r="R3229" i="2"/>
  <c r="T3229" i="2"/>
  <c r="S3229" i="2"/>
  <c r="R3230" i="2"/>
  <c r="T3230" i="2"/>
  <c r="S3230" i="2"/>
  <c r="R3231" i="2"/>
  <c r="T3231" i="2"/>
  <c r="S3231" i="2"/>
  <c r="R3232" i="2"/>
  <c r="T3232" i="2"/>
  <c r="S3232" i="2"/>
  <c r="R3233" i="2"/>
  <c r="T3233" i="2"/>
  <c r="S3233" i="2"/>
  <c r="R3234" i="2"/>
  <c r="T3234" i="2"/>
  <c r="S3234" i="2"/>
  <c r="R3235" i="2"/>
  <c r="T3235" i="2"/>
  <c r="S3235" i="2"/>
  <c r="R3236" i="2"/>
  <c r="T3236" i="2"/>
  <c r="S3236" i="2"/>
  <c r="R3237" i="2"/>
  <c r="T3237" i="2"/>
  <c r="S3237" i="2"/>
  <c r="R3238" i="2"/>
  <c r="T3238" i="2"/>
  <c r="S3238" i="2"/>
  <c r="R3239" i="2"/>
  <c r="T3239" i="2"/>
  <c r="S3239" i="2"/>
  <c r="R3240" i="2"/>
  <c r="T3240" i="2"/>
  <c r="S3240" i="2"/>
  <c r="R3241" i="2"/>
  <c r="T3241" i="2"/>
  <c r="S3241" i="2"/>
  <c r="R3242" i="2"/>
  <c r="T3242" i="2"/>
  <c r="S3242" i="2"/>
  <c r="R3243" i="2"/>
  <c r="T3243" i="2"/>
  <c r="S3243" i="2"/>
  <c r="R3244" i="2"/>
  <c r="T3244" i="2"/>
  <c r="S3244" i="2"/>
  <c r="R3245" i="2"/>
  <c r="T3245" i="2"/>
  <c r="S3245" i="2"/>
  <c r="R3246" i="2"/>
  <c r="T3246" i="2"/>
  <c r="S3246" i="2"/>
  <c r="R3247" i="2"/>
  <c r="T3247" i="2"/>
  <c r="S3247" i="2"/>
  <c r="R3248" i="2"/>
  <c r="T3248" i="2"/>
  <c r="S3248" i="2"/>
  <c r="R3249" i="2"/>
  <c r="T3249" i="2"/>
  <c r="S3249" i="2"/>
  <c r="R3250" i="2"/>
  <c r="T3250" i="2"/>
  <c r="S3250" i="2"/>
  <c r="R3251" i="2"/>
  <c r="T3251" i="2"/>
  <c r="S3251" i="2"/>
  <c r="R3252" i="2"/>
  <c r="T3252" i="2"/>
  <c r="S3252" i="2"/>
  <c r="R3253" i="2"/>
  <c r="T3253" i="2"/>
  <c r="S3253" i="2"/>
  <c r="R3254" i="2"/>
  <c r="T3254" i="2"/>
  <c r="S3254" i="2"/>
  <c r="R3255" i="2"/>
  <c r="T3255" i="2"/>
  <c r="S3255" i="2"/>
  <c r="R3256" i="2"/>
  <c r="T3256" i="2"/>
  <c r="S3256" i="2"/>
  <c r="R3257" i="2"/>
  <c r="T3257" i="2"/>
  <c r="S3257" i="2"/>
  <c r="R3258" i="2"/>
  <c r="T3258" i="2"/>
  <c r="S3258" i="2"/>
  <c r="R3259" i="2"/>
  <c r="T3259" i="2"/>
  <c r="S3259" i="2"/>
  <c r="R3260" i="2"/>
  <c r="T3260" i="2"/>
  <c r="S3260" i="2"/>
  <c r="R3261" i="2"/>
  <c r="T3261" i="2"/>
  <c r="S3261" i="2"/>
  <c r="R3262" i="2"/>
  <c r="T3262" i="2"/>
  <c r="S3262" i="2"/>
  <c r="R3263" i="2"/>
  <c r="T3263" i="2"/>
  <c r="S3263" i="2"/>
  <c r="R3264" i="2"/>
  <c r="T3264" i="2"/>
  <c r="S3264" i="2"/>
  <c r="R3265" i="2"/>
  <c r="T3265" i="2"/>
  <c r="S3265" i="2"/>
  <c r="R3266" i="2"/>
  <c r="T3266" i="2"/>
  <c r="S3266" i="2"/>
  <c r="R3267" i="2"/>
  <c r="T3267" i="2"/>
  <c r="S3267" i="2"/>
  <c r="R3268" i="2"/>
  <c r="T3268" i="2"/>
  <c r="S3268" i="2"/>
  <c r="R3269" i="2"/>
  <c r="T3269" i="2"/>
  <c r="S3269" i="2"/>
  <c r="R3270" i="2"/>
  <c r="T3270" i="2"/>
  <c r="S3270" i="2"/>
  <c r="R3271" i="2"/>
  <c r="T3271" i="2"/>
  <c r="S3271" i="2"/>
  <c r="R3272" i="2"/>
  <c r="T3272" i="2"/>
  <c r="S3272" i="2"/>
  <c r="R3273" i="2"/>
  <c r="T3273" i="2"/>
  <c r="S3273" i="2"/>
  <c r="R3274" i="2"/>
  <c r="T3274" i="2"/>
  <c r="S3274" i="2"/>
  <c r="R3275" i="2"/>
  <c r="T3275" i="2"/>
  <c r="S3275" i="2"/>
  <c r="R3276" i="2"/>
  <c r="T3276" i="2"/>
  <c r="S3276" i="2"/>
  <c r="R3277" i="2"/>
  <c r="T3277" i="2"/>
  <c r="S3277" i="2"/>
  <c r="R3278" i="2"/>
  <c r="T3278" i="2"/>
  <c r="S3278" i="2"/>
  <c r="R3279" i="2"/>
  <c r="T3279" i="2"/>
  <c r="S3279" i="2"/>
  <c r="R3280" i="2"/>
  <c r="T3280" i="2"/>
  <c r="S3280" i="2"/>
  <c r="R3281" i="2"/>
  <c r="T3281" i="2"/>
  <c r="S3281" i="2"/>
  <c r="R3282" i="2"/>
  <c r="T3282" i="2"/>
  <c r="S3282" i="2"/>
  <c r="R3283" i="2"/>
  <c r="T3283" i="2"/>
  <c r="S3283" i="2"/>
  <c r="R3284" i="2"/>
  <c r="T3284" i="2"/>
  <c r="S3284" i="2"/>
  <c r="R3285" i="2"/>
  <c r="T3285" i="2"/>
  <c r="S3285" i="2"/>
  <c r="R3286" i="2"/>
  <c r="T3286" i="2"/>
  <c r="S3286" i="2"/>
  <c r="R3287" i="2"/>
  <c r="T3287" i="2"/>
  <c r="S3287" i="2"/>
  <c r="R3288" i="2"/>
  <c r="T3288" i="2"/>
  <c r="S3288" i="2"/>
  <c r="R3289" i="2"/>
  <c r="T3289" i="2"/>
  <c r="S3289" i="2"/>
  <c r="R3290" i="2"/>
  <c r="T3290" i="2"/>
  <c r="S3290" i="2"/>
  <c r="R3291" i="2"/>
  <c r="T3291" i="2"/>
  <c r="S3291" i="2"/>
  <c r="R3292" i="2"/>
  <c r="T3292" i="2"/>
  <c r="S3292" i="2"/>
  <c r="R3293" i="2"/>
  <c r="T3293" i="2"/>
  <c r="S3293" i="2"/>
  <c r="R3294" i="2"/>
  <c r="T3294" i="2"/>
  <c r="S3294" i="2"/>
  <c r="R3295" i="2"/>
  <c r="T3295" i="2"/>
  <c r="S3295" i="2"/>
  <c r="R3296" i="2"/>
  <c r="T3296" i="2"/>
  <c r="S3296" i="2"/>
  <c r="R3297" i="2"/>
  <c r="T3297" i="2"/>
  <c r="S3297" i="2"/>
  <c r="R3298" i="2"/>
  <c r="T3298" i="2"/>
  <c r="S3298" i="2"/>
  <c r="R3299" i="2"/>
  <c r="T3299" i="2"/>
  <c r="S3299" i="2"/>
  <c r="R3300" i="2"/>
  <c r="T3300" i="2"/>
  <c r="S3300" i="2"/>
  <c r="R3301" i="2"/>
  <c r="T3301" i="2"/>
  <c r="S3301" i="2"/>
  <c r="R3302" i="2"/>
  <c r="T3302" i="2"/>
  <c r="S3302" i="2"/>
  <c r="R3303" i="2"/>
  <c r="T3303" i="2"/>
  <c r="S3303" i="2"/>
  <c r="R3304" i="2"/>
  <c r="T3304" i="2"/>
  <c r="S3304" i="2"/>
  <c r="R3305" i="2"/>
  <c r="T3305" i="2"/>
  <c r="S3305" i="2"/>
  <c r="R3306" i="2"/>
  <c r="T3306" i="2"/>
  <c r="S3306" i="2"/>
  <c r="R3307" i="2"/>
  <c r="T3307" i="2"/>
  <c r="S3307" i="2"/>
  <c r="R3308" i="2"/>
  <c r="T3308" i="2"/>
  <c r="S3308" i="2"/>
  <c r="R3309" i="2"/>
  <c r="T3309" i="2"/>
  <c r="S3309" i="2"/>
  <c r="R3310" i="2"/>
  <c r="T3310" i="2"/>
  <c r="S3310" i="2"/>
  <c r="R3311" i="2"/>
  <c r="T3311" i="2"/>
  <c r="S3311" i="2"/>
  <c r="R3312" i="2"/>
  <c r="T3312" i="2"/>
  <c r="S3312" i="2"/>
  <c r="R3313" i="2"/>
  <c r="T3313" i="2"/>
  <c r="S3313" i="2"/>
  <c r="R3314" i="2"/>
  <c r="T3314" i="2"/>
  <c r="S3314" i="2"/>
  <c r="R3315" i="2"/>
  <c r="T3315" i="2"/>
  <c r="S3315" i="2"/>
  <c r="R3316" i="2"/>
  <c r="T3316" i="2"/>
  <c r="S3316" i="2"/>
  <c r="R3317" i="2"/>
  <c r="T3317" i="2"/>
  <c r="S3317" i="2"/>
  <c r="R3318" i="2"/>
  <c r="T3318" i="2"/>
  <c r="S3318" i="2"/>
  <c r="R3319" i="2"/>
  <c r="T3319" i="2"/>
  <c r="S3319" i="2"/>
  <c r="R3320" i="2"/>
  <c r="T3320" i="2"/>
  <c r="S3320" i="2"/>
  <c r="R3321" i="2"/>
  <c r="T3321" i="2"/>
  <c r="S3321" i="2"/>
  <c r="R3322" i="2"/>
  <c r="T3322" i="2"/>
  <c r="S3322" i="2"/>
  <c r="R3323" i="2"/>
  <c r="T3323" i="2"/>
  <c r="S3323" i="2"/>
  <c r="R3324" i="2"/>
  <c r="T3324" i="2"/>
  <c r="S3324" i="2"/>
  <c r="R3325" i="2"/>
  <c r="T3325" i="2"/>
  <c r="S3325" i="2"/>
  <c r="R3326" i="2"/>
  <c r="T3326" i="2"/>
  <c r="S3326" i="2"/>
  <c r="R3327" i="2"/>
  <c r="T3327" i="2"/>
  <c r="S3327" i="2"/>
  <c r="R3328" i="2"/>
  <c r="T3328" i="2"/>
  <c r="S3328" i="2"/>
  <c r="R3329" i="2"/>
  <c r="T3329" i="2"/>
  <c r="S3329" i="2"/>
  <c r="R3330" i="2"/>
  <c r="T3330" i="2"/>
  <c r="S3330" i="2"/>
  <c r="R3331" i="2"/>
  <c r="T3331" i="2"/>
  <c r="S3331" i="2"/>
  <c r="R3332" i="2"/>
  <c r="T3332" i="2"/>
  <c r="S3332" i="2"/>
  <c r="R3333" i="2"/>
  <c r="T3333" i="2"/>
  <c r="S3333" i="2"/>
  <c r="R3334" i="2"/>
  <c r="T3334" i="2"/>
  <c r="S3334" i="2"/>
  <c r="R3335" i="2"/>
  <c r="T3335" i="2"/>
  <c r="S3335" i="2"/>
  <c r="R3336" i="2"/>
  <c r="T3336" i="2"/>
  <c r="S3336" i="2"/>
  <c r="R3337" i="2"/>
  <c r="T3337" i="2"/>
  <c r="S3337" i="2"/>
  <c r="R3338" i="2"/>
  <c r="T3338" i="2"/>
  <c r="S3338" i="2"/>
  <c r="R3339" i="2"/>
  <c r="T3339" i="2"/>
  <c r="S3339" i="2"/>
  <c r="R3340" i="2"/>
  <c r="T3340" i="2"/>
  <c r="S3340" i="2"/>
  <c r="R3341" i="2"/>
  <c r="T3341" i="2"/>
  <c r="S3341" i="2"/>
  <c r="R3342" i="2"/>
  <c r="T3342" i="2"/>
  <c r="S3342" i="2"/>
  <c r="R3343" i="2"/>
  <c r="T3343" i="2"/>
  <c r="S3343" i="2"/>
  <c r="R3344" i="2"/>
  <c r="T3344" i="2"/>
  <c r="S3344" i="2"/>
  <c r="R3345" i="2"/>
  <c r="T3345" i="2"/>
  <c r="S3345" i="2"/>
  <c r="R3346" i="2"/>
  <c r="T3346" i="2"/>
  <c r="S3346" i="2"/>
  <c r="R3347" i="2"/>
  <c r="T3347" i="2"/>
  <c r="S3347" i="2"/>
  <c r="R3348" i="2"/>
  <c r="T3348" i="2"/>
  <c r="S3348" i="2"/>
  <c r="R3349" i="2"/>
  <c r="T3349" i="2"/>
  <c r="S3349" i="2"/>
  <c r="R3350" i="2"/>
  <c r="T3350" i="2"/>
  <c r="S3350" i="2"/>
  <c r="R3351" i="2"/>
  <c r="T3351" i="2"/>
  <c r="S3351" i="2"/>
  <c r="R3352" i="2"/>
  <c r="T3352" i="2"/>
  <c r="S3352" i="2"/>
  <c r="R3353" i="2"/>
  <c r="T3353" i="2"/>
  <c r="S3353" i="2"/>
  <c r="R3354" i="2"/>
  <c r="T3354" i="2"/>
  <c r="S3354" i="2"/>
  <c r="R3355" i="2"/>
  <c r="T3355" i="2"/>
  <c r="S3355" i="2"/>
  <c r="R3356" i="2"/>
  <c r="T3356" i="2"/>
  <c r="S3356" i="2"/>
  <c r="R3357" i="2"/>
  <c r="T3357" i="2"/>
  <c r="S3357" i="2"/>
  <c r="R3358" i="2"/>
  <c r="T3358" i="2"/>
  <c r="S3358" i="2"/>
  <c r="R3359" i="2"/>
  <c r="T3359" i="2"/>
  <c r="S3359" i="2"/>
  <c r="R3360" i="2"/>
  <c r="T3360" i="2"/>
  <c r="S3360" i="2"/>
  <c r="R3361" i="2"/>
  <c r="T3361" i="2"/>
  <c r="S3361" i="2"/>
  <c r="R3362" i="2"/>
  <c r="T3362" i="2"/>
  <c r="S3362" i="2"/>
  <c r="R3363" i="2"/>
  <c r="T3363" i="2"/>
  <c r="S3363" i="2"/>
  <c r="R3364" i="2"/>
  <c r="T3364" i="2"/>
  <c r="S3364" i="2"/>
  <c r="R3365" i="2"/>
  <c r="T3365" i="2"/>
  <c r="S3365" i="2"/>
  <c r="R3366" i="2"/>
  <c r="T3366" i="2"/>
  <c r="S3366" i="2"/>
  <c r="R3367" i="2"/>
  <c r="T3367" i="2"/>
  <c r="S3367" i="2"/>
  <c r="R3368" i="2"/>
  <c r="T3368" i="2"/>
  <c r="S3368" i="2"/>
  <c r="R3369" i="2"/>
  <c r="T3369" i="2"/>
  <c r="S3369" i="2"/>
  <c r="R3370" i="2"/>
  <c r="T3370" i="2"/>
  <c r="S3370" i="2"/>
  <c r="R3371" i="2"/>
  <c r="T3371" i="2"/>
  <c r="S3371" i="2"/>
  <c r="R3372" i="2"/>
  <c r="T3372" i="2"/>
  <c r="S3372" i="2"/>
  <c r="R3373" i="2"/>
  <c r="T3373" i="2"/>
  <c r="S3373" i="2"/>
  <c r="R3374" i="2"/>
  <c r="T3374" i="2"/>
  <c r="S3374" i="2"/>
  <c r="R3375" i="2"/>
  <c r="T3375" i="2"/>
  <c r="S3375" i="2"/>
  <c r="R3376" i="2"/>
  <c r="T3376" i="2"/>
  <c r="S3376" i="2"/>
  <c r="R3377" i="2"/>
  <c r="T3377" i="2"/>
  <c r="S3377" i="2"/>
  <c r="R3378" i="2"/>
  <c r="T3378" i="2"/>
  <c r="S3378" i="2"/>
  <c r="R3379" i="2"/>
  <c r="T3379" i="2"/>
  <c r="S3379" i="2"/>
  <c r="R3380" i="2"/>
  <c r="T3380" i="2"/>
  <c r="S3380" i="2"/>
  <c r="R3381" i="2"/>
  <c r="T3381" i="2"/>
  <c r="S3381" i="2"/>
  <c r="R3382" i="2"/>
  <c r="T3382" i="2"/>
  <c r="S3382" i="2"/>
  <c r="R3383" i="2"/>
  <c r="T3383" i="2"/>
  <c r="S3383" i="2"/>
  <c r="R3384" i="2"/>
  <c r="T3384" i="2"/>
  <c r="S3384" i="2"/>
  <c r="R3385" i="2"/>
  <c r="T3385" i="2"/>
  <c r="S3385" i="2"/>
  <c r="R3386" i="2"/>
  <c r="T3386" i="2"/>
  <c r="S3386" i="2"/>
  <c r="R3387" i="2"/>
  <c r="T3387" i="2"/>
  <c r="S3387" i="2"/>
  <c r="R3388" i="2"/>
  <c r="T3388" i="2"/>
  <c r="S3388" i="2"/>
  <c r="R3389" i="2"/>
  <c r="T3389" i="2"/>
  <c r="S3389" i="2"/>
  <c r="R3390" i="2"/>
  <c r="T3390" i="2"/>
  <c r="S3390" i="2"/>
  <c r="R3391" i="2"/>
  <c r="T3391" i="2"/>
  <c r="S3391" i="2"/>
  <c r="R3392" i="2"/>
  <c r="T3392" i="2"/>
  <c r="S3392" i="2"/>
  <c r="R3393" i="2"/>
  <c r="T3393" i="2"/>
  <c r="S3393" i="2"/>
  <c r="R3394" i="2"/>
  <c r="T3394" i="2"/>
  <c r="S3394" i="2"/>
  <c r="R3395" i="2"/>
  <c r="T3395" i="2"/>
  <c r="S3395" i="2"/>
  <c r="R3396" i="2"/>
  <c r="T3396" i="2"/>
  <c r="S3396" i="2"/>
  <c r="R3397" i="2"/>
  <c r="T3397" i="2"/>
  <c r="S3397" i="2"/>
  <c r="R3398" i="2"/>
  <c r="T3398" i="2"/>
  <c r="S3398" i="2"/>
  <c r="R3399" i="2"/>
  <c r="T3399" i="2"/>
  <c r="S3399" i="2"/>
  <c r="R3400" i="2"/>
  <c r="T3400" i="2"/>
  <c r="S3400" i="2"/>
  <c r="R3401" i="2"/>
  <c r="T3401" i="2"/>
  <c r="S3401" i="2"/>
  <c r="R3402" i="2"/>
  <c r="T3402" i="2"/>
  <c r="S3402" i="2"/>
  <c r="R3403" i="2"/>
  <c r="T3403" i="2"/>
  <c r="S3403" i="2"/>
  <c r="R3404" i="2"/>
  <c r="T3404" i="2"/>
  <c r="S3404" i="2"/>
  <c r="R3405" i="2"/>
  <c r="T3405" i="2"/>
  <c r="S3405" i="2"/>
  <c r="R3406" i="2"/>
  <c r="T3406" i="2"/>
  <c r="S3406" i="2"/>
  <c r="R3407" i="2"/>
  <c r="T3407" i="2"/>
  <c r="S3407" i="2"/>
  <c r="R3408" i="2"/>
  <c r="T3408" i="2"/>
  <c r="S3408" i="2"/>
  <c r="R3409" i="2"/>
  <c r="T3409" i="2"/>
  <c r="S3409" i="2"/>
  <c r="R3410" i="2"/>
  <c r="T3410" i="2"/>
  <c r="S3410" i="2"/>
  <c r="R3411" i="2"/>
  <c r="T3411" i="2"/>
  <c r="S3411" i="2"/>
  <c r="R3412" i="2"/>
  <c r="T3412" i="2"/>
  <c r="S3412" i="2"/>
  <c r="R3413" i="2"/>
  <c r="T3413" i="2"/>
  <c r="S3413" i="2"/>
  <c r="R3414" i="2"/>
  <c r="T3414" i="2"/>
  <c r="S3414" i="2"/>
  <c r="R3415" i="2"/>
  <c r="T3415" i="2"/>
  <c r="S3415" i="2"/>
  <c r="R3416" i="2"/>
  <c r="T3416" i="2"/>
  <c r="S3416" i="2"/>
  <c r="R3417" i="2"/>
  <c r="T3417" i="2"/>
  <c r="S3417" i="2"/>
  <c r="R3418" i="2"/>
  <c r="T3418" i="2"/>
  <c r="S3418" i="2"/>
  <c r="R3419" i="2"/>
  <c r="T3419" i="2"/>
  <c r="S3419" i="2"/>
  <c r="R3420" i="2"/>
  <c r="T3420" i="2"/>
  <c r="S3420" i="2"/>
  <c r="R3421" i="2"/>
  <c r="T3421" i="2"/>
  <c r="S3421" i="2"/>
  <c r="R3422" i="2"/>
  <c r="T3422" i="2"/>
  <c r="S3422" i="2"/>
  <c r="R3423" i="2"/>
  <c r="T3423" i="2"/>
  <c r="S3423" i="2"/>
  <c r="R3424" i="2"/>
  <c r="T3424" i="2"/>
  <c r="S3424" i="2"/>
  <c r="R3425" i="2"/>
  <c r="T3425" i="2"/>
  <c r="S3425" i="2"/>
  <c r="R3426" i="2"/>
  <c r="T3426" i="2"/>
  <c r="S3426" i="2"/>
  <c r="R3427" i="2"/>
  <c r="T3427" i="2"/>
  <c r="S3427" i="2"/>
  <c r="R3428" i="2"/>
  <c r="T3428" i="2"/>
  <c r="S3428" i="2"/>
  <c r="R3429" i="2"/>
  <c r="T3429" i="2"/>
  <c r="S3429" i="2"/>
  <c r="R3430" i="2"/>
  <c r="T3430" i="2"/>
  <c r="S3430" i="2"/>
  <c r="R3431" i="2"/>
  <c r="T3431" i="2"/>
  <c r="S3431" i="2"/>
  <c r="R3432" i="2"/>
  <c r="T3432" i="2"/>
  <c r="S3432" i="2"/>
  <c r="R3433" i="2"/>
  <c r="T3433" i="2"/>
  <c r="S3433" i="2"/>
  <c r="R3434" i="2"/>
  <c r="T3434" i="2"/>
  <c r="S3434" i="2"/>
  <c r="R3435" i="2"/>
  <c r="T3435" i="2"/>
  <c r="S3435" i="2"/>
  <c r="R3436" i="2"/>
  <c r="T3436" i="2"/>
  <c r="S3436" i="2"/>
  <c r="R3437" i="2"/>
  <c r="T3437" i="2"/>
  <c r="S3437" i="2"/>
  <c r="R3438" i="2"/>
  <c r="T3438" i="2"/>
  <c r="S3438" i="2"/>
  <c r="R3439" i="2"/>
  <c r="T3439" i="2"/>
  <c r="S3439" i="2"/>
  <c r="R3440" i="2"/>
  <c r="T3440" i="2"/>
  <c r="S3440" i="2"/>
  <c r="R3441" i="2"/>
  <c r="T3441" i="2"/>
  <c r="S3441" i="2"/>
  <c r="R3442" i="2"/>
  <c r="T3442" i="2"/>
  <c r="S3442" i="2"/>
  <c r="R3443" i="2"/>
  <c r="T3443" i="2"/>
  <c r="S3443" i="2"/>
  <c r="R3444" i="2"/>
  <c r="T3444" i="2"/>
  <c r="S3444" i="2"/>
  <c r="R3445" i="2"/>
  <c r="T3445" i="2"/>
  <c r="S3445" i="2"/>
  <c r="R3446" i="2"/>
  <c r="T3446" i="2"/>
  <c r="S3446" i="2"/>
  <c r="R3447" i="2"/>
  <c r="T3447" i="2"/>
  <c r="S3447" i="2"/>
  <c r="R3448" i="2"/>
  <c r="T3448" i="2"/>
  <c r="S3448" i="2"/>
  <c r="R3449" i="2"/>
  <c r="T3449" i="2"/>
  <c r="S3449" i="2"/>
  <c r="R3450" i="2"/>
  <c r="T3450" i="2"/>
  <c r="S3450" i="2"/>
  <c r="R3451" i="2"/>
  <c r="T3451" i="2"/>
  <c r="S3451" i="2"/>
  <c r="R3452" i="2"/>
  <c r="T3452" i="2"/>
  <c r="S3452" i="2"/>
  <c r="R3453" i="2"/>
  <c r="T3453" i="2"/>
  <c r="S3453" i="2"/>
  <c r="R3454" i="2"/>
  <c r="T3454" i="2"/>
  <c r="S3454" i="2"/>
  <c r="R3455" i="2"/>
  <c r="T3455" i="2"/>
  <c r="S3455" i="2"/>
  <c r="R3456" i="2"/>
  <c r="T3456" i="2"/>
  <c r="S3456" i="2"/>
  <c r="R3457" i="2"/>
  <c r="T3457" i="2"/>
  <c r="S3457" i="2"/>
  <c r="R3458" i="2"/>
  <c r="T3458" i="2"/>
  <c r="S3458" i="2"/>
  <c r="R3459" i="2"/>
  <c r="T3459" i="2"/>
  <c r="S3459" i="2"/>
  <c r="R3460" i="2"/>
  <c r="T3460" i="2"/>
  <c r="S3460" i="2"/>
  <c r="R3461" i="2"/>
  <c r="T3461" i="2"/>
  <c r="S3461" i="2"/>
  <c r="R3462" i="2"/>
  <c r="T3462" i="2"/>
  <c r="S3462" i="2"/>
  <c r="R3463" i="2"/>
  <c r="T3463" i="2"/>
  <c r="S3463" i="2"/>
  <c r="R3464" i="2"/>
  <c r="T3464" i="2"/>
  <c r="S3464" i="2"/>
  <c r="R3465" i="2"/>
  <c r="T3465" i="2"/>
  <c r="S3465" i="2"/>
  <c r="R3466" i="2"/>
  <c r="T3466" i="2"/>
  <c r="S3466" i="2"/>
  <c r="R3467" i="2"/>
  <c r="T3467" i="2"/>
  <c r="S3467" i="2"/>
  <c r="R3468" i="2"/>
  <c r="T3468" i="2"/>
  <c r="S3468" i="2"/>
  <c r="R3469" i="2"/>
  <c r="T3469" i="2"/>
  <c r="S3469" i="2"/>
  <c r="R3470" i="2"/>
  <c r="T3470" i="2"/>
  <c r="S3470" i="2"/>
  <c r="R3471" i="2"/>
  <c r="T3471" i="2"/>
  <c r="S3471" i="2"/>
  <c r="R3472" i="2"/>
  <c r="T3472" i="2"/>
  <c r="S3472" i="2"/>
  <c r="R3473" i="2"/>
  <c r="T3473" i="2"/>
  <c r="S3473" i="2"/>
  <c r="R3474" i="2"/>
  <c r="T3474" i="2"/>
  <c r="S3474" i="2"/>
  <c r="R3475" i="2"/>
  <c r="T3475" i="2"/>
  <c r="S3475" i="2"/>
  <c r="R3476" i="2"/>
  <c r="T3476" i="2"/>
  <c r="S3476" i="2"/>
  <c r="R3477" i="2"/>
  <c r="T3477" i="2"/>
  <c r="S3477" i="2"/>
  <c r="R3478" i="2"/>
  <c r="T3478" i="2"/>
  <c r="S3478" i="2"/>
  <c r="R3479" i="2"/>
  <c r="T3479" i="2"/>
  <c r="S3479" i="2"/>
  <c r="R3480" i="2"/>
  <c r="T3480" i="2"/>
  <c r="S3480" i="2"/>
  <c r="R3481" i="2"/>
  <c r="T3481" i="2"/>
  <c r="S3481" i="2"/>
  <c r="R3482" i="2"/>
  <c r="T3482" i="2"/>
  <c r="S3482" i="2"/>
  <c r="R3483" i="2"/>
  <c r="T3483" i="2"/>
  <c r="S3483" i="2"/>
  <c r="R3484" i="2"/>
  <c r="T3484" i="2"/>
  <c r="S3484" i="2"/>
  <c r="R3485" i="2"/>
  <c r="T3485" i="2"/>
  <c r="S3485" i="2"/>
  <c r="R3486" i="2"/>
  <c r="T3486" i="2"/>
  <c r="S3486" i="2"/>
  <c r="R3487" i="2"/>
  <c r="T3487" i="2"/>
  <c r="S3487" i="2"/>
  <c r="R3488" i="2"/>
  <c r="T3488" i="2"/>
  <c r="S3488" i="2"/>
  <c r="R3489" i="2"/>
  <c r="T3489" i="2"/>
  <c r="S3489" i="2"/>
  <c r="R3490" i="2"/>
  <c r="T3490" i="2"/>
  <c r="S3490" i="2"/>
  <c r="R3491" i="2"/>
  <c r="T3491" i="2"/>
  <c r="S3491" i="2"/>
  <c r="R3492" i="2"/>
  <c r="T3492" i="2"/>
  <c r="S3492" i="2"/>
  <c r="R3493" i="2"/>
  <c r="T3493" i="2"/>
  <c r="S3493" i="2"/>
  <c r="R3494" i="2"/>
  <c r="T3494" i="2"/>
  <c r="S3494" i="2"/>
  <c r="R3495" i="2"/>
  <c r="T3495" i="2"/>
  <c r="S3495" i="2"/>
  <c r="R3496" i="2"/>
  <c r="T3496" i="2"/>
  <c r="S3496" i="2"/>
  <c r="R3497" i="2"/>
  <c r="T3497" i="2"/>
  <c r="S3497" i="2"/>
  <c r="R3498" i="2"/>
  <c r="T3498" i="2"/>
  <c r="S3498" i="2"/>
  <c r="R3499" i="2"/>
  <c r="T3499" i="2"/>
  <c r="S3499" i="2"/>
  <c r="R3500" i="2"/>
  <c r="T3500" i="2"/>
  <c r="S3500" i="2"/>
  <c r="R3501" i="2"/>
  <c r="T3501" i="2"/>
  <c r="S3501" i="2"/>
  <c r="R3502" i="2"/>
  <c r="T3502" i="2"/>
  <c r="S3502" i="2"/>
  <c r="R3503" i="2"/>
  <c r="T3503" i="2"/>
  <c r="S3503" i="2"/>
  <c r="R3504" i="2"/>
  <c r="T3504" i="2"/>
  <c r="S3504" i="2"/>
  <c r="R3505" i="2"/>
  <c r="T3505" i="2"/>
  <c r="S3505" i="2"/>
  <c r="R3506" i="2"/>
  <c r="T3506" i="2"/>
  <c r="S3506" i="2"/>
  <c r="R3507" i="2"/>
  <c r="T3507" i="2"/>
  <c r="S3507" i="2"/>
  <c r="R3508" i="2"/>
  <c r="T3508" i="2"/>
  <c r="S3508" i="2"/>
  <c r="R3509" i="2"/>
  <c r="T3509" i="2"/>
  <c r="S3509" i="2"/>
  <c r="R3510" i="2"/>
  <c r="T3510" i="2"/>
  <c r="S3510" i="2"/>
  <c r="R3511" i="2"/>
  <c r="T3511" i="2"/>
  <c r="S3511" i="2"/>
  <c r="R3512" i="2"/>
  <c r="T3512" i="2"/>
  <c r="S3512" i="2"/>
  <c r="R3513" i="2"/>
  <c r="T3513" i="2"/>
  <c r="S3513" i="2"/>
  <c r="R3514" i="2"/>
  <c r="T3514" i="2"/>
  <c r="S3514" i="2"/>
  <c r="R3515" i="2"/>
  <c r="T3515" i="2"/>
  <c r="S3515" i="2"/>
  <c r="R3516" i="2"/>
  <c r="T3516" i="2"/>
  <c r="S3516" i="2"/>
  <c r="R3517" i="2"/>
  <c r="T3517" i="2"/>
  <c r="S3517" i="2"/>
  <c r="R3518" i="2"/>
  <c r="T3518" i="2"/>
  <c r="S3518" i="2"/>
  <c r="R3519" i="2"/>
  <c r="T3519" i="2"/>
  <c r="S3519" i="2"/>
  <c r="R3520" i="2"/>
  <c r="T3520" i="2"/>
  <c r="S3520" i="2"/>
  <c r="R3521" i="2"/>
  <c r="T3521" i="2"/>
  <c r="S3521" i="2"/>
  <c r="R3522" i="2"/>
  <c r="T3522" i="2"/>
  <c r="S3522" i="2"/>
  <c r="R3523" i="2"/>
  <c r="T3523" i="2"/>
  <c r="S3523" i="2"/>
  <c r="R3524" i="2"/>
  <c r="T3524" i="2"/>
  <c r="S3524" i="2"/>
  <c r="R3525" i="2"/>
  <c r="T3525" i="2"/>
  <c r="S3525" i="2"/>
  <c r="R3526" i="2"/>
  <c r="T3526" i="2"/>
  <c r="S3526" i="2"/>
  <c r="R3527" i="2"/>
  <c r="T3527" i="2"/>
  <c r="S3527" i="2"/>
  <c r="R3528" i="2"/>
  <c r="T3528" i="2"/>
  <c r="S3528" i="2"/>
  <c r="R3529" i="2"/>
  <c r="T3529" i="2"/>
  <c r="S3529" i="2"/>
  <c r="R3530" i="2"/>
  <c r="T3530" i="2"/>
  <c r="S3530" i="2"/>
  <c r="R3531" i="2"/>
  <c r="T3531" i="2"/>
  <c r="S3531" i="2"/>
  <c r="R3532" i="2"/>
  <c r="T3532" i="2"/>
  <c r="S3532" i="2"/>
  <c r="R3533" i="2"/>
  <c r="T3533" i="2"/>
  <c r="S3533" i="2"/>
  <c r="R3534" i="2"/>
  <c r="T3534" i="2"/>
  <c r="S3534" i="2"/>
  <c r="R3535" i="2"/>
  <c r="T3535" i="2"/>
  <c r="S3535" i="2"/>
  <c r="R3536" i="2"/>
  <c r="T3536" i="2"/>
  <c r="S3536" i="2"/>
  <c r="R3537" i="2"/>
  <c r="T3537" i="2"/>
  <c r="S3537" i="2"/>
  <c r="R3538" i="2"/>
  <c r="T3538" i="2"/>
  <c r="S3538" i="2"/>
  <c r="R3539" i="2"/>
  <c r="T3539" i="2"/>
  <c r="S3539" i="2"/>
  <c r="R3540" i="2"/>
  <c r="T3540" i="2"/>
  <c r="S3540" i="2"/>
  <c r="R3541" i="2"/>
  <c r="T3541" i="2"/>
  <c r="S3541" i="2"/>
  <c r="R3542" i="2"/>
  <c r="T3542" i="2"/>
  <c r="S3542" i="2"/>
  <c r="R3543" i="2"/>
  <c r="T3543" i="2"/>
  <c r="S3543" i="2"/>
  <c r="R3544" i="2"/>
  <c r="T3544" i="2"/>
  <c r="S3544" i="2"/>
  <c r="R3545" i="2"/>
  <c r="T3545" i="2"/>
  <c r="S3545" i="2"/>
  <c r="R3546" i="2"/>
  <c r="T3546" i="2"/>
  <c r="S3546" i="2"/>
  <c r="R3547" i="2"/>
  <c r="T3547" i="2"/>
  <c r="S3547" i="2"/>
  <c r="R3548" i="2"/>
  <c r="T3548" i="2"/>
  <c r="S3548" i="2"/>
  <c r="R3549" i="2"/>
  <c r="T3549" i="2"/>
  <c r="S3549" i="2"/>
  <c r="R3550" i="2"/>
  <c r="T3550" i="2"/>
  <c r="S3550" i="2"/>
  <c r="R3551" i="2"/>
  <c r="T3551" i="2"/>
  <c r="S3551" i="2"/>
  <c r="R3552" i="2"/>
  <c r="T3552" i="2"/>
  <c r="S3552" i="2"/>
  <c r="R3553" i="2"/>
  <c r="T3553" i="2"/>
  <c r="S3553" i="2"/>
  <c r="R3554" i="2"/>
  <c r="T3554" i="2"/>
  <c r="S3554" i="2"/>
  <c r="R3555" i="2"/>
  <c r="T3555" i="2"/>
  <c r="S3555" i="2"/>
  <c r="R3556" i="2"/>
  <c r="T3556" i="2"/>
  <c r="S3556" i="2"/>
  <c r="R3557" i="2"/>
  <c r="T3557" i="2"/>
  <c r="S3557" i="2"/>
  <c r="R3558" i="2"/>
  <c r="T3558" i="2"/>
  <c r="S3558" i="2"/>
  <c r="R3559" i="2"/>
  <c r="T3559" i="2"/>
  <c r="S3559" i="2"/>
  <c r="R3560" i="2"/>
  <c r="T3560" i="2"/>
  <c r="S3560" i="2"/>
  <c r="R3561" i="2"/>
  <c r="T3561" i="2"/>
  <c r="S3561" i="2"/>
  <c r="R3562" i="2"/>
  <c r="T3562" i="2"/>
  <c r="S3562" i="2"/>
  <c r="R3563" i="2"/>
  <c r="T3563" i="2"/>
  <c r="S3563" i="2"/>
  <c r="R3564" i="2"/>
  <c r="T3564" i="2"/>
  <c r="S3564" i="2"/>
  <c r="R3565" i="2"/>
  <c r="T3565" i="2"/>
  <c r="S3565" i="2"/>
  <c r="R3566" i="2"/>
  <c r="T3566" i="2"/>
  <c r="S3566" i="2"/>
  <c r="R3567" i="2"/>
  <c r="T3567" i="2"/>
  <c r="S3567" i="2"/>
  <c r="R3568" i="2"/>
  <c r="T3568" i="2"/>
  <c r="S3568" i="2"/>
  <c r="R3569" i="2"/>
  <c r="T3569" i="2"/>
  <c r="S3569" i="2"/>
  <c r="R3570" i="2"/>
  <c r="T3570" i="2"/>
  <c r="S3570" i="2"/>
  <c r="R3571" i="2"/>
  <c r="T3571" i="2"/>
  <c r="S3571" i="2"/>
  <c r="R3572" i="2"/>
  <c r="T3572" i="2"/>
  <c r="S3572" i="2"/>
  <c r="R3573" i="2"/>
  <c r="T3573" i="2"/>
  <c r="S3573" i="2"/>
  <c r="R3574" i="2"/>
  <c r="T3574" i="2"/>
  <c r="S3574" i="2"/>
  <c r="R3575" i="2"/>
  <c r="T3575" i="2"/>
  <c r="S3575" i="2"/>
  <c r="R3576" i="2"/>
  <c r="T3576" i="2"/>
  <c r="S3576" i="2"/>
  <c r="R3577" i="2"/>
  <c r="T3577" i="2"/>
  <c r="S3577" i="2"/>
  <c r="R3578" i="2"/>
  <c r="T3578" i="2"/>
  <c r="S3578" i="2"/>
  <c r="R3579" i="2"/>
  <c r="T3579" i="2"/>
  <c r="S3579" i="2"/>
  <c r="R3580" i="2"/>
  <c r="T3580" i="2"/>
  <c r="S3580" i="2"/>
  <c r="R3581" i="2"/>
  <c r="T3581" i="2"/>
  <c r="S3581" i="2"/>
  <c r="R3582" i="2"/>
  <c r="T3582" i="2"/>
  <c r="S3582" i="2"/>
  <c r="R3583" i="2"/>
  <c r="T3583" i="2"/>
  <c r="S3583" i="2"/>
  <c r="R3584" i="2"/>
  <c r="T3584" i="2"/>
  <c r="S3584" i="2"/>
  <c r="R3585" i="2"/>
  <c r="T3585" i="2"/>
  <c r="S3585" i="2"/>
  <c r="R3586" i="2"/>
  <c r="T3586" i="2"/>
  <c r="S3586" i="2"/>
  <c r="R3587" i="2"/>
  <c r="T3587" i="2"/>
  <c r="S3587" i="2"/>
  <c r="R3588" i="2"/>
  <c r="T3588" i="2"/>
  <c r="S3588" i="2"/>
  <c r="R3589" i="2"/>
  <c r="T3589" i="2"/>
  <c r="S3589" i="2"/>
  <c r="R3590" i="2"/>
  <c r="T3590" i="2"/>
  <c r="S3590" i="2"/>
  <c r="R3591" i="2"/>
  <c r="T3591" i="2"/>
  <c r="S3591" i="2"/>
  <c r="R3592" i="2"/>
  <c r="T3592" i="2"/>
  <c r="S3592" i="2"/>
  <c r="R3593" i="2"/>
  <c r="T3593" i="2"/>
  <c r="S3593" i="2"/>
  <c r="R3594" i="2"/>
  <c r="T3594" i="2"/>
  <c r="S3594" i="2"/>
  <c r="R3595" i="2"/>
  <c r="T3595" i="2"/>
  <c r="S3595" i="2"/>
  <c r="R3596" i="2"/>
  <c r="T3596" i="2"/>
  <c r="S3596" i="2"/>
  <c r="R3597" i="2"/>
  <c r="T3597" i="2"/>
  <c r="S3597" i="2"/>
  <c r="R3598" i="2"/>
  <c r="T3598" i="2"/>
  <c r="S3598" i="2"/>
  <c r="R3599" i="2"/>
  <c r="T3599" i="2"/>
  <c r="S3599" i="2"/>
  <c r="R3600" i="2"/>
  <c r="T3600" i="2"/>
  <c r="S3600" i="2"/>
  <c r="R3601" i="2"/>
  <c r="T3601" i="2"/>
  <c r="S3601" i="2"/>
  <c r="R3602" i="2"/>
  <c r="T3602" i="2"/>
  <c r="S3602" i="2"/>
  <c r="R3603" i="2"/>
  <c r="T3603" i="2"/>
  <c r="S3603" i="2"/>
  <c r="R3604" i="2"/>
  <c r="T3604" i="2"/>
  <c r="S3604" i="2"/>
  <c r="R3605" i="2"/>
  <c r="T3605" i="2"/>
  <c r="S3605" i="2"/>
  <c r="R3606" i="2"/>
  <c r="T3606" i="2"/>
  <c r="S3606" i="2"/>
  <c r="R3607" i="2"/>
  <c r="T3607" i="2"/>
  <c r="S3607" i="2"/>
  <c r="R3608" i="2"/>
  <c r="T3608" i="2"/>
  <c r="S3608" i="2"/>
  <c r="R3609" i="2"/>
  <c r="T3609" i="2"/>
  <c r="S3609" i="2"/>
  <c r="R3610" i="2"/>
  <c r="T3610" i="2"/>
  <c r="S3610" i="2"/>
  <c r="R3611" i="2"/>
  <c r="T3611" i="2"/>
  <c r="S3611" i="2"/>
  <c r="R3612" i="2"/>
  <c r="T3612" i="2"/>
  <c r="S3612" i="2"/>
  <c r="R3613" i="2"/>
  <c r="T3613" i="2"/>
  <c r="S3613" i="2"/>
  <c r="R3614" i="2"/>
  <c r="T3614" i="2"/>
  <c r="S3614" i="2"/>
  <c r="R3615" i="2"/>
  <c r="T3615" i="2"/>
  <c r="S3615" i="2"/>
  <c r="R3616" i="2"/>
  <c r="T3616" i="2"/>
  <c r="S3616" i="2"/>
  <c r="R3617" i="2"/>
  <c r="T3617" i="2"/>
  <c r="S3617" i="2"/>
  <c r="R3618" i="2"/>
  <c r="T3618" i="2"/>
  <c r="S3618" i="2"/>
  <c r="R3619" i="2"/>
  <c r="T3619" i="2"/>
  <c r="S3619" i="2"/>
  <c r="R3620" i="2"/>
  <c r="T3620" i="2"/>
  <c r="S3620" i="2"/>
  <c r="R3621" i="2"/>
  <c r="T3621" i="2"/>
  <c r="S3621" i="2"/>
  <c r="R3622" i="2"/>
  <c r="T3622" i="2"/>
  <c r="S3622" i="2"/>
  <c r="R3623" i="2"/>
  <c r="T3623" i="2"/>
  <c r="S3623" i="2"/>
  <c r="R3624" i="2"/>
  <c r="T3624" i="2"/>
  <c r="S3624" i="2"/>
  <c r="R3625" i="2"/>
  <c r="T3625" i="2"/>
  <c r="S3625" i="2"/>
  <c r="R3626" i="2"/>
  <c r="T3626" i="2"/>
  <c r="S3626" i="2"/>
  <c r="R3627" i="2"/>
  <c r="T3627" i="2"/>
  <c r="S3627" i="2"/>
  <c r="R3628" i="2"/>
  <c r="T3628" i="2"/>
  <c r="S3628" i="2"/>
  <c r="R3629" i="2"/>
  <c r="T3629" i="2"/>
  <c r="S3629" i="2"/>
  <c r="R3630" i="2"/>
  <c r="T3630" i="2"/>
  <c r="S3630" i="2"/>
  <c r="R3631" i="2"/>
  <c r="T3631" i="2"/>
  <c r="S3631" i="2"/>
  <c r="R3632" i="2"/>
  <c r="T3632" i="2"/>
  <c r="S3632" i="2"/>
  <c r="R3633" i="2"/>
  <c r="T3633" i="2"/>
  <c r="S3633" i="2"/>
  <c r="R3634" i="2"/>
  <c r="T3634" i="2"/>
  <c r="S3634" i="2"/>
  <c r="R3635" i="2"/>
  <c r="T3635" i="2"/>
  <c r="S3635" i="2"/>
  <c r="R3636" i="2"/>
  <c r="T3636" i="2"/>
  <c r="S3636" i="2"/>
  <c r="R3637" i="2"/>
  <c r="T3637" i="2"/>
  <c r="S3637" i="2"/>
  <c r="R3638" i="2"/>
  <c r="T3638" i="2"/>
  <c r="S3638" i="2"/>
  <c r="R3639" i="2"/>
  <c r="T3639" i="2"/>
  <c r="S3639" i="2"/>
  <c r="R3640" i="2"/>
  <c r="T3640" i="2"/>
  <c r="S3640" i="2"/>
  <c r="R3641" i="2"/>
  <c r="T3641" i="2"/>
  <c r="S3641" i="2"/>
  <c r="R3642" i="2"/>
  <c r="T3642" i="2"/>
  <c r="S3642" i="2"/>
  <c r="R3643" i="2"/>
  <c r="T3643" i="2"/>
  <c r="S3643" i="2"/>
  <c r="R3644" i="2"/>
  <c r="T3644" i="2"/>
  <c r="S3644" i="2"/>
  <c r="R3645" i="2"/>
  <c r="T3645" i="2"/>
  <c r="S3645" i="2"/>
  <c r="R3646" i="2"/>
  <c r="T3646" i="2"/>
  <c r="S3646" i="2"/>
  <c r="R3647" i="2"/>
  <c r="T3647" i="2"/>
  <c r="S3647" i="2"/>
  <c r="R3648" i="2"/>
  <c r="T3648" i="2"/>
  <c r="S3648" i="2"/>
  <c r="R3649" i="2"/>
  <c r="T3649" i="2"/>
  <c r="S3649" i="2"/>
  <c r="R3650" i="2"/>
  <c r="T3650" i="2"/>
  <c r="S3650" i="2"/>
  <c r="R3651" i="2"/>
  <c r="T3651" i="2"/>
  <c r="S3651" i="2"/>
  <c r="R3652" i="2"/>
  <c r="T3652" i="2"/>
  <c r="S3652" i="2"/>
  <c r="R3653" i="2"/>
  <c r="T3653" i="2"/>
  <c r="S3653" i="2"/>
  <c r="R3654" i="2"/>
  <c r="T3654" i="2"/>
  <c r="S3654" i="2"/>
  <c r="R3655" i="2"/>
  <c r="T3655" i="2"/>
  <c r="S3655" i="2"/>
  <c r="R3656" i="2"/>
  <c r="T3656" i="2"/>
  <c r="S3656" i="2"/>
  <c r="R3657" i="2"/>
  <c r="T3657" i="2"/>
  <c r="S3657" i="2"/>
  <c r="R3658" i="2"/>
  <c r="T3658" i="2"/>
  <c r="S3658" i="2"/>
  <c r="R3659" i="2"/>
  <c r="T3659" i="2"/>
  <c r="S3659" i="2"/>
  <c r="R3660" i="2"/>
  <c r="T3660" i="2"/>
  <c r="S3660" i="2"/>
  <c r="R3661" i="2"/>
  <c r="T3661" i="2"/>
  <c r="S3661" i="2"/>
  <c r="R3662" i="2"/>
  <c r="T3662" i="2"/>
  <c r="S3662" i="2"/>
  <c r="R3663" i="2"/>
  <c r="T3663" i="2"/>
  <c r="S3663" i="2"/>
  <c r="R3664" i="2"/>
  <c r="T3664" i="2"/>
  <c r="S3664" i="2"/>
  <c r="R3665" i="2"/>
  <c r="T3665" i="2"/>
  <c r="S3665" i="2"/>
  <c r="R3666" i="2"/>
  <c r="T3666" i="2"/>
  <c r="S3666" i="2"/>
  <c r="R3667" i="2"/>
  <c r="T3667" i="2"/>
  <c r="S3667" i="2"/>
  <c r="R3668" i="2"/>
  <c r="T3668" i="2"/>
  <c r="S3668" i="2"/>
  <c r="R3669" i="2"/>
  <c r="T3669" i="2"/>
  <c r="S3669" i="2"/>
  <c r="R3670" i="2"/>
  <c r="T3670" i="2"/>
  <c r="S3670" i="2"/>
  <c r="R3671" i="2"/>
  <c r="T3671" i="2"/>
  <c r="S3671" i="2"/>
  <c r="R3672" i="2"/>
  <c r="T3672" i="2"/>
  <c r="S3672" i="2"/>
  <c r="R3673" i="2"/>
  <c r="T3673" i="2"/>
  <c r="S3673" i="2"/>
  <c r="R3674" i="2"/>
  <c r="T3674" i="2"/>
  <c r="S3674" i="2"/>
  <c r="R3675" i="2"/>
  <c r="T3675" i="2"/>
  <c r="S3675" i="2"/>
  <c r="R3676" i="2"/>
  <c r="T3676" i="2"/>
  <c r="S3676" i="2"/>
  <c r="R3677" i="2"/>
  <c r="T3677" i="2"/>
  <c r="S3677" i="2"/>
  <c r="R3678" i="2"/>
  <c r="T3678" i="2"/>
  <c r="S3678" i="2"/>
  <c r="R3679" i="2"/>
  <c r="T3679" i="2"/>
  <c r="S3679" i="2"/>
  <c r="R3680" i="2"/>
  <c r="T3680" i="2"/>
  <c r="S3680" i="2"/>
  <c r="R3681" i="2"/>
  <c r="T3681" i="2"/>
  <c r="S3681" i="2"/>
  <c r="R3682" i="2"/>
  <c r="T3682" i="2"/>
  <c r="S3682" i="2"/>
  <c r="R3683" i="2"/>
  <c r="T3683" i="2"/>
  <c r="S3683" i="2"/>
  <c r="R3684" i="2"/>
  <c r="T3684" i="2"/>
  <c r="S3684" i="2"/>
  <c r="R3685" i="2"/>
  <c r="T3685" i="2"/>
  <c r="S3685" i="2"/>
  <c r="R3686" i="2"/>
  <c r="T3686" i="2"/>
  <c r="S3686" i="2"/>
  <c r="R3687" i="2"/>
  <c r="T3687" i="2"/>
  <c r="S3687" i="2"/>
  <c r="R3688" i="2"/>
  <c r="T3688" i="2"/>
  <c r="S3688" i="2"/>
  <c r="R3689" i="2"/>
  <c r="T3689" i="2"/>
  <c r="S3689" i="2"/>
  <c r="R3690" i="2"/>
  <c r="T3690" i="2"/>
  <c r="S3690" i="2"/>
  <c r="R3691" i="2"/>
  <c r="T3691" i="2"/>
  <c r="S3691" i="2"/>
  <c r="R3692" i="2"/>
  <c r="T3692" i="2"/>
  <c r="S3692" i="2"/>
  <c r="R3693" i="2"/>
  <c r="T3693" i="2"/>
  <c r="S3693" i="2"/>
  <c r="R3694" i="2"/>
  <c r="T3694" i="2"/>
  <c r="S3694" i="2"/>
  <c r="R3695" i="2"/>
  <c r="T3695" i="2"/>
  <c r="S3695" i="2"/>
  <c r="R3696" i="2"/>
  <c r="T3696" i="2"/>
  <c r="S3696" i="2"/>
  <c r="R3697" i="2"/>
  <c r="T3697" i="2"/>
  <c r="S3697" i="2"/>
  <c r="R3698" i="2"/>
  <c r="T3698" i="2"/>
  <c r="S3698" i="2"/>
  <c r="R3699" i="2"/>
  <c r="T3699" i="2"/>
  <c r="S3699" i="2"/>
  <c r="R3700" i="2"/>
  <c r="T3700" i="2"/>
  <c r="S3700" i="2"/>
  <c r="R3701" i="2"/>
  <c r="T3701" i="2"/>
  <c r="S3701" i="2"/>
  <c r="R3702" i="2"/>
  <c r="T3702" i="2"/>
  <c r="S3702" i="2"/>
  <c r="R3703" i="2"/>
  <c r="T3703" i="2"/>
  <c r="S3703" i="2"/>
  <c r="R3704" i="2"/>
  <c r="T3704" i="2"/>
  <c r="S3704" i="2"/>
  <c r="R3705" i="2"/>
  <c r="T3705" i="2"/>
  <c r="S3705" i="2"/>
  <c r="R3706" i="2"/>
  <c r="T3706" i="2"/>
  <c r="S3706" i="2"/>
  <c r="R3707" i="2"/>
  <c r="T3707" i="2"/>
  <c r="S3707" i="2"/>
  <c r="R3708" i="2"/>
  <c r="T3708" i="2"/>
  <c r="S3708" i="2"/>
  <c r="R3709" i="2"/>
  <c r="T3709" i="2"/>
  <c r="S3709" i="2"/>
  <c r="R3710" i="2"/>
  <c r="T3710" i="2"/>
  <c r="S3710" i="2"/>
  <c r="R3711" i="2"/>
  <c r="T3711" i="2"/>
  <c r="S3711" i="2"/>
  <c r="R3712" i="2"/>
  <c r="T3712" i="2"/>
  <c r="S3712" i="2"/>
  <c r="R3713" i="2"/>
  <c r="T3713" i="2"/>
  <c r="S3713" i="2"/>
  <c r="R3714" i="2"/>
  <c r="T3714" i="2"/>
  <c r="S3714" i="2"/>
  <c r="R3715" i="2"/>
  <c r="T3715" i="2"/>
  <c r="S3715" i="2"/>
  <c r="R3716" i="2"/>
  <c r="T3716" i="2"/>
  <c r="S3716" i="2"/>
  <c r="R3717" i="2"/>
  <c r="T3717" i="2"/>
  <c r="S3717" i="2"/>
  <c r="R3718" i="2"/>
  <c r="T3718" i="2"/>
  <c r="S3718" i="2"/>
  <c r="R3719" i="2"/>
  <c r="T3719" i="2"/>
  <c r="S3719" i="2"/>
  <c r="R3720" i="2"/>
  <c r="T3720" i="2"/>
  <c r="S3720" i="2"/>
  <c r="R3721" i="2"/>
  <c r="T3721" i="2"/>
  <c r="S3721" i="2"/>
  <c r="R3722" i="2"/>
  <c r="T3722" i="2"/>
  <c r="S3722" i="2"/>
  <c r="R3723" i="2"/>
  <c r="T3723" i="2"/>
  <c r="S3723" i="2"/>
  <c r="R3724" i="2"/>
  <c r="T3724" i="2"/>
  <c r="S3724" i="2"/>
  <c r="R3725" i="2"/>
  <c r="T3725" i="2"/>
  <c r="S3725" i="2"/>
  <c r="R3726" i="2"/>
  <c r="T3726" i="2"/>
  <c r="S3726" i="2"/>
  <c r="R3727" i="2"/>
  <c r="T3727" i="2"/>
  <c r="S3727" i="2"/>
  <c r="R3728" i="2"/>
  <c r="T3728" i="2"/>
  <c r="S3728" i="2"/>
  <c r="R3729" i="2"/>
  <c r="T3729" i="2"/>
  <c r="S3729" i="2"/>
  <c r="R3730" i="2"/>
  <c r="T3730" i="2"/>
  <c r="S3730" i="2"/>
  <c r="R3731" i="2"/>
  <c r="T3731" i="2"/>
  <c r="S3731" i="2"/>
  <c r="R3732" i="2"/>
  <c r="T3732" i="2"/>
  <c r="S3732" i="2"/>
  <c r="R3733" i="2"/>
  <c r="T3733" i="2"/>
  <c r="S3733" i="2"/>
  <c r="R3734" i="2"/>
  <c r="T3734" i="2"/>
  <c r="S3734" i="2"/>
  <c r="R3735" i="2"/>
  <c r="T3735" i="2"/>
  <c r="S3735" i="2"/>
  <c r="R3736" i="2"/>
  <c r="T3736" i="2"/>
  <c r="S3736" i="2"/>
  <c r="R3737" i="2"/>
  <c r="T3737" i="2"/>
  <c r="S3737" i="2"/>
  <c r="R3738" i="2"/>
  <c r="T3738" i="2"/>
  <c r="S3738" i="2"/>
  <c r="R3739" i="2"/>
  <c r="T3739" i="2"/>
  <c r="S3739" i="2"/>
  <c r="R3740" i="2"/>
  <c r="T3740" i="2"/>
  <c r="S3740" i="2"/>
  <c r="R3741" i="2"/>
  <c r="T3741" i="2"/>
  <c r="S3741" i="2"/>
  <c r="R3742" i="2"/>
  <c r="T3742" i="2"/>
  <c r="S3742" i="2"/>
  <c r="R3743" i="2"/>
  <c r="T3743" i="2"/>
  <c r="S3743" i="2"/>
  <c r="R3744" i="2"/>
  <c r="T3744" i="2"/>
  <c r="S3744" i="2"/>
  <c r="R3745" i="2"/>
  <c r="T3745" i="2"/>
  <c r="S3745" i="2"/>
  <c r="R3746" i="2"/>
  <c r="T3746" i="2"/>
  <c r="S3746" i="2"/>
  <c r="R3747" i="2"/>
  <c r="T3747" i="2"/>
  <c r="S3747" i="2"/>
  <c r="R3748" i="2"/>
  <c r="T3748" i="2"/>
  <c r="S3748" i="2"/>
  <c r="R3749" i="2"/>
  <c r="T3749" i="2"/>
  <c r="S3749" i="2"/>
  <c r="R3750" i="2"/>
  <c r="T3750" i="2"/>
  <c r="S3750" i="2"/>
  <c r="R3751" i="2"/>
  <c r="T3751" i="2"/>
  <c r="S3751" i="2"/>
  <c r="R3752" i="2"/>
  <c r="T3752" i="2"/>
  <c r="S3752" i="2"/>
  <c r="R3753" i="2"/>
  <c r="T3753" i="2"/>
  <c r="S3753" i="2"/>
  <c r="R3754" i="2"/>
  <c r="T3754" i="2"/>
  <c r="S3754" i="2"/>
  <c r="R3755" i="2"/>
  <c r="T3755" i="2"/>
  <c r="S3755" i="2"/>
  <c r="R3756" i="2"/>
  <c r="T3756" i="2"/>
  <c r="S3756" i="2"/>
  <c r="R3757" i="2"/>
  <c r="T3757" i="2"/>
  <c r="S3757" i="2"/>
  <c r="R3758" i="2"/>
  <c r="T3758" i="2"/>
  <c r="S3758" i="2"/>
  <c r="R3759" i="2"/>
  <c r="T3759" i="2"/>
  <c r="S3759" i="2"/>
  <c r="R3760" i="2"/>
  <c r="T3760" i="2"/>
  <c r="S3760" i="2"/>
  <c r="R3761" i="2"/>
  <c r="T3761" i="2"/>
  <c r="S3761" i="2"/>
  <c r="R3762" i="2"/>
  <c r="T3762" i="2"/>
  <c r="S3762" i="2"/>
  <c r="R3763" i="2"/>
  <c r="T3763" i="2"/>
  <c r="S3763" i="2"/>
  <c r="R3764" i="2"/>
  <c r="T3764" i="2"/>
  <c r="S3764" i="2"/>
  <c r="R3765" i="2"/>
  <c r="T3765" i="2"/>
  <c r="S3765" i="2"/>
  <c r="R3766" i="2"/>
  <c r="T3766" i="2"/>
  <c r="S3766" i="2"/>
  <c r="R3767" i="2"/>
  <c r="T3767" i="2"/>
  <c r="S3767" i="2"/>
  <c r="R3768" i="2"/>
  <c r="T3768" i="2"/>
  <c r="S3768" i="2"/>
  <c r="R3769" i="2"/>
  <c r="T3769" i="2"/>
  <c r="S3769" i="2"/>
  <c r="R3770" i="2"/>
  <c r="T3770" i="2"/>
  <c r="S3770" i="2"/>
  <c r="R3771" i="2"/>
  <c r="T3771" i="2"/>
  <c r="S3771" i="2"/>
  <c r="R3772" i="2"/>
  <c r="T3772" i="2"/>
  <c r="S3772" i="2"/>
  <c r="R3773" i="2"/>
  <c r="T3773" i="2"/>
  <c r="S3773" i="2"/>
  <c r="R3774" i="2"/>
  <c r="T3774" i="2"/>
  <c r="S3774" i="2"/>
  <c r="R3775" i="2"/>
  <c r="T3775" i="2"/>
  <c r="S3775" i="2"/>
  <c r="R3776" i="2"/>
  <c r="T3776" i="2"/>
  <c r="S3776" i="2"/>
  <c r="R3777" i="2"/>
  <c r="T3777" i="2"/>
  <c r="S3777" i="2"/>
  <c r="R3778" i="2"/>
  <c r="T3778" i="2"/>
  <c r="S3778" i="2"/>
  <c r="R3779" i="2"/>
  <c r="T3779" i="2"/>
  <c r="S3779" i="2"/>
  <c r="R3780" i="2"/>
  <c r="T3780" i="2"/>
  <c r="S3780" i="2"/>
  <c r="R3781" i="2"/>
  <c r="T3781" i="2"/>
  <c r="S3781" i="2"/>
  <c r="R3782" i="2"/>
  <c r="T3782" i="2"/>
  <c r="S3782" i="2"/>
  <c r="R3783" i="2"/>
  <c r="T3783" i="2"/>
  <c r="S3783" i="2"/>
  <c r="R3784" i="2"/>
  <c r="T3784" i="2"/>
  <c r="S3784" i="2"/>
  <c r="R3785" i="2"/>
  <c r="T3785" i="2"/>
  <c r="S3785" i="2"/>
  <c r="R3786" i="2"/>
  <c r="T3786" i="2"/>
  <c r="S3786" i="2"/>
  <c r="R3787" i="2"/>
  <c r="T3787" i="2"/>
  <c r="S3787" i="2"/>
  <c r="R3788" i="2"/>
  <c r="T3788" i="2"/>
  <c r="S3788" i="2"/>
  <c r="R3789" i="2"/>
  <c r="T3789" i="2"/>
  <c r="S3789" i="2"/>
  <c r="R3790" i="2"/>
  <c r="T3790" i="2"/>
  <c r="S3790" i="2"/>
  <c r="R3791" i="2"/>
  <c r="T3791" i="2"/>
  <c r="S3791" i="2"/>
  <c r="R3792" i="2"/>
  <c r="T3792" i="2"/>
  <c r="S3792" i="2"/>
  <c r="R3793" i="2"/>
  <c r="T3793" i="2"/>
  <c r="S3793" i="2"/>
  <c r="R3794" i="2"/>
  <c r="T3794" i="2"/>
  <c r="S3794" i="2"/>
  <c r="R3795" i="2"/>
  <c r="T3795" i="2"/>
  <c r="S3795" i="2"/>
  <c r="R3796" i="2"/>
  <c r="T3796" i="2"/>
  <c r="S3796" i="2"/>
  <c r="R3797" i="2"/>
  <c r="T3797" i="2"/>
  <c r="S3797" i="2"/>
  <c r="R3798" i="2"/>
  <c r="T3798" i="2"/>
  <c r="S3798" i="2"/>
  <c r="R3799" i="2"/>
  <c r="T3799" i="2"/>
  <c r="S3799" i="2"/>
  <c r="R3800" i="2"/>
  <c r="T3800" i="2"/>
  <c r="S3800" i="2"/>
  <c r="R3801" i="2"/>
  <c r="T3801" i="2"/>
  <c r="S3801" i="2"/>
  <c r="R3802" i="2"/>
  <c r="T3802" i="2"/>
  <c r="S3802" i="2"/>
  <c r="R3803" i="2"/>
  <c r="T3803" i="2"/>
  <c r="S3803" i="2"/>
  <c r="R3804" i="2"/>
  <c r="T3804" i="2"/>
  <c r="S3804" i="2"/>
  <c r="R3805" i="2"/>
  <c r="T3805" i="2"/>
  <c r="S3805" i="2"/>
  <c r="R3806" i="2"/>
  <c r="T3806" i="2"/>
  <c r="S3806" i="2"/>
  <c r="R3807" i="2"/>
  <c r="T3807" i="2"/>
  <c r="S3807" i="2"/>
  <c r="R3808" i="2"/>
  <c r="T3808" i="2"/>
  <c r="S3808" i="2"/>
  <c r="R3809" i="2"/>
  <c r="T3809" i="2"/>
  <c r="S3809" i="2"/>
  <c r="R3810" i="2"/>
  <c r="T3810" i="2"/>
  <c r="S3810" i="2"/>
  <c r="R3811" i="2"/>
  <c r="T3811" i="2"/>
  <c r="S3811" i="2"/>
  <c r="R3812" i="2"/>
  <c r="T3812" i="2"/>
  <c r="S3812" i="2"/>
  <c r="R3813" i="2"/>
  <c r="T3813" i="2"/>
  <c r="S3813" i="2"/>
  <c r="R3814" i="2"/>
  <c r="T3814" i="2"/>
  <c r="S3814" i="2"/>
  <c r="R3815" i="2"/>
  <c r="T3815" i="2"/>
  <c r="S3815" i="2"/>
  <c r="R3816" i="2"/>
  <c r="T3816" i="2"/>
  <c r="S3816" i="2"/>
  <c r="R3817" i="2"/>
  <c r="T3817" i="2"/>
  <c r="S3817" i="2"/>
  <c r="R3818" i="2"/>
  <c r="T3818" i="2"/>
  <c r="S3818" i="2"/>
  <c r="R3819" i="2"/>
  <c r="T3819" i="2"/>
  <c r="S3819" i="2"/>
  <c r="R3820" i="2"/>
  <c r="T3820" i="2"/>
  <c r="S3820" i="2"/>
  <c r="R3821" i="2"/>
  <c r="T3821" i="2"/>
  <c r="S3821" i="2"/>
  <c r="R3822" i="2"/>
  <c r="T3822" i="2"/>
  <c r="S3822" i="2"/>
  <c r="R3823" i="2"/>
  <c r="T3823" i="2"/>
  <c r="S3823" i="2"/>
  <c r="R3824" i="2"/>
  <c r="T3824" i="2"/>
  <c r="S3824" i="2"/>
  <c r="R3825" i="2"/>
  <c r="T3825" i="2"/>
  <c r="S3825" i="2"/>
  <c r="R3826" i="2"/>
  <c r="T3826" i="2"/>
  <c r="S3826" i="2"/>
  <c r="R3827" i="2"/>
  <c r="T3827" i="2"/>
  <c r="S3827" i="2"/>
  <c r="R3828" i="2"/>
  <c r="T3828" i="2"/>
  <c r="S3828" i="2"/>
  <c r="R3829" i="2"/>
  <c r="T3829" i="2"/>
  <c r="S3829" i="2"/>
  <c r="R3830" i="2"/>
  <c r="T3830" i="2"/>
  <c r="S3830" i="2"/>
  <c r="R3831" i="2"/>
  <c r="T3831" i="2"/>
  <c r="S3831" i="2"/>
  <c r="R3832" i="2"/>
  <c r="T3832" i="2"/>
  <c r="S3832" i="2"/>
  <c r="R3833" i="2"/>
  <c r="T3833" i="2"/>
  <c r="S3833" i="2"/>
  <c r="R3834" i="2"/>
  <c r="T3834" i="2"/>
  <c r="S3834" i="2"/>
  <c r="R3835" i="2"/>
  <c r="T3835" i="2"/>
  <c r="S3835" i="2"/>
  <c r="R3836" i="2"/>
  <c r="T3836" i="2"/>
  <c r="S3836" i="2"/>
  <c r="R3837" i="2"/>
  <c r="T3837" i="2"/>
  <c r="S3837" i="2"/>
  <c r="R3838" i="2"/>
  <c r="T3838" i="2"/>
  <c r="S3838" i="2"/>
  <c r="R3839" i="2"/>
  <c r="T3839" i="2"/>
  <c r="S3839" i="2"/>
  <c r="R3840" i="2"/>
  <c r="T3840" i="2"/>
  <c r="S3840" i="2"/>
  <c r="R3841" i="2"/>
  <c r="T3841" i="2"/>
  <c r="S3841" i="2"/>
  <c r="R3842" i="2"/>
  <c r="T3842" i="2"/>
  <c r="S3842" i="2"/>
  <c r="R3843" i="2"/>
  <c r="T3843" i="2"/>
  <c r="S3843" i="2"/>
  <c r="R3844" i="2"/>
  <c r="T3844" i="2"/>
  <c r="S3844" i="2"/>
  <c r="R3845" i="2"/>
  <c r="T3845" i="2"/>
  <c r="S3845" i="2"/>
  <c r="R3846" i="2"/>
  <c r="T3846" i="2"/>
  <c r="S3846" i="2"/>
  <c r="R3847" i="2"/>
  <c r="T3847" i="2"/>
  <c r="S3847" i="2"/>
  <c r="R3848" i="2"/>
  <c r="T3848" i="2"/>
  <c r="S3848" i="2"/>
  <c r="R3849" i="2"/>
  <c r="T3849" i="2"/>
  <c r="S3849" i="2"/>
  <c r="R3850" i="2"/>
  <c r="T3850" i="2"/>
  <c r="S3850" i="2"/>
  <c r="R3851" i="2"/>
  <c r="T3851" i="2"/>
  <c r="S3851" i="2"/>
  <c r="R3852" i="2"/>
  <c r="T3852" i="2"/>
  <c r="S3852" i="2"/>
  <c r="R3853" i="2"/>
  <c r="T3853" i="2"/>
  <c r="S3853" i="2"/>
  <c r="R3854" i="2"/>
  <c r="T3854" i="2"/>
  <c r="S3854" i="2"/>
  <c r="R3855" i="2"/>
  <c r="T3855" i="2"/>
  <c r="S3855" i="2"/>
  <c r="R3856" i="2"/>
  <c r="T3856" i="2"/>
  <c r="S3856" i="2"/>
  <c r="R3857" i="2"/>
  <c r="T3857" i="2"/>
  <c r="S3857" i="2"/>
  <c r="R3858" i="2"/>
  <c r="T3858" i="2"/>
  <c r="S3858" i="2"/>
  <c r="R3859" i="2"/>
  <c r="T3859" i="2"/>
  <c r="S3859" i="2"/>
  <c r="R3860" i="2"/>
  <c r="T3860" i="2"/>
  <c r="S3860" i="2"/>
  <c r="R3861" i="2"/>
  <c r="T3861" i="2"/>
  <c r="S3861" i="2"/>
  <c r="R3862" i="2"/>
  <c r="T3862" i="2"/>
  <c r="S3862" i="2"/>
  <c r="R3863" i="2"/>
  <c r="T3863" i="2"/>
  <c r="S3863" i="2"/>
  <c r="R3864" i="2"/>
  <c r="T3864" i="2"/>
  <c r="S3864" i="2"/>
  <c r="R3865" i="2"/>
  <c r="T3865" i="2"/>
  <c r="S3865" i="2"/>
  <c r="R3866" i="2"/>
  <c r="T3866" i="2"/>
  <c r="S3866" i="2"/>
  <c r="R3867" i="2"/>
  <c r="T3867" i="2"/>
  <c r="S3867" i="2"/>
  <c r="R3868" i="2"/>
  <c r="T3868" i="2"/>
  <c r="S3868" i="2"/>
  <c r="R3869" i="2"/>
  <c r="T3869" i="2"/>
  <c r="S3869" i="2"/>
  <c r="R3870" i="2"/>
  <c r="T3870" i="2"/>
  <c r="S3870" i="2"/>
  <c r="R3871" i="2"/>
  <c r="T3871" i="2"/>
  <c r="S3871" i="2"/>
  <c r="R3872" i="2"/>
  <c r="T3872" i="2"/>
  <c r="S3872" i="2"/>
  <c r="R3873" i="2"/>
  <c r="T3873" i="2"/>
  <c r="S3873" i="2"/>
  <c r="R3874" i="2"/>
  <c r="T3874" i="2"/>
  <c r="S3874" i="2"/>
  <c r="R3875" i="2"/>
  <c r="T3875" i="2"/>
  <c r="S3875" i="2"/>
  <c r="R3876" i="2"/>
  <c r="T3876" i="2"/>
  <c r="S3876" i="2"/>
  <c r="R3877" i="2"/>
  <c r="T3877" i="2"/>
  <c r="S3877" i="2"/>
  <c r="R3878" i="2"/>
  <c r="T3878" i="2"/>
  <c r="S3878" i="2"/>
  <c r="R3879" i="2"/>
  <c r="T3879" i="2"/>
  <c r="S3879" i="2"/>
  <c r="R3880" i="2"/>
  <c r="T3880" i="2"/>
  <c r="S3880" i="2"/>
  <c r="R3881" i="2"/>
  <c r="T3881" i="2"/>
  <c r="S3881" i="2"/>
  <c r="R3882" i="2"/>
  <c r="T3882" i="2"/>
  <c r="S3882" i="2"/>
  <c r="R3883" i="2"/>
  <c r="T3883" i="2"/>
  <c r="S3883" i="2"/>
  <c r="R3884" i="2"/>
  <c r="T3884" i="2"/>
  <c r="S3884" i="2"/>
  <c r="R3885" i="2"/>
  <c r="T3885" i="2"/>
  <c r="S3885" i="2"/>
  <c r="R3886" i="2"/>
  <c r="T3886" i="2"/>
  <c r="S3886" i="2"/>
  <c r="R3887" i="2"/>
  <c r="T3887" i="2"/>
  <c r="S3887" i="2"/>
  <c r="R3888" i="2"/>
  <c r="T3888" i="2"/>
  <c r="S3888" i="2"/>
  <c r="R3889" i="2"/>
  <c r="T3889" i="2"/>
  <c r="S3889" i="2"/>
  <c r="R3890" i="2"/>
  <c r="T3890" i="2"/>
  <c r="S3890" i="2"/>
  <c r="R3891" i="2"/>
  <c r="T3891" i="2"/>
  <c r="S3891" i="2"/>
  <c r="R3892" i="2"/>
  <c r="T3892" i="2"/>
  <c r="S3892" i="2"/>
  <c r="R3893" i="2"/>
  <c r="T3893" i="2"/>
  <c r="S3893" i="2"/>
  <c r="R3894" i="2"/>
  <c r="T3894" i="2"/>
  <c r="S3894" i="2"/>
  <c r="R3895" i="2"/>
  <c r="T3895" i="2"/>
  <c r="S3895" i="2"/>
  <c r="R3896" i="2"/>
  <c r="T3896" i="2"/>
  <c r="S3896" i="2"/>
  <c r="R3897" i="2"/>
  <c r="T3897" i="2"/>
  <c r="S3897" i="2"/>
  <c r="R3898" i="2"/>
  <c r="T3898" i="2"/>
  <c r="S3898" i="2"/>
  <c r="R3899" i="2"/>
  <c r="T3899" i="2"/>
  <c r="S3899" i="2"/>
  <c r="R3900" i="2"/>
  <c r="T3900" i="2"/>
  <c r="S3900" i="2"/>
  <c r="R3901" i="2"/>
  <c r="T3901" i="2"/>
  <c r="S3901" i="2"/>
  <c r="R3902" i="2"/>
  <c r="T3902" i="2"/>
  <c r="S3902" i="2"/>
  <c r="R3903" i="2"/>
  <c r="T3903" i="2"/>
  <c r="S3903" i="2"/>
  <c r="R3904" i="2"/>
  <c r="T3904" i="2"/>
  <c r="S3904" i="2"/>
  <c r="R3905" i="2"/>
  <c r="T3905" i="2"/>
  <c r="S3905" i="2"/>
  <c r="R3906" i="2"/>
  <c r="T3906" i="2"/>
  <c r="S3906" i="2"/>
  <c r="R3907" i="2"/>
  <c r="T3907" i="2"/>
  <c r="S3907" i="2"/>
  <c r="R3908" i="2"/>
  <c r="T3908" i="2"/>
  <c r="S3908" i="2"/>
  <c r="R3909" i="2"/>
  <c r="T3909" i="2"/>
  <c r="S3909" i="2"/>
  <c r="R3910" i="2"/>
  <c r="T3910" i="2"/>
  <c r="S3910" i="2"/>
  <c r="R3911" i="2"/>
  <c r="T3911" i="2"/>
  <c r="S3911" i="2"/>
  <c r="R3912" i="2"/>
  <c r="T3912" i="2"/>
  <c r="S3912" i="2"/>
  <c r="R3913" i="2"/>
  <c r="T3913" i="2"/>
  <c r="S3913" i="2"/>
  <c r="R3914" i="2"/>
  <c r="T3914" i="2"/>
  <c r="S3914" i="2"/>
  <c r="R3915" i="2"/>
  <c r="T3915" i="2"/>
  <c r="S3915" i="2"/>
  <c r="R3916" i="2"/>
  <c r="T3916" i="2"/>
  <c r="S3916" i="2"/>
  <c r="R3917" i="2"/>
  <c r="T3917" i="2"/>
  <c r="S3917" i="2"/>
  <c r="R3918" i="2"/>
  <c r="T3918" i="2"/>
  <c r="S3918" i="2"/>
  <c r="R3919" i="2"/>
  <c r="T3919" i="2"/>
  <c r="S3919" i="2"/>
  <c r="R3920" i="2"/>
  <c r="T3920" i="2"/>
  <c r="S3920" i="2"/>
  <c r="R3921" i="2"/>
  <c r="T3921" i="2"/>
  <c r="S3921" i="2"/>
  <c r="R3922" i="2"/>
  <c r="T3922" i="2"/>
  <c r="S3922" i="2"/>
  <c r="R3923" i="2"/>
  <c r="T3923" i="2"/>
  <c r="S3923" i="2"/>
  <c r="R3924" i="2"/>
  <c r="T3924" i="2"/>
  <c r="S3924" i="2"/>
  <c r="R3925" i="2"/>
  <c r="T3925" i="2"/>
  <c r="S3925" i="2"/>
  <c r="R3926" i="2"/>
  <c r="T3926" i="2"/>
  <c r="S3926" i="2"/>
  <c r="R3927" i="2"/>
  <c r="T3927" i="2"/>
  <c r="S3927" i="2"/>
  <c r="R3928" i="2"/>
  <c r="T3928" i="2"/>
  <c r="S3928" i="2"/>
  <c r="R3929" i="2"/>
  <c r="T3929" i="2"/>
  <c r="S3929" i="2"/>
  <c r="R3930" i="2"/>
  <c r="T3930" i="2"/>
  <c r="S3930" i="2"/>
  <c r="R3931" i="2"/>
  <c r="T3931" i="2"/>
  <c r="S3931" i="2"/>
  <c r="R3932" i="2"/>
  <c r="T3932" i="2"/>
  <c r="S3932" i="2"/>
  <c r="R3933" i="2"/>
  <c r="T3933" i="2"/>
  <c r="S3933" i="2"/>
  <c r="R3934" i="2"/>
  <c r="T3934" i="2"/>
  <c r="S3934" i="2"/>
  <c r="R3935" i="2"/>
  <c r="T3935" i="2"/>
  <c r="S3935" i="2"/>
  <c r="R3936" i="2"/>
  <c r="T3936" i="2"/>
  <c r="S3936" i="2"/>
  <c r="R3937" i="2"/>
  <c r="T3937" i="2"/>
  <c r="S3937" i="2"/>
  <c r="R3938" i="2"/>
  <c r="T3938" i="2"/>
  <c r="S3938" i="2"/>
  <c r="R3939" i="2"/>
  <c r="T3939" i="2"/>
  <c r="S3939" i="2"/>
  <c r="R3940" i="2"/>
  <c r="T3940" i="2"/>
  <c r="S3940" i="2"/>
  <c r="R3941" i="2"/>
  <c r="T3941" i="2"/>
  <c r="S3941" i="2"/>
  <c r="R3942" i="2"/>
  <c r="T3942" i="2"/>
  <c r="S3942" i="2"/>
  <c r="R3943" i="2"/>
  <c r="T3943" i="2"/>
  <c r="S3943" i="2"/>
  <c r="R3944" i="2"/>
  <c r="T3944" i="2"/>
  <c r="S3944" i="2"/>
  <c r="R3945" i="2"/>
  <c r="T3945" i="2"/>
  <c r="S3945" i="2"/>
  <c r="R3946" i="2"/>
  <c r="T3946" i="2"/>
  <c r="S3946" i="2"/>
  <c r="R3947" i="2"/>
  <c r="T3947" i="2"/>
  <c r="S3947" i="2"/>
  <c r="R3948" i="2"/>
  <c r="T3948" i="2"/>
  <c r="S3948" i="2"/>
  <c r="R3949" i="2"/>
  <c r="T3949" i="2"/>
  <c r="S3949" i="2"/>
  <c r="R3950" i="2"/>
  <c r="T3950" i="2"/>
  <c r="S3950" i="2"/>
  <c r="R3951" i="2"/>
  <c r="T3951" i="2"/>
  <c r="S3951" i="2"/>
  <c r="R3952" i="2"/>
  <c r="T3952" i="2"/>
  <c r="S3952" i="2"/>
  <c r="R3953" i="2"/>
  <c r="T3953" i="2"/>
  <c r="S3953" i="2"/>
  <c r="R3954" i="2"/>
  <c r="T3954" i="2"/>
  <c r="S3954" i="2"/>
  <c r="R3955" i="2"/>
  <c r="T3955" i="2"/>
  <c r="S3955" i="2"/>
  <c r="R3956" i="2"/>
  <c r="T3956" i="2"/>
  <c r="S3956" i="2"/>
  <c r="R3957" i="2"/>
  <c r="T3957" i="2"/>
  <c r="S3957" i="2"/>
  <c r="R3958" i="2"/>
  <c r="T3958" i="2"/>
  <c r="S3958" i="2"/>
  <c r="R3959" i="2"/>
  <c r="T3959" i="2"/>
  <c r="S3959" i="2"/>
  <c r="R3960" i="2"/>
  <c r="T3960" i="2"/>
  <c r="S3960" i="2"/>
  <c r="R3961" i="2"/>
  <c r="T3961" i="2"/>
  <c r="S3961" i="2"/>
  <c r="R3962" i="2"/>
  <c r="T3962" i="2"/>
  <c r="S3962" i="2"/>
  <c r="R3963" i="2"/>
  <c r="T3963" i="2"/>
  <c r="S3963" i="2"/>
  <c r="R3964" i="2"/>
  <c r="T3964" i="2"/>
  <c r="S3964" i="2"/>
  <c r="R3965" i="2"/>
  <c r="T3965" i="2"/>
  <c r="S3965" i="2"/>
  <c r="R3966" i="2"/>
  <c r="T3966" i="2"/>
  <c r="S3966" i="2"/>
  <c r="R3967" i="2"/>
  <c r="T3967" i="2"/>
  <c r="S3967" i="2"/>
  <c r="R3968" i="2"/>
  <c r="T3968" i="2"/>
  <c r="S3968" i="2"/>
  <c r="R3969" i="2"/>
  <c r="T3969" i="2"/>
  <c r="S3969" i="2"/>
  <c r="R3970" i="2"/>
  <c r="T3970" i="2"/>
  <c r="S3970" i="2"/>
  <c r="R3971" i="2"/>
  <c r="T3971" i="2"/>
  <c r="S3971" i="2"/>
  <c r="R3972" i="2"/>
  <c r="T3972" i="2"/>
  <c r="S3972" i="2"/>
  <c r="R3973" i="2"/>
  <c r="T3973" i="2"/>
  <c r="S3973" i="2"/>
  <c r="R3974" i="2"/>
  <c r="T3974" i="2"/>
  <c r="S3974" i="2"/>
  <c r="R3975" i="2"/>
  <c r="T3975" i="2"/>
  <c r="S3975" i="2"/>
  <c r="R3976" i="2"/>
  <c r="T3976" i="2"/>
  <c r="S3976" i="2"/>
  <c r="R3977" i="2"/>
  <c r="T3977" i="2"/>
  <c r="S3977" i="2"/>
  <c r="R3978" i="2"/>
  <c r="T3978" i="2"/>
  <c r="S3978" i="2"/>
  <c r="R3979" i="2"/>
  <c r="T3979" i="2"/>
  <c r="S3979" i="2"/>
  <c r="R3980" i="2"/>
  <c r="T3980" i="2"/>
  <c r="S3980" i="2"/>
  <c r="R3981" i="2"/>
  <c r="T3981" i="2"/>
  <c r="S3981" i="2"/>
  <c r="R3982" i="2"/>
  <c r="T3982" i="2"/>
  <c r="S3982" i="2"/>
  <c r="R3983" i="2"/>
  <c r="T3983" i="2"/>
  <c r="S3983" i="2"/>
  <c r="R3984" i="2"/>
  <c r="T3984" i="2"/>
  <c r="S3984" i="2"/>
  <c r="R3985" i="2"/>
  <c r="T3985" i="2"/>
  <c r="S3985" i="2"/>
  <c r="R3986" i="2"/>
  <c r="T3986" i="2"/>
  <c r="S3986" i="2"/>
  <c r="R3987" i="2"/>
  <c r="T3987" i="2"/>
  <c r="S3987" i="2"/>
  <c r="R3988" i="2"/>
  <c r="T3988" i="2"/>
  <c r="S3988" i="2"/>
  <c r="R3989" i="2"/>
  <c r="T3989" i="2"/>
  <c r="S3989" i="2"/>
  <c r="R3990" i="2"/>
  <c r="T3990" i="2"/>
  <c r="S3990" i="2"/>
  <c r="R3991" i="2"/>
  <c r="T3991" i="2"/>
  <c r="S3991" i="2"/>
  <c r="R3992" i="2"/>
  <c r="T3992" i="2"/>
  <c r="S3992" i="2"/>
  <c r="R3993" i="2"/>
  <c r="T3993" i="2"/>
  <c r="S3993" i="2"/>
  <c r="R3994" i="2"/>
  <c r="T3994" i="2"/>
  <c r="S3994" i="2"/>
  <c r="R3995" i="2"/>
  <c r="T3995" i="2"/>
  <c r="S3995" i="2"/>
  <c r="R3996" i="2"/>
  <c r="T3996" i="2"/>
  <c r="S3996" i="2"/>
  <c r="R3997" i="2"/>
  <c r="T3997" i="2"/>
  <c r="S3997" i="2"/>
  <c r="R3998" i="2"/>
  <c r="T3998" i="2"/>
  <c r="S3998" i="2"/>
  <c r="R3999" i="2"/>
  <c r="T3999" i="2"/>
  <c r="S3999" i="2"/>
  <c r="R4000" i="2"/>
  <c r="T4000" i="2"/>
  <c r="S4000" i="2"/>
  <c r="R4001" i="2"/>
  <c r="T4001" i="2"/>
  <c r="S4001" i="2"/>
  <c r="R4002" i="2"/>
  <c r="T4002" i="2"/>
  <c r="S4002" i="2"/>
  <c r="R4003" i="2"/>
  <c r="T4003" i="2"/>
  <c r="S4003" i="2"/>
  <c r="R4004" i="2"/>
  <c r="T4004" i="2"/>
  <c r="S4004" i="2"/>
  <c r="R4005" i="2"/>
  <c r="T4005" i="2"/>
  <c r="S4005" i="2"/>
  <c r="R4006" i="2"/>
  <c r="T4006" i="2"/>
  <c r="S4006" i="2"/>
  <c r="R4007" i="2"/>
  <c r="T4007" i="2"/>
  <c r="S4007" i="2"/>
  <c r="R4008" i="2"/>
  <c r="T4008" i="2"/>
  <c r="S4008" i="2"/>
  <c r="R4009" i="2"/>
  <c r="T4009" i="2"/>
  <c r="S4009" i="2"/>
  <c r="R4010" i="2"/>
  <c r="T4010" i="2"/>
  <c r="S4010" i="2"/>
  <c r="R4011" i="2"/>
  <c r="T4011" i="2"/>
  <c r="S4011" i="2"/>
  <c r="R4012" i="2"/>
  <c r="T4012" i="2"/>
  <c r="S4012" i="2"/>
  <c r="R4013" i="2"/>
  <c r="T4013" i="2"/>
  <c r="S4013" i="2"/>
  <c r="R4014" i="2"/>
  <c r="T4014" i="2"/>
  <c r="S4014" i="2"/>
  <c r="R4015" i="2"/>
  <c r="T4015" i="2"/>
  <c r="S4015" i="2"/>
  <c r="R4016" i="2"/>
  <c r="T4016" i="2"/>
  <c r="S4016" i="2"/>
  <c r="R4017" i="2"/>
  <c r="T4017" i="2"/>
  <c r="S4017" i="2"/>
  <c r="R4018" i="2"/>
  <c r="T4018" i="2"/>
  <c r="S4018" i="2"/>
  <c r="R4019" i="2"/>
  <c r="T4019" i="2"/>
  <c r="S4019" i="2"/>
  <c r="R4020" i="2"/>
  <c r="T4020" i="2"/>
  <c r="S4020" i="2"/>
  <c r="R4021" i="2"/>
  <c r="T4021" i="2"/>
  <c r="S4021" i="2"/>
  <c r="R4022" i="2"/>
  <c r="T4022" i="2"/>
  <c r="S4022" i="2"/>
  <c r="R4023" i="2"/>
  <c r="T4023" i="2"/>
  <c r="S4023" i="2"/>
  <c r="R4024" i="2"/>
  <c r="T4024" i="2"/>
  <c r="S4024" i="2"/>
  <c r="R4025" i="2"/>
  <c r="T4025" i="2"/>
  <c r="S4025" i="2"/>
  <c r="R4026" i="2"/>
  <c r="T4026" i="2"/>
  <c r="S4026" i="2"/>
  <c r="R4027" i="2"/>
  <c r="T4027" i="2"/>
  <c r="S4027" i="2"/>
  <c r="R4028" i="2"/>
  <c r="T4028" i="2"/>
  <c r="S4028" i="2"/>
  <c r="R4029" i="2"/>
  <c r="T4029" i="2"/>
  <c r="S4029" i="2"/>
  <c r="R4030" i="2"/>
  <c r="T4030" i="2"/>
  <c r="S4030" i="2"/>
  <c r="R4031" i="2"/>
  <c r="T4031" i="2"/>
  <c r="S4031" i="2"/>
  <c r="R4032" i="2"/>
  <c r="T4032" i="2"/>
  <c r="S4032" i="2"/>
  <c r="R4033" i="2"/>
  <c r="T4033" i="2"/>
  <c r="S4033" i="2"/>
  <c r="R4034" i="2"/>
  <c r="T4034" i="2"/>
  <c r="S4034" i="2"/>
  <c r="R4035" i="2"/>
  <c r="T4035" i="2"/>
  <c r="S4035" i="2"/>
  <c r="R4036" i="2"/>
  <c r="T4036" i="2"/>
  <c r="S4036" i="2"/>
  <c r="R4037" i="2"/>
  <c r="T4037" i="2"/>
  <c r="S4037" i="2"/>
  <c r="R4038" i="2"/>
  <c r="T4038" i="2"/>
  <c r="S4038" i="2"/>
  <c r="R4039" i="2"/>
  <c r="T4039" i="2"/>
  <c r="S4039" i="2"/>
  <c r="R4040" i="2"/>
  <c r="T4040" i="2"/>
  <c r="S4040" i="2"/>
  <c r="R4041" i="2"/>
  <c r="T4041" i="2"/>
  <c r="S4041" i="2"/>
  <c r="R4042" i="2"/>
  <c r="T4042" i="2"/>
  <c r="S4042" i="2"/>
  <c r="R4043" i="2"/>
  <c r="T4043" i="2"/>
  <c r="S4043" i="2"/>
  <c r="R4044" i="2"/>
  <c r="T4044" i="2"/>
  <c r="S4044" i="2"/>
  <c r="R4045" i="2"/>
  <c r="T4045" i="2"/>
  <c r="S4045" i="2"/>
  <c r="R4046" i="2"/>
  <c r="T4046" i="2"/>
  <c r="S4046" i="2"/>
  <c r="R4047" i="2"/>
  <c r="T4047" i="2"/>
  <c r="S4047" i="2"/>
  <c r="R4048" i="2"/>
  <c r="T4048" i="2"/>
  <c r="S4048" i="2"/>
  <c r="R4049" i="2"/>
  <c r="T4049" i="2"/>
  <c r="S4049" i="2"/>
  <c r="R4050" i="2"/>
  <c r="T4050" i="2"/>
  <c r="S4050" i="2"/>
  <c r="R4051" i="2"/>
  <c r="T4051" i="2"/>
  <c r="S4051" i="2"/>
  <c r="R4052" i="2"/>
  <c r="T4052" i="2"/>
  <c r="S4052" i="2"/>
  <c r="R4053" i="2"/>
  <c r="T4053" i="2"/>
  <c r="S4053" i="2"/>
  <c r="R4054" i="2"/>
  <c r="T4054" i="2"/>
  <c r="S4054" i="2"/>
  <c r="R4055" i="2"/>
  <c r="T4055" i="2"/>
  <c r="S4055" i="2"/>
  <c r="R4056" i="2"/>
  <c r="T4056" i="2"/>
  <c r="S4056" i="2"/>
  <c r="R4057" i="2"/>
  <c r="T4057" i="2"/>
  <c r="S4057" i="2"/>
  <c r="R4058" i="2"/>
  <c r="T4058" i="2"/>
  <c r="S4058" i="2"/>
  <c r="R4059" i="2"/>
  <c r="T4059" i="2"/>
  <c r="S4059" i="2"/>
  <c r="R4060" i="2"/>
  <c r="T4060" i="2"/>
  <c r="S4060" i="2"/>
  <c r="R4061" i="2"/>
  <c r="T4061" i="2"/>
  <c r="S4061" i="2"/>
  <c r="R4062" i="2"/>
  <c r="T4062" i="2"/>
  <c r="S4062" i="2"/>
  <c r="R4063" i="2"/>
  <c r="T4063" i="2"/>
  <c r="S4063" i="2"/>
  <c r="R4064" i="2"/>
  <c r="T4064" i="2"/>
  <c r="S4064" i="2"/>
  <c r="R4065" i="2"/>
  <c r="T4065" i="2"/>
  <c r="S4065" i="2"/>
  <c r="R4066" i="2"/>
  <c r="T4066" i="2"/>
  <c r="S4066" i="2"/>
  <c r="R4067" i="2"/>
  <c r="T4067" i="2"/>
  <c r="S4067" i="2"/>
  <c r="R4068" i="2"/>
  <c r="T4068" i="2"/>
  <c r="S4068" i="2"/>
  <c r="R4069" i="2"/>
  <c r="T4069" i="2"/>
  <c r="S4069" i="2"/>
  <c r="R4070" i="2"/>
  <c r="T4070" i="2"/>
  <c r="S4070" i="2"/>
  <c r="R4071" i="2"/>
  <c r="T4071" i="2"/>
  <c r="S4071" i="2"/>
  <c r="R4072" i="2"/>
  <c r="T4072" i="2"/>
  <c r="S4072" i="2"/>
  <c r="R4073" i="2"/>
  <c r="T4073" i="2"/>
  <c r="S4073" i="2"/>
  <c r="R4074" i="2"/>
  <c r="T4074" i="2"/>
  <c r="S4074" i="2"/>
  <c r="R4075" i="2"/>
  <c r="T4075" i="2"/>
  <c r="S4075" i="2"/>
  <c r="R4076" i="2"/>
  <c r="T4076" i="2"/>
  <c r="S4076" i="2"/>
  <c r="R4077" i="2"/>
  <c r="T4077" i="2"/>
  <c r="S4077" i="2"/>
  <c r="R4078" i="2"/>
  <c r="T4078" i="2"/>
  <c r="S4078" i="2"/>
  <c r="R4079" i="2"/>
  <c r="T4079" i="2"/>
  <c r="S4079" i="2"/>
  <c r="R4080" i="2"/>
  <c r="T4080" i="2"/>
  <c r="S4080" i="2"/>
  <c r="R4081" i="2"/>
  <c r="T4081" i="2"/>
  <c r="S4081" i="2"/>
  <c r="R4082" i="2"/>
  <c r="T4082" i="2"/>
  <c r="S4082" i="2"/>
  <c r="R4083" i="2"/>
  <c r="T4083" i="2"/>
  <c r="S4083" i="2"/>
  <c r="R4084" i="2"/>
  <c r="T4084" i="2"/>
  <c r="S4084" i="2"/>
  <c r="R4085" i="2"/>
  <c r="T4085" i="2"/>
  <c r="S4085" i="2"/>
  <c r="R4086" i="2"/>
  <c r="T4086" i="2"/>
  <c r="S4086" i="2"/>
  <c r="R4087" i="2"/>
  <c r="T4087" i="2"/>
  <c r="S4087" i="2"/>
  <c r="R4088" i="2"/>
  <c r="T4088" i="2"/>
  <c r="S4088" i="2"/>
  <c r="R4089" i="2"/>
  <c r="T4089" i="2"/>
  <c r="S4089" i="2"/>
  <c r="R4090" i="2"/>
  <c r="T4090" i="2"/>
  <c r="S4090" i="2"/>
  <c r="R4091" i="2"/>
  <c r="T4091" i="2"/>
  <c r="S4091" i="2"/>
  <c r="R4092" i="2"/>
  <c r="T4092" i="2"/>
  <c r="S4092" i="2"/>
  <c r="R4093" i="2"/>
  <c r="T4093" i="2"/>
  <c r="S4093" i="2"/>
  <c r="R4094" i="2"/>
  <c r="T4094" i="2"/>
  <c r="S4094" i="2"/>
  <c r="R4095" i="2"/>
  <c r="T4095" i="2"/>
  <c r="S4095" i="2"/>
  <c r="R4096" i="2"/>
  <c r="T4096" i="2"/>
  <c r="S4096" i="2"/>
  <c r="R4097" i="2"/>
  <c r="T4097" i="2"/>
  <c r="S4097" i="2"/>
  <c r="R4098" i="2"/>
  <c r="T4098" i="2"/>
  <c r="S4098" i="2"/>
  <c r="R4099" i="2"/>
  <c r="T4099" i="2"/>
  <c r="S4099" i="2"/>
  <c r="R4100" i="2"/>
  <c r="T4100" i="2"/>
  <c r="S4100" i="2"/>
  <c r="R4101" i="2"/>
  <c r="T4101" i="2"/>
  <c r="S4101" i="2"/>
  <c r="R4102" i="2"/>
  <c r="T4102" i="2"/>
  <c r="S4102" i="2"/>
  <c r="R4103" i="2"/>
  <c r="T4103" i="2"/>
  <c r="S4103" i="2"/>
  <c r="R4104" i="2"/>
  <c r="T4104" i="2"/>
  <c r="S4104" i="2"/>
  <c r="R4105" i="2"/>
  <c r="T4105" i="2"/>
  <c r="S4105" i="2"/>
  <c r="R4106" i="2"/>
  <c r="T4106" i="2"/>
  <c r="S4106" i="2"/>
  <c r="R4107" i="2"/>
  <c r="T4107" i="2"/>
  <c r="S4107" i="2"/>
  <c r="R4108" i="2"/>
  <c r="T4108" i="2"/>
  <c r="S4108" i="2"/>
  <c r="R4109" i="2"/>
  <c r="T4109" i="2"/>
  <c r="S4109" i="2"/>
  <c r="R4110" i="2"/>
  <c r="T4110" i="2"/>
  <c r="S4110" i="2"/>
  <c r="R4111" i="2"/>
  <c r="T4111" i="2"/>
  <c r="S4111" i="2"/>
  <c r="R4112" i="2"/>
  <c r="T4112" i="2"/>
  <c r="S4112" i="2"/>
  <c r="R4113" i="2"/>
  <c r="T4113" i="2"/>
  <c r="S4113" i="2"/>
  <c r="R4114" i="2"/>
  <c r="T4114" i="2"/>
  <c r="S4114" i="2"/>
  <c r="R4115" i="2"/>
  <c r="T4115" i="2"/>
  <c r="S4115" i="2"/>
  <c r="R4116" i="2"/>
  <c r="T4116" i="2"/>
  <c r="S4116" i="2"/>
  <c r="R4117" i="2"/>
  <c r="T4117" i="2"/>
  <c r="S4117" i="2"/>
  <c r="R4118" i="2"/>
  <c r="T4118" i="2"/>
  <c r="S4118" i="2"/>
  <c r="R4119" i="2"/>
  <c r="T4119" i="2"/>
  <c r="S4119" i="2"/>
  <c r="R4120" i="2"/>
  <c r="T4120" i="2"/>
  <c r="S4120" i="2"/>
  <c r="R4121" i="2"/>
  <c r="T4121" i="2"/>
  <c r="S4121" i="2"/>
  <c r="R4122" i="2"/>
  <c r="T4122" i="2"/>
  <c r="S4122" i="2"/>
  <c r="R4123" i="2"/>
  <c r="T4123" i="2"/>
  <c r="S4123" i="2"/>
  <c r="R4124" i="2"/>
  <c r="T4124" i="2"/>
  <c r="S4124" i="2"/>
  <c r="R4125" i="2"/>
  <c r="T4125" i="2"/>
  <c r="S4125" i="2"/>
  <c r="R4126" i="2"/>
  <c r="T4126" i="2"/>
  <c r="S4126" i="2"/>
  <c r="R4127" i="2"/>
  <c r="T4127" i="2"/>
  <c r="S4127" i="2"/>
  <c r="R4128" i="2"/>
  <c r="T4128" i="2"/>
  <c r="S4128" i="2"/>
  <c r="R4129" i="2"/>
  <c r="T4129" i="2"/>
  <c r="S4129" i="2"/>
  <c r="R4130" i="2"/>
  <c r="T4130" i="2"/>
  <c r="S4130" i="2"/>
  <c r="R4131" i="2"/>
  <c r="T4131" i="2"/>
  <c r="S4131" i="2"/>
  <c r="R4132" i="2"/>
  <c r="T4132" i="2"/>
  <c r="S4132" i="2"/>
  <c r="R4133" i="2"/>
  <c r="T4133" i="2"/>
  <c r="S4133" i="2"/>
  <c r="R4134" i="2"/>
  <c r="T4134" i="2"/>
  <c r="S4134" i="2"/>
  <c r="R4135" i="2"/>
  <c r="T4135" i="2"/>
  <c r="S4135" i="2"/>
  <c r="R4136" i="2"/>
  <c r="T4136" i="2"/>
  <c r="S4136" i="2"/>
  <c r="R4137" i="2"/>
  <c r="T4137" i="2"/>
  <c r="S4137" i="2"/>
  <c r="R4138" i="2"/>
  <c r="T4138" i="2"/>
  <c r="S4138" i="2"/>
  <c r="R4139" i="2"/>
  <c r="T4139" i="2"/>
  <c r="S4139" i="2"/>
  <c r="R4140" i="2"/>
  <c r="T4140" i="2"/>
  <c r="S4140" i="2"/>
  <c r="R4141" i="2"/>
  <c r="T4141" i="2"/>
  <c r="S4141" i="2"/>
  <c r="R4142" i="2"/>
  <c r="T4142" i="2"/>
  <c r="S4142" i="2"/>
  <c r="R4143" i="2"/>
  <c r="T4143" i="2"/>
  <c r="S4143" i="2"/>
  <c r="R4144" i="2"/>
  <c r="T4144" i="2"/>
  <c r="S4144" i="2"/>
  <c r="R4145" i="2"/>
  <c r="T4145" i="2"/>
  <c r="S4145" i="2"/>
  <c r="R4146" i="2"/>
  <c r="T4146" i="2"/>
  <c r="S4146" i="2"/>
  <c r="R4147" i="2"/>
  <c r="T4147" i="2"/>
  <c r="S4147" i="2"/>
  <c r="R4148" i="2"/>
  <c r="T4148" i="2"/>
  <c r="S4148" i="2"/>
  <c r="R4149" i="2"/>
  <c r="T4149" i="2"/>
  <c r="S4149" i="2"/>
  <c r="R4150" i="2"/>
  <c r="T4150" i="2"/>
  <c r="S4150" i="2"/>
  <c r="R4151" i="2"/>
  <c r="T4151" i="2"/>
  <c r="S4151" i="2"/>
  <c r="R4152" i="2"/>
  <c r="T4152" i="2"/>
  <c r="S4152" i="2"/>
  <c r="R4153" i="2"/>
  <c r="T4153" i="2"/>
  <c r="S4153" i="2"/>
  <c r="R4154" i="2"/>
  <c r="T4154" i="2"/>
  <c r="S4154" i="2"/>
  <c r="R4155" i="2"/>
  <c r="T4155" i="2"/>
  <c r="S4155" i="2"/>
  <c r="R4156" i="2"/>
  <c r="T4156" i="2"/>
  <c r="S4156" i="2"/>
  <c r="R4157" i="2"/>
  <c r="T4157" i="2"/>
  <c r="S4157" i="2"/>
  <c r="R4158" i="2"/>
  <c r="T4158" i="2"/>
  <c r="S4158" i="2"/>
  <c r="R4159" i="2"/>
  <c r="T4159" i="2"/>
  <c r="S4159" i="2"/>
  <c r="R4160" i="2"/>
  <c r="T4160" i="2"/>
  <c r="S4160" i="2"/>
  <c r="R4161" i="2"/>
  <c r="T4161" i="2"/>
  <c r="S4161" i="2"/>
  <c r="R4162" i="2"/>
  <c r="T4162" i="2"/>
  <c r="S4162" i="2"/>
  <c r="R4163" i="2"/>
  <c r="T4163" i="2"/>
  <c r="S4163" i="2"/>
  <c r="R4164" i="2"/>
  <c r="T4164" i="2"/>
  <c r="S4164" i="2"/>
  <c r="R4165" i="2"/>
  <c r="T4165" i="2"/>
  <c r="S4165" i="2"/>
  <c r="R4166" i="2"/>
  <c r="T4166" i="2"/>
  <c r="S4166" i="2"/>
  <c r="R4167" i="2"/>
  <c r="T4167" i="2"/>
  <c r="S4167" i="2"/>
  <c r="R4168" i="2"/>
  <c r="T4168" i="2"/>
  <c r="S4168" i="2"/>
  <c r="R4169" i="2"/>
  <c r="T4169" i="2"/>
  <c r="S4169" i="2"/>
  <c r="R4170" i="2"/>
  <c r="T4170" i="2"/>
  <c r="S4170" i="2"/>
  <c r="R4171" i="2"/>
  <c r="T4171" i="2"/>
  <c r="S4171" i="2"/>
  <c r="R4172" i="2"/>
  <c r="T4172" i="2"/>
  <c r="S4172" i="2"/>
  <c r="R4173" i="2"/>
  <c r="T4173" i="2"/>
  <c r="S4173" i="2"/>
  <c r="R4174" i="2"/>
  <c r="T4174" i="2"/>
  <c r="S4174" i="2"/>
  <c r="R4175" i="2"/>
  <c r="T4175" i="2"/>
  <c r="S4175" i="2"/>
  <c r="R4176" i="2"/>
  <c r="T4176" i="2"/>
  <c r="S4176" i="2"/>
  <c r="R4177" i="2"/>
  <c r="T4177" i="2"/>
  <c r="S4177" i="2"/>
  <c r="R4178" i="2"/>
  <c r="T4178" i="2"/>
  <c r="S4178" i="2"/>
  <c r="R4179" i="2"/>
  <c r="T4179" i="2"/>
  <c r="S4179" i="2"/>
  <c r="R4180" i="2"/>
  <c r="T4180" i="2"/>
  <c r="S4180" i="2"/>
  <c r="R4181" i="2"/>
  <c r="T4181" i="2"/>
  <c r="S4181" i="2"/>
  <c r="R4182" i="2"/>
  <c r="T4182" i="2"/>
  <c r="S4182" i="2"/>
  <c r="R4183" i="2"/>
  <c r="T4183" i="2"/>
  <c r="S4183" i="2"/>
  <c r="R4184" i="2"/>
  <c r="T4184" i="2"/>
  <c r="S4184" i="2"/>
  <c r="R4185" i="2"/>
  <c r="T4185" i="2"/>
  <c r="S4185" i="2"/>
  <c r="R4186" i="2"/>
  <c r="T4186" i="2"/>
  <c r="S4186" i="2"/>
  <c r="R4187" i="2"/>
  <c r="T4187" i="2"/>
  <c r="S4187" i="2"/>
  <c r="R4188" i="2"/>
  <c r="T4188" i="2"/>
  <c r="S4188" i="2"/>
  <c r="R4189" i="2"/>
  <c r="T4189" i="2"/>
  <c r="S4189" i="2"/>
  <c r="R4190" i="2"/>
  <c r="T4190" i="2"/>
  <c r="S4190" i="2"/>
  <c r="R4191" i="2"/>
  <c r="T4191" i="2"/>
  <c r="S4191" i="2"/>
  <c r="R4192" i="2"/>
  <c r="T4192" i="2"/>
  <c r="S4192" i="2"/>
  <c r="R4193" i="2"/>
  <c r="T4193" i="2"/>
  <c r="S4193" i="2"/>
  <c r="R4194" i="2"/>
  <c r="T4194" i="2"/>
  <c r="S4194" i="2"/>
  <c r="R4195" i="2"/>
  <c r="T4195" i="2"/>
  <c r="S4195" i="2"/>
  <c r="R4196" i="2"/>
  <c r="T4196" i="2"/>
  <c r="S4196" i="2"/>
  <c r="R4197" i="2"/>
  <c r="T4197" i="2"/>
  <c r="S4197" i="2"/>
  <c r="R4198" i="2"/>
  <c r="T4198" i="2"/>
  <c r="S4198" i="2"/>
  <c r="R4199" i="2"/>
  <c r="T4199" i="2"/>
  <c r="S4199" i="2"/>
  <c r="R4200" i="2"/>
  <c r="T4200" i="2"/>
  <c r="S4200" i="2"/>
  <c r="R4201" i="2"/>
  <c r="T4201" i="2"/>
  <c r="S4201" i="2"/>
  <c r="R4202" i="2"/>
  <c r="T4202" i="2"/>
  <c r="S4202" i="2"/>
  <c r="R4203" i="2"/>
  <c r="T4203" i="2"/>
  <c r="S4203" i="2"/>
  <c r="R4204" i="2"/>
  <c r="T4204" i="2"/>
  <c r="S4204" i="2"/>
  <c r="R4205" i="2"/>
  <c r="T4205" i="2"/>
  <c r="S4205" i="2"/>
  <c r="R4206" i="2"/>
  <c r="T4206" i="2"/>
  <c r="S4206" i="2"/>
  <c r="R4207" i="2"/>
  <c r="T4207" i="2"/>
  <c r="S4207" i="2"/>
  <c r="R4208" i="2"/>
  <c r="T4208" i="2"/>
  <c r="S4208" i="2"/>
  <c r="R4209" i="2"/>
  <c r="T4209" i="2"/>
  <c r="S4209" i="2"/>
  <c r="R4210" i="2"/>
  <c r="T4210" i="2"/>
  <c r="S4210" i="2"/>
  <c r="R4211" i="2"/>
  <c r="T4211" i="2"/>
  <c r="S4211" i="2"/>
  <c r="R4212" i="2"/>
  <c r="T4212" i="2"/>
  <c r="S4212" i="2"/>
  <c r="R4213" i="2"/>
  <c r="T4213" i="2"/>
  <c r="S4213" i="2"/>
  <c r="R4214" i="2"/>
  <c r="T4214" i="2"/>
  <c r="S4214" i="2"/>
  <c r="R4215" i="2"/>
  <c r="T4215" i="2"/>
  <c r="S4215" i="2"/>
  <c r="R4216" i="2"/>
  <c r="T4216" i="2"/>
  <c r="S4216" i="2"/>
  <c r="R4217" i="2"/>
  <c r="T4217" i="2"/>
  <c r="S4217" i="2"/>
  <c r="R4218" i="2"/>
  <c r="T4218" i="2"/>
  <c r="S4218" i="2"/>
  <c r="R4219" i="2"/>
  <c r="T4219" i="2"/>
  <c r="S4219" i="2"/>
  <c r="R4220" i="2"/>
  <c r="T4220" i="2"/>
  <c r="S4220" i="2"/>
  <c r="R4221" i="2"/>
  <c r="T4221" i="2"/>
  <c r="S4221" i="2"/>
  <c r="R4222" i="2"/>
  <c r="T4222" i="2"/>
  <c r="S4222" i="2"/>
  <c r="R4223" i="2"/>
  <c r="T4223" i="2"/>
  <c r="S4223" i="2"/>
  <c r="R4224" i="2"/>
  <c r="T4224" i="2"/>
  <c r="S4224" i="2"/>
  <c r="R4225" i="2"/>
  <c r="T4225" i="2"/>
  <c r="S4225" i="2"/>
  <c r="R4226" i="2"/>
  <c r="T4226" i="2"/>
  <c r="S4226" i="2"/>
  <c r="R4227" i="2"/>
  <c r="T4227" i="2"/>
  <c r="S4227" i="2"/>
  <c r="R4228" i="2"/>
  <c r="T4228" i="2"/>
  <c r="S4228" i="2"/>
  <c r="R4229" i="2"/>
  <c r="T4229" i="2"/>
  <c r="S4229" i="2"/>
  <c r="R4230" i="2"/>
  <c r="T4230" i="2"/>
  <c r="S4230" i="2"/>
  <c r="R4231" i="2"/>
  <c r="T4231" i="2"/>
  <c r="S4231" i="2"/>
  <c r="R4232" i="2"/>
  <c r="T4232" i="2"/>
  <c r="S4232" i="2"/>
  <c r="R4233" i="2"/>
  <c r="T4233" i="2"/>
  <c r="S4233" i="2"/>
  <c r="R4234" i="2"/>
  <c r="T4234" i="2"/>
  <c r="S4234" i="2"/>
  <c r="R4235" i="2"/>
  <c r="T4235" i="2"/>
  <c r="S4235" i="2"/>
  <c r="R4236" i="2"/>
  <c r="T4236" i="2"/>
  <c r="S4236" i="2"/>
  <c r="R4237" i="2"/>
  <c r="T4237" i="2"/>
  <c r="S4237" i="2"/>
  <c r="R4238" i="2"/>
  <c r="T4238" i="2"/>
  <c r="S4238" i="2"/>
  <c r="R4239" i="2"/>
  <c r="T4239" i="2"/>
  <c r="S4239" i="2"/>
  <c r="R4240" i="2"/>
  <c r="T4240" i="2"/>
  <c r="S4240" i="2"/>
  <c r="R4241" i="2"/>
  <c r="T4241" i="2"/>
  <c r="S4241" i="2"/>
  <c r="R4242" i="2"/>
  <c r="T4242" i="2"/>
  <c r="S4242" i="2"/>
  <c r="R4243" i="2"/>
  <c r="T4243" i="2"/>
  <c r="S4243" i="2"/>
  <c r="R4244" i="2"/>
  <c r="T4244" i="2"/>
  <c r="S4244" i="2"/>
  <c r="R4245" i="2"/>
  <c r="T4245" i="2"/>
  <c r="S4245" i="2"/>
  <c r="R4246" i="2"/>
  <c r="T4246" i="2"/>
  <c r="S4246" i="2"/>
  <c r="R4247" i="2"/>
  <c r="T4247" i="2"/>
  <c r="S4247" i="2"/>
  <c r="R4248" i="2"/>
  <c r="T4248" i="2"/>
  <c r="S4248" i="2"/>
  <c r="R4249" i="2"/>
  <c r="T4249" i="2"/>
  <c r="S4249" i="2"/>
  <c r="R4250" i="2"/>
  <c r="T4250" i="2"/>
  <c r="S4250" i="2"/>
  <c r="R4251" i="2"/>
  <c r="T4251" i="2"/>
  <c r="S4251" i="2"/>
  <c r="R4252" i="2"/>
  <c r="T4252" i="2"/>
  <c r="S4252" i="2"/>
  <c r="R4253" i="2"/>
  <c r="T4253" i="2"/>
  <c r="S4253" i="2"/>
  <c r="R4254" i="2"/>
  <c r="T4254" i="2"/>
  <c r="S4254" i="2"/>
  <c r="R4255" i="2"/>
  <c r="T4255" i="2"/>
  <c r="S4255" i="2"/>
  <c r="R4256" i="2"/>
  <c r="T4256" i="2"/>
  <c r="S4256" i="2"/>
  <c r="R4257" i="2"/>
  <c r="T4257" i="2"/>
  <c r="S4257" i="2"/>
  <c r="R4258" i="2"/>
  <c r="T4258" i="2"/>
  <c r="S4258" i="2"/>
  <c r="R4259" i="2"/>
  <c r="T4259" i="2"/>
  <c r="S4259" i="2"/>
  <c r="R4260" i="2"/>
  <c r="T4260" i="2"/>
  <c r="S4260" i="2"/>
  <c r="R4261" i="2"/>
  <c r="T4261" i="2"/>
  <c r="S4261" i="2"/>
  <c r="R4262" i="2"/>
  <c r="T4262" i="2"/>
  <c r="S4262" i="2"/>
  <c r="R4263" i="2"/>
  <c r="T4263" i="2"/>
  <c r="S4263" i="2"/>
  <c r="R4264" i="2"/>
  <c r="T4264" i="2"/>
  <c r="S4264" i="2"/>
  <c r="R4265" i="2"/>
  <c r="T4265" i="2"/>
  <c r="S4265" i="2"/>
  <c r="R4266" i="2"/>
  <c r="T4266" i="2"/>
  <c r="S4266" i="2"/>
  <c r="R4267" i="2"/>
  <c r="T4267" i="2"/>
  <c r="S4267" i="2"/>
  <c r="R4268" i="2"/>
  <c r="T4268" i="2"/>
  <c r="S4268" i="2"/>
  <c r="R4269" i="2"/>
  <c r="T4269" i="2"/>
  <c r="S4269" i="2"/>
  <c r="R4270" i="2"/>
  <c r="T4270" i="2"/>
  <c r="S4270" i="2"/>
  <c r="R4271" i="2"/>
  <c r="T4271" i="2"/>
  <c r="S4271" i="2"/>
  <c r="R4272" i="2"/>
  <c r="T4272" i="2"/>
  <c r="S4272" i="2"/>
  <c r="R4273" i="2"/>
  <c r="T4273" i="2"/>
  <c r="S4273" i="2"/>
  <c r="R4274" i="2"/>
  <c r="T4274" i="2"/>
  <c r="S4274" i="2"/>
  <c r="R4275" i="2"/>
  <c r="T4275" i="2"/>
  <c r="S4275" i="2"/>
  <c r="R4276" i="2"/>
  <c r="T4276" i="2"/>
  <c r="S4276" i="2"/>
  <c r="R4277" i="2"/>
  <c r="T4277" i="2"/>
  <c r="S4277" i="2"/>
  <c r="R4278" i="2"/>
  <c r="T4278" i="2"/>
  <c r="S4278" i="2"/>
  <c r="R4279" i="2"/>
  <c r="T4279" i="2"/>
  <c r="S4279" i="2"/>
  <c r="R4280" i="2"/>
  <c r="T4280" i="2"/>
  <c r="S4280" i="2"/>
  <c r="R4281" i="2"/>
  <c r="T4281" i="2"/>
  <c r="S4281" i="2"/>
  <c r="R4282" i="2"/>
  <c r="T4282" i="2"/>
  <c r="S4282" i="2"/>
  <c r="R4283" i="2"/>
  <c r="T4283" i="2"/>
  <c r="S4283" i="2"/>
  <c r="R4284" i="2"/>
  <c r="T4284" i="2"/>
  <c r="S4284" i="2"/>
  <c r="R4285" i="2"/>
  <c r="T4285" i="2"/>
  <c r="S4285" i="2"/>
  <c r="R4286" i="2"/>
  <c r="T4286" i="2"/>
  <c r="S4286" i="2"/>
  <c r="R4287" i="2"/>
  <c r="T4287" i="2"/>
  <c r="S4287" i="2"/>
  <c r="R4288" i="2"/>
  <c r="T4288" i="2"/>
  <c r="S4288" i="2"/>
  <c r="R4289" i="2"/>
  <c r="T4289" i="2"/>
  <c r="S4289" i="2"/>
  <c r="R4290" i="2"/>
  <c r="T4290" i="2"/>
  <c r="S4290" i="2"/>
  <c r="R4291" i="2"/>
  <c r="T4291" i="2"/>
  <c r="S4291" i="2"/>
  <c r="R4292" i="2"/>
  <c r="T4292" i="2"/>
  <c r="S4292" i="2"/>
  <c r="R4293" i="2"/>
  <c r="T4293" i="2"/>
  <c r="S4293" i="2"/>
  <c r="R4294" i="2"/>
  <c r="T4294" i="2"/>
  <c r="S4294" i="2"/>
  <c r="R4295" i="2"/>
  <c r="T4295" i="2"/>
  <c r="S4295" i="2"/>
  <c r="R4296" i="2"/>
  <c r="T4296" i="2"/>
  <c r="S4296" i="2"/>
  <c r="R4297" i="2"/>
  <c r="T4297" i="2"/>
  <c r="S4297" i="2"/>
  <c r="R4298" i="2"/>
  <c r="T4298" i="2"/>
  <c r="S4298" i="2"/>
  <c r="R4299" i="2"/>
  <c r="T4299" i="2"/>
  <c r="S4299" i="2"/>
  <c r="R4300" i="2"/>
  <c r="T4300" i="2"/>
  <c r="S4300" i="2"/>
  <c r="R4301" i="2"/>
  <c r="T4301" i="2"/>
  <c r="S4301" i="2"/>
  <c r="R4302" i="2"/>
  <c r="T4302" i="2"/>
  <c r="S4302" i="2"/>
  <c r="R4303" i="2"/>
  <c r="T4303" i="2"/>
  <c r="S4303" i="2"/>
  <c r="R4304" i="2"/>
  <c r="T4304" i="2"/>
  <c r="S4304" i="2"/>
  <c r="R4305" i="2"/>
  <c r="T4305" i="2"/>
  <c r="S4305" i="2"/>
  <c r="R4306" i="2"/>
  <c r="T4306" i="2"/>
  <c r="S4306" i="2"/>
  <c r="R4307" i="2"/>
  <c r="T4307" i="2"/>
  <c r="S4307" i="2"/>
  <c r="R4308" i="2"/>
  <c r="T4308" i="2"/>
  <c r="S4308" i="2"/>
  <c r="R4309" i="2"/>
  <c r="T4309" i="2"/>
  <c r="S4309" i="2"/>
  <c r="R4310" i="2"/>
  <c r="T4310" i="2"/>
  <c r="S4310" i="2"/>
  <c r="R4311" i="2"/>
  <c r="T4311" i="2"/>
  <c r="S4311" i="2"/>
  <c r="R4312" i="2"/>
  <c r="T4312" i="2"/>
  <c r="S4312" i="2"/>
  <c r="R4313" i="2"/>
  <c r="T4313" i="2"/>
  <c r="S4313" i="2"/>
  <c r="R4314" i="2"/>
  <c r="T4314" i="2"/>
  <c r="S4314" i="2"/>
  <c r="R4315" i="2"/>
  <c r="T4315" i="2"/>
  <c r="S4315" i="2"/>
  <c r="R4316" i="2"/>
  <c r="T4316" i="2"/>
  <c r="S4316" i="2"/>
  <c r="R4317" i="2"/>
  <c r="T4317" i="2"/>
  <c r="S4317" i="2"/>
  <c r="R4318" i="2"/>
  <c r="T4318" i="2"/>
  <c r="S4318" i="2"/>
  <c r="R4319" i="2"/>
  <c r="T4319" i="2"/>
  <c r="S4319" i="2"/>
  <c r="R4320" i="2"/>
  <c r="T4320" i="2"/>
  <c r="S4320" i="2"/>
  <c r="R4321" i="2"/>
  <c r="T4321" i="2"/>
  <c r="S4321" i="2"/>
  <c r="R4322" i="2"/>
  <c r="T4322" i="2"/>
  <c r="S4322" i="2"/>
  <c r="R4323" i="2"/>
  <c r="T4323" i="2"/>
  <c r="S4323" i="2"/>
  <c r="R4324" i="2"/>
  <c r="T4324" i="2"/>
  <c r="S4324" i="2"/>
  <c r="R4325" i="2"/>
  <c r="T4325" i="2"/>
  <c r="S4325" i="2"/>
  <c r="R4326" i="2"/>
  <c r="T4326" i="2"/>
  <c r="S4326" i="2"/>
  <c r="R4327" i="2"/>
  <c r="T4327" i="2"/>
  <c r="S4327" i="2"/>
  <c r="R4328" i="2"/>
  <c r="T4328" i="2"/>
  <c r="S4328" i="2"/>
  <c r="R4329" i="2"/>
  <c r="T4329" i="2"/>
  <c r="S4329" i="2"/>
  <c r="R4330" i="2"/>
  <c r="T4330" i="2"/>
  <c r="S4330" i="2"/>
  <c r="R4331" i="2"/>
  <c r="T4331" i="2"/>
  <c r="S4331" i="2"/>
  <c r="R4332" i="2"/>
  <c r="T4332" i="2"/>
  <c r="S4332" i="2"/>
  <c r="R4333" i="2"/>
  <c r="T4333" i="2"/>
  <c r="S4333" i="2"/>
  <c r="R4334" i="2"/>
  <c r="T4334" i="2"/>
  <c r="S4334" i="2"/>
  <c r="R4335" i="2"/>
  <c r="T4335" i="2"/>
  <c r="S4335" i="2"/>
  <c r="R4336" i="2"/>
  <c r="T4336" i="2"/>
  <c r="S4336" i="2"/>
  <c r="R4337" i="2"/>
  <c r="T4337" i="2"/>
  <c r="S4337" i="2"/>
  <c r="R4338" i="2"/>
  <c r="T4338" i="2"/>
  <c r="S4338" i="2"/>
  <c r="R4339" i="2"/>
  <c r="T4339" i="2"/>
  <c r="S4339" i="2"/>
  <c r="R4340" i="2"/>
  <c r="T4340" i="2"/>
  <c r="S4340" i="2"/>
  <c r="R4341" i="2"/>
  <c r="T4341" i="2"/>
  <c r="S4341" i="2"/>
  <c r="R4342" i="2"/>
  <c r="T4342" i="2"/>
  <c r="S4342" i="2"/>
  <c r="R4343" i="2"/>
  <c r="T4343" i="2"/>
  <c r="S4343" i="2"/>
  <c r="R4344" i="2"/>
  <c r="T4344" i="2"/>
  <c r="S4344" i="2"/>
  <c r="R4345" i="2"/>
  <c r="T4345" i="2"/>
  <c r="S4345" i="2"/>
  <c r="R4346" i="2"/>
  <c r="T4346" i="2"/>
  <c r="S4346" i="2"/>
  <c r="R4347" i="2"/>
  <c r="T4347" i="2"/>
  <c r="S4347" i="2"/>
  <c r="R4348" i="2"/>
  <c r="T4348" i="2"/>
  <c r="S4348" i="2"/>
  <c r="R4349" i="2"/>
  <c r="T4349" i="2"/>
  <c r="S4349" i="2"/>
  <c r="R4350" i="2"/>
  <c r="T4350" i="2"/>
  <c r="S4350" i="2"/>
  <c r="R4351" i="2"/>
  <c r="T4351" i="2"/>
  <c r="S4351" i="2"/>
  <c r="R4352" i="2"/>
  <c r="T4352" i="2"/>
  <c r="S4352" i="2"/>
  <c r="R4353" i="2"/>
  <c r="T4353" i="2"/>
  <c r="S4353" i="2"/>
  <c r="R4354" i="2"/>
  <c r="T4354" i="2"/>
  <c r="S4354" i="2"/>
  <c r="R4355" i="2"/>
  <c r="T4355" i="2"/>
  <c r="S4355" i="2"/>
  <c r="R4356" i="2"/>
  <c r="T4356" i="2"/>
  <c r="S4356" i="2"/>
  <c r="R4357" i="2"/>
  <c r="T4357" i="2"/>
  <c r="S4357" i="2"/>
  <c r="R4358" i="2"/>
  <c r="T4358" i="2"/>
  <c r="S4358" i="2"/>
  <c r="R4359" i="2"/>
  <c r="T4359" i="2"/>
  <c r="S4359" i="2"/>
  <c r="R4360" i="2"/>
  <c r="T4360" i="2"/>
  <c r="S4360" i="2"/>
  <c r="R4361" i="2"/>
  <c r="T4361" i="2"/>
  <c r="S4361" i="2"/>
  <c r="R4362" i="2"/>
  <c r="T4362" i="2"/>
  <c r="S4362" i="2"/>
  <c r="R4363" i="2"/>
  <c r="T4363" i="2"/>
  <c r="S4363" i="2"/>
  <c r="R4364" i="2"/>
  <c r="T4364" i="2"/>
  <c r="S4364" i="2"/>
  <c r="R4365" i="2"/>
  <c r="T4365" i="2"/>
  <c r="S4365" i="2"/>
  <c r="R4366" i="2"/>
  <c r="T4366" i="2"/>
  <c r="S4366" i="2"/>
  <c r="R4367" i="2"/>
  <c r="T4367" i="2"/>
  <c r="S4367" i="2"/>
  <c r="R4368" i="2"/>
  <c r="T4368" i="2"/>
  <c r="S4368" i="2"/>
  <c r="R4369" i="2"/>
  <c r="T4369" i="2"/>
  <c r="S4369" i="2"/>
  <c r="R4370" i="2"/>
  <c r="T4370" i="2"/>
  <c r="S4370" i="2"/>
  <c r="R4371" i="2"/>
  <c r="T4371" i="2"/>
  <c r="S4371" i="2"/>
  <c r="R4372" i="2"/>
  <c r="T4372" i="2"/>
  <c r="S4372" i="2"/>
  <c r="R4373" i="2"/>
  <c r="T4373" i="2"/>
  <c r="S4373" i="2"/>
  <c r="R4374" i="2"/>
  <c r="T4374" i="2"/>
  <c r="S4374" i="2"/>
  <c r="R4375" i="2"/>
  <c r="T4375" i="2"/>
  <c r="S4375" i="2"/>
  <c r="R4376" i="2"/>
  <c r="T4376" i="2"/>
  <c r="S4376" i="2"/>
  <c r="R4377" i="2"/>
  <c r="T4377" i="2"/>
  <c r="S4377" i="2"/>
  <c r="R4378" i="2"/>
  <c r="T4378" i="2"/>
  <c r="S4378" i="2"/>
  <c r="R4379" i="2"/>
  <c r="T4379" i="2"/>
  <c r="S4379" i="2"/>
  <c r="R4380" i="2"/>
  <c r="T4380" i="2"/>
  <c r="S4380" i="2"/>
  <c r="R4381" i="2"/>
  <c r="T4381" i="2"/>
  <c r="S4381" i="2"/>
  <c r="R4382" i="2"/>
  <c r="T4382" i="2"/>
  <c r="S4382" i="2"/>
  <c r="R4383" i="2"/>
  <c r="T4383" i="2"/>
  <c r="S4383" i="2"/>
  <c r="R4384" i="2"/>
  <c r="T4384" i="2"/>
  <c r="S4384" i="2"/>
  <c r="R4385" i="2"/>
  <c r="T4385" i="2"/>
  <c r="S4385" i="2"/>
  <c r="R4386" i="2"/>
  <c r="T4386" i="2"/>
  <c r="S4386" i="2"/>
  <c r="R4387" i="2"/>
  <c r="T4387" i="2"/>
  <c r="S4387" i="2"/>
  <c r="R4388" i="2"/>
  <c r="T4388" i="2"/>
  <c r="S4388" i="2"/>
  <c r="R4389" i="2"/>
  <c r="T4389" i="2"/>
  <c r="S4389" i="2"/>
  <c r="R4390" i="2"/>
  <c r="T4390" i="2"/>
  <c r="S4390" i="2"/>
  <c r="R4391" i="2"/>
  <c r="T4391" i="2"/>
  <c r="S4391" i="2"/>
  <c r="R4392" i="2"/>
  <c r="T4392" i="2"/>
  <c r="S4392" i="2"/>
  <c r="R4393" i="2"/>
  <c r="T4393" i="2"/>
  <c r="S4393" i="2"/>
  <c r="R4394" i="2"/>
  <c r="T4394" i="2"/>
  <c r="S4394" i="2"/>
  <c r="R4395" i="2"/>
  <c r="T4395" i="2"/>
  <c r="S4395" i="2"/>
  <c r="R4396" i="2"/>
  <c r="T4396" i="2"/>
  <c r="S4396" i="2"/>
  <c r="R4397" i="2"/>
  <c r="T4397" i="2"/>
  <c r="S4397" i="2"/>
  <c r="R4398" i="2"/>
  <c r="T4398" i="2"/>
  <c r="S4398" i="2"/>
  <c r="R4399" i="2"/>
  <c r="T4399" i="2"/>
  <c r="S4399" i="2"/>
  <c r="R4400" i="2"/>
  <c r="T4400" i="2"/>
  <c r="S4400" i="2"/>
  <c r="R4401" i="2"/>
  <c r="T4401" i="2"/>
  <c r="S4401" i="2"/>
  <c r="R4402" i="2"/>
  <c r="T4402" i="2"/>
  <c r="S4402" i="2"/>
  <c r="R4403" i="2"/>
  <c r="T4403" i="2"/>
  <c r="S4403" i="2"/>
  <c r="R4404" i="2"/>
  <c r="T4404" i="2"/>
  <c r="S4404" i="2"/>
  <c r="R4405" i="2"/>
  <c r="T4405" i="2"/>
  <c r="S4405" i="2"/>
  <c r="R4406" i="2"/>
  <c r="T4406" i="2"/>
  <c r="S4406" i="2"/>
  <c r="R4407" i="2"/>
  <c r="T4407" i="2"/>
  <c r="S4407" i="2"/>
  <c r="R4408" i="2"/>
  <c r="T4408" i="2"/>
  <c r="S4408" i="2"/>
  <c r="R4409" i="2"/>
  <c r="T4409" i="2"/>
  <c r="S4409" i="2"/>
  <c r="R4410" i="2"/>
  <c r="T4410" i="2"/>
  <c r="S4410" i="2"/>
  <c r="R4411" i="2"/>
  <c r="T4411" i="2"/>
  <c r="S4411" i="2"/>
  <c r="R4412" i="2"/>
  <c r="T4412" i="2"/>
  <c r="S4412" i="2"/>
  <c r="R4413" i="2"/>
  <c r="T4413" i="2"/>
  <c r="S4413" i="2"/>
  <c r="R4414" i="2"/>
  <c r="T4414" i="2"/>
  <c r="S4414" i="2"/>
  <c r="R4415" i="2"/>
  <c r="T4415" i="2"/>
  <c r="S4415" i="2"/>
  <c r="R4416" i="2"/>
  <c r="T4416" i="2"/>
  <c r="S4416" i="2"/>
  <c r="R4417" i="2"/>
  <c r="T4417" i="2"/>
  <c r="S4417" i="2"/>
  <c r="R4418" i="2"/>
  <c r="T4418" i="2"/>
  <c r="S4418" i="2"/>
  <c r="R4419" i="2"/>
  <c r="T4419" i="2"/>
  <c r="S4419" i="2"/>
  <c r="R4420" i="2"/>
  <c r="T4420" i="2"/>
  <c r="S4420" i="2"/>
  <c r="R4421" i="2"/>
  <c r="T4421" i="2"/>
  <c r="S4421" i="2"/>
  <c r="R4422" i="2"/>
  <c r="T4422" i="2"/>
  <c r="S4422" i="2"/>
  <c r="R4423" i="2"/>
  <c r="T4423" i="2"/>
  <c r="S4423" i="2"/>
  <c r="R4424" i="2"/>
  <c r="T4424" i="2"/>
  <c r="S4424" i="2"/>
  <c r="R4425" i="2"/>
  <c r="T4425" i="2"/>
  <c r="S4425" i="2"/>
  <c r="R4426" i="2"/>
  <c r="T4426" i="2"/>
  <c r="S4426" i="2"/>
  <c r="R4427" i="2"/>
  <c r="T4427" i="2"/>
  <c r="S4427" i="2"/>
  <c r="R4428" i="2"/>
  <c r="T4428" i="2"/>
  <c r="S4428" i="2"/>
  <c r="R4429" i="2"/>
  <c r="T4429" i="2"/>
  <c r="S4429" i="2"/>
  <c r="R4430" i="2"/>
  <c r="T4430" i="2"/>
  <c r="S4430" i="2"/>
  <c r="R4431" i="2"/>
  <c r="T4431" i="2"/>
  <c r="S4431" i="2"/>
  <c r="R4432" i="2"/>
  <c r="T4432" i="2"/>
  <c r="S4432" i="2"/>
  <c r="R4433" i="2"/>
  <c r="T4433" i="2"/>
  <c r="S4433" i="2"/>
  <c r="R4434" i="2"/>
  <c r="T4434" i="2"/>
  <c r="S4434" i="2"/>
  <c r="R4435" i="2"/>
  <c r="T4435" i="2"/>
  <c r="S4435" i="2"/>
  <c r="R4436" i="2"/>
  <c r="T4436" i="2"/>
  <c r="S4436" i="2"/>
  <c r="R4437" i="2"/>
  <c r="T4437" i="2"/>
  <c r="S4437" i="2"/>
  <c r="R4438" i="2"/>
  <c r="T4438" i="2"/>
  <c r="S4438" i="2"/>
  <c r="R4439" i="2"/>
  <c r="T4439" i="2"/>
  <c r="S4439" i="2"/>
  <c r="R4440" i="2"/>
  <c r="T4440" i="2"/>
  <c r="S4440" i="2"/>
  <c r="R4441" i="2"/>
  <c r="T4441" i="2"/>
  <c r="S4441" i="2"/>
  <c r="R4442" i="2"/>
  <c r="T4442" i="2"/>
  <c r="S4442" i="2"/>
  <c r="R4443" i="2"/>
  <c r="T4443" i="2"/>
  <c r="S4443" i="2"/>
  <c r="R4444" i="2"/>
  <c r="T4444" i="2"/>
  <c r="S4444" i="2"/>
  <c r="R4445" i="2"/>
  <c r="T4445" i="2"/>
  <c r="S4445" i="2"/>
  <c r="R4446" i="2"/>
  <c r="T4446" i="2"/>
  <c r="S4446" i="2"/>
  <c r="R4447" i="2"/>
  <c r="T4447" i="2"/>
  <c r="S4447" i="2"/>
  <c r="R4448" i="2"/>
  <c r="T4448" i="2"/>
  <c r="S4448" i="2"/>
  <c r="R4449" i="2"/>
  <c r="T4449" i="2"/>
  <c r="S4449" i="2"/>
  <c r="R4450" i="2"/>
  <c r="T4450" i="2"/>
  <c r="S4450" i="2"/>
  <c r="R4451" i="2"/>
  <c r="T4451" i="2"/>
  <c r="S4451" i="2"/>
  <c r="R4452" i="2"/>
  <c r="T4452" i="2"/>
  <c r="S4452" i="2"/>
  <c r="R4453" i="2"/>
  <c r="T4453" i="2"/>
  <c r="S4453" i="2"/>
  <c r="R4454" i="2"/>
  <c r="T4454" i="2"/>
  <c r="S4454" i="2"/>
  <c r="R4455" i="2"/>
  <c r="T4455" i="2"/>
  <c r="S4455" i="2"/>
  <c r="R4456" i="2"/>
  <c r="T4456" i="2"/>
  <c r="S4456" i="2"/>
  <c r="R4457" i="2"/>
  <c r="T4457" i="2"/>
  <c r="S4457" i="2"/>
  <c r="R4458" i="2"/>
  <c r="T4458" i="2"/>
  <c r="S4458" i="2"/>
  <c r="R4459" i="2"/>
  <c r="T4459" i="2"/>
  <c r="S4459" i="2"/>
  <c r="R4460" i="2"/>
  <c r="T4460" i="2"/>
  <c r="S4460" i="2"/>
  <c r="R4461" i="2"/>
  <c r="T4461" i="2"/>
  <c r="S4461" i="2"/>
  <c r="R4462" i="2"/>
  <c r="T4462" i="2"/>
  <c r="S4462" i="2"/>
  <c r="R4463" i="2"/>
  <c r="T4463" i="2"/>
  <c r="S4463" i="2"/>
  <c r="R4464" i="2"/>
  <c r="T4464" i="2"/>
  <c r="S4464" i="2"/>
  <c r="R4465" i="2"/>
  <c r="T4465" i="2"/>
  <c r="S4465" i="2"/>
  <c r="R4466" i="2"/>
  <c r="T4466" i="2"/>
  <c r="S4466" i="2"/>
  <c r="R4467" i="2"/>
  <c r="T4467" i="2"/>
  <c r="S4467" i="2"/>
  <c r="R4468" i="2"/>
  <c r="T4468" i="2"/>
  <c r="S4468" i="2"/>
  <c r="R4469" i="2"/>
  <c r="T4469" i="2"/>
  <c r="S4469" i="2"/>
  <c r="R4470" i="2"/>
  <c r="T4470" i="2"/>
  <c r="S4470" i="2"/>
  <c r="R4471" i="2"/>
  <c r="T4471" i="2"/>
  <c r="S4471" i="2"/>
  <c r="R4472" i="2"/>
  <c r="T4472" i="2"/>
  <c r="S4472" i="2"/>
  <c r="R4473" i="2"/>
  <c r="T4473" i="2"/>
  <c r="S4473" i="2"/>
  <c r="R4474" i="2"/>
  <c r="T4474" i="2"/>
  <c r="S4474" i="2"/>
  <c r="R4475" i="2"/>
  <c r="T4475" i="2"/>
  <c r="S4475" i="2"/>
  <c r="R4476" i="2"/>
  <c r="T4476" i="2"/>
  <c r="S4476" i="2"/>
  <c r="R4477" i="2"/>
  <c r="T4477" i="2"/>
  <c r="S4477" i="2"/>
  <c r="R4478" i="2"/>
  <c r="T4478" i="2"/>
  <c r="S4478" i="2"/>
  <c r="R4479" i="2"/>
  <c r="T4479" i="2"/>
  <c r="S4479" i="2"/>
  <c r="R4480" i="2"/>
  <c r="T4480" i="2"/>
  <c r="S4480" i="2"/>
  <c r="R4481" i="2"/>
  <c r="T4481" i="2"/>
  <c r="S4481" i="2"/>
  <c r="R4482" i="2"/>
  <c r="T4482" i="2"/>
  <c r="S4482" i="2"/>
  <c r="R4483" i="2"/>
  <c r="T4483" i="2"/>
  <c r="S4483" i="2"/>
  <c r="R4484" i="2"/>
  <c r="T4484" i="2"/>
  <c r="S4484" i="2"/>
  <c r="R4485" i="2"/>
  <c r="T4485" i="2"/>
  <c r="S4485" i="2"/>
  <c r="R4486" i="2"/>
  <c r="T4486" i="2"/>
  <c r="S4486" i="2"/>
  <c r="R4487" i="2"/>
  <c r="T4487" i="2"/>
  <c r="S4487" i="2"/>
  <c r="R4488" i="2"/>
  <c r="T4488" i="2"/>
  <c r="S4488" i="2"/>
  <c r="R4489" i="2"/>
  <c r="T4489" i="2"/>
  <c r="S4489" i="2"/>
  <c r="R4490" i="2"/>
  <c r="T4490" i="2"/>
  <c r="S4490" i="2"/>
  <c r="R4491" i="2"/>
  <c r="T4491" i="2"/>
  <c r="S4491" i="2"/>
  <c r="R4492" i="2"/>
  <c r="T4492" i="2"/>
  <c r="S4492" i="2"/>
  <c r="R4493" i="2"/>
  <c r="T4493" i="2"/>
  <c r="S4493" i="2"/>
  <c r="R4494" i="2"/>
  <c r="T4494" i="2"/>
  <c r="S4494" i="2"/>
  <c r="R4495" i="2"/>
  <c r="T4495" i="2"/>
  <c r="S4495" i="2"/>
  <c r="R4496" i="2"/>
  <c r="T4496" i="2"/>
  <c r="S4496" i="2"/>
  <c r="R4497" i="2"/>
  <c r="T4497" i="2"/>
  <c r="S4497" i="2"/>
  <c r="R4498" i="2"/>
  <c r="T4498" i="2"/>
  <c r="S4498" i="2"/>
  <c r="R4499" i="2"/>
  <c r="T4499" i="2"/>
  <c r="S4499" i="2"/>
  <c r="R4500" i="2"/>
  <c r="T4500" i="2"/>
  <c r="S4500" i="2"/>
  <c r="R4501" i="2"/>
  <c r="T4501" i="2"/>
  <c r="S4501" i="2"/>
  <c r="R4502" i="2"/>
  <c r="T4502" i="2"/>
  <c r="S4502" i="2"/>
  <c r="R4503" i="2"/>
  <c r="T4503" i="2"/>
  <c r="S4503" i="2"/>
  <c r="R4504" i="2"/>
  <c r="T4504" i="2"/>
  <c r="S4504" i="2"/>
  <c r="R4505" i="2"/>
  <c r="T4505" i="2"/>
  <c r="S4505" i="2"/>
  <c r="R4506" i="2"/>
  <c r="T4506" i="2"/>
  <c r="S4506" i="2"/>
  <c r="R4507" i="2"/>
  <c r="T4507" i="2"/>
  <c r="S4507" i="2"/>
  <c r="R4508" i="2"/>
  <c r="T4508" i="2"/>
  <c r="S4508" i="2"/>
  <c r="R4509" i="2"/>
  <c r="T4509" i="2"/>
  <c r="S4509" i="2"/>
  <c r="R4510" i="2"/>
  <c r="T4510" i="2"/>
  <c r="S4510" i="2"/>
  <c r="R4511" i="2"/>
  <c r="T4511" i="2"/>
  <c r="S4511" i="2"/>
  <c r="R4512" i="2"/>
  <c r="T4512" i="2"/>
  <c r="S4512" i="2"/>
  <c r="R4513" i="2"/>
  <c r="T4513" i="2"/>
  <c r="S4513" i="2"/>
  <c r="R4514" i="2"/>
  <c r="T4514" i="2"/>
  <c r="S4514" i="2"/>
  <c r="R4515" i="2"/>
  <c r="T4515" i="2"/>
  <c r="S4515" i="2"/>
  <c r="R4516" i="2"/>
  <c r="T4516" i="2"/>
  <c r="S4516" i="2"/>
  <c r="R4517" i="2"/>
  <c r="T4517" i="2"/>
  <c r="S4517" i="2"/>
  <c r="R4518" i="2"/>
  <c r="T4518" i="2"/>
  <c r="S4518" i="2"/>
  <c r="R4519" i="2"/>
  <c r="T4519" i="2"/>
  <c r="S4519" i="2"/>
  <c r="R4520" i="2"/>
  <c r="T4520" i="2"/>
  <c r="S4520" i="2"/>
  <c r="R4521" i="2"/>
  <c r="T4521" i="2"/>
  <c r="S4521" i="2"/>
  <c r="R4522" i="2"/>
  <c r="T4522" i="2"/>
  <c r="S4522" i="2"/>
  <c r="R4523" i="2"/>
  <c r="T4523" i="2"/>
  <c r="S4523" i="2"/>
  <c r="R4524" i="2"/>
  <c r="T4524" i="2"/>
  <c r="S4524" i="2"/>
  <c r="R4525" i="2"/>
  <c r="T4525" i="2"/>
  <c r="S4525" i="2"/>
  <c r="R4526" i="2"/>
  <c r="T4526" i="2"/>
  <c r="S4526" i="2"/>
  <c r="R4527" i="2"/>
  <c r="T4527" i="2"/>
  <c r="S4527" i="2"/>
  <c r="R4528" i="2"/>
  <c r="T4528" i="2"/>
  <c r="S4528" i="2"/>
  <c r="R4529" i="2"/>
  <c r="T4529" i="2"/>
  <c r="S4529" i="2"/>
  <c r="R4530" i="2"/>
  <c r="T4530" i="2"/>
  <c r="S4530" i="2"/>
  <c r="R4531" i="2"/>
  <c r="T4531" i="2"/>
  <c r="S4531" i="2"/>
  <c r="R4532" i="2"/>
  <c r="T4532" i="2"/>
  <c r="S4532" i="2"/>
  <c r="R4533" i="2"/>
  <c r="T4533" i="2"/>
  <c r="S4533" i="2"/>
  <c r="R4534" i="2"/>
  <c r="T4534" i="2"/>
  <c r="S4534" i="2"/>
  <c r="R4535" i="2"/>
  <c r="T4535" i="2"/>
  <c r="S4535" i="2"/>
  <c r="R4536" i="2"/>
  <c r="T4536" i="2"/>
  <c r="S4536" i="2"/>
  <c r="R4537" i="2"/>
  <c r="T4537" i="2"/>
  <c r="S4537" i="2"/>
  <c r="R4538" i="2"/>
  <c r="T4538" i="2"/>
  <c r="S4538" i="2"/>
  <c r="R4539" i="2"/>
  <c r="T4539" i="2"/>
  <c r="S4539" i="2"/>
  <c r="R4540" i="2"/>
  <c r="T4540" i="2"/>
  <c r="S4540" i="2"/>
  <c r="R4541" i="2"/>
  <c r="T4541" i="2"/>
  <c r="S4541" i="2"/>
  <c r="R4542" i="2"/>
  <c r="T4542" i="2"/>
  <c r="S4542" i="2"/>
  <c r="R4543" i="2"/>
  <c r="T4543" i="2"/>
  <c r="S4543" i="2"/>
  <c r="R4544" i="2"/>
  <c r="T4544" i="2"/>
  <c r="S4544" i="2"/>
  <c r="R4545" i="2"/>
  <c r="T4545" i="2"/>
  <c r="S4545" i="2"/>
  <c r="R4546" i="2"/>
  <c r="T4546" i="2"/>
  <c r="S4546" i="2"/>
  <c r="R4547" i="2"/>
  <c r="T4547" i="2"/>
  <c r="S4547" i="2"/>
  <c r="R4548" i="2"/>
  <c r="T4548" i="2"/>
  <c r="S4548" i="2"/>
  <c r="R4549" i="2"/>
  <c r="T4549" i="2"/>
  <c r="S4549" i="2"/>
  <c r="R4550" i="2"/>
  <c r="T4550" i="2"/>
  <c r="S4550" i="2"/>
  <c r="R4551" i="2"/>
  <c r="T4551" i="2"/>
  <c r="S4551" i="2"/>
  <c r="R4552" i="2"/>
  <c r="T4552" i="2"/>
  <c r="S4552" i="2"/>
  <c r="R4553" i="2"/>
  <c r="T4553" i="2"/>
  <c r="S4553" i="2"/>
  <c r="R4554" i="2"/>
  <c r="T4554" i="2"/>
  <c r="S4554" i="2"/>
  <c r="R4555" i="2"/>
  <c r="T4555" i="2"/>
  <c r="S4555" i="2"/>
  <c r="R4556" i="2"/>
  <c r="T4556" i="2"/>
  <c r="S4556" i="2"/>
  <c r="R4557" i="2"/>
  <c r="T4557" i="2"/>
  <c r="S4557" i="2"/>
  <c r="R4558" i="2"/>
  <c r="T4558" i="2"/>
  <c r="S4558" i="2"/>
  <c r="R4559" i="2"/>
  <c r="T4559" i="2"/>
  <c r="S4559" i="2"/>
  <c r="R4560" i="2"/>
  <c r="T4560" i="2"/>
  <c r="S4560" i="2"/>
  <c r="R4561" i="2"/>
  <c r="T4561" i="2"/>
  <c r="S4561" i="2"/>
  <c r="R4562" i="2"/>
  <c r="T4562" i="2"/>
  <c r="S4562" i="2"/>
  <c r="R4563" i="2"/>
  <c r="T4563" i="2"/>
  <c r="S4563" i="2"/>
  <c r="R4564" i="2"/>
  <c r="T4564" i="2"/>
  <c r="S4564" i="2"/>
  <c r="R4565" i="2"/>
  <c r="T4565" i="2"/>
  <c r="S4565" i="2"/>
  <c r="R4566" i="2"/>
  <c r="T4566" i="2"/>
  <c r="S4566" i="2"/>
  <c r="R4567" i="2"/>
  <c r="T4567" i="2"/>
  <c r="S4567" i="2"/>
  <c r="R4568" i="2"/>
  <c r="T4568" i="2"/>
  <c r="S4568" i="2"/>
  <c r="R4569" i="2"/>
  <c r="T4569" i="2"/>
  <c r="S4569" i="2"/>
  <c r="R4570" i="2"/>
  <c r="T4570" i="2"/>
  <c r="S4570" i="2"/>
  <c r="R4571" i="2"/>
  <c r="T4571" i="2"/>
  <c r="S4571" i="2"/>
  <c r="R4572" i="2"/>
  <c r="T4572" i="2"/>
  <c r="S4572" i="2"/>
  <c r="R4573" i="2"/>
  <c r="T4573" i="2"/>
  <c r="S4573" i="2"/>
  <c r="R4574" i="2"/>
  <c r="T4574" i="2"/>
  <c r="S4574" i="2"/>
  <c r="R4575" i="2"/>
  <c r="T4575" i="2"/>
  <c r="S4575" i="2"/>
  <c r="R4576" i="2"/>
  <c r="T4576" i="2"/>
  <c r="S4576" i="2"/>
  <c r="R4577" i="2"/>
  <c r="T4577" i="2"/>
  <c r="S4577" i="2"/>
  <c r="R4578" i="2"/>
  <c r="T4578" i="2"/>
  <c r="S4578" i="2"/>
  <c r="R4579" i="2"/>
  <c r="T4579" i="2"/>
  <c r="S4579" i="2"/>
  <c r="R4580" i="2"/>
  <c r="T4580" i="2"/>
  <c r="S4580" i="2"/>
  <c r="R4581" i="2"/>
  <c r="T4581" i="2"/>
  <c r="S4581" i="2"/>
  <c r="R4582" i="2"/>
  <c r="T4582" i="2"/>
  <c r="S4582" i="2"/>
  <c r="R4583" i="2"/>
  <c r="T4583" i="2"/>
  <c r="S4583" i="2"/>
  <c r="R4584" i="2"/>
  <c r="T4584" i="2"/>
  <c r="S4584" i="2"/>
  <c r="R4585" i="2"/>
  <c r="T4585" i="2"/>
  <c r="S4585" i="2"/>
  <c r="R4586" i="2"/>
  <c r="T4586" i="2"/>
  <c r="S4586" i="2"/>
  <c r="R4587" i="2"/>
  <c r="T4587" i="2"/>
  <c r="S4587" i="2"/>
  <c r="R4588" i="2"/>
  <c r="T4588" i="2"/>
  <c r="S4588" i="2"/>
  <c r="R4589" i="2"/>
  <c r="T4589" i="2"/>
  <c r="S4589" i="2"/>
  <c r="R4590" i="2"/>
  <c r="T4590" i="2"/>
  <c r="S4590" i="2"/>
  <c r="R4591" i="2"/>
  <c r="T4591" i="2"/>
  <c r="S4591" i="2"/>
  <c r="R4592" i="2"/>
  <c r="T4592" i="2"/>
  <c r="S4592" i="2"/>
  <c r="R4593" i="2"/>
  <c r="T4593" i="2"/>
  <c r="S4593" i="2"/>
  <c r="R4594" i="2"/>
  <c r="T4594" i="2"/>
  <c r="S4594" i="2"/>
  <c r="R4595" i="2"/>
  <c r="T4595" i="2"/>
  <c r="S4595" i="2"/>
  <c r="R4596" i="2"/>
  <c r="T4596" i="2"/>
  <c r="S4596" i="2"/>
  <c r="R4597" i="2"/>
  <c r="T4597" i="2"/>
  <c r="S4597" i="2"/>
  <c r="R4598" i="2"/>
  <c r="T4598" i="2"/>
  <c r="S4598" i="2"/>
  <c r="R4599" i="2"/>
  <c r="T4599" i="2"/>
  <c r="S4599" i="2"/>
  <c r="R4600" i="2"/>
  <c r="T4600" i="2"/>
  <c r="S4600" i="2"/>
  <c r="R4601" i="2"/>
  <c r="T4601" i="2"/>
  <c r="S4601" i="2"/>
  <c r="R4602" i="2"/>
  <c r="T4602" i="2"/>
  <c r="S4602" i="2"/>
  <c r="R4603" i="2"/>
  <c r="T4603" i="2"/>
  <c r="S4603" i="2"/>
  <c r="R4604" i="2"/>
  <c r="T4604" i="2"/>
  <c r="S4604" i="2"/>
  <c r="R4605" i="2"/>
  <c r="T4605" i="2"/>
  <c r="S4605" i="2"/>
  <c r="R4606" i="2"/>
  <c r="T4606" i="2"/>
  <c r="S4606" i="2"/>
  <c r="R4607" i="2"/>
  <c r="T4607" i="2"/>
  <c r="S4607" i="2"/>
  <c r="R4608" i="2"/>
  <c r="T4608" i="2"/>
  <c r="S4608" i="2"/>
  <c r="R4609" i="2"/>
  <c r="T4609" i="2"/>
  <c r="S4609" i="2"/>
  <c r="R4610" i="2"/>
  <c r="T4610" i="2"/>
  <c r="S4610" i="2"/>
  <c r="R4611" i="2"/>
  <c r="T4611" i="2"/>
  <c r="S4611" i="2"/>
  <c r="R4612" i="2"/>
  <c r="T4612" i="2"/>
  <c r="S4612" i="2"/>
  <c r="R4613" i="2"/>
  <c r="T4613" i="2"/>
  <c r="S4613" i="2"/>
  <c r="R4614" i="2"/>
  <c r="T4614" i="2"/>
  <c r="S4614" i="2"/>
  <c r="R4615" i="2"/>
  <c r="T4615" i="2"/>
  <c r="S4615" i="2"/>
  <c r="R4616" i="2"/>
  <c r="T4616" i="2"/>
  <c r="S4616" i="2"/>
  <c r="R4617" i="2"/>
  <c r="T4617" i="2"/>
  <c r="S4617" i="2"/>
  <c r="R4618" i="2"/>
  <c r="T4618" i="2"/>
  <c r="S4618" i="2"/>
  <c r="R4619" i="2"/>
  <c r="T4619" i="2"/>
  <c r="S4619" i="2"/>
  <c r="R4620" i="2"/>
  <c r="T4620" i="2"/>
  <c r="S4620" i="2"/>
  <c r="R4621" i="2"/>
  <c r="T4621" i="2"/>
  <c r="S4621" i="2"/>
  <c r="R4622" i="2"/>
  <c r="T4622" i="2"/>
  <c r="S4622" i="2"/>
  <c r="R4623" i="2"/>
  <c r="T4623" i="2"/>
  <c r="S4623" i="2"/>
  <c r="R4624" i="2"/>
  <c r="T4624" i="2"/>
  <c r="S4624" i="2"/>
  <c r="R4625" i="2"/>
  <c r="T4625" i="2"/>
  <c r="S4625" i="2"/>
  <c r="R4626" i="2"/>
  <c r="T4626" i="2"/>
  <c r="S4626" i="2"/>
  <c r="R4627" i="2"/>
  <c r="T4627" i="2"/>
  <c r="S4627" i="2"/>
  <c r="R4628" i="2"/>
  <c r="T4628" i="2"/>
  <c r="S4628" i="2"/>
  <c r="R4629" i="2"/>
  <c r="T4629" i="2"/>
  <c r="S4629" i="2"/>
  <c r="R4630" i="2"/>
  <c r="T4630" i="2"/>
  <c r="S4630" i="2"/>
  <c r="R4631" i="2"/>
  <c r="T4631" i="2"/>
  <c r="S4631" i="2"/>
  <c r="R4632" i="2"/>
  <c r="T4632" i="2"/>
  <c r="S4632" i="2"/>
  <c r="R4633" i="2"/>
  <c r="T4633" i="2"/>
  <c r="S4633" i="2"/>
  <c r="R4634" i="2"/>
  <c r="T4634" i="2"/>
  <c r="S4634" i="2"/>
  <c r="R4635" i="2"/>
  <c r="T4635" i="2"/>
  <c r="S4635" i="2"/>
  <c r="R4636" i="2"/>
  <c r="T4636" i="2"/>
  <c r="S4636" i="2"/>
  <c r="R4637" i="2"/>
  <c r="T4637" i="2"/>
  <c r="S4637" i="2"/>
  <c r="R4638" i="2"/>
  <c r="T4638" i="2"/>
  <c r="S4638" i="2"/>
  <c r="R4639" i="2"/>
  <c r="T4639" i="2"/>
  <c r="S4639" i="2"/>
  <c r="R4640" i="2"/>
  <c r="T4640" i="2"/>
  <c r="S4640" i="2"/>
  <c r="R4641" i="2"/>
  <c r="T4641" i="2"/>
  <c r="S4641" i="2"/>
  <c r="R4642" i="2"/>
  <c r="T4642" i="2"/>
  <c r="S4642" i="2"/>
  <c r="R4643" i="2"/>
  <c r="T4643" i="2"/>
  <c r="S4643" i="2"/>
  <c r="R4644" i="2"/>
  <c r="T4644" i="2"/>
  <c r="S4644" i="2"/>
  <c r="R4645" i="2"/>
  <c r="T4645" i="2"/>
  <c r="S4645" i="2"/>
  <c r="R4646" i="2"/>
  <c r="T4646" i="2"/>
  <c r="S4646" i="2"/>
  <c r="R4647" i="2"/>
  <c r="T4647" i="2"/>
  <c r="S4647" i="2"/>
  <c r="R4648" i="2"/>
  <c r="T4648" i="2"/>
  <c r="S4648" i="2"/>
  <c r="R4649" i="2"/>
  <c r="T4649" i="2"/>
  <c r="S4649" i="2"/>
  <c r="R4650" i="2"/>
  <c r="T4650" i="2"/>
  <c r="S4650" i="2"/>
  <c r="R4651" i="2"/>
  <c r="T4651" i="2"/>
  <c r="S4651" i="2"/>
  <c r="R4652" i="2"/>
  <c r="T4652" i="2"/>
  <c r="S4652" i="2"/>
  <c r="R4653" i="2"/>
  <c r="T4653" i="2"/>
  <c r="S4653" i="2"/>
  <c r="R4654" i="2"/>
  <c r="T4654" i="2"/>
  <c r="S4654" i="2"/>
  <c r="R4655" i="2"/>
  <c r="T4655" i="2"/>
  <c r="S4655" i="2"/>
  <c r="R4656" i="2"/>
  <c r="T4656" i="2"/>
  <c r="S4656" i="2"/>
  <c r="R4657" i="2"/>
  <c r="T4657" i="2"/>
  <c r="S4657" i="2"/>
  <c r="R4658" i="2"/>
  <c r="T4658" i="2"/>
  <c r="S4658" i="2"/>
  <c r="R4659" i="2"/>
  <c r="T4659" i="2"/>
  <c r="S4659" i="2"/>
  <c r="R4660" i="2"/>
  <c r="T4660" i="2"/>
  <c r="S4660" i="2"/>
  <c r="R4661" i="2"/>
  <c r="T4661" i="2"/>
  <c r="S4661" i="2"/>
  <c r="R4662" i="2"/>
  <c r="T4662" i="2"/>
  <c r="S4662" i="2"/>
  <c r="R4663" i="2"/>
  <c r="T4663" i="2"/>
  <c r="S4663" i="2"/>
  <c r="R4664" i="2"/>
  <c r="T4664" i="2"/>
  <c r="S4664" i="2"/>
  <c r="R4665" i="2"/>
  <c r="T4665" i="2"/>
  <c r="S4665" i="2"/>
  <c r="R4666" i="2"/>
  <c r="T4666" i="2"/>
  <c r="S4666" i="2"/>
  <c r="R4667" i="2"/>
  <c r="T4667" i="2"/>
  <c r="S4667" i="2"/>
  <c r="R4668" i="2"/>
  <c r="T4668" i="2"/>
  <c r="S4668" i="2"/>
  <c r="R4669" i="2"/>
  <c r="T4669" i="2"/>
  <c r="S4669" i="2"/>
  <c r="R4670" i="2"/>
  <c r="T4670" i="2"/>
  <c r="S4670" i="2"/>
  <c r="R4671" i="2"/>
  <c r="T4671" i="2"/>
  <c r="S4671" i="2"/>
  <c r="R4672" i="2"/>
  <c r="T4672" i="2"/>
  <c r="S4672" i="2"/>
  <c r="R4673" i="2"/>
  <c r="T4673" i="2"/>
  <c r="S4673" i="2"/>
  <c r="R4674" i="2"/>
  <c r="T4674" i="2"/>
  <c r="S4674" i="2"/>
  <c r="R4675" i="2"/>
  <c r="T4675" i="2"/>
  <c r="S4675" i="2"/>
  <c r="R4676" i="2"/>
  <c r="T4676" i="2"/>
  <c r="S4676" i="2"/>
  <c r="R4677" i="2"/>
  <c r="T4677" i="2"/>
  <c r="S4677" i="2"/>
  <c r="R4678" i="2"/>
  <c r="T4678" i="2"/>
  <c r="S4678" i="2"/>
  <c r="R4679" i="2"/>
  <c r="T4679" i="2"/>
  <c r="S4679" i="2"/>
  <c r="R4680" i="2"/>
  <c r="T4680" i="2"/>
  <c r="S4680" i="2"/>
  <c r="R4681" i="2"/>
  <c r="T4681" i="2"/>
  <c r="S4681" i="2"/>
  <c r="R4682" i="2"/>
  <c r="T4682" i="2"/>
  <c r="S4682" i="2"/>
  <c r="R4683" i="2"/>
  <c r="T4683" i="2"/>
  <c r="S4683" i="2"/>
  <c r="R4684" i="2"/>
  <c r="T4684" i="2"/>
  <c r="S4684" i="2"/>
  <c r="R4685" i="2"/>
  <c r="T4685" i="2"/>
  <c r="S4685" i="2"/>
  <c r="R4686" i="2"/>
  <c r="T4686" i="2"/>
  <c r="S4686" i="2"/>
  <c r="R4687" i="2"/>
  <c r="T4687" i="2"/>
  <c r="S4687" i="2"/>
  <c r="R4688" i="2"/>
  <c r="T4688" i="2"/>
  <c r="S4688" i="2"/>
  <c r="R4689" i="2"/>
  <c r="T4689" i="2"/>
  <c r="S4689" i="2"/>
  <c r="R4690" i="2"/>
  <c r="T4690" i="2"/>
  <c r="S4690" i="2"/>
  <c r="R4691" i="2"/>
  <c r="T4691" i="2"/>
  <c r="S4691" i="2"/>
  <c r="R4692" i="2"/>
  <c r="T4692" i="2"/>
  <c r="S4692" i="2"/>
  <c r="R4693" i="2"/>
  <c r="T4693" i="2"/>
  <c r="S4693" i="2"/>
  <c r="R4694" i="2"/>
  <c r="T4694" i="2"/>
  <c r="S4694" i="2"/>
  <c r="R4695" i="2"/>
  <c r="T4695" i="2"/>
  <c r="S4695" i="2"/>
  <c r="R4696" i="2"/>
  <c r="T4696" i="2"/>
  <c r="S4696" i="2"/>
  <c r="R4697" i="2"/>
  <c r="T4697" i="2"/>
  <c r="S4697" i="2"/>
  <c r="R4698" i="2"/>
  <c r="T4698" i="2"/>
  <c r="S4698" i="2"/>
  <c r="R4699" i="2"/>
  <c r="T4699" i="2"/>
  <c r="S4699" i="2"/>
  <c r="R4700" i="2"/>
  <c r="T4700" i="2"/>
  <c r="S4700" i="2"/>
  <c r="R4701" i="2"/>
  <c r="T4701" i="2"/>
  <c r="S4701" i="2"/>
  <c r="R4702" i="2"/>
  <c r="T4702" i="2"/>
  <c r="S4702" i="2"/>
  <c r="R4703" i="2"/>
  <c r="T4703" i="2"/>
  <c r="S4703" i="2"/>
  <c r="R4704" i="2"/>
  <c r="T4704" i="2"/>
  <c r="S4704" i="2"/>
  <c r="R4705" i="2"/>
  <c r="T4705" i="2"/>
  <c r="S4705" i="2"/>
  <c r="R4706" i="2"/>
  <c r="T4706" i="2"/>
  <c r="S4706" i="2"/>
  <c r="R4707" i="2"/>
  <c r="T4707" i="2"/>
  <c r="S4707" i="2"/>
  <c r="R4708" i="2"/>
  <c r="T4708" i="2"/>
  <c r="S4708" i="2"/>
  <c r="R4709" i="2"/>
  <c r="T4709" i="2"/>
  <c r="S4709" i="2"/>
  <c r="R4710" i="2"/>
  <c r="T4710" i="2"/>
  <c r="S4710" i="2"/>
  <c r="R4711" i="2"/>
  <c r="T4711" i="2"/>
  <c r="S4711" i="2"/>
  <c r="R4712" i="2"/>
  <c r="T4712" i="2"/>
  <c r="S4712" i="2"/>
  <c r="R4713" i="2"/>
  <c r="T4713" i="2"/>
  <c r="S4713" i="2"/>
  <c r="R4714" i="2"/>
  <c r="T4714" i="2"/>
  <c r="S4714" i="2"/>
  <c r="R4715" i="2"/>
  <c r="T4715" i="2"/>
  <c r="S4715" i="2"/>
  <c r="R4716" i="2"/>
  <c r="T4716" i="2"/>
  <c r="S4716" i="2"/>
  <c r="R4717" i="2"/>
  <c r="T4717" i="2"/>
  <c r="S4717" i="2"/>
  <c r="R4718" i="2"/>
  <c r="T4718" i="2"/>
  <c r="S4718" i="2"/>
  <c r="R4719" i="2"/>
  <c r="T4719" i="2"/>
  <c r="S4719" i="2"/>
  <c r="R4720" i="2"/>
  <c r="T4720" i="2"/>
  <c r="S4720" i="2"/>
  <c r="R4721" i="2"/>
  <c r="T4721" i="2"/>
  <c r="S4721" i="2"/>
  <c r="R4722" i="2"/>
  <c r="T4722" i="2"/>
  <c r="S4722" i="2"/>
  <c r="R4723" i="2"/>
  <c r="T4723" i="2"/>
  <c r="S4723" i="2"/>
  <c r="R4724" i="2"/>
  <c r="T4724" i="2"/>
  <c r="S4724" i="2"/>
  <c r="R4725" i="2"/>
  <c r="T4725" i="2"/>
  <c r="S4725" i="2"/>
  <c r="R4726" i="2"/>
  <c r="T4726" i="2"/>
  <c r="S4726" i="2"/>
  <c r="R4727" i="2"/>
  <c r="T4727" i="2"/>
  <c r="S4727" i="2"/>
  <c r="R4728" i="2"/>
  <c r="T4728" i="2"/>
  <c r="S4728" i="2"/>
  <c r="R4729" i="2"/>
  <c r="T4729" i="2"/>
  <c r="S4729" i="2"/>
  <c r="R4730" i="2"/>
  <c r="T4730" i="2"/>
  <c r="S4730" i="2"/>
  <c r="R4731" i="2"/>
  <c r="T4731" i="2"/>
  <c r="S4731" i="2"/>
  <c r="R4732" i="2"/>
  <c r="T4732" i="2"/>
  <c r="S4732" i="2"/>
  <c r="R4733" i="2"/>
  <c r="T4733" i="2"/>
  <c r="S4733" i="2"/>
  <c r="R4734" i="2"/>
  <c r="T4734" i="2"/>
  <c r="S4734" i="2"/>
  <c r="R4735" i="2"/>
  <c r="T4735" i="2"/>
  <c r="S4735" i="2"/>
  <c r="R4736" i="2"/>
  <c r="T4736" i="2"/>
  <c r="S4736" i="2"/>
  <c r="R4737" i="2"/>
  <c r="T4737" i="2"/>
  <c r="S4737" i="2"/>
  <c r="R4738" i="2"/>
  <c r="T4738" i="2"/>
  <c r="S4738" i="2"/>
  <c r="R4739" i="2"/>
  <c r="T4739" i="2"/>
  <c r="S4739" i="2"/>
  <c r="R4740" i="2"/>
  <c r="T4740" i="2"/>
  <c r="S4740" i="2"/>
  <c r="R4741" i="2"/>
  <c r="T4741" i="2"/>
  <c r="S4741" i="2"/>
  <c r="R4742" i="2"/>
  <c r="T4742" i="2"/>
  <c r="S4742" i="2"/>
  <c r="R4743" i="2"/>
  <c r="T4743" i="2"/>
  <c r="S4743" i="2"/>
  <c r="R4744" i="2"/>
  <c r="T4744" i="2"/>
  <c r="S4744" i="2"/>
  <c r="R4745" i="2"/>
  <c r="T4745" i="2"/>
  <c r="S4745" i="2"/>
  <c r="R4746" i="2"/>
  <c r="T4746" i="2"/>
  <c r="S4746" i="2"/>
  <c r="R4747" i="2"/>
  <c r="T4747" i="2"/>
  <c r="S4747" i="2"/>
  <c r="R4748" i="2"/>
  <c r="T4748" i="2"/>
  <c r="S4748" i="2"/>
  <c r="R4749" i="2"/>
  <c r="T4749" i="2"/>
  <c r="S4749" i="2"/>
  <c r="R4750" i="2"/>
  <c r="T4750" i="2"/>
  <c r="S4750" i="2"/>
  <c r="R4751" i="2"/>
  <c r="T4751" i="2"/>
  <c r="S4751" i="2"/>
  <c r="R4752" i="2"/>
  <c r="T4752" i="2"/>
  <c r="S4752" i="2"/>
  <c r="R4753" i="2"/>
  <c r="T4753" i="2"/>
  <c r="S4753" i="2"/>
  <c r="R4754" i="2"/>
  <c r="T4754" i="2"/>
  <c r="S4754" i="2"/>
  <c r="R4755" i="2"/>
  <c r="T4755" i="2"/>
  <c r="S4755" i="2"/>
  <c r="R4756" i="2"/>
  <c r="T4756" i="2"/>
  <c r="S4756" i="2"/>
  <c r="R4757" i="2"/>
  <c r="T4757" i="2"/>
  <c r="S4757" i="2"/>
  <c r="R4758" i="2"/>
  <c r="T4758" i="2"/>
  <c r="S4758" i="2"/>
  <c r="R4759" i="2"/>
  <c r="T4759" i="2"/>
  <c r="S4759" i="2"/>
  <c r="R4760" i="2"/>
  <c r="T4760" i="2"/>
  <c r="S4760" i="2"/>
  <c r="R4761" i="2"/>
  <c r="T4761" i="2"/>
  <c r="S4761" i="2"/>
  <c r="R4762" i="2"/>
  <c r="T4762" i="2"/>
  <c r="S4762" i="2"/>
  <c r="R4763" i="2"/>
  <c r="T4763" i="2"/>
  <c r="S4763" i="2"/>
  <c r="R4764" i="2"/>
  <c r="T4764" i="2"/>
  <c r="S4764" i="2"/>
  <c r="R4765" i="2"/>
  <c r="T4765" i="2"/>
  <c r="S4765" i="2"/>
  <c r="R4766" i="2"/>
  <c r="T4766" i="2"/>
  <c r="S4766" i="2"/>
  <c r="R4767" i="2"/>
  <c r="T4767" i="2"/>
  <c r="S4767" i="2"/>
  <c r="R4768" i="2"/>
  <c r="T4768" i="2"/>
  <c r="S4768" i="2"/>
  <c r="R4769" i="2"/>
  <c r="T4769" i="2"/>
  <c r="S4769" i="2"/>
  <c r="R4770" i="2"/>
  <c r="T4770" i="2"/>
  <c r="S4770" i="2"/>
  <c r="R4771" i="2"/>
  <c r="T4771" i="2"/>
  <c r="S4771" i="2"/>
  <c r="R4772" i="2"/>
  <c r="T4772" i="2"/>
  <c r="S4772" i="2"/>
  <c r="R4773" i="2"/>
  <c r="T4773" i="2"/>
  <c r="S4773" i="2"/>
  <c r="R4774" i="2"/>
  <c r="T4774" i="2"/>
  <c r="S4774" i="2"/>
  <c r="R4775" i="2"/>
  <c r="T4775" i="2"/>
  <c r="S4775" i="2"/>
  <c r="R4776" i="2"/>
  <c r="T4776" i="2"/>
  <c r="S4776" i="2"/>
  <c r="R4777" i="2"/>
  <c r="T4777" i="2"/>
  <c r="S4777" i="2"/>
  <c r="R4778" i="2"/>
  <c r="T4778" i="2"/>
  <c r="S4778" i="2"/>
  <c r="R4779" i="2"/>
  <c r="T4779" i="2"/>
  <c r="S4779" i="2"/>
  <c r="R4780" i="2"/>
  <c r="T4780" i="2"/>
  <c r="S4780" i="2"/>
  <c r="R4781" i="2"/>
  <c r="T4781" i="2"/>
  <c r="S4781" i="2"/>
  <c r="R4782" i="2"/>
  <c r="T4782" i="2"/>
  <c r="S4782" i="2"/>
  <c r="R4783" i="2"/>
  <c r="T4783" i="2"/>
  <c r="S4783" i="2"/>
  <c r="R4784" i="2"/>
  <c r="T4784" i="2"/>
  <c r="S4784" i="2"/>
  <c r="R4785" i="2"/>
  <c r="T4785" i="2"/>
  <c r="S4785" i="2"/>
  <c r="R4786" i="2"/>
  <c r="T4786" i="2"/>
  <c r="S4786" i="2"/>
  <c r="R4787" i="2"/>
  <c r="T4787" i="2"/>
  <c r="S4787" i="2"/>
  <c r="R4788" i="2"/>
  <c r="T4788" i="2"/>
  <c r="S4788" i="2"/>
  <c r="R4789" i="2"/>
  <c r="T4789" i="2"/>
  <c r="S4789" i="2"/>
  <c r="R4790" i="2"/>
  <c r="T4790" i="2"/>
  <c r="S4790" i="2"/>
  <c r="R4791" i="2"/>
  <c r="T4791" i="2"/>
  <c r="S4791" i="2"/>
  <c r="R4792" i="2"/>
  <c r="T4792" i="2"/>
  <c r="S4792" i="2"/>
  <c r="R4793" i="2"/>
  <c r="T4793" i="2"/>
  <c r="S4793" i="2"/>
  <c r="R4794" i="2"/>
  <c r="T4794" i="2"/>
  <c r="S4794" i="2"/>
  <c r="R4795" i="2"/>
  <c r="T4795" i="2"/>
  <c r="S4795" i="2"/>
  <c r="R4796" i="2"/>
  <c r="T4796" i="2"/>
  <c r="S4796" i="2"/>
  <c r="R4797" i="2"/>
  <c r="T4797" i="2"/>
  <c r="S4797" i="2"/>
  <c r="R4798" i="2"/>
  <c r="T4798" i="2"/>
  <c r="S4798" i="2"/>
  <c r="R4799" i="2"/>
  <c r="T4799" i="2"/>
  <c r="S4799" i="2"/>
  <c r="R4800" i="2"/>
  <c r="T4800" i="2"/>
  <c r="S4800" i="2"/>
  <c r="R4801" i="2"/>
  <c r="T4801" i="2"/>
  <c r="S4801" i="2"/>
  <c r="R4802" i="2"/>
  <c r="T4802" i="2"/>
  <c r="S4802" i="2"/>
  <c r="R4803" i="2"/>
  <c r="T4803" i="2"/>
  <c r="S4803" i="2"/>
  <c r="R4804" i="2"/>
  <c r="T4804" i="2"/>
  <c r="S4804" i="2"/>
  <c r="R4805" i="2"/>
  <c r="T4805" i="2"/>
  <c r="S4805" i="2"/>
  <c r="R4806" i="2"/>
  <c r="T4806" i="2"/>
  <c r="S4806" i="2"/>
  <c r="R4807" i="2"/>
  <c r="T4807" i="2"/>
  <c r="S4807" i="2"/>
  <c r="R4808" i="2"/>
  <c r="T4808" i="2"/>
  <c r="S4808" i="2"/>
  <c r="R4809" i="2"/>
  <c r="T4809" i="2"/>
  <c r="S4809" i="2"/>
  <c r="R4810" i="2"/>
  <c r="T4810" i="2"/>
  <c r="S4810" i="2"/>
  <c r="R4811" i="2"/>
  <c r="T4811" i="2"/>
  <c r="S4811" i="2"/>
  <c r="R4812" i="2"/>
  <c r="T4812" i="2"/>
  <c r="S4812" i="2"/>
  <c r="R4813" i="2"/>
  <c r="T4813" i="2"/>
  <c r="S4813" i="2"/>
  <c r="R4814" i="2"/>
  <c r="T4814" i="2"/>
  <c r="S4814" i="2"/>
  <c r="R4815" i="2"/>
  <c r="T4815" i="2"/>
  <c r="S4815" i="2"/>
  <c r="R4816" i="2"/>
  <c r="T4816" i="2"/>
  <c r="S4816" i="2"/>
  <c r="R4817" i="2"/>
  <c r="T4817" i="2"/>
  <c r="S4817" i="2"/>
  <c r="R4818" i="2"/>
  <c r="T4818" i="2"/>
  <c r="S4818" i="2"/>
  <c r="R4819" i="2"/>
  <c r="T4819" i="2"/>
  <c r="S4819" i="2"/>
  <c r="R4820" i="2"/>
  <c r="T4820" i="2"/>
  <c r="S4820" i="2"/>
  <c r="R4821" i="2"/>
  <c r="T4821" i="2"/>
  <c r="S4821" i="2"/>
  <c r="R4822" i="2"/>
  <c r="T4822" i="2"/>
  <c r="S4822" i="2"/>
  <c r="R4823" i="2"/>
  <c r="T4823" i="2"/>
  <c r="S4823" i="2"/>
  <c r="R4824" i="2"/>
  <c r="T4824" i="2"/>
  <c r="S4824" i="2"/>
  <c r="R4825" i="2"/>
  <c r="T4825" i="2"/>
  <c r="S4825" i="2"/>
  <c r="R4826" i="2"/>
  <c r="T4826" i="2"/>
  <c r="S4826" i="2"/>
  <c r="R4827" i="2"/>
  <c r="T4827" i="2"/>
  <c r="S4827" i="2"/>
  <c r="R4828" i="2"/>
  <c r="T4828" i="2"/>
  <c r="S4828" i="2"/>
  <c r="R4829" i="2"/>
  <c r="T4829" i="2"/>
  <c r="S4829" i="2"/>
  <c r="R4830" i="2"/>
  <c r="T4830" i="2"/>
  <c r="S4830" i="2"/>
  <c r="R4831" i="2"/>
  <c r="T4831" i="2"/>
  <c r="S4831" i="2"/>
  <c r="R4832" i="2"/>
  <c r="T4832" i="2"/>
  <c r="S4832" i="2"/>
  <c r="R4833" i="2"/>
  <c r="T4833" i="2"/>
  <c r="S4833" i="2"/>
  <c r="R4834" i="2"/>
  <c r="T4834" i="2"/>
  <c r="S4834" i="2"/>
  <c r="R4835" i="2"/>
  <c r="T4835" i="2"/>
  <c r="S4835" i="2"/>
  <c r="R4836" i="2"/>
  <c r="T4836" i="2"/>
  <c r="S4836" i="2"/>
  <c r="R4837" i="2"/>
  <c r="T4837" i="2"/>
  <c r="S4837" i="2"/>
  <c r="R4838" i="2"/>
  <c r="T4838" i="2"/>
  <c r="S4838" i="2"/>
  <c r="R4839" i="2"/>
  <c r="T4839" i="2"/>
  <c r="S4839" i="2"/>
  <c r="R4840" i="2"/>
  <c r="T4840" i="2"/>
  <c r="S4840" i="2"/>
  <c r="R4841" i="2"/>
  <c r="T4841" i="2"/>
  <c r="S4841" i="2"/>
  <c r="R4842" i="2"/>
  <c r="T4842" i="2"/>
  <c r="S4842" i="2"/>
  <c r="R4843" i="2"/>
  <c r="T4843" i="2"/>
  <c r="S4843" i="2"/>
  <c r="R4844" i="2"/>
  <c r="T4844" i="2"/>
  <c r="S4844" i="2"/>
  <c r="R4845" i="2"/>
  <c r="T4845" i="2"/>
  <c r="S4845" i="2"/>
  <c r="R4846" i="2"/>
  <c r="T4846" i="2"/>
  <c r="S4846" i="2"/>
  <c r="R4847" i="2"/>
  <c r="T4847" i="2"/>
  <c r="S4847" i="2"/>
  <c r="R4848" i="2"/>
  <c r="T4848" i="2"/>
  <c r="S4848" i="2"/>
  <c r="R4849" i="2"/>
  <c r="T4849" i="2"/>
  <c r="S4849" i="2"/>
  <c r="R4850" i="2"/>
  <c r="T4850" i="2"/>
  <c r="S4850" i="2"/>
  <c r="R4851" i="2"/>
  <c r="T4851" i="2"/>
  <c r="S4851" i="2"/>
  <c r="R4852" i="2"/>
  <c r="T4852" i="2"/>
  <c r="S4852" i="2"/>
  <c r="R4853" i="2"/>
  <c r="T4853" i="2"/>
  <c r="S4853" i="2"/>
  <c r="R4854" i="2"/>
  <c r="T4854" i="2"/>
  <c r="S4854" i="2"/>
  <c r="R4855" i="2"/>
  <c r="T4855" i="2"/>
  <c r="S4855" i="2"/>
  <c r="R4856" i="2"/>
  <c r="T4856" i="2"/>
  <c r="S4856" i="2"/>
  <c r="R4857" i="2"/>
  <c r="T4857" i="2"/>
  <c r="S4857" i="2"/>
  <c r="R4858" i="2"/>
  <c r="T4858" i="2"/>
  <c r="S4858" i="2"/>
  <c r="R4859" i="2"/>
  <c r="T4859" i="2"/>
  <c r="S4859" i="2"/>
  <c r="R4860" i="2"/>
  <c r="T4860" i="2"/>
  <c r="S4860" i="2"/>
  <c r="R4861" i="2"/>
  <c r="T4861" i="2"/>
  <c r="S4861" i="2"/>
  <c r="R4862" i="2"/>
  <c r="T4862" i="2"/>
  <c r="S4862" i="2"/>
  <c r="R4863" i="2"/>
  <c r="T4863" i="2"/>
  <c r="S4863" i="2"/>
  <c r="R4864" i="2"/>
  <c r="T4864" i="2"/>
  <c r="S4864" i="2"/>
  <c r="R4865" i="2"/>
  <c r="T4865" i="2"/>
  <c r="S4865" i="2"/>
  <c r="R4866" i="2"/>
  <c r="T4866" i="2"/>
  <c r="S4866" i="2"/>
  <c r="R4867" i="2"/>
  <c r="T4867" i="2"/>
  <c r="S4867" i="2"/>
  <c r="R4868" i="2"/>
  <c r="T4868" i="2"/>
  <c r="S4868" i="2"/>
  <c r="R4869" i="2"/>
  <c r="T4869" i="2"/>
  <c r="S4869" i="2"/>
  <c r="R4870" i="2"/>
  <c r="T4870" i="2"/>
  <c r="S4870" i="2"/>
  <c r="R4871" i="2"/>
  <c r="T4871" i="2"/>
  <c r="S4871" i="2"/>
  <c r="R4872" i="2"/>
  <c r="T4872" i="2"/>
  <c r="S4872" i="2"/>
  <c r="R4873" i="2"/>
  <c r="T4873" i="2"/>
  <c r="S4873" i="2"/>
  <c r="R4874" i="2"/>
  <c r="T4874" i="2"/>
  <c r="S4874" i="2"/>
  <c r="R4875" i="2"/>
  <c r="T4875" i="2"/>
  <c r="S4875" i="2"/>
  <c r="R4876" i="2"/>
  <c r="T4876" i="2"/>
  <c r="S4876" i="2"/>
  <c r="R4877" i="2"/>
  <c r="T4877" i="2"/>
  <c r="S4877" i="2"/>
  <c r="R4878" i="2"/>
  <c r="T4878" i="2"/>
  <c r="S4878" i="2"/>
  <c r="R4879" i="2"/>
  <c r="T4879" i="2"/>
  <c r="S4879" i="2"/>
  <c r="R4880" i="2"/>
  <c r="T4880" i="2"/>
  <c r="S4880" i="2"/>
  <c r="R4881" i="2"/>
  <c r="T4881" i="2"/>
  <c r="S4881" i="2"/>
  <c r="R4882" i="2"/>
  <c r="T4882" i="2"/>
  <c r="S4882" i="2"/>
  <c r="R4883" i="2"/>
  <c r="T4883" i="2"/>
  <c r="S4883" i="2"/>
  <c r="R4884" i="2"/>
  <c r="T4884" i="2"/>
  <c r="S4884" i="2"/>
  <c r="R4885" i="2"/>
  <c r="T4885" i="2"/>
  <c r="S4885" i="2"/>
  <c r="R4886" i="2"/>
  <c r="T4886" i="2"/>
  <c r="S4886" i="2"/>
  <c r="R4887" i="2"/>
  <c r="T4887" i="2"/>
  <c r="S4887" i="2"/>
  <c r="R4888" i="2"/>
  <c r="T4888" i="2"/>
  <c r="S4888" i="2"/>
  <c r="R4889" i="2"/>
  <c r="T4889" i="2"/>
  <c r="S4889" i="2"/>
  <c r="R4890" i="2"/>
  <c r="T4890" i="2"/>
  <c r="S4890" i="2"/>
  <c r="R4891" i="2"/>
  <c r="T4891" i="2"/>
  <c r="S4891" i="2"/>
  <c r="R4892" i="2"/>
  <c r="T4892" i="2"/>
  <c r="S4892" i="2"/>
  <c r="R4893" i="2"/>
  <c r="T4893" i="2"/>
  <c r="S4893" i="2"/>
  <c r="R4894" i="2"/>
  <c r="T4894" i="2"/>
  <c r="S4894" i="2"/>
  <c r="R4895" i="2"/>
  <c r="T4895" i="2"/>
  <c r="S4895" i="2"/>
  <c r="R4896" i="2"/>
  <c r="T4896" i="2"/>
  <c r="S4896" i="2"/>
  <c r="R4897" i="2"/>
  <c r="T4897" i="2"/>
  <c r="S4897" i="2"/>
  <c r="R4898" i="2"/>
  <c r="T4898" i="2"/>
  <c r="S4898" i="2"/>
  <c r="R4899" i="2"/>
  <c r="T4899" i="2"/>
  <c r="S4899" i="2"/>
  <c r="R4900" i="2"/>
  <c r="T4900" i="2"/>
  <c r="S4900" i="2"/>
  <c r="R4901" i="2"/>
  <c r="T4901" i="2"/>
  <c r="S4901" i="2"/>
  <c r="R4902" i="2"/>
  <c r="T4902" i="2"/>
  <c r="S4902" i="2"/>
  <c r="R4903" i="2"/>
  <c r="T4903" i="2"/>
  <c r="S4903" i="2"/>
  <c r="R4904" i="2"/>
  <c r="T4904" i="2"/>
  <c r="S4904" i="2"/>
  <c r="R4905" i="2"/>
  <c r="T4905" i="2"/>
  <c r="S4905" i="2"/>
  <c r="R4906" i="2"/>
  <c r="T4906" i="2"/>
  <c r="S4906" i="2"/>
  <c r="R4907" i="2"/>
  <c r="T4907" i="2"/>
  <c r="S4907" i="2"/>
  <c r="R4908" i="2"/>
  <c r="T4908" i="2"/>
  <c r="S4908" i="2"/>
  <c r="R4909" i="2"/>
  <c r="T4909" i="2"/>
  <c r="S4909" i="2"/>
  <c r="R4910" i="2"/>
  <c r="T4910" i="2"/>
  <c r="S4910" i="2"/>
  <c r="R4911" i="2"/>
  <c r="T4911" i="2"/>
  <c r="S4911" i="2"/>
  <c r="R4912" i="2"/>
  <c r="T4912" i="2"/>
  <c r="S4912" i="2"/>
  <c r="R4913" i="2"/>
  <c r="T4913" i="2"/>
  <c r="S4913" i="2"/>
  <c r="R4914" i="2"/>
  <c r="T4914" i="2"/>
  <c r="S4914" i="2"/>
  <c r="R4915" i="2"/>
  <c r="T4915" i="2"/>
  <c r="S4915" i="2"/>
  <c r="R4916" i="2"/>
  <c r="T4916" i="2"/>
  <c r="S4916" i="2"/>
  <c r="R4917" i="2"/>
  <c r="T4917" i="2"/>
  <c r="S4917" i="2"/>
  <c r="R4918" i="2"/>
  <c r="T4918" i="2"/>
  <c r="S4918" i="2"/>
  <c r="R4919" i="2"/>
  <c r="T4919" i="2"/>
  <c r="S4919" i="2"/>
  <c r="R4920" i="2"/>
  <c r="T4920" i="2"/>
  <c r="S4920" i="2"/>
  <c r="R4921" i="2"/>
  <c r="T4921" i="2"/>
  <c r="S4921" i="2"/>
  <c r="R4922" i="2"/>
  <c r="T4922" i="2"/>
  <c r="S4922" i="2"/>
  <c r="R4923" i="2"/>
  <c r="T4923" i="2"/>
  <c r="S4923" i="2"/>
  <c r="R4924" i="2"/>
  <c r="T4924" i="2"/>
  <c r="S4924" i="2"/>
  <c r="R4925" i="2"/>
  <c r="T4925" i="2"/>
  <c r="S4925" i="2"/>
  <c r="R4926" i="2"/>
  <c r="T4926" i="2"/>
  <c r="S4926" i="2"/>
  <c r="R4927" i="2"/>
  <c r="T4927" i="2"/>
  <c r="S4927" i="2"/>
  <c r="R4928" i="2"/>
  <c r="T4928" i="2"/>
  <c r="S4928" i="2"/>
  <c r="R4929" i="2"/>
  <c r="T4929" i="2"/>
  <c r="S4929" i="2"/>
  <c r="R4930" i="2"/>
  <c r="T4930" i="2"/>
  <c r="S4930" i="2"/>
  <c r="R4931" i="2"/>
  <c r="T4931" i="2"/>
  <c r="S4931" i="2"/>
  <c r="R4932" i="2"/>
  <c r="T4932" i="2"/>
  <c r="S4932" i="2"/>
  <c r="R4933" i="2"/>
  <c r="T4933" i="2"/>
  <c r="S4933" i="2"/>
  <c r="R4934" i="2"/>
  <c r="T4934" i="2"/>
  <c r="S4934" i="2"/>
  <c r="R4935" i="2"/>
  <c r="T4935" i="2"/>
  <c r="S4935" i="2"/>
  <c r="R4936" i="2"/>
  <c r="T4936" i="2"/>
  <c r="S4936" i="2"/>
  <c r="R4937" i="2"/>
  <c r="T4937" i="2"/>
  <c r="S4937" i="2"/>
  <c r="R4938" i="2"/>
  <c r="T4938" i="2"/>
  <c r="S4938" i="2"/>
  <c r="R4939" i="2"/>
  <c r="T4939" i="2"/>
  <c r="S4939" i="2"/>
  <c r="R4940" i="2"/>
  <c r="T4940" i="2"/>
  <c r="S4940" i="2"/>
  <c r="R4941" i="2"/>
  <c r="T4941" i="2"/>
  <c r="S4941" i="2"/>
  <c r="R4942" i="2"/>
  <c r="T4942" i="2"/>
  <c r="S4942" i="2"/>
  <c r="R4943" i="2"/>
  <c r="T4943" i="2"/>
  <c r="S4943" i="2"/>
  <c r="R4944" i="2"/>
  <c r="T4944" i="2"/>
  <c r="S4944" i="2"/>
  <c r="R4945" i="2"/>
  <c r="T4945" i="2"/>
  <c r="S4945" i="2"/>
  <c r="R4946" i="2"/>
  <c r="T4946" i="2"/>
  <c r="S4946" i="2"/>
  <c r="R4947" i="2"/>
  <c r="T4947" i="2"/>
  <c r="S4947" i="2"/>
  <c r="R4948" i="2"/>
  <c r="T4948" i="2"/>
  <c r="S4948" i="2"/>
  <c r="R4949" i="2"/>
  <c r="T4949" i="2"/>
  <c r="S4949" i="2"/>
  <c r="R4950" i="2"/>
  <c r="T4950" i="2"/>
  <c r="S4950" i="2"/>
  <c r="R4951" i="2"/>
  <c r="T4951" i="2"/>
  <c r="S4951" i="2"/>
  <c r="R4952" i="2"/>
  <c r="T4952" i="2"/>
  <c r="S4952" i="2"/>
  <c r="R4953" i="2"/>
  <c r="T4953" i="2"/>
  <c r="S4953" i="2"/>
  <c r="R4954" i="2"/>
  <c r="T4954" i="2"/>
  <c r="S4954" i="2"/>
  <c r="R4955" i="2"/>
  <c r="T4955" i="2"/>
  <c r="S4955" i="2"/>
  <c r="R4956" i="2"/>
  <c r="T4956" i="2"/>
  <c r="S4956" i="2"/>
  <c r="R4957" i="2"/>
  <c r="T4957" i="2"/>
  <c r="S4957" i="2"/>
  <c r="R4958" i="2"/>
  <c r="T4958" i="2"/>
  <c r="S4958" i="2"/>
  <c r="R4959" i="2"/>
  <c r="T4959" i="2"/>
  <c r="S4959" i="2"/>
  <c r="R4960" i="2"/>
  <c r="T4960" i="2"/>
  <c r="S4960" i="2"/>
  <c r="R4961" i="2"/>
  <c r="T4961" i="2"/>
  <c r="S4961" i="2"/>
  <c r="R4962" i="2"/>
  <c r="T4962" i="2"/>
  <c r="S4962" i="2"/>
  <c r="R4963" i="2"/>
  <c r="T4963" i="2"/>
  <c r="S4963" i="2"/>
  <c r="R4964" i="2"/>
  <c r="T4964" i="2"/>
  <c r="S4964" i="2"/>
  <c r="R4965" i="2"/>
  <c r="T4965" i="2"/>
  <c r="S4965" i="2"/>
  <c r="R4966" i="2"/>
  <c r="T4966" i="2"/>
  <c r="S4966" i="2"/>
  <c r="R4967" i="2"/>
  <c r="T4967" i="2"/>
  <c r="S4967" i="2"/>
  <c r="R4968" i="2"/>
  <c r="T4968" i="2"/>
  <c r="S4968" i="2"/>
  <c r="R4969" i="2"/>
  <c r="T4969" i="2"/>
  <c r="S4969" i="2"/>
  <c r="R4970" i="2"/>
  <c r="T4970" i="2"/>
  <c r="S4970" i="2"/>
  <c r="R4971" i="2"/>
  <c r="T4971" i="2"/>
  <c r="S4971" i="2"/>
  <c r="R4972" i="2"/>
  <c r="T4972" i="2"/>
  <c r="S4972" i="2"/>
  <c r="R4973" i="2"/>
  <c r="T4973" i="2"/>
  <c r="S4973" i="2"/>
  <c r="R4974" i="2"/>
  <c r="T4974" i="2"/>
  <c r="S4974" i="2"/>
  <c r="R4975" i="2"/>
  <c r="T4975" i="2"/>
  <c r="S4975" i="2"/>
  <c r="R4976" i="2"/>
  <c r="T4976" i="2"/>
  <c r="S4976" i="2"/>
  <c r="R4977" i="2"/>
  <c r="T4977" i="2"/>
  <c r="S4977" i="2"/>
  <c r="R4978" i="2"/>
  <c r="T4978" i="2"/>
  <c r="S4978" i="2"/>
  <c r="R4979" i="2"/>
  <c r="T4979" i="2"/>
  <c r="S4979" i="2"/>
  <c r="R4980" i="2"/>
  <c r="T4980" i="2"/>
  <c r="S4980" i="2"/>
  <c r="R4981" i="2"/>
  <c r="T4981" i="2"/>
  <c r="S4981" i="2"/>
  <c r="R4982" i="2"/>
  <c r="T4982" i="2"/>
  <c r="S4982" i="2"/>
  <c r="R4983" i="2"/>
  <c r="T4983" i="2"/>
  <c r="S4983" i="2"/>
  <c r="R4984" i="2"/>
  <c r="T4984" i="2"/>
  <c r="S4984" i="2"/>
  <c r="R4985" i="2"/>
  <c r="T4985" i="2"/>
  <c r="S4985" i="2"/>
  <c r="R4986" i="2"/>
  <c r="T4986" i="2"/>
  <c r="S4986" i="2"/>
  <c r="R4987" i="2"/>
  <c r="T4987" i="2"/>
  <c r="S4987" i="2"/>
  <c r="R4988" i="2"/>
  <c r="T4988" i="2"/>
  <c r="S4988" i="2"/>
  <c r="R4989" i="2"/>
  <c r="T4989" i="2"/>
  <c r="S4989" i="2"/>
  <c r="R4990" i="2"/>
  <c r="T4990" i="2"/>
  <c r="S4990" i="2"/>
  <c r="R4991" i="2"/>
  <c r="T4991" i="2"/>
  <c r="S4991" i="2"/>
  <c r="R4992" i="2"/>
  <c r="T4992" i="2"/>
  <c r="S4992" i="2"/>
  <c r="R4993" i="2"/>
  <c r="T4993" i="2"/>
  <c r="S4993" i="2"/>
  <c r="R4994" i="2"/>
  <c r="T4994" i="2"/>
  <c r="S4994" i="2"/>
  <c r="R4995" i="2"/>
  <c r="T4995" i="2"/>
  <c r="S4995" i="2"/>
  <c r="R4996" i="2"/>
  <c r="T4996" i="2"/>
  <c r="S4996" i="2"/>
  <c r="R4997" i="2"/>
  <c r="T4997" i="2"/>
  <c r="S4997" i="2"/>
  <c r="R4998" i="2"/>
  <c r="T4998" i="2"/>
  <c r="S4998" i="2"/>
  <c r="R4999" i="2"/>
  <c r="T4999" i="2"/>
  <c r="S4999" i="2"/>
  <c r="R5000" i="2"/>
  <c r="T5000" i="2"/>
  <c r="S5000" i="2"/>
  <c r="R5001" i="2"/>
  <c r="T5001" i="2"/>
  <c r="S5001" i="2"/>
  <c r="R5002" i="2"/>
  <c r="T5002" i="2"/>
  <c r="S5002" i="2"/>
  <c r="R5003" i="2"/>
  <c r="T5003" i="2"/>
  <c r="S5003" i="2"/>
  <c r="R5004" i="2"/>
  <c r="T5004" i="2"/>
  <c r="S5004" i="2"/>
  <c r="R5005" i="2"/>
  <c r="T5005" i="2"/>
  <c r="S5005" i="2"/>
  <c r="R5006" i="2"/>
  <c r="T5006" i="2"/>
  <c r="S5006" i="2"/>
  <c r="R5007" i="2"/>
  <c r="T5007" i="2"/>
  <c r="S5007" i="2"/>
  <c r="R5008" i="2"/>
  <c r="T5008" i="2"/>
  <c r="S5008" i="2"/>
  <c r="R5009" i="2"/>
  <c r="T5009" i="2"/>
  <c r="S5009" i="2"/>
  <c r="R5010" i="2"/>
  <c r="T5010" i="2"/>
  <c r="S5010" i="2"/>
  <c r="R5011" i="2"/>
  <c r="T5011" i="2"/>
  <c r="S5011" i="2"/>
  <c r="R5012" i="2"/>
  <c r="T5012" i="2"/>
  <c r="S5012" i="2"/>
  <c r="R5013" i="2"/>
  <c r="T5013" i="2"/>
  <c r="S5013" i="2"/>
  <c r="R5014" i="2"/>
  <c r="T5014" i="2"/>
  <c r="S5014" i="2"/>
  <c r="R5015" i="2"/>
  <c r="T5015" i="2"/>
  <c r="S5015" i="2"/>
  <c r="R5016" i="2"/>
  <c r="T5016" i="2"/>
  <c r="S5016" i="2"/>
  <c r="T13" i="2"/>
  <c r="U1017" i="2"/>
  <c r="V1017" i="2"/>
  <c r="W1017" i="2"/>
  <c r="D41" i="4"/>
  <c r="E41" i="4"/>
  <c r="C43" i="4"/>
  <c r="F30" i="4"/>
  <c r="C30" i="4"/>
  <c r="D30" i="4"/>
  <c r="E30" i="4"/>
  <c r="G30" i="4"/>
  <c r="C19" i="4"/>
  <c r="D19" i="4"/>
  <c r="C31" i="4"/>
  <c r="D31" i="4"/>
  <c r="E31" i="4"/>
  <c r="F31" i="4"/>
  <c r="G31" i="4"/>
  <c r="C32" i="4"/>
  <c r="D32" i="4"/>
  <c r="E32" i="4"/>
  <c r="F32" i="4"/>
  <c r="G32" i="4"/>
  <c r="C33" i="4"/>
  <c r="D33" i="4"/>
  <c r="E33" i="4"/>
  <c r="F33" i="4"/>
  <c r="G33" i="4"/>
  <c r="C34" i="4"/>
  <c r="D34" i="4"/>
  <c r="E34" i="4"/>
  <c r="F34" i="4"/>
  <c r="G34" i="4"/>
  <c r="C35" i="4"/>
  <c r="D35" i="4"/>
  <c r="E35" i="4"/>
  <c r="F35" i="4"/>
  <c r="G35" i="4"/>
  <c r="G29" i="4"/>
  <c r="F29" i="4"/>
  <c r="E29" i="4"/>
  <c r="C29" i="4"/>
  <c r="C48" i="4"/>
  <c r="E19" i="4"/>
  <c r="F19" i="4"/>
  <c r="G19" i="4"/>
  <c r="E23" i="4"/>
  <c r="F23" i="4"/>
  <c r="G23" i="4"/>
  <c r="E21" i="4"/>
  <c r="F21" i="4"/>
  <c r="G21" i="4"/>
  <c r="E24" i="4"/>
  <c r="F24" i="4"/>
  <c r="G24" i="4"/>
  <c r="E18" i="4"/>
  <c r="F18" i="4"/>
  <c r="G18" i="4"/>
  <c r="E20" i="4"/>
  <c r="F20" i="4"/>
  <c r="G20" i="4"/>
  <c r="E22" i="4"/>
  <c r="F22" i="4"/>
  <c r="G22" i="4"/>
  <c r="E42" i="4"/>
  <c r="D43" i="4"/>
  <c r="C49" i="4"/>
  <c r="C50" i="4"/>
  <c r="C51" i="4"/>
  <c r="C52" i="4"/>
  <c r="U1215" i="2"/>
  <c r="V1215" i="2"/>
  <c r="W1215" i="2"/>
  <c r="U1206" i="2"/>
  <c r="V1206" i="2"/>
  <c r="W1206" i="2"/>
  <c r="U1221" i="2"/>
  <c r="V1221" i="2"/>
  <c r="W1221" i="2"/>
  <c r="U1231" i="2"/>
  <c r="V1231" i="2"/>
  <c r="W1231" i="2"/>
  <c r="U1242" i="2"/>
  <c r="V1242" i="2"/>
  <c r="W1242" i="2"/>
  <c r="U1029" i="2"/>
  <c r="V1029" i="2"/>
  <c r="W1029" i="2"/>
  <c r="U1043" i="2"/>
  <c r="V1043" i="2"/>
  <c r="W1043" i="2"/>
  <c r="C20" i="4"/>
  <c r="D20" i="4"/>
  <c r="C21" i="4"/>
  <c r="D21" i="4"/>
  <c r="C22" i="4"/>
  <c r="D22" i="4"/>
  <c r="C23" i="4"/>
  <c r="D23" i="4"/>
  <c r="C24" i="4"/>
  <c r="D24" i="4"/>
  <c r="C18" i="4"/>
  <c r="D18" i="4"/>
  <c r="U1228" i="2"/>
  <c r="V1228" i="2"/>
  <c r="W1228" i="2"/>
  <c r="U1239" i="2"/>
  <c r="V1239" i="2"/>
  <c r="W1239" i="2"/>
  <c r="U1226" i="2"/>
  <c r="V1226" i="2"/>
  <c r="W1226" i="2"/>
  <c r="U3327" i="2"/>
  <c r="V3327" i="2"/>
  <c r="W3327" i="2"/>
  <c r="U1057" i="2"/>
  <c r="V1057" i="2"/>
  <c r="W1057" i="2"/>
  <c r="U2491" i="2"/>
  <c r="V2491" i="2"/>
  <c r="W2491" i="2"/>
  <c r="U2438" i="2"/>
  <c r="V2438" i="2"/>
  <c r="W2438" i="2"/>
  <c r="U2209" i="2"/>
  <c r="V2209" i="2"/>
  <c r="W2209" i="2"/>
  <c r="U2210" i="2"/>
  <c r="V2210" i="2"/>
  <c r="W2210" i="2"/>
  <c r="U1041" i="2"/>
  <c r="V1041" i="2"/>
  <c r="W1041" i="2"/>
  <c r="U3331" i="2"/>
  <c r="V3331" i="2"/>
  <c r="W3331" i="2"/>
  <c r="U3291" i="2"/>
  <c r="V3291" i="2"/>
  <c r="W3291" i="2"/>
  <c r="U3302" i="2"/>
  <c r="V3302" i="2"/>
  <c r="W3302" i="2"/>
  <c r="U2481" i="2"/>
  <c r="V2481" i="2"/>
  <c r="W2481" i="2"/>
  <c r="U1060" i="2"/>
  <c r="V1060" i="2"/>
  <c r="W1060" i="2"/>
  <c r="U3309" i="2"/>
  <c r="V3309" i="2"/>
  <c r="W3309" i="2"/>
  <c r="U2312" i="2"/>
  <c r="V2312" i="2"/>
  <c r="W2312" i="2"/>
  <c r="U2513" i="2"/>
  <c r="V2513" i="2"/>
  <c r="W2513" i="2"/>
  <c r="U2637" i="2"/>
  <c r="V2637" i="2"/>
  <c r="W2637" i="2"/>
  <c r="U3308" i="2"/>
  <c r="V3308" i="2"/>
  <c r="W3308" i="2"/>
  <c r="U1615" i="2"/>
  <c r="V1615" i="2"/>
  <c r="W1615" i="2"/>
  <c r="U1111" i="2"/>
  <c r="V1111" i="2"/>
  <c r="W1111" i="2"/>
  <c r="U1121" i="2"/>
  <c r="V1121" i="2"/>
  <c r="W1121" i="2"/>
  <c r="U4826" i="2"/>
  <c r="V4826" i="2"/>
  <c r="W4826" i="2"/>
  <c r="U4832" i="2"/>
  <c r="V4832" i="2"/>
  <c r="W4832" i="2"/>
  <c r="U4833" i="2"/>
  <c r="V4833" i="2"/>
  <c r="W4833" i="2"/>
  <c r="U4834" i="2"/>
  <c r="V4834" i="2"/>
  <c r="W4834" i="2"/>
  <c r="U1087" i="2"/>
  <c r="V1087" i="2"/>
  <c r="W1087" i="2"/>
  <c r="U1841" i="2"/>
  <c r="V1841" i="2"/>
  <c r="W1841" i="2"/>
  <c r="U2500" i="2"/>
  <c r="V2500" i="2"/>
  <c r="W2500" i="2"/>
  <c r="U1633" i="2"/>
  <c r="V1633" i="2"/>
  <c r="W1633" i="2"/>
  <c r="U1069" i="2"/>
  <c r="V1069" i="2"/>
  <c r="W1069" i="2"/>
  <c r="U2235" i="2"/>
  <c r="V2235" i="2"/>
  <c r="W2235" i="2"/>
  <c r="U1045" i="2"/>
  <c r="V1045" i="2"/>
  <c r="W1045" i="2"/>
  <c r="U2462" i="2"/>
  <c r="V2462" i="2"/>
  <c r="W2462" i="2"/>
  <c r="U2474" i="2"/>
  <c r="V2474" i="2"/>
  <c r="W2474" i="2"/>
  <c r="U1094" i="2"/>
  <c r="V1094" i="2"/>
  <c r="W1094" i="2"/>
  <c r="U1109" i="2"/>
  <c r="V1109" i="2"/>
  <c r="W1109" i="2"/>
  <c r="U1144" i="2"/>
  <c r="V1144" i="2"/>
  <c r="W1144" i="2"/>
  <c r="U1181" i="2"/>
  <c r="V1181" i="2"/>
  <c r="W1181" i="2"/>
  <c r="U1156" i="2"/>
  <c r="V1156" i="2"/>
  <c r="W1156" i="2"/>
  <c r="U4838" i="2"/>
  <c r="V4838" i="2"/>
  <c r="W4838" i="2"/>
  <c r="U1102" i="2"/>
  <c r="V1102" i="2"/>
  <c r="W1102" i="2"/>
  <c r="U1124" i="2"/>
  <c r="V1124" i="2"/>
  <c r="W1124" i="2"/>
  <c r="U1132" i="2"/>
  <c r="V1132" i="2"/>
  <c r="W1132" i="2"/>
  <c r="U1128" i="2"/>
  <c r="V1128" i="2"/>
  <c r="W1128" i="2"/>
  <c r="U1139" i="2"/>
  <c r="V1139" i="2"/>
  <c r="W1139" i="2"/>
  <c r="U1135" i="2"/>
  <c r="V1135" i="2"/>
  <c r="W1135" i="2"/>
  <c r="U2638" i="2"/>
  <c r="V2638" i="2"/>
  <c r="W2638" i="2"/>
  <c r="U1175" i="2"/>
  <c r="V1175" i="2"/>
  <c r="W1175" i="2"/>
  <c r="U1704" i="2"/>
  <c r="V1704" i="2"/>
  <c r="W1704" i="2"/>
  <c r="U2439" i="2"/>
  <c r="V2439" i="2"/>
  <c r="W2439" i="2"/>
  <c r="U3288" i="2"/>
  <c r="V3288" i="2"/>
  <c r="W3288" i="2"/>
  <c r="U3292" i="2"/>
  <c r="V3292" i="2"/>
  <c r="W3292" i="2"/>
  <c r="U3296" i="2"/>
  <c r="V3296" i="2"/>
  <c r="W3296" i="2"/>
  <c r="U3324" i="2"/>
  <c r="V3324" i="2"/>
  <c r="W3324" i="2"/>
  <c r="U4815" i="2"/>
  <c r="V4815" i="2"/>
  <c r="W4815" i="2"/>
  <c r="U4817" i="2"/>
  <c r="V4817" i="2"/>
  <c r="W4817" i="2"/>
  <c r="U3320" i="2"/>
  <c r="V3320" i="2"/>
  <c r="W3320" i="2"/>
  <c r="U1191" i="2"/>
  <c r="V1191" i="2"/>
  <c r="W1191" i="2"/>
  <c r="U1539" i="2"/>
  <c r="V1539" i="2"/>
  <c r="W1539" i="2"/>
  <c r="U1601" i="2"/>
  <c r="V1601" i="2"/>
  <c r="W1601" i="2"/>
  <c r="U4395" i="2"/>
  <c r="V4395" i="2"/>
  <c r="W4395" i="2"/>
  <c r="U4497" i="2"/>
  <c r="V4497" i="2"/>
  <c r="W4497" i="2"/>
  <c r="U1555" i="2"/>
  <c r="V1555" i="2"/>
  <c r="W1555" i="2"/>
  <c r="U1594" i="2"/>
  <c r="V1594" i="2"/>
  <c r="W1594" i="2"/>
  <c r="U2463" i="2"/>
  <c r="V2463" i="2"/>
  <c r="W2463" i="2"/>
  <c r="U2450" i="2"/>
  <c r="V2450" i="2"/>
  <c r="W2450" i="2"/>
  <c r="U3315" i="2"/>
  <c r="V3315" i="2"/>
  <c r="W3315" i="2"/>
  <c r="U3239" i="2"/>
  <c r="V3239" i="2"/>
  <c r="W3239" i="2"/>
  <c r="U3240" i="2"/>
  <c r="V3240" i="2"/>
  <c r="W3240" i="2"/>
  <c r="U3250" i="2"/>
  <c r="V3250" i="2"/>
  <c r="W3250" i="2"/>
  <c r="U3259" i="2"/>
  <c r="V3259" i="2"/>
  <c r="W3259" i="2"/>
  <c r="U3261" i="2"/>
  <c r="V3261" i="2"/>
  <c r="W3261" i="2"/>
  <c r="U3265" i="2"/>
  <c r="V3265" i="2"/>
  <c r="W3265" i="2"/>
  <c r="U3269" i="2"/>
  <c r="V3269" i="2"/>
  <c r="W3269" i="2"/>
  <c r="U3274" i="2"/>
  <c r="V3274" i="2"/>
  <c r="W3274" i="2"/>
  <c r="U3275" i="2"/>
  <c r="V3275" i="2"/>
  <c r="W3275" i="2"/>
  <c r="U3277" i="2"/>
  <c r="V3277" i="2"/>
  <c r="W3277" i="2"/>
  <c r="U3280" i="2"/>
  <c r="V3280" i="2"/>
  <c r="W3280" i="2"/>
  <c r="U3284" i="2"/>
  <c r="V3284" i="2"/>
  <c r="W3284" i="2"/>
  <c r="U1072" i="2"/>
  <c r="V1072" i="2"/>
  <c r="W1072" i="2"/>
  <c r="U1589" i="2"/>
  <c r="V1589" i="2"/>
  <c r="W1589" i="2"/>
  <c r="U4819" i="2"/>
  <c r="V4819" i="2"/>
  <c r="W4819" i="2"/>
  <c r="U4825" i="2"/>
  <c r="V4825" i="2"/>
  <c r="W4825" i="2"/>
  <c r="U1062" i="2"/>
  <c r="V1062" i="2"/>
  <c r="W1062" i="2"/>
  <c r="U1736" i="2"/>
  <c r="V1736" i="2"/>
  <c r="W1736" i="2"/>
  <c r="U3242" i="2"/>
  <c r="V3242" i="2"/>
  <c r="W3242" i="2"/>
  <c r="U1679" i="2"/>
  <c r="V1679" i="2"/>
  <c r="W1679" i="2"/>
  <c r="U2453" i="2"/>
  <c r="V2453" i="2"/>
  <c r="W2453" i="2"/>
  <c r="U3319" i="2"/>
  <c r="V3319" i="2"/>
  <c r="W3319" i="2"/>
  <c r="U3314" i="2"/>
  <c r="V3314" i="2"/>
  <c r="W3314" i="2"/>
  <c r="U1444" i="2"/>
  <c r="V1444" i="2"/>
  <c r="W1444" i="2"/>
  <c r="U1690" i="2"/>
  <c r="V1690" i="2"/>
  <c r="W1690" i="2"/>
  <c r="U1864" i="2"/>
  <c r="V1864" i="2"/>
  <c r="W1864" i="2"/>
  <c r="U2494" i="2"/>
  <c r="V2494" i="2"/>
  <c r="W2494" i="2"/>
  <c r="U1035" i="2"/>
  <c r="V1035" i="2"/>
  <c r="W1035" i="2"/>
  <c r="U1065" i="2"/>
  <c r="V1065" i="2"/>
  <c r="W1065" i="2"/>
  <c r="U1499" i="2"/>
  <c r="V1499" i="2"/>
  <c r="W1499" i="2"/>
  <c r="U2475" i="2"/>
  <c r="V2475" i="2"/>
  <c r="W2475" i="2"/>
  <c r="U3249" i="2"/>
  <c r="V3249" i="2"/>
  <c r="W3249" i="2"/>
  <c r="U2243" i="2"/>
  <c r="V2243" i="2"/>
  <c r="W2243" i="2"/>
  <c r="U2247" i="2"/>
  <c r="V2247" i="2"/>
  <c r="W2247" i="2"/>
  <c r="U2248" i="2"/>
  <c r="V2248" i="2"/>
  <c r="W2248" i="2"/>
  <c r="U2257" i="2"/>
  <c r="V2257" i="2"/>
  <c r="W2257" i="2"/>
  <c r="U2263" i="2"/>
  <c r="V2263" i="2"/>
  <c r="W2263" i="2"/>
  <c r="U2267" i="2"/>
  <c r="V2267" i="2"/>
  <c r="W2267" i="2"/>
  <c r="U2268" i="2"/>
  <c r="V2268" i="2"/>
  <c r="W2268" i="2"/>
  <c r="U2278" i="2"/>
  <c r="V2278" i="2"/>
  <c r="W2278" i="2"/>
  <c r="U2291" i="2"/>
  <c r="V2291" i="2"/>
  <c r="W2291" i="2"/>
  <c r="U2293" i="2"/>
  <c r="V2293" i="2"/>
  <c r="W2293" i="2"/>
  <c r="U2311" i="2"/>
  <c r="V2311" i="2"/>
  <c r="W2311" i="2"/>
  <c r="U2314" i="2"/>
  <c r="V2314" i="2"/>
  <c r="W2314" i="2"/>
  <c r="U2318" i="2"/>
  <c r="V2318" i="2"/>
  <c r="W2318" i="2"/>
  <c r="U2321" i="2"/>
  <c r="V2321" i="2"/>
  <c r="W2321" i="2"/>
  <c r="U2322" i="2"/>
  <c r="V2322" i="2"/>
  <c r="W2322" i="2"/>
  <c r="U2915" i="2"/>
  <c r="V2915" i="2"/>
  <c r="W2915" i="2"/>
  <c r="U1039" i="2"/>
  <c r="V1039" i="2"/>
  <c r="W1039" i="2"/>
  <c r="U1077" i="2"/>
  <c r="V1077" i="2"/>
  <c r="W1077" i="2"/>
  <c r="U1100" i="2"/>
  <c r="V1100" i="2"/>
  <c r="W1100" i="2"/>
  <c r="U1104" i="2"/>
  <c r="V1104" i="2"/>
  <c r="W1104" i="2"/>
  <c r="U1118" i="2"/>
  <c r="V1118" i="2"/>
  <c r="W1118" i="2"/>
  <c r="U1169" i="2"/>
  <c r="V1169" i="2"/>
  <c r="W1169" i="2"/>
  <c r="U1187" i="2"/>
  <c r="V1187" i="2"/>
  <c r="W1187" i="2"/>
  <c r="U2506" i="2"/>
  <c r="V2506" i="2"/>
  <c r="W2506" i="2"/>
  <c r="U3297" i="2"/>
  <c r="V3297" i="2"/>
  <c r="W3297" i="2"/>
  <c r="U4823" i="2"/>
  <c r="V4823" i="2"/>
  <c r="W4823" i="2"/>
  <c r="U1142" i="2"/>
  <c r="V1142" i="2"/>
  <c r="W1142" i="2"/>
  <c r="U2641" i="2"/>
  <c r="V2641" i="2"/>
  <c r="W2641" i="2"/>
  <c r="U2245" i="2"/>
  <c r="V2245" i="2"/>
  <c r="W2245" i="2"/>
  <c r="U4809" i="2"/>
  <c r="V4809" i="2"/>
  <c r="W4809" i="2"/>
  <c r="U1501" i="2"/>
  <c r="V1501" i="2"/>
  <c r="W1501" i="2"/>
  <c r="U1544" i="2"/>
  <c r="V1544" i="2"/>
  <c r="W1544" i="2"/>
  <c r="U1585" i="2"/>
  <c r="V1585" i="2"/>
  <c r="W1585" i="2"/>
  <c r="U1617" i="2"/>
  <c r="V1617" i="2"/>
  <c r="W1617" i="2"/>
  <c r="U1628" i="2"/>
  <c r="V1628" i="2"/>
  <c r="W1628" i="2"/>
  <c r="U2323" i="2"/>
  <c r="V2323" i="2"/>
  <c r="W2323" i="2"/>
  <c r="U2479" i="2"/>
  <c r="V2479" i="2"/>
  <c r="W2479" i="2"/>
  <c r="U2492" i="2"/>
  <c r="V2492" i="2"/>
  <c r="W2492" i="2"/>
  <c r="U3243" i="2"/>
  <c r="V3243" i="2"/>
  <c r="W3243" i="2"/>
  <c r="U3279" i="2"/>
  <c r="V3279" i="2"/>
  <c r="W3279" i="2"/>
  <c r="U1016" i="2"/>
  <c r="V1016" i="2"/>
  <c r="W1016" i="2"/>
  <c r="U1020" i="2"/>
  <c r="V1020" i="2"/>
  <c r="W1020" i="2"/>
  <c r="U1022" i="2"/>
  <c r="V1022" i="2"/>
  <c r="W1022" i="2"/>
  <c r="U1053" i="2"/>
  <c r="V1053" i="2"/>
  <c r="W1053" i="2"/>
  <c r="U1559" i="2"/>
  <c r="V1559" i="2"/>
  <c r="W1559" i="2"/>
  <c r="U1592" i="2"/>
  <c r="V1592" i="2"/>
  <c r="W1592" i="2"/>
  <c r="U1597" i="2"/>
  <c r="V1597" i="2"/>
  <c r="W1597" i="2"/>
  <c r="U1599" i="2"/>
  <c r="V1599" i="2"/>
  <c r="W1599" i="2"/>
  <c r="U2319" i="2"/>
  <c r="V2319" i="2"/>
  <c r="W2319" i="2"/>
  <c r="U2469" i="2"/>
  <c r="V2469" i="2"/>
  <c r="W2469" i="2"/>
  <c r="U2484" i="2"/>
  <c r="V2484" i="2"/>
  <c r="W2484" i="2"/>
  <c r="U3276" i="2"/>
  <c r="V3276" i="2"/>
  <c r="W3276" i="2"/>
  <c r="U3281" i="2"/>
  <c r="V3281" i="2"/>
  <c r="W3281" i="2"/>
  <c r="U1153" i="2"/>
  <c r="V1153" i="2"/>
  <c r="W1153" i="2"/>
  <c r="U1177" i="2"/>
  <c r="V1177" i="2"/>
  <c r="W1177" i="2"/>
  <c r="U1195" i="2"/>
  <c r="V1195" i="2"/>
  <c r="W1195" i="2"/>
  <c r="U1199" i="2"/>
  <c r="V1199" i="2"/>
  <c r="W1199" i="2"/>
  <c r="U1506" i="2"/>
  <c r="V1506" i="2"/>
  <c r="W1506" i="2"/>
  <c r="U1528" i="2"/>
  <c r="V1528" i="2"/>
  <c r="W1528" i="2"/>
  <c r="U1532" i="2"/>
  <c r="V1532" i="2"/>
  <c r="W1532" i="2"/>
  <c r="U1636" i="2"/>
  <c r="V1636" i="2"/>
  <c r="W1636" i="2"/>
  <c r="U2470" i="2"/>
  <c r="V2470" i="2"/>
  <c r="W2470" i="2"/>
  <c r="U4810" i="2"/>
  <c r="V4810" i="2"/>
  <c r="W4810" i="2"/>
  <c r="U1208" i="2"/>
  <c r="V1208" i="2"/>
  <c r="W1208" i="2"/>
  <c r="U1213" i="2"/>
  <c r="V1213" i="2"/>
  <c r="W1213" i="2"/>
  <c r="U1716" i="2"/>
  <c r="V1716" i="2"/>
  <c r="W1716" i="2"/>
  <c r="U1894" i="2"/>
  <c r="V1894" i="2"/>
  <c r="W1894" i="2"/>
  <c r="U2272" i="2"/>
  <c r="V2272" i="2"/>
  <c r="W2272" i="2"/>
  <c r="U2274" i="2"/>
  <c r="V2274" i="2"/>
  <c r="W2274" i="2"/>
  <c r="U2275" i="2"/>
  <c r="V2275" i="2"/>
  <c r="W2275" i="2"/>
  <c r="U2276" i="2"/>
  <c r="V2276" i="2"/>
  <c r="W2276" i="2"/>
  <c r="U2279" i="2"/>
  <c r="V2279" i="2"/>
  <c r="W2279" i="2"/>
  <c r="U2280" i="2"/>
  <c r="V2280" i="2"/>
  <c r="W2280" i="2"/>
  <c r="U2283" i="2"/>
  <c r="V2283" i="2"/>
  <c r="W2283" i="2"/>
  <c r="U2284" i="2"/>
  <c r="V2284" i="2"/>
  <c r="W2284" i="2"/>
  <c r="U2285" i="2"/>
  <c r="V2285" i="2"/>
  <c r="W2285" i="2"/>
  <c r="U2288" i="2"/>
  <c r="V2288" i="2"/>
  <c r="W2288" i="2"/>
  <c r="U2289" i="2"/>
  <c r="V2289" i="2"/>
  <c r="W2289" i="2"/>
  <c r="U2290" i="2"/>
  <c r="V2290" i="2"/>
  <c r="W2290" i="2"/>
  <c r="U2292" i="2"/>
  <c r="V2292" i="2"/>
  <c r="W2292" i="2"/>
  <c r="U2294" i="2"/>
  <c r="V2294" i="2"/>
  <c r="W2294" i="2"/>
  <c r="U2296" i="2"/>
  <c r="V2296" i="2"/>
  <c r="W2296" i="2"/>
  <c r="U2297" i="2"/>
  <c r="V2297" i="2"/>
  <c r="W2297" i="2"/>
  <c r="U2298" i="2"/>
  <c r="V2298" i="2"/>
  <c r="W2298" i="2"/>
  <c r="U2299" i="2"/>
  <c r="V2299" i="2"/>
  <c r="W2299" i="2"/>
  <c r="U2300" i="2"/>
  <c r="V2300" i="2"/>
  <c r="W2300" i="2"/>
  <c r="U2301" i="2"/>
  <c r="V2301" i="2"/>
  <c r="W2301" i="2"/>
  <c r="U2304" i="2"/>
  <c r="V2304" i="2"/>
  <c r="W2304" i="2"/>
  <c r="U2305" i="2"/>
  <c r="V2305" i="2"/>
  <c r="W2305" i="2"/>
  <c r="U2306" i="2"/>
  <c r="V2306" i="2"/>
  <c r="W2306" i="2"/>
  <c r="U2309" i="2"/>
  <c r="V2309" i="2"/>
  <c r="W2309" i="2"/>
  <c r="U2310" i="2"/>
  <c r="V2310" i="2"/>
  <c r="W2310" i="2"/>
  <c r="U2313" i="2"/>
  <c r="V2313" i="2"/>
  <c r="W2313" i="2"/>
  <c r="U2315" i="2"/>
  <c r="V2315" i="2"/>
  <c r="W2315" i="2"/>
  <c r="U2316" i="2"/>
  <c r="V2316" i="2"/>
  <c r="W2316" i="2"/>
  <c r="U2317" i="2"/>
  <c r="V2317" i="2"/>
  <c r="W2317" i="2"/>
  <c r="U2320" i="2"/>
  <c r="V2320" i="2"/>
  <c r="W2320" i="2"/>
  <c r="U3262" i="2"/>
  <c r="V3262" i="2"/>
  <c r="W3262" i="2"/>
  <c r="U3266" i="2"/>
  <c r="V3266" i="2"/>
  <c r="W3266" i="2"/>
  <c r="U3305" i="2"/>
  <c r="V3305" i="2"/>
  <c r="W3305" i="2"/>
  <c r="U3317" i="2"/>
  <c r="V3317" i="2"/>
  <c r="W3317" i="2"/>
  <c r="U3407" i="2"/>
  <c r="V3407" i="2"/>
  <c r="W3407" i="2"/>
  <c r="U1151" i="2"/>
  <c r="V1151" i="2"/>
  <c r="W1151" i="2"/>
  <c r="U1161" i="2"/>
  <c r="V1161" i="2"/>
  <c r="W1161" i="2"/>
  <c r="U1204" i="2"/>
  <c r="V1204" i="2"/>
  <c r="W1204" i="2"/>
  <c r="U2303" i="2"/>
  <c r="V2303" i="2"/>
  <c r="W2303" i="2"/>
  <c r="U2271" i="2"/>
  <c r="V2271" i="2"/>
  <c r="W2271" i="2"/>
  <c r="U2277" i="2"/>
  <c r="V2277" i="2"/>
  <c r="W2277" i="2"/>
  <c r="U2295" i="2"/>
  <c r="V2295" i="2"/>
  <c r="W2295" i="2"/>
  <c r="U1244" i="2"/>
  <c r="V1244" i="2"/>
  <c r="W1244" i="2"/>
  <c r="U1251" i="2"/>
  <c r="V1251" i="2"/>
  <c r="W1251" i="2"/>
  <c r="U1530" i="2"/>
  <c r="V1530" i="2"/>
  <c r="W1530" i="2"/>
  <c r="U1542" i="2"/>
  <c r="V1542" i="2"/>
  <c r="W1542" i="2"/>
  <c r="U1866" i="2"/>
  <c r="V1866" i="2"/>
  <c r="W1866" i="2"/>
  <c r="U2273" i="2"/>
  <c r="V2273" i="2"/>
  <c r="W2273" i="2"/>
  <c r="U2282" i="2"/>
  <c r="V2282" i="2"/>
  <c r="W2282" i="2"/>
  <c r="U2307" i="2"/>
  <c r="V2307" i="2"/>
  <c r="W2307" i="2"/>
  <c r="U2018" i="2"/>
  <c r="V2018" i="2"/>
  <c r="W2018" i="2"/>
  <c r="U2236" i="2"/>
  <c r="V2236" i="2"/>
  <c r="W2236" i="2"/>
  <c r="U2237" i="2"/>
  <c r="V2237" i="2"/>
  <c r="W2237" i="2"/>
  <c r="U2238" i="2"/>
  <c r="V2238" i="2"/>
  <c r="W2238" i="2"/>
  <c r="U2239" i="2"/>
  <c r="V2239" i="2"/>
  <c r="W2239" i="2"/>
  <c r="U2240" i="2"/>
  <c r="V2240" i="2"/>
  <c r="W2240" i="2"/>
  <c r="U2241" i="2"/>
  <c r="V2241" i="2"/>
  <c r="W2241" i="2"/>
  <c r="U2242" i="2"/>
  <c r="V2242" i="2"/>
  <c r="W2242" i="2"/>
  <c r="U2244" i="2"/>
  <c r="V2244" i="2"/>
  <c r="W2244" i="2"/>
  <c r="U2246" i="2"/>
  <c r="V2246" i="2"/>
  <c r="W2246" i="2"/>
  <c r="U2249" i="2"/>
  <c r="V2249" i="2"/>
  <c r="W2249" i="2"/>
  <c r="U2250" i="2"/>
  <c r="V2250" i="2"/>
  <c r="W2250" i="2"/>
  <c r="U2251" i="2"/>
  <c r="V2251" i="2"/>
  <c r="W2251" i="2"/>
  <c r="U2252" i="2"/>
  <c r="V2252" i="2"/>
  <c r="W2252" i="2"/>
  <c r="U2253" i="2"/>
  <c r="V2253" i="2"/>
  <c r="W2253" i="2"/>
  <c r="U2254" i="2"/>
  <c r="V2254" i="2"/>
  <c r="W2254" i="2"/>
  <c r="U2255" i="2"/>
  <c r="V2255" i="2"/>
  <c r="W2255" i="2"/>
  <c r="U2256" i="2"/>
  <c r="V2256" i="2"/>
  <c r="W2256" i="2"/>
  <c r="U2258" i="2"/>
  <c r="V2258" i="2"/>
  <c r="W2258" i="2"/>
  <c r="U2259" i="2"/>
  <c r="V2259" i="2"/>
  <c r="W2259" i="2"/>
  <c r="U2260" i="2"/>
  <c r="V2260" i="2"/>
  <c r="W2260" i="2"/>
  <c r="U2261" i="2"/>
  <c r="V2261" i="2"/>
  <c r="W2261" i="2"/>
  <c r="U2262" i="2"/>
  <c r="V2262" i="2"/>
  <c r="W2262" i="2"/>
  <c r="U2264" i="2"/>
  <c r="V2264" i="2"/>
  <c r="W2264" i="2"/>
  <c r="U2265" i="2"/>
  <c r="V2265" i="2"/>
  <c r="W2265" i="2"/>
  <c r="U2266" i="2"/>
  <c r="V2266" i="2"/>
  <c r="W2266" i="2"/>
  <c r="U2269" i="2"/>
  <c r="V2269" i="2"/>
  <c r="W2269" i="2"/>
  <c r="U2270" i="2"/>
  <c r="V2270" i="2"/>
  <c r="W2270" i="2"/>
  <c r="U2286" i="2"/>
  <c r="V2286" i="2"/>
  <c r="W2286" i="2"/>
  <c r="U2308" i="2"/>
  <c r="V2308" i="2"/>
  <c r="W2308" i="2"/>
  <c r="U3412" i="2"/>
  <c r="V3412" i="2"/>
  <c r="W3412" i="2"/>
  <c r="U3414" i="2"/>
  <c r="V3414" i="2"/>
  <c r="W3414" i="2"/>
  <c r="U3429" i="2"/>
  <c r="V3429" i="2"/>
  <c r="W3429" i="2"/>
  <c r="U3432" i="2"/>
  <c r="V3432" i="2"/>
  <c r="W3432" i="2"/>
  <c r="U3436" i="2"/>
  <c r="V3436" i="2"/>
  <c r="W3436" i="2"/>
  <c r="U3439" i="2"/>
  <c r="V3439" i="2"/>
  <c r="W3439" i="2"/>
  <c r="U3442" i="2"/>
  <c r="V3442" i="2"/>
  <c r="W3442" i="2"/>
  <c r="U4226" i="2"/>
  <c r="V4226" i="2"/>
  <c r="W4226" i="2"/>
  <c r="U4228" i="2"/>
  <c r="V4228" i="2"/>
  <c r="W4228" i="2"/>
  <c r="U4229" i="2"/>
  <c r="V4229" i="2"/>
  <c r="W4229" i="2"/>
  <c r="U4236" i="2"/>
  <c r="V4236" i="2"/>
  <c r="W4236" i="2"/>
  <c r="U4241" i="2"/>
  <c r="V4241" i="2"/>
  <c r="W4241" i="2"/>
  <c r="U4244" i="2"/>
  <c r="V4244" i="2"/>
  <c r="W4244" i="2"/>
  <c r="U4252" i="2"/>
  <c r="V4252" i="2"/>
  <c r="W4252" i="2"/>
  <c r="U4254" i="2"/>
  <c r="V4254" i="2"/>
  <c r="W4254" i="2"/>
  <c r="U4255" i="2"/>
  <c r="V4255" i="2"/>
  <c r="W4255" i="2"/>
  <c r="U4309" i="2"/>
  <c r="V4309" i="2"/>
  <c r="W4309" i="2"/>
  <c r="U4318" i="2"/>
  <c r="V4318" i="2"/>
  <c r="W4318" i="2"/>
  <c r="U4321" i="2"/>
  <c r="V4321" i="2"/>
  <c r="W4321" i="2"/>
  <c r="U4324" i="2"/>
  <c r="V4324" i="2"/>
  <c r="W4324" i="2"/>
  <c r="U4326" i="2"/>
  <c r="V4326" i="2"/>
  <c r="W4326" i="2"/>
  <c r="U4332" i="2"/>
  <c r="V4332" i="2"/>
  <c r="W4332" i="2"/>
  <c r="U4339" i="2"/>
  <c r="V4339" i="2"/>
  <c r="W4339" i="2"/>
  <c r="U4343" i="2"/>
  <c r="V4343" i="2"/>
  <c r="W4343" i="2"/>
  <c r="U4350" i="2"/>
  <c r="V4350" i="2"/>
  <c r="W4350" i="2"/>
  <c r="U4352" i="2"/>
  <c r="V4352" i="2"/>
  <c r="W4352" i="2"/>
  <c r="U4357" i="2"/>
  <c r="V4357" i="2"/>
  <c r="W4357" i="2"/>
  <c r="U4367" i="2"/>
  <c r="V4367" i="2"/>
  <c r="W4367" i="2"/>
  <c r="U4369" i="2"/>
  <c r="V4369" i="2"/>
  <c r="W4369" i="2"/>
  <c r="U4386" i="2"/>
  <c r="V4386" i="2"/>
  <c r="W4386" i="2"/>
  <c r="U4390" i="2"/>
  <c r="V4390" i="2"/>
  <c r="W4390" i="2"/>
  <c r="U4391" i="2"/>
  <c r="V4391" i="2"/>
  <c r="W4391" i="2"/>
  <c r="U4392" i="2"/>
  <c r="V4392" i="2"/>
  <c r="W4392" i="2"/>
  <c r="U4458" i="2"/>
  <c r="V4458" i="2"/>
  <c r="W4458" i="2"/>
  <c r="U4461" i="2"/>
  <c r="V4461" i="2"/>
  <c r="W4461" i="2"/>
  <c r="U4473" i="2"/>
  <c r="V4473" i="2"/>
  <c r="W4473" i="2"/>
  <c r="U4478" i="2"/>
  <c r="V4478" i="2"/>
  <c r="W4478" i="2"/>
  <c r="U4487" i="2"/>
  <c r="V4487" i="2"/>
  <c r="W4487" i="2"/>
  <c r="U4498" i="2"/>
  <c r="V4498" i="2"/>
  <c r="W4498" i="2"/>
  <c r="U4501" i="2"/>
  <c r="V4501" i="2"/>
  <c r="W4501" i="2"/>
  <c r="U1146" i="2"/>
  <c r="V1146" i="2"/>
  <c r="W1146" i="2"/>
  <c r="U1183" i="2"/>
  <c r="V1183" i="2"/>
  <c r="W1183" i="2"/>
  <c r="U2281" i="2"/>
  <c r="V2281" i="2"/>
  <c r="W2281" i="2"/>
  <c r="U2287" i="2"/>
  <c r="V2287" i="2"/>
  <c r="W2287" i="2"/>
  <c r="U2302" i="2"/>
  <c r="V2302" i="2"/>
  <c r="W2302" i="2"/>
  <c r="U1031" i="2"/>
  <c r="V1031" i="2"/>
  <c r="W1031" i="2"/>
  <c r="U1050" i="2"/>
  <c r="V1050" i="2"/>
  <c r="W1050" i="2"/>
  <c r="U1114" i="2"/>
  <c r="V1114" i="2"/>
  <c r="W1114" i="2"/>
  <c r="U1201" i="2"/>
  <c r="V1201" i="2"/>
  <c r="W1201" i="2"/>
  <c r="U1237" i="2"/>
  <c r="V1237" i="2"/>
  <c r="W1237" i="2"/>
  <c r="U1258" i="2"/>
  <c r="V1258" i="2"/>
  <c r="W1258" i="2"/>
  <c r="U1518" i="2"/>
  <c r="V1518" i="2"/>
  <c r="W1518" i="2"/>
  <c r="U1520" i="2"/>
  <c r="V1520" i="2"/>
  <c r="W1520" i="2"/>
  <c r="U1552" i="2"/>
  <c r="V1552" i="2"/>
  <c r="W1552" i="2"/>
  <c r="U1553" i="2"/>
  <c r="V1553" i="2"/>
  <c r="W1553" i="2"/>
  <c r="U1591" i="2"/>
  <c r="V1591" i="2"/>
  <c r="W1591" i="2"/>
  <c r="U1630" i="2"/>
  <c r="V1630" i="2"/>
  <c r="W1630" i="2"/>
  <c r="U2448" i="2"/>
  <c r="V2448" i="2"/>
  <c r="W2448" i="2"/>
  <c r="U1508" i="2"/>
  <c r="V1508" i="2"/>
  <c r="W1508" i="2"/>
  <c r="U1534" i="2"/>
  <c r="V1534" i="2"/>
  <c r="W1534" i="2"/>
  <c r="U1549" i="2"/>
  <c r="V1549" i="2"/>
  <c r="W1549" i="2"/>
  <c r="U1560" i="2"/>
  <c r="V1560" i="2"/>
  <c r="W1560" i="2"/>
  <c r="U1566" i="2"/>
  <c r="V1566" i="2"/>
  <c r="W1566" i="2"/>
  <c r="U1568" i="2"/>
  <c r="V1568" i="2"/>
  <c r="W1568" i="2"/>
  <c r="U1613" i="2"/>
  <c r="V1613" i="2"/>
  <c r="W1613" i="2"/>
  <c r="U1624" i="2"/>
  <c r="V1624" i="2"/>
  <c r="W1624" i="2"/>
  <c r="U1634" i="2"/>
  <c r="V1634" i="2"/>
  <c r="W1634" i="2"/>
  <c r="U1724" i="2"/>
  <c r="V1724" i="2"/>
  <c r="W1724" i="2"/>
  <c r="U1738" i="2"/>
  <c r="V1738" i="2"/>
  <c r="W1738" i="2"/>
  <c r="U1743" i="2"/>
  <c r="V1743" i="2"/>
  <c r="W1743" i="2"/>
  <c r="U3413" i="2"/>
  <c r="V3413" i="2"/>
  <c r="W3413" i="2"/>
  <c r="U4821" i="2"/>
  <c r="V4821" i="2"/>
  <c r="W4821" i="2"/>
  <c r="U4824" i="2"/>
  <c r="V4824" i="2"/>
  <c r="W4824" i="2"/>
  <c r="U2441" i="2"/>
  <c r="V2441" i="2"/>
  <c r="W2441" i="2"/>
  <c r="U2495" i="2"/>
  <c r="V2495" i="2"/>
  <c r="W2495" i="2"/>
  <c r="U3301" i="2"/>
  <c r="V3301" i="2"/>
  <c r="W3301" i="2"/>
  <c r="U4256" i="2"/>
  <c r="V4256" i="2"/>
  <c r="W4256" i="2"/>
  <c r="U4811" i="2"/>
  <c r="V4811" i="2"/>
  <c r="W4811" i="2"/>
  <c r="U1972" i="2"/>
  <c r="V1972" i="2"/>
  <c r="W1972" i="2"/>
  <c r="U2324" i="2"/>
  <c r="V2324" i="2"/>
  <c r="W2324" i="2"/>
  <c r="U3323" i="2"/>
  <c r="V3323" i="2"/>
  <c r="W3323" i="2"/>
  <c r="U4835" i="2"/>
  <c r="V4835" i="2"/>
  <c r="W4835" i="2"/>
  <c r="U2647" i="2"/>
  <c r="V2647" i="2"/>
  <c r="W2647" i="2"/>
  <c r="U2648" i="2"/>
  <c r="V2648" i="2"/>
  <c r="W2648" i="2"/>
  <c r="U2662" i="2"/>
  <c r="V2662" i="2"/>
  <c r="W2662" i="2"/>
  <c r="U2671" i="2"/>
  <c r="V2671" i="2"/>
  <c r="W2671" i="2"/>
  <c r="U2698" i="2"/>
  <c r="V2698" i="2"/>
  <c r="W2698" i="2"/>
  <c r="U3247" i="2"/>
  <c r="V3247" i="2"/>
  <c r="W3247" i="2"/>
  <c r="U3287" i="2"/>
  <c r="V3287" i="2"/>
  <c r="W3287" i="2"/>
  <c r="U3321" i="2"/>
  <c r="V3321" i="2"/>
  <c r="W3321" i="2"/>
  <c r="U1536" i="2"/>
  <c r="V1536" i="2"/>
  <c r="W1536" i="2"/>
  <c r="U1561" i="2"/>
  <c r="V1561" i="2"/>
  <c r="W1561" i="2"/>
  <c r="U1567" i="2"/>
  <c r="V1567" i="2"/>
  <c r="W1567" i="2"/>
  <c r="U1575" i="2"/>
  <c r="V1575" i="2"/>
  <c r="W1575" i="2"/>
  <c r="U1579" i="2"/>
  <c r="V1579" i="2"/>
  <c r="W1579" i="2"/>
  <c r="U1582" i="2"/>
  <c r="V1582" i="2"/>
  <c r="W1582" i="2"/>
  <c r="U1593" i="2"/>
  <c r="V1593" i="2"/>
  <c r="W1593" i="2"/>
  <c r="U1596" i="2"/>
  <c r="V1596" i="2"/>
  <c r="W1596" i="2"/>
  <c r="U1610" i="2"/>
  <c r="V1610" i="2"/>
  <c r="W1610" i="2"/>
  <c r="U1618" i="2"/>
  <c r="V1618" i="2"/>
  <c r="W1618" i="2"/>
  <c r="U1627" i="2"/>
  <c r="V1627" i="2"/>
  <c r="W1627" i="2"/>
  <c r="U1635" i="2"/>
  <c r="V1635" i="2"/>
  <c r="W1635" i="2"/>
  <c r="U1649" i="2"/>
  <c r="V1649" i="2"/>
  <c r="W1649" i="2"/>
  <c r="U1662" i="2"/>
  <c r="V1662" i="2"/>
  <c r="W1662" i="2"/>
  <c r="U1767" i="2"/>
  <c r="V1767" i="2"/>
  <c r="W1767" i="2"/>
  <c r="U2471" i="2"/>
  <c r="V2471" i="2"/>
  <c r="W2471" i="2"/>
  <c r="U2651" i="2"/>
  <c r="V2651" i="2"/>
  <c r="W2651" i="2"/>
  <c r="U3271" i="2"/>
  <c r="V3271" i="2"/>
  <c r="W3271" i="2"/>
  <c r="U3273" i="2"/>
  <c r="V3273" i="2"/>
  <c r="W3273" i="2"/>
  <c r="U3285" i="2"/>
  <c r="V3285" i="2"/>
  <c r="W3285" i="2"/>
  <c r="U3293" i="2"/>
  <c r="V3293" i="2"/>
  <c r="W3293" i="2"/>
  <c r="U1260" i="2"/>
  <c r="V1260" i="2"/>
  <c r="W1260" i="2"/>
  <c r="U1511" i="2"/>
  <c r="V1511" i="2"/>
  <c r="W1511" i="2"/>
  <c r="U1513" i="2"/>
  <c r="V1513" i="2"/>
  <c r="W1513" i="2"/>
  <c r="U1547" i="2"/>
  <c r="V1547" i="2"/>
  <c r="W1547" i="2"/>
  <c r="U1572" i="2"/>
  <c r="V1572" i="2"/>
  <c r="W1572" i="2"/>
  <c r="U1574" i="2"/>
  <c r="V1574" i="2"/>
  <c r="W1574" i="2"/>
  <c r="U1580" i="2"/>
  <c r="V1580" i="2"/>
  <c r="W1580" i="2"/>
  <c r="U1586" i="2"/>
  <c r="V1586" i="2"/>
  <c r="W1586" i="2"/>
  <c r="U1590" i="2"/>
  <c r="V1590" i="2"/>
  <c r="W1590" i="2"/>
  <c r="U1611" i="2"/>
  <c r="V1611" i="2"/>
  <c r="W1611" i="2"/>
  <c r="U1616" i="2"/>
  <c r="V1616" i="2"/>
  <c r="W1616" i="2"/>
  <c r="U1620" i="2"/>
  <c r="V1620" i="2"/>
  <c r="W1620" i="2"/>
  <c r="U1629" i="2"/>
  <c r="V1629" i="2"/>
  <c r="W1629" i="2"/>
  <c r="U1640" i="2"/>
  <c r="V1640" i="2"/>
  <c r="W1640" i="2"/>
  <c r="U1658" i="2"/>
  <c r="V1658" i="2"/>
  <c r="W1658" i="2"/>
  <c r="U1725" i="2"/>
  <c r="V1725" i="2"/>
  <c r="W1725" i="2"/>
  <c r="U1820" i="2"/>
  <c r="V1820" i="2"/>
  <c r="W1820" i="2"/>
  <c r="U1885" i="2"/>
  <c r="V1885" i="2"/>
  <c r="W1885" i="2"/>
  <c r="U1970" i="2"/>
  <c r="V1970" i="2"/>
  <c r="W1970" i="2"/>
  <c r="U1310" i="2"/>
  <c r="V1310" i="2"/>
  <c r="W1310" i="2"/>
  <c r="U1504" i="2"/>
  <c r="V1504" i="2"/>
  <c r="W1504" i="2"/>
  <c r="U1515" i="2"/>
  <c r="V1515" i="2"/>
  <c r="W1515" i="2"/>
  <c r="U1524" i="2"/>
  <c r="V1524" i="2"/>
  <c r="W1524" i="2"/>
  <c r="U1569" i="2"/>
  <c r="V1569" i="2"/>
  <c r="W1569" i="2"/>
  <c r="U1573" i="2"/>
  <c r="V1573" i="2"/>
  <c r="W1573" i="2"/>
  <c r="U1576" i="2"/>
  <c r="V1576" i="2"/>
  <c r="W1576" i="2"/>
  <c r="U1625" i="2"/>
  <c r="V1625" i="2"/>
  <c r="W1625" i="2"/>
  <c r="U1806" i="2"/>
  <c r="V1806" i="2"/>
  <c r="W1806" i="2"/>
  <c r="U1848" i="2"/>
  <c r="V1848" i="2"/>
  <c r="W1848" i="2"/>
  <c r="U1994" i="2"/>
  <c r="V1994" i="2"/>
  <c r="W1994" i="2"/>
  <c r="U2452" i="2"/>
  <c r="V2452" i="2"/>
  <c r="W2452" i="2"/>
  <c r="U2325" i="2"/>
  <c r="V2325" i="2"/>
  <c r="W2325" i="2"/>
  <c r="U2326" i="2"/>
  <c r="V2326" i="2"/>
  <c r="W2326" i="2"/>
  <c r="U2327" i="2"/>
  <c r="V2327" i="2"/>
  <c r="W2327" i="2"/>
  <c r="U2328" i="2"/>
  <c r="V2328" i="2"/>
  <c r="W2328" i="2"/>
  <c r="U2329" i="2"/>
  <c r="V2329" i="2"/>
  <c r="W2329" i="2"/>
  <c r="U2330" i="2"/>
  <c r="V2330" i="2"/>
  <c r="W2330" i="2"/>
  <c r="U2331" i="2"/>
  <c r="V2331" i="2"/>
  <c r="W2331" i="2"/>
  <c r="U2332" i="2"/>
  <c r="V2332" i="2"/>
  <c r="W2332" i="2"/>
  <c r="U2333" i="2"/>
  <c r="V2333" i="2"/>
  <c r="W2333" i="2"/>
  <c r="U2334" i="2"/>
  <c r="V2334" i="2"/>
  <c r="W2334" i="2"/>
  <c r="U2335" i="2"/>
  <c r="V2335" i="2"/>
  <c r="W2335" i="2"/>
  <c r="U2336" i="2"/>
  <c r="V2336" i="2"/>
  <c r="W2336" i="2"/>
  <c r="U2337" i="2"/>
  <c r="V2337" i="2"/>
  <c r="W2337" i="2"/>
  <c r="U2338" i="2"/>
  <c r="V2338" i="2"/>
  <c r="W2338" i="2"/>
  <c r="U2339" i="2"/>
  <c r="V2339" i="2"/>
  <c r="W2339" i="2"/>
  <c r="U2340" i="2"/>
  <c r="V2340" i="2"/>
  <c r="W2340" i="2"/>
  <c r="U2341" i="2"/>
  <c r="V2341" i="2"/>
  <c r="W2341" i="2"/>
  <c r="U2342" i="2"/>
  <c r="V2342" i="2"/>
  <c r="W2342" i="2"/>
  <c r="U2343" i="2"/>
  <c r="V2343" i="2"/>
  <c r="W2343" i="2"/>
  <c r="U2344" i="2"/>
  <c r="V2344" i="2"/>
  <c r="W2344" i="2"/>
  <c r="U2345" i="2"/>
  <c r="V2345" i="2"/>
  <c r="W2345" i="2"/>
  <c r="U2346" i="2"/>
  <c r="V2346" i="2"/>
  <c r="W2346" i="2"/>
  <c r="U2347" i="2"/>
  <c r="V2347" i="2"/>
  <c r="W2347" i="2"/>
  <c r="U2348" i="2"/>
  <c r="V2348" i="2"/>
  <c r="W2348" i="2"/>
  <c r="U2349" i="2"/>
  <c r="V2349" i="2"/>
  <c r="W2349" i="2"/>
  <c r="U2350" i="2"/>
  <c r="V2350" i="2"/>
  <c r="W2350" i="2"/>
  <c r="U2351" i="2"/>
  <c r="V2351" i="2"/>
  <c r="W2351" i="2"/>
  <c r="U2352" i="2"/>
  <c r="V2352" i="2"/>
  <c r="W2352" i="2"/>
  <c r="U2353" i="2"/>
  <c r="V2353" i="2"/>
  <c r="W2353" i="2"/>
  <c r="U2354" i="2"/>
  <c r="V2354" i="2"/>
  <c r="W2354" i="2"/>
  <c r="U2355" i="2"/>
  <c r="V2355" i="2"/>
  <c r="W2355" i="2"/>
  <c r="U2356" i="2"/>
  <c r="V2356" i="2"/>
  <c r="W2356" i="2"/>
  <c r="U2357" i="2"/>
  <c r="V2357" i="2"/>
  <c r="W2357" i="2"/>
  <c r="U2358" i="2"/>
  <c r="V2358" i="2"/>
  <c r="W2358" i="2"/>
  <c r="U2359" i="2"/>
  <c r="V2359" i="2"/>
  <c r="W2359" i="2"/>
  <c r="U2360" i="2"/>
  <c r="V2360" i="2"/>
  <c r="W2360" i="2"/>
  <c r="U2361" i="2"/>
  <c r="V2361" i="2"/>
  <c r="W2361" i="2"/>
  <c r="U2362" i="2"/>
  <c r="V2362" i="2"/>
  <c r="W2362" i="2"/>
  <c r="U2363" i="2"/>
  <c r="V2363" i="2"/>
  <c r="W2363" i="2"/>
  <c r="U2364" i="2"/>
  <c r="V2364" i="2"/>
  <c r="W2364" i="2"/>
  <c r="U2365" i="2"/>
  <c r="V2365" i="2"/>
  <c r="W2365" i="2"/>
  <c r="U2366" i="2"/>
  <c r="V2366" i="2"/>
  <c r="W2366" i="2"/>
  <c r="U2367" i="2"/>
  <c r="V2367" i="2"/>
  <c r="W2367" i="2"/>
  <c r="U2368" i="2"/>
  <c r="V2368" i="2"/>
  <c r="W2368" i="2"/>
  <c r="U2369" i="2"/>
  <c r="V2369" i="2"/>
  <c r="W2369" i="2"/>
  <c r="U2370" i="2"/>
  <c r="V2370" i="2"/>
  <c r="W2370" i="2"/>
  <c r="U2371" i="2"/>
  <c r="V2371" i="2"/>
  <c r="W2371" i="2"/>
  <c r="U2372" i="2"/>
  <c r="V2372" i="2"/>
  <c r="W2372" i="2"/>
  <c r="U2373" i="2"/>
  <c r="V2373" i="2"/>
  <c r="W2373" i="2"/>
  <c r="U2374" i="2"/>
  <c r="V2374" i="2"/>
  <c r="W2374" i="2"/>
  <c r="U2375" i="2"/>
  <c r="V2375" i="2"/>
  <c r="W2375" i="2"/>
  <c r="U2376" i="2"/>
  <c r="V2376" i="2"/>
  <c r="W2376" i="2"/>
  <c r="U3143" i="2"/>
  <c r="V3143" i="2"/>
  <c r="W3143" i="2"/>
  <c r="U3618" i="2"/>
  <c r="V3618" i="2"/>
  <c r="W3618" i="2"/>
  <c r="U3619" i="2"/>
  <c r="V3619" i="2"/>
  <c r="W3619" i="2"/>
  <c r="U3620" i="2"/>
  <c r="V3620" i="2"/>
  <c r="W3620" i="2"/>
  <c r="U3621" i="2"/>
  <c r="V3621" i="2"/>
  <c r="W3621" i="2"/>
  <c r="U3622" i="2"/>
  <c r="V3622" i="2"/>
  <c r="W3622" i="2"/>
  <c r="U3623" i="2"/>
  <c r="V3623" i="2"/>
  <c r="W3623" i="2"/>
  <c r="U3624" i="2"/>
  <c r="V3624" i="2"/>
  <c r="W3624" i="2"/>
  <c r="U3625" i="2"/>
  <c r="V3625" i="2"/>
  <c r="W3625" i="2"/>
  <c r="U3626" i="2"/>
  <c r="V3626" i="2"/>
  <c r="W3626" i="2"/>
  <c r="U3627" i="2"/>
  <c r="V3627" i="2"/>
  <c r="W3627" i="2"/>
  <c r="U3628" i="2"/>
  <c r="V3628" i="2"/>
  <c r="W3628" i="2"/>
  <c r="U3629" i="2"/>
  <c r="V3629" i="2"/>
  <c r="W3629" i="2"/>
  <c r="U3630" i="2"/>
  <c r="V3630" i="2"/>
  <c r="W3630" i="2"/>
  <c r="U3631" i="2"/>
  <c r="V3631" i="2"/>
  <c r="W3631" i="2"/>
  <c r="U3632" i="2"/>
  <c r="V3632" i="2"/>
  <c r="W3632" i="2"/>
  <c r="U3633" i="2"/>
  <c r="V3633" i="2"/>
  <c r="W3633" i="2"/>
  <c r="U3634" i="2"/>
  <c r="V3634" i="2"/>
  <c r="W3634" i="2"/>
  <c r="U3635" i="2"/>
  <c r="V3635" i="2"/>
  <c r="W3635" i="2"/>
  <c r="U3636" i="2"/>
  <c r="V3636" i="2"/>
  <c r="W3636" i="2"/>
  <c r="U3637" i="2"/>
  <c r="V3637" i="2"/>
  <c r="W3637" i="2"/>
  <c r="U3638" i="2"/>
  <c r="V3638" i="2"/>
  <c r="W3638" i="2"/>
  <c r="U3639" i="2"/>
  <c r="V3639" i="2"/>
  <c r="W3639" i="2"/>
  <c r="U3640" i="2"/>
  <c r="V3640" i="2"/>
  <c r="W3640" i="2"/>
  <c r="U3641" i="2"/>
  <c r="V3641" i="2"/>
  <c r="W3641" i="2"/>
  <c r="U3642" i="2"/>
  <c r="V3642" i="2"/>
  <c r="W3642" i="2"/>
  <c r="U3643" i="2"/>
  <c r="V3643" i="2"/>
  <c r="W3643" i="2"/>
  <c r="U3644" i="2"/>
  <c r="V3644" i="2"/>
  <c r="W3644" i="2"/>
  <c r="U3645" i="2"/>
  <c r="V3645" i="2"/>
  <c r="W3645" i="2"/>
  <c r="U3646" i="2"/>
  <c r="V3646" i="2"/>
  <c r="W3646" i="2"/>
  <c r="U3647" i="2"/>
  <c r="V3647" i="2"/>
  <c r="W3647" i="2"/>
  <c r="U3648" i="2"/>
  <c r="V3648" i="2"/>
  <c r="W3648" i="2"/>
  <c r="U3649" i="2"/>
  <c r="V3649" i="2"/>
  <c r="W3649" i="2"/>
  <c r="U3650" i="2"/>
  <c r="V3650" i="2"/>
  <c r="W3650" i="2"/>
  <c r="U3651" i="2"/>
  <c r="V3651" i="2"/>
  <c r="W3651" i="2"/>
  <c r="U3652" i="2"/>
  <c r="V3652" i="2"/>
  <c r="W3652" i="2"/>
  <c r="U3653" i="2"/>
  <c r="V3653" i="2"/>
  <c r="W3653" i="2"/>
  <c r="U3654" i="2"/>
  <c r="V3654" i="2"/>
  <c r="W3654" i="2"/>
  <c r="U3655" i="2"/>
  <c r="V3655" i="2"/>
  <c r="W3655" i="2"/>
  <c r="U3656" i="2"/>
  <c r="V3656" i="2"/>
  <c r="W3656" i="2"/>
  <c r="U3657" i="2"/>
  <c r="V3657" i="2"/>
  <c r="W3657" i="2"/>
  <c r="U3658" i="2"/>
  <c r="V3658" i="2"/>
  <c r="W3658" i="2"/>
  <c r="U3659" i="2"/>
  <c r="V3659" i="2"/>
  <c r="W3659" i="2"/>
  <c r="U3660" i="2"/>
  <c r="V3660" i="2"/>
  <c r="W3660" i="2"/>
  <c r="U3661" i="2"/>
  <c r="V3661" i="2"/>
  <c r="W3661" i="2"/>
  <c r="U3662" i="2"/>
  <c r="V3662" i="2"/>
  <c r="W3662" i="2"/>
  <c r="U3663" i="2"/>
  <c r="V3663" i="2"/>
  <c r="W3663" i="2"/>
  <c r="U3664" i="2"/>
  <c r="V3664" i="2"/>
  <c r="W3664" i="2"/>
  <c r="U3665" i="2"/>
  <c r="V3665" i="2"/>
  <c r="W3665" i="2"/>
  <c r="U3666" i="2"/>
  <c r="V3666" i="2"/>
  <c r="W3666" i="2"/>
  <c r="U3667" i="2"/>
  <c r="V3667" i="2"/>
  <c r="W3667" i="2"/>
  <c r="U3668" i="2"/>
  <c r="V3668" i="2"/>
  <c r="W3668" i="2"/>
  <c r="U3669" i="2"/>
  <c r="V3669" i="2"/>
  <c r="W3669" i="2"/>
  <c r="U3670" i="2"/>
  <c r="V3670" i="2"/>
  <c r="W3670" i="2"/>
  <c r="U3671" i="2"/>
  <c r="V3671" i="2"/>
  <c r="W3671" i="2"/>
  <c r="U3672" i="2"/>
  <c r="V3672" i="2"/>
  <c r="W3672" i="2"/>
  <c r="U3673" i="2"/>
  <c r="V3673" i="2"/>
  <c r="W3673" i="2"/>
  <c r="U3674" i="2"/>
  <c r="V3674" i="2"/>
  <c r="W3674" i="2"/>
  <c r="U3675" i="2"/>
  <c r="V3675" i="2"/>
  <c r="W3675" i="2"/>
  <c r="U3676" i="2"/>
  <c r="V3676" i="2"/>
  <c r="W3676" i="2"/>
  <c r="U3677" i="2"/>
  <c r="V3677" i="2"/>
  <c r="W3677" i="2"/>
  <c r="U3678" i="2"/>
  <c r="V3678" i="2"/>
  <c r="W3678" i="2"/>
  <c r="U3679" i="2"/>
  <c r="V3679" i="2"/>
  <c r="W3679" i="2"/>
  <c r="U3680" i="2"/>
  <c r="V3680" i="2"/>
  <c r="W3680" i="2"/>
  <c r="U3681" i="2"/>
  <c r="V3681" i="2"/>
  <c r="W3681" i="2"/>
  <c r="U3682" i="2"/>
  <c r="V3682" i="2"/>
  <c r="W3682" i="2"/>
  <c r="U3683" i="2"/>
  <c r="V3683" i="2"/>
  <c r="W3683" i="2"/>
  <c r="U3684" i="2"/>
  <c r="V3684" i="2"/>
  <c r="W3684" i="2"/>
  <c r="U3685" i="2"/>
  <c r="V3685" i="2"/>
  <c r="W3685" i="2"/>
  <c r="U3686" i="2"/>
  <c r="V3686" i="2"/>
  <c r="W3686" i="2"/>
  <c r="U3687" i="2"/>
  <c r="V3687" i="2"/>
  <c r="W3687" i="2"/>
  <c r="U3688" i="2"/>
  <c r="V3688" i="2"/>
  <c r="W3688" i="2"/>
  <c r="U3689" i="2"/>
  <c r="V3689" i="2"/>
  <c r="W3689" i="2"/>
  <c r="U3690" i="2"/>
  <c r="V3690" i="2"/>
  <c r="W3690" i="2"/>
  <c r="U3691" i="2"/>
  <c r="V3691" i="2"/>
  <c r="W3691" i="2"/>
  <c r="U3692" i="2"/>
  <c r="V3692" i="2"/>
  <c r="W3692" i="2"/>
  <c r="U3693" i="2"/>
  <c r="V3693" i="2"/>
  <c r="W3693" i="2"/>
  <c r="U3694" i="2"/>
  <c r="V3694" i="2"/>
  <c r="W3694" i="2"/>
  <c r="U3695" i="2"/>
  <c r="V3695" i="2"/>
  <c r="W3695" i="2"/>
  <c r="U3696" i="2"/>
  <c r="V3696" i="2"/>
  <c r="W3696" i="2"/>
  <c r="U3697" i="2"/>
  <c r="V3697" i="2"/>
  <c r="W3697" i="2"/>
  <c r="U3698" i="2"/>
  <c r="V3698" i="2"/>
  <c r="W3698" i="2"/>
  <c r="U3699" i="2"/>
  <c r="V3699" i="2"/>
  <c r="W3699" i="2"/>
  <c r="U3700" i="2"/>
  <c r="V3700" i="2"/>
  <c r="W3700" i="2"/>
  <c r="U3701" i="2"/>
  <c r="V3701" i="2"/>
  <c r="W3701" i="2"/>
  <c r="U3702" i="2"/>
  <c r="V3702" i="2"/>
  <c r="W3702" i="2"/>
  <c r="U3703" i="2"/>
  <c r="V3703" i="2"/>
  <c r="W3703" i="2"/>
  <c r="U3704" i="2"/>
  <c r="V3704" i="2"/>
  <c r="W3704" i="2"/>
  <c r="U3705" i="2"/>
  <c r="V3705" i="2"/>
  <c r="W3705" i="2"/>
  <c r="U3706" i="2"/>
  <c r="V3706" i="2"/>
  <c r="W3706" i="2"/>
  <c r="U3707" i="2"/>
  <c r="V3707" i="2"/>
  <c r="W3707" i="2"/>
  <c r="U3708" i="2"/>
  <c r="V3708" i="2"/>
  <c r="W3708" i="2"/>
  <c r="U3709" i="2"/>
  <c r="V3709" i="2"/>
  <c r="W3709" i="2"/>
  <c r="U3710" i="2"/>
  <c r="V3710" i="2"/>
  <c r="W3710" i="2"/>
  <c r="U3711" i="2"/>
  <c r="V3711" i="2"/>
  <c r="W3711" i="2"/>
  <c r="U3712" i="2"/>
  <c r="V3712" i="2"/>
  <c r="W3712" i="2"/>
  <c r="U3713" i="2"/>
  <c r="V3713" i="2"/>
  <c r="W3713" i="2"/>
  <c r="U3714" i="2"/>
  <c r="V3714" i="2"/>
  <c r="W3714" i="2"/>
  <c r="U3715" i="2"/>
  <c r="V3715" i="2"/>
  <c r="W3715" i="2"/>
  <c r="U3716" i="2"/>
  <c r="V3716" i="2"/>
  <c r="W3716" i="2"/>
  <c r="U3717" i="2"/>
  <c r="V3717" i="2"/>
  <c r="W3717" i="2"/>
  <c r="U3718" i="2"/>
  <c r="V3718" i="2"/>
  <c r="W3718" i="2"/>
  <c r="U3719" i="2"/>
  <c r="V3719" i="2"/>
  <c r="W3719" i="2"/>
  <c r="U3720" i="2"/>
  <c r="V3720" i="2"/>
  <c r="W3720" i="2"/>
  <c r="U3721" i="2"/>
  <c r="V3721" i="2"/>
  <c r="W3721" i="2"/>
  <c r="U3722" i="2"/>
  <c r="V3722" i="2"/>
  <c r="W3722" i="2"/>
  <c r="U3723" i="2"/>
  <c r="V3723" i="2"/>
  <c r="W3723" i="2"/>
  <c r="U3724" i="2"/>
  <c r="V3724" i="2"/>
  <c r="W3724" i="2"/>
  <c r="U3725" i="2"/>
  <c r="V3725" i="2"/>
  <c r="W3725" i="2"/>
  <c r="U3726" i="2"/>
  <c r="V3726" i="2"/>
  <c r="W3726" i="2"/>
  <c r="U3727" i="2"/>
  <c r="V3727" i="2"/>
  <c r="W3727" i="2"/>
  <c r="U3728" i="2"/>
  <c r="V3728" i="2"/>
  <c r="W3728" i="2"/>
  <c r="U3729" i="2"/>
  <c r="V3729" i="2"/>
  <c r="W3729" i="2"/>
  <c r="U3730" i="2"/>
  <c r="V3730" i="2"/>
  <c r="W3730" i="2"/>
  <c r="U3731" i="2"/>
  <c r="V3731" i="2"/>
  <c r="W3731" i="2"/>
  <c r="U3732" i="2"/>
  <c r="V3732" i="2"/>
  <c r="W3732" i="2"/>
  <c r="U3733" i="2"/>
  <c r="V3733" i="2"/>
  <c r="W3733" i="2"/>
  <c r="U3734" i="2"/>
  <c r="V3734" i="2"/>
  <c r="W3734" i="2"/>
  <c r="U3735" i="2"/>
  <c r="V3735" i="2"/>
  <c r="W3735" i="2"/>
  <c r="U3736" i="2"/>
  <c r="V3736" i="2"/>
  <c r="W3736" i="2"/>
  <c r="U3737" i="2"/>
  <c r="V3737" i="2"/>
  <c r="W3737" i="2"/>
  <c r="U3738" i="2"/>
  <c r="V3738" i="2"/>
  <c r="W3738" i="2"/>
  <c r="U3739" i="2"/>
  <c r="V3739" i="2"/>
  <c r="W3739" i="2"/>
  <c r="U3740" i="2"/>
  <c r="V3740" i="2"/>
  <c r="W3740" i="2"/>
  <c r="U3741" i="2"/>
  <c r="V3741" i="2"/>
  <c r="W3741" i="2"/>
  <c r="U3742" i="2"/>
  <c r="V3742" i="2"/>
  <c r="W3742" i="2"/>
  <c r="U3743" i="2"/>
  <c r="V3743" i="2"/>
  <c r="W3743" i="2"/>
  <c r="U3744" i="2"/>
  <c r="V3744" i="2"/>
  <c r="W3744" i="2"/>
  <c r="U3745" i="2"/>
  <c r="V3745" i="2"/>
  <c r="W3745" i="2"/>
  <c r="U3746" i="2"/>
  <c r="V3746" i="2"/>
  <c r="W3746" i="2"/>
  <c r="U3747" i="2"/>
  <c r="V3747" i="2"/>
  <c r="W3747" i="2"/>
  <c r="U3748" i="2"/>
  <c r="V3748" i="2"/>
  <c r="W3748" i="2"/>
  <c r="U3749" i="2"/>
  <c r="V3749" i="2"/>
  <c r="W3749" i="2"/>
  <c r="U3750" i="2"/>
  <c r="V3750" i="2"/>
  <c r="W3750" i="2"/>
  <c r="U3751" i="2"/>
  <c r="V3751" i="2"/>
  <c r="W3751" i="2"/>
  <c r="U3752" i="2"/>
  <c r="V3752" i="2"/>
  <c r="W3752" i="2"/>
  <c r="U3753" i="2"/>
  <c r="V3753" i="2"/>
  <c r="W3753" i="2"/>
  <c r="U3754" i="2"/>
  <c r="V3754" i="2"/>
  <c r="W3754" i="2"/>
  <c r="U3755" i="2"/>
  <c r="V3755" i="2"/>
  <c r="W3755" i="2"/>
  <c r="U3756" i="2"/>
  <c r="V3756" i="2"/>
  <c r="W3756" i="2"/>
  <c r="U3757" i="2"/>
  <c r="V3757" i="2"/>
  <c r="W3757" i="2"/>
  <c r="U3758" i="2"/>
  <c r="V3758" i="2"/>
  <c r="W3758" i="2"/>
  <c r="U3759" i="2"/>
  <c r="V3759" i="2"/>
  <c r="W3759" i="2"/>
  <c r="U3760" i="2"/>
  <c r="V3760" i="2"/>
  <c r="W3760" i="2"/>
  <c r="U3761" i="2"/>
  <c r="V3761" i="2"/>
  <c r="W3761" i="2"/>
  <c r="U3762" i="2"/>
  <c r="V3762" i="2"/>
  <c r="W3762" i="2"/>
  <c r="U3763" i="2"/>
  <c r="V3763" i="2"/>
  <c r="W3763" i="2"/>
  <c r="U3764" i="2"/>
  <c r="V3764" i="2"/>
  <c r="W3764" i="2"/>
  <c r="U3765" i="2"/>
  <c r="V3765" i="2"/>
  <c r="W3765" i="2"/>
  <c r="U3766" i="2"/>
  <c r="V3766" i="2"/>
  <c r="W3766" i="2"/>
  <c r="U3767" i="2"/>
  <c r="V3767" i="2"/>
  <c r="W3767" i="2"/>
  <c r="U3768" i="2"/>
  <c r="V3768" i="2"/>
  <c r="W3768" i="2"/>
  <c r="U3769" i="2"/>
  <c r="V3769" i="2"/>
  <c r="W3769" i="2"/>
  <c r="U3770" i="2"/>
  <c r="V3770" i="2"/>
  <c r="W3770" i="2"/>
  <c r="U3771" i="2"/>
  <c r="V3771" i="2"/>
  <c r="W3771" i="2"/>
  <c r="U3772" i="2"/>
  <c r="V3772" i="2"/>
  <c r="W3772" i="2"/>
  <c r="U3773" i="2"/>
  <c r="V3773" i="2"/>
  <c r="W3773" i="2"/>
  <c r="U3774" i="2"/>
  <c r="V3774" i="2"/>
  <c r="W3774" i="2"/>
  <c r="U3775" i="2"/>
  <c r="V3775" i="2"/>
  <c r="W3775" i="2"/>
  <c r="U3776" i="2"/>
  <c r="V3776" i="2"/>
  <c r="W3776" i="2"/>
  <c r="U3777" i="2"/>
  <c r="V3777" i="2"/>
  <c r="W3777" i="2"/>
  <c r="U3778" i="2"/>
  <c r="V3778" i="2"/>
  <c r="W3778" i="2"/>
  <c r="U3779" i="2"/>
  <c r="V3779" i="2"/>
  <c r="W3779" i="2"/>
  <c r="U3780" i="2"/>
  <c r="V3780" i="2"/>
  <c r="W3780" i="2"/>
  <c r="U3781" i="2"/>
  <c r="V3781" i="2"/>
  <c r="W3781" i="2"/>
  <c r="U3782" i="2"/>
  <c r="V3782" i="2"/>
  <c r="W3782" i="2"/>
  <c r="U3783" i="2"/>
  <c r="V3783" i="2"/>
  <c r="W3783" i="2"/>
  <c r="U3784" i="2"/>
  <c r="V3784" i="2"/>
  <c r="W3784" i="2"/>
  <c r="U3785" i="2"/>
  <c r="V3785" i="2"/>
  <c r="W3785" i="2"/>
  <c r="U3786" i="2"/>
  <c r="V3786" i="2"/>
  <c r="W3786" i="2"/>
  <c r="U3787" i="2"/>
  <c r="V3787" i="2"/>
  <c r="W3787" i="2"/>
  <c r="U3788" i="2"/>
  <c r="V3788" i="2"/>
  <c r="W3788" i="2"/>
  <c r="U3789" i="2"/>
  <c r="V3789" i="2"/>
  <c r="W3789" i="2"/>
  <c r="U3790" i="2"/>
  <c r="V3790" i="2"/>
  <c r="W3790" i="2"/>
  <c r="U3791" i="2"/>
  <c r="V3791" i="2"/>
  <c r="W3791" i="2"/>
  <c r="U3792" i="2"/>
  <c r="V3792" i="2"/>
  <c r="W3792" i="2"/>
  <c r="U3793" i="2"/>
  <c r="V3793" i="2"/>
  <c r="W3793" i="2"/>
  <c r="U3794" i="2"/>
  <c r="V3794" i="2"/>
  <c r="W3794" i="2"/>
  <c r="U3795" i="2"/>
  <c r="V3795" i="2"/>
  <c r="W3795" i="2"/>
  <c r="U3796" i="2"/>
  <c r="V3796" i="2"/>
  <c r="W3796" i="2"/>
  <c r="U3797" i="2"/>
  <c r="V3797" i="2"/>
  <c r="W3797" i="2"/>
  <c r="U3798" i="2"/>
  <c r="V3798" i="2"/>
  <c r="W3798" i="2"/>
  <c r="U3799" i="2"/>
  <c r="V3799" i="2"/>
  <c r="W3799" i="2"/>
  <c r="U3800" i="2"/>
  <c r="V3800" i="2"/>
  <c r="W3800" i="2"/>
  <c r="U3801" i="2"/>
  <c r="V3801" i="2"/>
  <c r="W3801" i="2"/>
  <c r="U3802" i="2"/>
  <c r="V3802" i="2"/>
  <c r="W3802" i="2"/>
  <c r="U3803" i="2"/>
  <c r="V3803" i="2"/>
  <c r="W3803" i="2"/>
  <c r="U3804" i="2"/>
  <c r="V3804" i="2"/>
  <c r="W3804" i="2"/>
  <c r="U3805" i="2"/>
  <c r="V3805" i="2"/>
  <c r="W3805" i="2"/>
  <c r="U3806" i="2"/>
  <c r="V3806" i="2"/>
  <c r="W3806" i="2"/>
  <c r="U3807" i="2"/>
  <c r="V3807" i="2"/>
  <c r="W3807" i="2"/>
  <c r="U3808" i="2"/>
  <c r="V3808" i="2"/>
  <c r="W3808" i="2"/>
  <c r="U3809" i="2"/>
  <c r="V3809" i="2"/>
  <c r="W3809" i="2"/>
  <c r="U3810" i="2"/>
  <c r="V3810" i="2"/>
  <c r="W3810" i="2"/>
  <c r="U3811" i="2"/>
  <c r="V3811" i="2"/>
  <c r="W3811" i="2"/>
  <c r="U3812" i="2"/>
  <c r="V3812" i="2"/>
  <c r="W3812" i="2"/>
  <c r="U3813" i="2"/>
  <c r="V3813" i="2"/>
  <c r="W3813" i="2"/>
  <c r="U3814" i="2"/>
  <c r="V3814" i="2"/>
  <c r="W3814" i="2"/>
  <c r="U3815" i="2"/>
  <c r="V3815" i="2"/>
  <c r="W3815" i="2"/>
  <c r="U3816" i="2"/>
  <c r="V3816" i="2"/>
  <c r="W3816" i="2"/>
  <c r="U3817" i="2"/>
  <c r="V3817" i="2"/>
  <c r="W3817" i="2"/>
  <c r="U3818" i="2"/>
  <c r="V3818" i="2"/>
  <c r="W3818" i="2"/>
  <c r="U3819" i="2"/>
  <c r="V3819" i="2"/>
  <c r="W3819" i="2"/>
  <c r="U3820" i="2"/>
  <c r="V3820" i="2"/>
  <c r="W3820" i="2"/>
  <c r="U3821" i="2"/>
  <c r="V3821" i="2"/>
  <c r="W3821" i="2"/>
  <c r="U3822" i="2"/>
  <c r="V3822" i="2"/>
  <c r="W3822" i="2"/>
  <c r="U3823" i="2"/>
  <c r="V3823" i="2"/>
  <c r="W3823" i="2"/>
  <c r="U3824" i="2"/>
  <c r="V3824" i="2"/>
  <c r="W3824" i="2"/>
  <c r="U3825" i="2"/>
  <c r="V3825" i="2"/>
  <c r="W3825" i="2"/>
  <c r="U3826" i="2"/>
  <c r="V3826" i="2"/>
  <c r="W3826" i="2"/>
  <c r="U3827" i="2"/>
  <c r="V3827" i="2"/>
  <c r="W3827" i="2"/>
  <c r="U3828" i="2"/>
  <c r="V3828" i="2"/>
  <c r="W3828" i="2"/>
  <c r="U3829" i="2"/>
  <c r="V3829" i="2"/>
  <c r="W3829" i="2"/>
  <c r="U3830" i="2"/>
  <c r="V3830" i="2"/>
  <c r="W3830" i="2"/>
  <c r="U3831" i="2"/>
  <c r="V3831" i="2"/>
  <c r="W3831" i="2"/>
  <c r="U3832" i="2"/>
  <c r="V3832" i="2"/>
  <c r="W3832" i="2"/>
  <c r="U3833" i="2"/>
  <c r="V3833" i="2"/>
  <c r="W3833" i="2"/>
  <c r="U3834" i="2"/>
  <c r="V3834" i="2"/>
  <c r="W3834" i="2"/>
  <c r="U3835" i="2"/>
  <c r="V3835" i="2"/>
  <c r="W3835" i="2"/>
  <c r="U3836" i="2"/>
  <c r="V3836" i="2"/>
  <c r="W3836" i="2"/>
  <c r="U3837" i="2"/>
  <c r="V3837" i="2"/>
  <c r="W3837" i="2"/>
  <c r="U3838" i="2"/>
  <c r="V3838" i="2"/>
  <c r="W3838" i="2"/>
  <c r="U3839" i="2"/>
  <c r="V3839" i="2"/>
  <c r="W3839" i="2"/>
  <c r="U3840" i="2"/>
  <c r="V3840" i="2"/>
  <c r="W3840" i="2"/>
  <c r="U3841" i="2"/>
  <c r="V3841" i="2"/>
  <c r="W3841" i="2"/>
  <c r="U3842" i="2"/>
  <c r="V3842" i="2"/>
  <c r="W3842" i="2"/>
  <c r="U3843" i="2"/>
  <c r="V3843" i="2"/>
  <c r="W3843" i="2"/>
  <c r="U3844" i="2"/>
  <c r="V3844" i="2"/>
  <c r="W3844" i="2"/>
  <c r="U3845" i="2"/>
  <c r="V3845" i="2"/>
  <c r="W3845" i="2"/>
  <c r="U3846" i="2"/>
  <c r="V3846" i="2"/>
  <c r="W3846" i="2"/>
  <c r="U3847" i="2"/>
  <c r="V3847" i="2"/>
  <c r="W3847" i="2"/>
  <c r="U3848" i="2"/>
  <c r="V3848" i="2"/>
  <c r="W3848" i="2"/>
  <c r="U3849" i="2"/>
  <c r="V3849" i="2"/>
  <c r="W3849" i="2"/>
  <c r="U3850" i="2"/>
  <c r="V3850" i="2"/>
  <c r="W3850" i="2"/>
  <c r="U3851" i="2"/>
  <c r="V3851" i="2"/>
  <c r="W3851" i="2"/>
  <c r="U3852" i="2"/>
  <c r="V3852" i="2"/>
  <c r="W3852" i="2"/>
  <c r="U3853" i="2"/>
  <c r="V3853" i="2"/>
  <c r="W3853" i="2"/>
  <c r="U3854" i="2"/>
  <c r="V3854" i="2"/>
  <c r="W3854" i="2"/>
  <c r="U3855" i="2"/>
  <c r="V3855" i="2"/>
  <c r="W3855" i="2"/>
  <c r="U3856" i="2"/>
  <c r="V3856" i="2"/>
  <c r="W3856" i="2"/>
  <c r="U3857" i="2"/>
  <c r="V3857" i="2"/>
  <c r="W3857" i="2"/>
  <c r="U3858" i="2"/>
  <c r="V3858" i="2"/>
  <c r="W3858" i="2"/>
  <c r="U3859" i="2"/>
  <c r="V3859" i="2"/>
  <c r="W3859" i="2"/>
  <c r="U3860" i="2"/>
  <c r="V3860" i="2"/>
  <c r="W3860" i="2"/>
  <c r="U3861" i="2"/>
  <c r="V3861" i="2"/>
  <c r="W3861" i="2"/>
  <c r="U3862" i="2"/>
  <c r="V3862" i="2"/>
  <c r="W3862" i="2"/>
  <c r="U3863" i="2"/>
  <c r="V3863" i="2"/>
  <c r="W3863" i="2"/>
  <c r="U3864" i="2"/>
  <c r="V3864" i="2"/>
  <c r="W3864" i="2"/>
  <c r="U3982" i="2"/>
  <c r="V3982" i="2"/>
  <c r="W3982" i="2"/>
  <c r="U3983" i="2"/>
  <c r="V3983" i="2"/>
  <c r="W3983" i="2"/>
  <c r="U3985" i="2"/>
  <c r="V3985" i="2"/>
  <c r="W3985" i="2"/>
  <c r="U3986" i="2"/>
  <c r="V3986" i="2"/>
  <c r="W3986" i="2"/>
  <c r="U3987" i="2"/>
  <c r="V3987" i="2"/>
  <c r="W3987" i="2"/>
  <c r="U3988" i="2"/>
  <c r="V3988" i="2"/>
  <c r="W3988" i="2"/>
  <c r="U3991" i="2"/>
  <c r="V3991" i="2"/>
  <c r="W3991" i="2"/>
  <c r="U3992" i="2"/>
  <c r="V3992" i="2"/>
  <c r="W3992" i="2"/>
  <c r="U3994" i="2"/>
  <c r="V3994" i="2"/>
  <c r="W3994" i="2"/>
  <c r="U3995" i="2"/>
  <c r="V3995" i="2"/>
  <c r="W3995" i="2"/>
  <c r="U3996" i="2"/>
  <c r="V3996" i="2"/>
  <c r="W3996" i="2"/>
  <c r="U3997" i="2"/>
  <c r="V3997" i="2"/>
  <c r="W3997" i="2"/>
  <c r="U3998" i="2"/>
  <c r="V3998" i="2"/>
  <c r="W3998" i="2"/>
  <c r="U3999" i="2"/>
  <c r="V3999" i="2"/>
  <c r="W3999" i="2"/>
  <c r="U4813" i="2"/>
  <c r="V4813" i="2"/>
  <c r="W4813" i="2"/>
  <c r="U1025" i="2"/>
  <c r="V1025" i="2"/>
  <c r="W1025" i="2"/>
  <c r="U1107" i="2"/>
  <c r="V1107" i="2"/>
  <c r="W1107" i="2"/>
  <c r="U1234" i="2"/>
  <c r="V1234" i="2"/>
  <c r="W1234" i="2"/>
  <c r="U1289" i="2"/>
  <c r="V1289" i="2"/>
  <c r="W1289" i="2"/>
  <c r="U1570" i="2"/>
  <c r="V1570" i="2"/>
  <c r="W1570" i="2"/>
  <c r="U1581" i="2"/>
  <c r="V1581" i="2"/>
  <c r="W1581" i="2"/>
  <c r="U1584" i="2"/>
  <c r="V1584" i="2"/>
  <c r="W1584" i="2"/>
  <c r="U1598" i="2"/>
  <c r="V1598" i="2"/>
  <c r="W1598" i="2"/>
  <c r="U1607" i="2"/>
  <c r="V1607" i="2"/>
  <c r="W1607" i="2"/>
  <c r="U2455" i="2"/>
  <c r="V2455" i="2"/>
  <c r="W2455" i="2"/>
  <c r="U3244" i="2"/>
  <c r="V3244" i="2"/>
  <c r="W3244" i="2"/>
  <c r="U1278" i="2"/>
  <c r="V1278" i="2"/>
  <c r="W1278" i="2"/>
  <c r="U1526" i="2"/>
  <c r="V1526" i="2"/>
  <c r="W1526" i="2"/>
  <c r="U1563" i="2"/>
  <c r="V1563" i="2"/>
  <c r="W1563" i="2"/>
  <c r="U1577" i="2"/>
  <c r="V1577" i="2"/>
  <c r="W1577" i="2"/>
  <c r="U1587" i="2"/>
  <c r="V1587" i="2"/>
  <c r="W1587" i="2"/>
  <c r="U1595" i="2"/>
  <c r="V1595" i="2"/>
  <c r="W1595" i="2"/>
  <c r="U1600" i="2"/>
  <c r="V1600" i="2"/>
  <c r="W1600" i="2"/>
  <c r="U1622" i="2"/>
  <c r="V1622" i="2"/>
  <c r="W1622" i="2"/>
  <c r="U1632" i="2"/>
  <c r="V1632" i="2"/>
  <c r="W1632" i="2"/>
  <c r="U2466" i="2"/>
  <c r="V2466" i="2"/>
  <c r="W2466" i="2"/>
  <c r="U3307" i="2"/>
  <c r="V3307" i="2"/>
  <c r="W3307" i="2"/>
  <c r="U3328" i="2"/>
  <c r="V3328" i="2"/>
  <c r="W3328" i="2"/>
  <c r="U4828" i="2"/>
  <c r="V4828" i="2"/>
  <c r="W4828" i="2"/>
  <c r="U1317" i="2"/>
  <c r="V1317" i="2"/>
  <c r="W1317" i="2"/>
  <c r="U1578" i="2"/>
  <c r="V1578" i="2"/>
  <c r="W1578" i="2"/>
  <c r="U1583" i="2"/>
  <c r="V1583" i="2"/>
  <c r="W1583" i="2"/>
  <c r="U1588" i="2"/>
  <c r="V1588" i="2"/>
  <c r="W1588" i="2"/>
  <c r="U1608" i="2"/>
  <c r="V1608" i="2"/>
  <c r="W1608" i="2"/>
  <c r="U2020" i="2"/>
  <c r="V2020" i="2"/>
  <c r="W2020" i="2"/>
  <c r="U2457" i="2"/>
  <c r="V2457" i="2"/>
  <c r="W2457" i="2"/>
  <c r="U4820" i="2"/>
  <c r="V4820" i="2"/>
  <c r="W4820" i="2"/>
  <c r="U3253" i="2"/>
  <c r="V3253" i="2"/>
  <c r="W3253" i="2"/>
  <c r="U4837" i="2"/>
  <c r="V4837" i="2"/>
  <c r="W4837" i="2"/>
  <c r="U1562" i="2"/>
  <c r="V1562" i="2"/>
  <c r="W1562" i="2"/>
  <c r="U1571" i="2"/>
  <c r="V1571" i="2"/>
  <c r="W1571" i="2"/>
  <c r="U1626" i="2"/>
  <c r="V1626" i="2"/>
  <c r="W1626" i="2"/>
  <c r="U1631" i="2"/>
  <c r="V1631" i="2"/>
  <c r="W1631" i="2"/>
  <c r="U3254" i="2"/>
  <c r="V3254" i="2"/>
  <c r="W3254" i="2"/>
  <c r="U3295" i="2"/>
  <c r="V3295" i="2"/>
  <c r="W3295" i="2"/>
  <c r="U1262" i="2"/>
  <c r="V1262" i="2"/>
  <c r="W1262" i="2"/>
  <c r="U1273" i="2"/>
  <c r="V1273" i="2"/>
  <c r="W1273" i="2"/>
  <c r="U1557" i="2"/>
  <c r="V1557" i="2"/>
  <c r="W1557" i="2"/>
  <c r="U1604" i="2"/>
  <c r="V1604" i="2"/>
  <c r="W1604" i="2"/>
  <c r="U1609" i="2"/>
  <c r="V1609" i="2"/>
  <c r="W1609" i="2"/>
  <c r="U1763" i="2"/>
  <c r="V1763" i="2"/>
  <c r="W1763" i="2"/>
  <c r="U1844" i="2"/>
  <c r="V1844" i="2"/>
  <c r="W1844" i="2"/>
  <c r="U1846" i="2"/>
  <c r="V1846" i="2"/>
  <c r="W1846" i="2"/>
  <c r="U2483" i="2"/>
  <c r="V2483" i="2"/>
  <c r="W2483" i="2"/>
  <c r="U3304" i="2"/>
  <c r="V3304" i="2"/>
  <c r="W3304" i="2"/>
  <c r="U3318" i="2"/>
  <c r="V3318" i="2"/>
  <c r="W3318" i="2"/>
  <c r="U1172" i="2"/>
  <c r="V1172" i="2"/>
  <c r="W1172" i="2"/>
  <c r="U1341" i="2"/>
  <c r="V1341" i="2"/>
  <c r="W1341" i="2"/>
  <c r="U1602" i="2"/>
  <c r="V1602" i="2"/>
  <c r="W1602" i="2"/>
  <c r="U1647" i="2"/>
  <c r="V1647" i="2"/>
  <c r="W1647" i="2"/>
  <c r="U1653" i="2"/>
  <c r="V1653" i="2"/>
  <c r="W1653" i="2"/>
  <c r="U1656" i="2"/>
  <c r="V1656" i="2"/>
  <c r="W1656" i="2"/>
  <c r="U1668" i="2"/>
  <c r="V1668" i="2"/>
  <c r="W1668" i="2"/>
  <c r="U1728" i="2"/>
  <c r="V1728" i="2"/>
  <c r="W1728" i="2"/>
  <c r="U1731" i="2"/>
  <c r="V1731" i="2"/>
  <c r="W1731" i="2"/>
  <c r="U1809" i="2"/>
  <c r="V1809" i="2"/>
  <c r="W1809" i="2"/>
  <c r="U1814" i="2"/>
  <c r="V1814" i="2"/>
  <c r="W1814" i="2"/>
  <c r="U1860" i="2"/>
  <c r="V1860" i="2"/>
  <c r="W1860" i="2"/>
  <c r="U2473" i="2"/>
  <c r="V2473" i="2"/>
  <c r="W2473" i="2"/>
  <c r="U2496" i="2"/>
  <c r="V2496" i="2"/>
  <c r="W2496" i="2"/>
  <c r="U2499" i="2"/>
  <c r="V2499" i="2"/>
  <c r="W2499" i="2"/>
  <c r="U2501" i="2"/>
  <c r="V2501" i="2"/>
  <c r="W2501" i="2"/>
  <c r="U2673" i="2"/>
  <c r="V2673" i="2"/>
  <c r="W2673" i="2"/>
  <c r="U3252" i="2"/>
  <c r="V3252" i="2"/>
  <c r="W3252" i="2"/>
  <c r="U3260" i="2"/>
  <c r="V3260" i="2"/>
  <c r="W3260" i="2"/>
  <c r="U3312" i="2"/>
  <c r="V3312" i="2"/>
  <c r="W3312" i="2"/>
  <c r="U3989" i="2"/>
  <c r="V3989" i="2"/>
  <c r="W3989" i="2"/>
  <c r="U3993" i="2"/>
  <c r="V3993" i="2"/>
  <c r="W3993" i="2"/>
  <c r="U1343" i="2"/>
  <c r="V1343" i="2"/>
  <c r="W1343" i="2"/>
  <c r="U1348" i="2"/>
  <c r="V1348" i="2"/>
  <c r="W1348" i="2"/>
  <c r="U1352" i="2"/>
  <c r="V1352" i="2"/>
  <c r="W1352" i="2"/>
  <c r="U1367" i="2"/>
  <c r="V1367" i="2"/>
  <c r="W1367" i="2"/>
  <c r="U1377" i="2"/>
  <c r="V1377" i="2"/>
  <c r="W1377" i="2"/>
  <c r="U1381" i="2"/>
  <c r="V1381" i="2"/>
  <c r="W1381" i="2"/>
  <c r="U1605" i="2"/>
  <c r="V1605" i="2"/>
  <c r="W1605" i="2"/>
  <c r="U1646" i="2"/>
  <c r="V1646" i="2"/>
  <c r="W1646" i="2"/>
  <c r="U1669" i="2"/>
  <c r="V1669" i="2"/>
  <c r="W1669" i="2"/>
  <c r="U1671" i="2"/>
  <c r="V1671" i="2"/>
  <c r="W1671" i="2"/>
  <c r="U1677" i="2"/>
  <c r="V1677" i="2"/>
  <c r="W1677" i="2"/>
  <c r="U1681" i="2"/>
  <c r="V1681" i="2"/>
  <c r="W1681" i="2"/>
  <c r="U1682" i="2"/>
  <c r="V1682" i="2"/>
  <c r="W1682" i="2"/>
  <c r="U1684" i="2"/>
  <c r="V1684" i="2"/>
  <c r="W1684" i="2"/>
  <c r="U1687" i="2"/>
  <c r="V1687" i="2"/>
  <c r="W1687" i="2"/>
  <c r="U1702" i="2"/>
  <c r="V1702" i="2"/>
  <c r="W1702" i="2"/>
  <c r="U1723" i="2"/>
  <c r="V1723" i="2"/>
  <c r="W1723" i="2"/>
  <c r="U1726" i="2"/>
  <c r="V1726" i="2"/>
  <c r="W1726" i="2"/>
  <c r="U1730" i="2"/>
  <c r="V1730" i="2"/>
  <c r="W1730" i="2"/>
  <c r="U1746" i="2"/>
  <c r="V1746" i="2"/>
  <c r="W1746" i="2"/>
  <c r="U1798" i="2"/>
  <c r="V1798" i="2"/>
  <c r="W1798" i="2"/>
  <c r="U1812" i="2"/>
  <c r="V1812" i="2"/>
  <c r="W1812" i="2"/>
  <c r="U1839" i="2"/>
  <c r="V1839" i="2"/>
  <c r="W1839" i="2"/>
  <c r="U1879" i="2"/>
  <c r="V1879" i="2"/>
  <c r="W1879" i="2"/>
  <c r="U1968" i="2"/>
  <c r="V1968" i="2"/>
  <c r="W1968" i="2"/>
  <c r="U2476" i="2"/>
  <c r="V2476" i="2"/>
  <c r="W2476" i="2"/>
  <c r="U2487" i="2"/>
  <c r="V2487" i="2"/>
  <c r="W2487" i="2"/>
  <c r="U2502" i="2"/>
  <c r="V2502" i="2"/>
  <c r="W2502" i="2"/>
  <c r="U2069" i="2"/>
  <c r="V2069" i="2"/>
  <c r="W2069" i="2"/>
  <c r="U2482" i="2"/>
  <c r="V2482" i="2"/>
  <c r="W2482" i="2"/>
  <c r="U2674" i="2"/>
  <c r="V2674" i="2"/>
  <c r="W2674" i="2"/>
  <c r="U3217" i="2"/>
  <c r="V3217" i="2"/>
  <c r="W3217" i="2"/>
  <c r="U3218" i="2"/>
  <c r="V3218" i="2"/>
  <c r="W3218" i="2"/>
  <c r="U3219" i="2"/>
  <c r="V3219" i="2"/>
  <c r="W3219" i="2"/>
  <c r="U3220" i="2"/>
  <c r="V3220" i="2"/>
  <c r="W3220" i="2"/>
  <c r="U3221" i="2"/>
  <c r="V3221" i="2"/>
  <c r="W3221" i="2"/>
  <c r="U3222" i="2"/>
  <c r="V3222" i="2"/>
  <c r="W3222" i="2"/>
  <c r="U3224" i="2"/>
  <c r="V3224" i="2"/>
  <c r="W3224" i="2"/>
  <c r="U3225" i="2"/>
  <c r="V3225" i="2"/>
  <c r="W3225" i="2"/>
  <c r="U3226" i="2"/>
  <c r="V3226" i="2"/>
  <c r="W3226" i="2"/>
  <c r="U3228" i="2"/>
  <c r="V3228" i="2"/>
  <c r="W3228" i="2"/>
  <c r="U3229" i="2"/>
  <c r="V3229" i="2"/>
  <c r="W3229" i="2"/>
  <c r="U3232" i="2"/>
  <c r="V3232" i="2"/>
  <c r="W3232" i="2"/>
  <c r="U3233" i="2"/>
  <c r="V3233" i="2"/>
  <c r="W3233" i="2"/>
  <c r="U3234" i="2"/>
  <c r="V3234" i="2"/>
  <c r="W3234" i="2"/>
  <c r="U3235" i="2"/>
  <c r="V3235" i="2"/>
  <c r="W3235" i="2"/>
  <c r="U3236" i="2"/>
  <c r="V3236" i="2"/>
  <c r="W3236" i="2"/>
  <c r="U3238" i="2"/>
  <c r="V3238" i="2"/>
  <c r="W3238" i="2"/>
  <c r="U3899" i="2"/>
  <c r="V3899" i="2"/>
  <c r="W3899" i="2"/>
  <c r="U3900" i="2"/>
  <c r="V3900" i="2"/>
  <c r="W3900" i="2"/>
  <c r="U3901" i="2"/>
  <c r="V3901" i="2"/>
  <c r="W3901" i="2"/>
  <c r="U3903" i="2"/>
  <c r="V3903" i="2"/>
  <c r="W3903" i="2"/>
  <c r="U3904" i="2"/>
  <c r="V3904" i="2"/>
  <c r="W3904" i="2"/>
  <c r="U3905" i="2"/>
  <c r="V3905" i="2"/>
  <c r="W3905" i="2"/>
  <c r="U3906" i="2"/>
  <c r="V3906" i="2"/>
  <c r="W3906" i="2"/>
  <c r="U3907" i="2"/>
  <c r="V3907" i="2"/>
  <c r="W3907" i="2"/>
  <c r="U3908" i="2"/>
  <c r="V3908" i="2"/>
  <c r="W3908" i="2"/>
  <c r="U3911" i="2"/>
  <c r="V3911" i="2"/>
  <c r="W3911" i="2"/>
  <c r="U3912" i="2"/>
  <c r="V3912" i="2"/>
  <c r="W3912" i="2"/>
  <c r="U3913" i="2"/>
  <c r="V3913" i="2"/>
  <c r="W3913" i="2"/>
  <c r="U3914" i="2"/>
  <c r="V3914" i="2"/>
  <c r="W3914" i="2"/>
  <c r="U3916" i="2"/>
  <c r="V3916" i="2"/>
  <c r="W3916" i="2"/>
  <c r="U3917" i="2"/>
  <c r="V3917" i="2"/>
  <c r="W3917" i="2"/>
  <c r="U3918" i="2"/>
  <c r="V3918" i="2"/>
  <c r="W3918" i="2"/>
  <c r="U3919" i="2"/>
  <c r="V3919" i="2"/>
  <c r="W3919" i="2"/>
  <c r="U3921" i="2"/>
  <c r="V3921" i="2"/>
  <c r="W3921" i="2"/>
  <c r="U3923" i="2"/>
  <c r="V3923" i="2"/>
  <c r="W3923" i="2"/>
  <c r="U3924" i="2"/>
  <c r="V3924" i="2"/>
  <c r="W3924" i="2"/>
  <c r="U3925" i="2"/>
  <c r="V3925" i="2"/>
  <c r="W3925" i="2"/>
  <c r="U3926" i="2"/>
  <c r="V3926" i="2"/>
  <c r="W3926" i="2"/>
  <c r="U3928" i="2"/>
  <c r="V3928" i="2"/>
  <c r="W3928" i="2"/>
  <c r="U3929" i="2"/>
  <c r="V3929" i="2"/>
  <c r="W3929" i="2"/>
  <c r="U3930" i="2"/>
  <c r="V3930" i="2"/>
  <c r="W3930" i="2"/>
  <c r="U3931" i="2"/>
  <c r="V3931" i="2"/>
  <c r="W3931" i="2"/>
  <c r="U3933" i="2"/>
  <c r="V3933" i="2"/>
  <c r="W3933" i="2"/>
  <c r="U3934" i="2"/>
  <c r="V3934" i="2"/>
  <c r="W3934" i="2"/>
  <c r="U3935" i="2"/>
  <c r="V3935" i="2"/>
  <c r="W3935" i="2"/>
  <c r="U3936" i="2"/>
  <c r="V3936" i="2"/>
  <c r="W3936" i="2"/>
  <c r="U3937" i="2"/>
  <c r="V3937" i="2"/>
  <c r="W3937" i="2"/>
  <c r="U3938" i="2"/>
  <c r="V3938" i="2"/>
  <c r="W3938" i="2"/>
  <c r="U3939" i="2"/>
  <c r="V3939" i="2"/>
  <c r="W3939" i="2"/>
  <c r="U3940" i="2"/>
  <c r="V3940" i="2"/>
  <c r="W3940" i="2"/>
  <c r="U3941" i="2"/>
  <c r="V3941" i="2"/>
  <c r="W3941" i="2"/>
  <c r="U3942" i="2"/>
  <c r="V3942" i="2"/>
  <c r="W3942" i="2"/>
  <c r="U3943" i="2"/>
  <c r="V3943" i="2"/>
  <c r="W3943" i="2"/>
  <c r="U3944" i="2"/>
  <c r="V3944" i="2"/>
  <c r="W3944" i="2"/>
  <c r="U3945" i="2"/>
  <c r="V3945" i="2"/>
  <c r="W3945" i="2"/>
  <c r="U3948" i="2"/>
  <c r="V3948" i="2"/>
  <c r="W3948" i="2"/>
  <c r="U3949" i="2"/>
  <c r="V3949" i="2"/>
  <c r="W3949" i="2"/>
  <c r="U3950" i="2"/>
  <c r="V3950" i="2"/>
  <c r="W3950" i="2"/>
  <c r="U3951" i="2"/>
  <c r="V3951" i="2"/>
  <c r="W3951" i="2"/>
  <c r="U3952" i="2"/>
  <c r="V3952" i="2"/>
  <c r="W3952" i="2"/>
  <c r="U3953" i="2"/>
  <c r="V3953" i="2"/>
  <c r="W3953" i="2"/>
  <c r="U3954" i="2"/>
  <c r="V3954" i="2"/>
  <c r="W3954" i="2"/>
  <c r="U3955" i="2"/>
  <c r="V3955" i="2"/>
  <c r="W3955" i="2"/>
  <c r="U3956" i="2"/>
  <c r="V3956" i="2"/>
  <c r="W3956" i="2"/>
  <c r="U3957" i="2"/>
  <c r="V3957" i="2"/>
  <c r="W3957" i="2"/>
  <c r="U3958" i="2"/>
  <c r="V3958" i="2"/>
  <c r="W3958" i="2"/>
  <c r="U3959" i="2"/>
  <c r="V3959" i="2"/>
  <c r="W3959" i="2"/>
  <c r="U3960" i="2"/>
  <c r="V3960" i="2"/>
  <c r="W3960" i="2"/>
  <c r="U3961" i="2"/>
  <c r="V3961" i="2"/>
  <c r="W3961" i="2"/>
  <c r="U3962" i="2"/>
  <c r="V3962" i="2"/>
  <c r="W3962" i="2"/>
  <c r="U3963" i="2"/>
  <c r="V3963" i="2"/>
  <c r="W3963" i="2"/>
  <c r="U3965" i="2"/>
  <c r="V3965" i="2"/>
  <c r="W3965" i="2"/>
  <c r="U3966" i="2"/>
  <c r="V3966" i="2"/>
  <c r="W3966" i="2"/>
  <c r="U3967" i="2"/>
  <c r="V3967" i="2"/>
  <c r="W3967" i="2"/>
  <c r="U3969" i="2"/>
  <c r="V3969" i="2"/>
  <c r="W3969" i="2"/>
  <c r="U3971" i="2"/>
  <c r="V3971" i="2"/>
  <c r="W3971" i="2"/>
  <c r="U3972" i="2"/>
  <c r="V3972" i="2"/>
  <c r="W3972" i="2"/>
  <c r="U3973" i="2"/>
  <c r="V3973" i="2"/>
  <c r="W3973" i="2"/>
  <c r="U3974" i="2"/>
  <c r="V3974" i="2"/>
  <c r="W3974" i="2"/>
  <c r="U3975" i="2"/>
  <c r="V3975" i="2"/>
  <c r="W3975" i="2"/>
  <c r="U3976" i="2"/>
  <c r="V3976" i="2"/>
  <c r="W3976" i="2"/>
  <c r="U3977" i="2"/>
  <c r="V3977" i="2"/>
  <c r="W3977" i="2"/>
  <c r="U3978" i="2"/>
  <c r="V3978" i="2"/>
  <c r="W3978" i="2"/>
  <c r="U3979" i="2"/>
  <c r="V3979" i="2"/>
  <c r="W3979" i="2"/>
  <c r="U3980" i="2"/>
  <c r="V3980" i="2"/>
  <c r="W3980" i="2"/>
  <c r="U3981" i="2"/>
  <c r="V3981" i="2"/>
  <c r="W3981" i="2"/>
  <c r="U4822" i="2"/>
  <c r="V4822" i="2"/>
  <c r="W4822" i="2"/>
  <c r="U1055" i="2"/>
  <c r="V1055" i="2"/>
  <c r="W1055" i="2"/>
  <c r="U1080" i="2"/>
  <c r="V1080" i="2"/>
  <c r="W1080" i="2"/>
  <c r="U1096" i="2"/>
  <c r="V1096" i="2"/>
  <c r="W1096" i="2"/>
  <c r="U1159" i="2"/>
  <c r="V1159" i="2"/>
  <c r="W1159" i="2"/>
  <c r="U1164" i="2"/>
  <c r="V1164" i="2"/>
  <c r="W1164" i="2"/>
  <c r="U1637" i="2"/>
  <c r="V1637" i="2"/>
  <c r="W1637" i="2"/>
  <c r="U1643" i="2"/>
  <c r="V1643" i="2"/>
  <c r="W1643" i="2"/>
  <c r="U1652" i="2"/>
  <c r="V1652" i="2"/>
  <c r="W1652" i="2"/>
  <c r="U1654" i="2"/>
  <c r="V1654" i="2"/>
  <c r="W1654" i="2"/>
  <c r="U1659" i="2"/>
  <c r="V1659" i="2"/>
  <c r="W1659" i="2"/>
  <c r="U1663" i="2"/>
  <c r="V1663" i="2"/>
  <c r="W1663" i="2"/>
  <c r="U1664" i="2"/>
  <c r="V1664" i="2"/>
  <c r="W1664" i="2"/>
  <c r="U1665" i="2"/>
  <c r="V1665" i="2"/>
  <c r="W1665" i="2"/>
  <c r="U1680" i="2"/>
  <c r="V1680" i="2"/>
  <c r="W1680" i="2"/>
  <c r="U1696" i="2"/>
  <c r="V1696" i="2"/>
  <c r="W1696" i="2"/>
  <c r="U1699" i="2"/>
  <c r="V1699" i="2"/>
  <c r="W1699" i="2"/>
  <c r="U1706" i="2"/>
  <c r="V1706" i="2"/>
  <c r="W1706" i="2"/>
  <c r="U1712" i="2"/>
  <c r="V1712" i="2"/>
  <c r="W1712" i="2"/>
  <c r="U1714" i="2"/>
  <c r="V1714" i="2"/>
  <c r="W1714" i="2"/>
  <c r="U1720" i="2"/>
  <c r="V1720" i="2"/>
  <c r="W1720" i="2"/>
  <c r="U1732" i="2"/>
  <c r="V1732" i="2"/>
  <c r="W1732" i="2"/>
  <c r="U1739" i="2"/>
  <c r="V1739" i="2"/>
  <c r="W1739" i="2"/>
  <c r="U1771" i="2"/>
  <c r="V1771" i="2"/>
  <c r="W1771" i="2"/>
  <c r="U1779" i="2"/>
  <c r="V1779" i="2"/>
  <c r="W1779" i="2"/>
  <c r="U1899" i="2"/>
  <c r="V1899" i="2"/>
  <c r="W1899" i="2"/>
  <c r="U2449" i="2"/>
  <c r="V2449" i="2"/>
  <c r="W2449" i="2"/>
  <c r="U2451" i="2"/>
  <c r="V2451" i="2"/>
  <c r="W2451" i="2"/>
  <c r="U2458" i="2"/>
  <c r="V2458" i="2"/>
  <c r="W2458" i="2"/>
  <c r="U2695" i="2"/>
  <c r="V2695" i="2"/>
  <c r="W2695" i="2"/>
  <c r="U3255" i="2"/>
  <c r="V3255" i="2"/>
  <c r="W3255" i="2"/>
  <c r="U3283" i="2"/>
  <c r="V3283" i="2"/>
  <c r="W3283" i="2"/>
  <c r="U3299" i="2"/>
  <c r="V3299" i="2"/>
  <c r="W3299" i="2"/>
  <c r="U4836" i="2"/>
  <c r="V4836" i="2"/>
  <c r="W4836" i="2"/>
  <c r="U1217" i="2"/>
  <c r="V1217" i="2"/>
  <c r="W1217" i="2"/>
  <c r="U1264" i="2"/>
  <c r="V1264" i="2"/>
  <c r="W1264" i="2"/>
  <c r="U1281" i="2"/>
  <c r="V1281" i="2"/>
  <c r="W1281" i="2"/>
  <c r="U1360" i="2"/>
  <c r="V1360" i="2"/>
  <c r="W1360" i="2"/>
  <c r="U1364" i="2"/>
  <c r="V1364" i="2"/>
  <c r="W1364" i="2"/>
  <c r="U1621" i="2"/>
  <c r="V1621" i="2"/>
  <c r="W1621" i="2"/>
  <c r="U1644" i="2"/>
  <c r="V1644" i="2"/>
  <c r="W1644" i="2"/>
  <c r="U1657" i="2"/>
  <c r="V1657" i="2"/>
  <c r="W1657" i="2"/>
  <c r="U1675" i="2"/>
  <c r="V1675" i="2"/>
  <c r="W1675" i="2"/>
  <c r="U1678" i="2"/>
  <c r="V1678" i="2"/>
  <c r="W1678" i="2"/>
  <c r="U1698" i="2"/>
  <c r="V1698" i="2"/>
  <c r="W1698" i="2"/>
  <c r="U1711" i="2"/>
  <c r="V1711" i="2"/>
  <c r="W1711" i="2"/>
  <c r="U1713" i="2"/>
  <c r="V1713" i="2"/>
  <c r="W1713" i="2"/>
  <c r="U1721" i="2"/>
  <c r="V1721" i="2"/>
  <c r="W1721" i="2"/>
  <c r="U1729" i="2"/>
  <c r="V1729" i="2"/>
  <c r="W1729" i="2"/>
  <c r="U1737" i="2"/>
  <c r="V1737" i="2"/>
  <c r="W1737" i="2"/>
  <c r="U1802" i="2"/>
  <c r="V1802" i="2"/>
  <c r="W1802" i="2"/>
  <c r="U1852" i="2"/>
  <c r="V1852" i="2"/>
  <c r="W1852" i="2"/>
  <c r="U1912" i="2"/>
  <c r="V1912" i="2"/>
  <c r="W1912" i="2"/>
  <c r="U2437" i="2"/>
  <c r="V2437" i="2"/>
  <c r="W2437" i="2"/>
  <c r="U2446" i="2"/>
  <c r="V2446" i="2"/>
  <c r="W2446" i="2"/>
  <c r="U2461" i="2"/>
  <c r="V2461" i="2"/>
  <c r="W2461" i="2"/>
  <c r="U2468" i="2"/>
  <c r="V2468" i="2"/>
  <c r="W2468" i="2"/>
  <c r="U2493" i="2"/>
  <c r="V2493" i="2"/>
  <c r="W2493" i="2"/>
  <c r="U3248" i="2"/>
  <c r="V3248" i="2"/>
  <c r="W3248" i="2"/>
  <c r="U3256" i="2"/>
  <c r="V3256" i="2"/>
  <c r="W3256" i="2"/>
  <c r="U3264" i="2"/>
  <c r="V3264" i="2"/>
  <c r="W3264" i="2"/>
  <c r="U4814" i="2"/>
  <c r="V4814" i="2"/>
  <c r="W4814" i="2"/>
  <c r="U1389" i="2"/>
  <c r="V1389" i="2"/>
  <c r="W1389" i="2"/>
  <c r="U1393" i="2"/>
  <c r="V1393" i="2"/>
  <c r="W1393" i="2"/>
  <c r="U1612" i="2"/>
  <c r="V1612" i="2"/>
  <c r="W1612" i="2"/>
  <c r="U1614" i="2"/>
  <c r="V1614" i="2"/>
  <c r="W1614" i="2"/>
  <c r="U1619" i="2"/>
  <c r="V1619" i="2"/>
  <c r="W1619" i="2"/>
  <c r="U1623" i="2"/>
  <c r="V1623" i="2"/>
  <c r="W1623" i="2"/>
  <c r="U1641" i="2"/>
  <c r="V1641" i="2"/>
  <c r="W1641" i="2"/>
  <c r="U1651" i="2"/>
  <c r="V1651" i="2"/>
  <c r="W1651" i="2"/>
  <c r="U1676" i="2"/>
  <c r="V1676" i="2"/>
  <c r="W1676" i="2"/>
  <c r="U1683" i="2"/>
  <c r="V1683" i="2"/>
  <c r="W1683" i="2"/>
  <c r="U1688" i="2"/>
  <c r="V1688" i="2"/>
  <c r="W1688" i="2"/>
  <c r="U1697" i="2"/>
  <c r="V1697" i="2"/>
  <c r="W1697" i="2"/>
  <c r="U1700" i="2"/>
  <c r="V1700" i="2"/>
  <c r="W1700" i="2"/>
  <c r="U1710" i="2"/>
  <c r="V1710" i="2"/>
  <c r="W1710" i="2"/>
  <c r="U1747" i="2"/>
  <c r="V1747" i="2"/>
  <c r="W1747" i="2"/>
  <c r="U1807" i="2"/>
  <c r="V1807" i="2"/>
  <c r="W1807" i="2"/>
  <c r="U1836" i="2"/>
  <c r="V1836" i="2"/>
  <c r="W1836" i="2"/>
  <c r="U1856" i="2"/>
  <c r="V1856" i="2"/>
  <c r="W1856" i="2"/>
  <c r="U2477" i="2"/>
  <c r="V2477" i="2"/>
  <c r="W2477" i="2"/>
  <c r="U2486" i="2"/>
  <c r="V2486" i="2"/>
  <c r="W2486" i="2"/>
  <c r="U2490" i="2"/>
  <c r="V2490" i="2"/>
  <c r="W2490" i="2"/>
  <c r="U2507" i="2"/>
  <c r="V2507" i="2"/>
  <c r="W2507" i="2"/>
  <c r="U2510" i="2"/>
  <c r="V2510" i="2"/>
  <c r="W2510" i="2"/>
  <c r="U2515" i="2"/>
  <c r="V2515" i="2"/>
  <c r="W2515" i="2"/>
  <c r="U3230" i="2"/>
  <c r="V3230" i="2"/>
  <c r="W3230" i="2"/>
  <c r="U3258" i="2"/>
  <c r="V3258" i="2"/>
  <c r="W3258" i="2"/>
  <c r="U3915" i="2"/>
  <c r="V3915" i="2"/>
  <c r="W3915" i="2"/>
  <c r="U3932" i="2"/>
  <c r="V3932" i="2"/>
  <c r="W3932" i="2"/>
  <c r="U3964" i="2"/>
  <c r="V3964" i="2"/>
  <c r="W3964" i="2"/>
  <c r="U2377" i="2"/>
  <c r="V2377" i="2"/>
  <c r="W2377" i="2"/>
  <c r="U2378" i="2"/>
  <c r="V2378" i="2"/>
  <c r="W2378" i="2"/>
  <c r="U2379" i="2"/>
  <c r="V2379" i="2"/>
  <c r="W2379" i="2"/>
  <c r="U2380" i="2"/>
  <c r="V2380" i="2"/>
  <c r="W2380" i="2"/>
  <c r="U2381" i="2"/>
  <c r="V2381" i="2"/>
  <c r="W2381" i="2"/>
  <c r="U2382" i="2"/>
  <c r="V2382" i="2"/>
  <c r="W2382" i="2"/>
  <c r="U2383" i="2"/>
  <c r="V2383" i="2"/>
  <c r="W2383" i="2"/>
  <c r="U2384" i="2"/>
  <c r="V2384" i="2"/>
  <c r="W2384" i="2"/>
  <c r="U2385" i="2"/>
  <c r="V2385" i="2"/>
  <c r="W2385" i="2"/>
  <c r="U2386" i="2"/>
  <c r="V2386" i="2"/>
  <c r="W2386" i="2"/>
  <c r="U2387" i="2"/>
  <c r="V2387" i="2"/>
  <c r="W2387" i="2"/>
  <c r="U2388" i="2"/>
  <c r="V2388" i="2"/>
  <c r="W2388" i="2"/>
  <c r="U2389" i="2"/>
  <c r="V2389" i="2"/>
  <c r="W2389" i="2"/>
  <c r="U2390" i="2"/>
  <c r="V2390" i="2"/>
  <c r="W2390" i="2"/>
  <c r="U2391" i="2"/>
  <c r="V2391" i="2"/>
  <c r="W2391" i="2"/>
  <c r="U2392" i="2"/>
  <c r="V2392" i="2"/>
  <c r="W2392" i="2"/>
  <c r="U2393" i="2"/>
  <c r="V2393" i="2"/>
  <c r="W2393" i="2"/>
  <c r="U2394" i="2"/>
  <c r="V2394" i="2"/>
  <c r="W2394" i="2"/>
  <c r="U2395" i="2"/>
  <c r="V2395" i="2"/>
  <c r="W2395" i="2"/>
  <c r="U2396" i="2"/>
  <c r="V2396" i="2"/>
  <c r="W2396" i="2"/>
  <c r="U2397" i="2"/>
  <c r="V2397" i="2"/>
  <c r="W2397" i="2"/>
  <c r="U2398" i="2"/>
  <c r="V2398" i="2"/>
  <c r="W2398" i="2"/>
  <c r="U2399" i="2"/>
  <c r="V2399" i="2"/>
  <c r="W2399" i="2"/>
  <c r="U2400" i="2"/>
  <c r="V2400" i="2"/>
  <c r="W2400" i="2"/>
  <c r="U2401" i="2"/>
  <c r="V2401" i="2"/>
  <c r="W2401" i="2"/>
  <c r="U2402" i="2"/>
  <c r="V2402" i="2"/>
  <c r="W2402" i="2"/>
  <c r="U2403" i="2"/>
  <c r="V2403" i="2"/>
  <c r="W2403" i="2"/>
  <c r="U2404" i="2"/>
  <c r="V2404" i="2"/>
  <c r="W2404" i="2"/>
  <c r="U2405" i="2"/>
  <c r="V2405" i="2"/>
  <c r="W2405" i="2"/>
  <c r="U2406" i="2"/>
  <c r="V2406" i="2"/>
  <c r="W2406" i="2"/>
  <c r="U2407" i="2"/>
  <c r="V2407" i="2"/>
  <c r="W2407" i="2"/>
  <c r="U2408" i="2"/>
  <c r="V2408" i="2"/>
  <c r="W2408" i="2"/>
  <c r="U2409" i="2"/>
  <c r="V2409" i="2"/>
  <c r="W2409" i="2"/>
  <c r="U2410" i="2"/>
  <c r="V2410" i="2"/>
  <c r="W2410" i="2"/>
  <c r="U2411" i="2"/>
  <c r="V2411" i="2"/>
  <c r="W2411" i="2"/>
  <c r="U2412" i="2"/>
  <c r="V2412" i="2"/>
  <c r="W2412" i="2"/>
  <c r="U2413" i="2"/>
  <c r="V2413" i="2"/>
  <c r="W2413" i="2"/>
  <c r="U2414" i="2"/>
  <c r="V2414" i="2"/>
  <c r="W2414" i="2"/>
  <c r="U2415" i="2"/>
  <c r="V2415" i="2"/>
  <c r="W2415" i="2"/>
  <c r="U2416" i="2"/>
  <c r="V2416" i="2"/>
  <c r="W2416" i="2"/>
  <c r="U2417" i="2"/>
  <c r="V2417" i="2"/>
  <c r="W2417" i="2"/>
  <c r="U2418" i="2"/>
  <c r="V2418" i="2"/>
  <c r="W2418" i="2"/>
  <c r="U2419" i="2"/>
  <c r="V2419" i="2"/>
  <c r="W2419" i="2"/>
  <c r="U2420" i="2"/>
  <c r="V2420" i="2"/>
  <c r="W2420" i="2"/>
  <c r="U2421" i="2"/>
  <c r="V2421" i="2"/>
  <c r="W2421" i="2"/>
  <c r="U2422" i="2"/>
  <c r="V2422" i="2"/>
  <c r="W2422" i="2"/>
  <c r="U2423" i="2"/>
  <c r="V2423" i="2"/>
  <c r="W2423" i="2"/>
  <c r="U2424" i="2"/>
  <c r="V2424" i="2"/>
  <c r="W2424" i="2"/>
  <c r="U2425" i="2"/>
  <c r="V2425" i="2"/>
  <c r="W2425" i="2"/>
  <c r="U2426" i="2"/>
  <c r="V2426" i="2"/>
  <c r="W2426" i="2"/>
  <c r="U2427" i="2"/>
  <c r="V2427" i="2"/>
  <c r="W2427" i="2"/>
  <c r="U2428" i="2"/>
  <c r="V2428" i="2"/>
  <c r="W2428" i="2"/>
  <c r="U2429" i="2"/>
  <c r="V2429" i="2"/>
  <c r="W2429" i="2"/>
  <c r="U2430" i="2"/>
  <c r="V2430" i="2"/>
  <c r="W2430" i="2"/>
  <c r="U2431" i="2"/>
  <c r="V2431" i="2"/>
  <c r="W2431" i="2"/>
  <c r="U2432" i="2"/>
  <c r="V2432" i="2"/>
  <c r="W2432" i="2"/>
  <c r="U2433" i="2"/>
  <c r="V2433" i="2"/>
  <c r="W2433" i="2"/>
  <c r="U2434" i="2"/>
  <c r="V2434" i="2"/>
  <c r="W2434" i="2"/>
  <c r="U2436" i="2"/>
  <c r="V2436" i="2"/>
  <c r="W2436" i="2"/>
  <c r="U2440" i="2"/>
  <c r="V2440" i="2"/>
  <c r="W2440" i="2"/>
  <c r="U2442" i="2"/>
  <c r="V2442" i="2"/>
  <c r="W2442" i="2"/>
  <c r="U2445" i="2"/>
  <c r="V2445" i="2"/>
  <c r="W2445" i="2"/>
  <c r="U2447" i="2"/>
  <c r="V2447" i="2"/>
  <c r="W2447" i="2"/>
  <c r="U2456" i="2"/>
  <c r="V2456" i="2"/>
  <c r="W2456" i="2"/>
  <c r="U2460" i="2"/>
  <c r="V2460" i="2"/>
  <c r="W2460" i="2"/>
  <c r="U2478" i="2"/>
  <c r="V2478" i="2"/>
  <c r="W2478" i="2"/>
  <c r="U2485" i="2"/>
  <c r="V2485" i="2"/>
  <c r="W2485" i="2"/>
  <c r="U3246" i="2"/>
  <c r="V3246" i="2"/>
  <c r="W3246" i="2"/>
  <c r="U3300" i="2"/>
  <c r="V3300" i="2"/>
  <c r="W3300" i="2"/>
  <c r="U3316" i="2"/>
  <c r="V3316" i="2"/>
  <c r="W3316" i="2"/>
  <c r="U3947" i="2"/>
  <c r="V3947" i="2"/>
  <c r="W3947" i="2"/>
  <c r="U3172" i="2"/>
  <c r="V3172" i="2"/>
  <c r="W3172" i="2"/>
  <c r="U3173" i="2"/>
  <c r="V3173" i="2"/>
  <c r="W3173" i="2"/>
  <c r="U3174" i="2"/>
  <c r="V3174" i="2"/>
  <c r="W3174" i="2"/>
  <c r="U3175" i="2"/>
  <c r="V3175" i="2"/>
  <c r="W3175" i="2"/>
  <c r="U3176" i="2"/>
  <c r="V3176" i="2"/>
  <c r="W3176" i="2"/>
  <c r="U3177" i="2"/>
  <c r="V3177" i="2"/>
  <c r="W3177" i="2"/>
  <c r="U3178" i="2"/>
  <c r="V3178" i="2"/>
  <c r="W3178" i="2"/>
  <c r="U3179" i="2"/>
  <c r="V3179" i="2"/>
  <c r="W3179" i="2"/>
  <c r="U3180" i="2"/>
  <c r="V3180" i="2"/>
  <c r="W3180" i="2"/>
  <c r="U3181" i="2"/>
  <c r="V3181" i="2"/>
  <c r="W3181" i="2"/>
  <c r="U3182" i="2"/>
  <c r="V3182" i="2"/>
  <c r="W3182" i="2"/>
  <c r="U3183" i="2"/>
  <c r="V3183" i="2"/>
  <c r="W3183" i="2"/>
  <c r="U3184" i="2"/>
  <c r="V3184" i="2"/>
  <c r="W3184" i="2"/>
  <c r="U3185" i="2"/>
  <c r="V3185" i="2"/>
  <c r="W3185" i="2"/>
  <c r="U3186" i="2"/>
  <c r="V3186" i="2"/>
  <c r="W3186" i="2"/>
  <c r="U3187" i="2"/>
  <c r="V3187" i="2"/>
  <c r="W3187" i="2"/>
  <c r="U3188" i="2"/>
  <c r="V3188" i="2"/>
  <c r="W3188" i="2"/>
  <c r="U3189" i="2"/>
  <c r="V3189" i="2"/>
  <c r="W3189" i="2"/>
  <c r="U3190" i="2"/>
  <c r="V3190" i="2"/>
  <c r="W3190" i="2"/>
  <c r="U3191" i="2"/>
  <c r="V3191" i="2"/>
  <c r="W3191" i="2"/>
  <c r="U3192" i="2"/>
  <c r="V3192" i="2"/>
  <c r="W3192" i="2"/>
  <c r="U3193" i="2"/>
  <c r="V3193" i="2"/>
  <c r="W3193" i="2"/>
  <c r="U3194" i="2"/>
  <c r="V3194" i="2"/>
  <c r="W3194" i="2"/>
  <c r="U3195" i="2"/>
  <c r="V3195" i="2"/>
  <c r="W3195" i="2"/>
  <c r="U3196" i="2"/>
  <c r="V3196" i="2"/>
  <c r="W3196" i="2"/>
  <c r="U3197" i="2"/>
  <c r="V3197" i="2"/>
  <c r="W3197" i="2"/>
  <c r="U3198" i="2"/>
  <c r="V3198" i="2"/>
  <c r="W3198" i="2"/>
  <c r="U3199" i="2"/>
  <c r="V3199" i="2"/>
  <c r="W3199" i="2"/>
  <c r="U3200" i="2"/>
  <c r="V3200" i="2"/>
  <c r="W3200" i="2"/>
  <c r="U3201" i="2"/>
  <c r="V3201" i="2"/>
  <c r="W3201" i="2"/>
  <c r="U3202" i="2"/>
  <c r="V3202" i="2"/>
  <c r="W3202" i="2"/>
  <c r="U3203" i="2"/>
  <c r="V3203" i="2"/>
  <c r="W3203" i="2"/>
  <c r="U3204" i="2"/>
  <c r="V3204" i="2"/>
  <c r="W3204" i="2"/>
  <c r="U3205" i="2"/>
  <c r="V3205" i="2"/>
  <c r="W3205" i="2"/>
  <c r="U3206" i="2"/>
  <c r="V3206" i="2"/>
  <c r="W3206" i="2"/>
  <c r="U3207" i="2"/>
  <c r="V3207" i="2"/>
  <c r="W3207" i="2"/>
  <c r="U3208" i="2"/>
  <c r="V3208" i="2"/>
  <c r="W3208" i="2"/>
  <c r="U3209" i="2"/>
  <c r="V3209" i="2"/>
  <c r="W3209" i="2"/>
  <c r="U3210" i="2"/>
  <c r="V3210" i="2"/>
  <c r="W3210" i="2"/>
  <c r="U3211" i="2"/>
  <c r="V3211" i="2"/>
  <c r="W3211" i="2"/>
  <c r="U3212" i="2"/>
  <c r="V3212" i="2"/>
  <c r="W3212" i="2"/>
  <c r="U3213" i="2"/>
  <c r="V3213" i="2"/>
  <c r="W3213" i="2"/>
  <c r="U3214" i="2"/>
  <c r="V3214" i="2"/>
  <c r="W3214" i="2"/>
  <c r="U3215" i="2"/>
  <c r="V3215" i="2"/>
  <c r="W3215" i="2"/>
  <c r="U3216" i="2"/>
  <c r="V3216" i="2"/>
  <c r="W3216" i="2"/>
  <c r="U3303" i="2"/>
  <c r="V3303" i="2"/>
  <c r="W3303" i="2"/>
  <c r="U3910" i="2"/>
  <c r="V3910" i="2"/>
  <c r="W3910" i="2"/>
  <c r="U3946" i="2"/>
  <c r="V3946" i="2"/>
  <c r="W3946" i="2"/>
  <c r="U3865" i="2"/>
  <c r="V3865" i="2"/>
  <c r="W3865" i="2"/>
  <c r="U3866" i="2"/>
  <c r="V3866" i="2"/>
  <c r="W3866" i="2"/>
  <c r="U3867" i="2"/>
  <c r="V3867" i="2"/>
  <c r="W3867" i="2"/>
  <c r="U3868" i="2"/>
  <c r="V3868" i="2"/>
  <c r="W3868" i="2"/>
  <c r="U3869" i="2"/>
  <c r="V3869" i="2"/>
  <c r="W3869" i="2"/>
  <c r="U3870" i="2"/>
  <c r="V3870" i="2"/>
  <c r="W3870" i="2"/>
  <c r="U3871" i="2"/>
  <c r="V3871" i="2"/>
  <c r="W3871" i="2"/>
  <c r="U3872" i="2"/>
  <c r="V3872" i="2"/>
  <c r="W3872" i="2"/>
  <c r="U3873" i="2"/>
  <c r="V3873" i="2"/>
  <c r="W3873" i="2"/>
  <c r="U3874" i="2"/>
  <c r="V3874" i="2"/>
  <c r="W3874" i="2"/>
  <c r="U3875" i="2"/>
  <c r="V3875" i="2"/>
  <c r="W3875" i="2"/>
  <c r="U3876" i="2"/>
  <c r="V3876" i="2"/>
  <c r="W3876" i="2"/>
  <c r="U3877" i="2"/>
  <c r="V3877" i="2"/>
  <c r="W3877" i="2"/>
  <c r="U3878" i="2"/>
  <c r="V3878" i="2"/>
  <c r="W3878" i="2"/>
  <c r="U3879" i="2"/>
  <c r="V3879" i="2"/>
  <c r="W3879" i="2"/>
  <c r="U3880" i="2"/>
  <c r="V3880" i="2"/>
  <c r="W3880" i="2"/>
  <c r="U3881" i="2"/>
  <c r="V3881" i="2"/>
  <c r="W3881" i="2"/>
  <c r="U3882" i="2"/>
  <c r="V3882" i="2"/>
  <c r="W3882" i="2"/>
  <c r="U3883" i="2"/>
  <c r="V3883" i="2"/>
  <c r="W3883" i="2"/>
  <c r="U3884" i="2"/>
  <c r="V3884" i="2"/>
  <c r="W3884" i="2"/>
  <c r="U3885" i="2"/>
  <c r="V3885" i="2"/>
  <c r="W3885" i="2"/>
  <c r="U3886" i="2"/>
  <c r="V3886" i="2"/>
  <c r="W3886" i="2"/>
  <c r="U3887" i="2"/>
  <c r="V3887" i="2"/>
  <c r="W3887" i="2"/>
  <c r="U3888" i="2"/>
  <c r="V3888" i="2"/>
  <c r="W3888" i="2"/>
  <c r="U3889" i="2"/>
  <c r="V3889" i="2"/>
  <c r="W3889" i="2"/>
  <c r="U3890" i="2"/>
  <c r="V3890" i="2"/>
  <c r="W3890" i="2"/>
  <c r="U3891" i="2"/>
  <c r="V3891" i="2"/>
  <c r="W3891" i="2"/>
  <c r="U3892" i="2"/>
  <c r="V3892" i="2"/>
  <c r="W3892" i="2"/>
  <c r="U3893" i="2"/>
  <c r="V3893" i="2"/>
  <c r="W3893" i="2"/>
  <c r="U3894" i="2"/>
  <c r="V3894" i="2"/>
  <c r="W3894" i="2"/>
  <c r="U3895" i="2"/>
  <c r="V3895" i="2"/>
  <c r="W3895" i="2"/>
  <c r="U3896" i="2"/>
  <c r="V3896" i="2"/>
  <c r="W3896" i="2"/>
  <c r="U3897" i="2"/>
  <c r="V3897" i="2"/>
  <c r="W3897" i="2"/>
  <c r="U3898" i="2"/>
  <c r="V3898" i="2"/>
  <c r="W3898" i="2"/>
  <c r="U3902" i="2"/>
  <c r="V3902" i="2"/>
  <c r="W3902" i="2"/>
  <c r="U3984" i="2"/>
  <c r="V3984" i="2"/>
  <c r="W3984" i="2"/>
  <c r="U3990" i="2"/>
  <c r="V3990" i="2"/>
  <c r="W3990" i="2"/>
  <c r="U1268" i="2"/>
  <c r="V1268" i="2"/>
  <c r="W1268" i="2"/>
  <c r="U1297" i="2"/>
  <c r="V1297" i="2"/>
  <c r="W1297" i="2"/>
  <c r="U1320" i="2"/>
  <c r="V1320" i="2"/>
  <c r="W1320" i="2"/>
  <c r="U1356" i="2"/>
  <c r="V1356" i="2"/>
  <c r="W1356" i="2"/>
  <c r="U1372" i="2"/>
  <c r="V1372" i="2"/>
  <c r="W1372" i="2"/>
  <c r="U1639" i="2"/>
  <c r="V1639" i="2"/>
  <c r="W1639" i="2"/>
  <c r="U1667" i="2"/>
  <c r="V1667" i="2"/>
  <c r="W1667" i="2"/>
  <c r="U1719" i="2"/>
  <c r="V1719" i="2"/>
  <c r="W1719" i="2"/>
  <c r="U1727" i="2"/>
  <c r="V1727" i="2"/>
  <c r="W1727" i="2"/>
  <c r="U1765" i="2"/>
  <c r="V1765" i="2"/>
  <c r="W1765" i="2"/>
  <c r="U1781" i="2"/>
  <c r="V1781" i="2"/>
  <c r="W1781" i="2"/>
  <c r="U1838" i="2"/>
  <c r="V1838" i="2"/>
  <c r="W1838" i="2"/>
  <c r="U2444" i="2"/>
  <c r="V2444" i="2"/>
  <c r="W2444" i="2"/>
  <c r="U2459" i="2"/>
  <c r="V2459" i="2"/>
  <c r="W2459" i="2"/>
  <c r="U2465" i="2"/>
  <c r="V2465" i="2"/>
  <c r="W2465" i="2"/>
  <c r="U3223" i="2"/>
  <c r="V3223" i="2"/>
  <c r="W3223" i="2"/>
  <c r="U3231" i="2"/>
  <c r="V3231" i="2"/>
  <c r="W3231" i="2"/>
  <c r="U3237" i="2"/>
  <c r="V3237" i="2"/>
  <c r="W3237" i="2"/>
  <c r="U3270" i="2"/>
  <c r="V3270" i="2"/>
  <c r="W3270" i="2"/>
  <c r="U3294" i="2"/>
  <c r="V3294" i="2"/>
  <c r="W3294" i="2"/>
  <c r="U3311" i="2"/>
  <c r="V3311" i="2"/>
  <c r="W3311" i="2"/>
  <c r="U3435" i="2"/>
  <c r="V3435" i="2"/>
  <c r="W3435" i="2"/>
  <c r="U3909" i="2"/>
  <c r="V3909" i="2"/>
  <c r="W3909" i="2"/>
  <c r="U1047" i="2"/>
  <c r="V1047" i="2"/>
  <c r="W1047" i="2"/>
  <c r="U1067" i="2"/>
  <c r="V1067" i="2"/>
  <c r="W1067" i="2"/>
  <c r="U1293" i="2"/>
  <c r="V1293" i="2"/>
  <c r="W1293" i="2"/>
  <c r="U1304" i="2"/>
  <c r="V1304" i="2"/>
  <c r="W1304" i="2"/>
  <c r="U1308" i="2"/>
  <c r="V1308" i="2"/>
  <c r="W1308" i="2"/>
  <c r="U1327" i="2"/>
  <c r="V1327" i="2"/>
  <c r="W1327" i="2"/>
  <c r="U1384" i="2"/>
  <c r="V1384" i="2"/>
  <c r="W1384" i="2"/>
  <c r="U1398" i="2"/>
  <c r="V1398" i="2"/>
  <c r="W1398" i="2"/>
  <c r="U1650" i="2"/>
  <c r="V1650" i="2"/>
  <c r="W1650" i="2"/>
  <c r="U1655" i="2"/>
  <c r="V1655" i="2"/>
  <c r="W1655" i="2"/>
  <c r="U1661" i="2"/>
  <c r="V1661" i="2"/>
  <c r="W1661" i="2"/>
  <c r="U1672" i="2"/>
  <c r="V1672" i="2"/>
  <c r="W1672" i="2"/>
  <c r="U1674" i="2"/>
  <c r="V1674" i="2"/>
  <c r="W1674" i="2"/>
  <c r="U1685" i="2"/>
  <c r="V1685" i="2"/>
  <c r="W1685" i="2"/>
  <c r="U1740" i="2"/>
  <c r="V1740" i="2"/>
  <c r="W1740" i="2"/>
  <c r="U1745" i="2"/>
  <c r="V1745" i="2"/>
  <c r="W1745" i="2"/>
  <c r="U2467" i="2"/>
  <c r="V2467" i="2"/>
  <c r="W2467" i="2"/>
  <c r="U2489" i="2"/>
  <c r="V2489" i="2"/>
  <c r="W2489" i="2"/>
  <c r="U3289" i="2"/>
  <c r="V3289" i="2"/>
  <c r="W3289" i="2"/>
  <c r="U3920" i="2"/>
  <c r="V3920" i="2"/>
  <c r="W3920" i="2"/>
  <c r="U1404" i="2"/>
  <c r="V1404" i="2"/>
  <c r="W1404" i="2"/>
  <c r="U1409" i="2"/>
  <c r="V1409" i="2"/>
  <c r="W1409" i="2"/>
  <c r="U1412" i="2"/>
  <c r="V1412" i="2"/>
  <c r="W1412" i="2"/>
  <c r="U1417" i="2"/>
  <c r="V1417" i="2"/>
  <c r="W1417" i="2"/>
  <c r="U1421" i="2"/>
  <c r="V1421" i="2"/>
  <c r="W1421" i="2"/>
  <c r="U1424" i="2"/>
  <c r="V1424" i="2"/>
  <c r="W1424" i="2"/>
  <c r="U1642" i="2"/>
  <c r="V1642" i="2"/>
  <c r="W1642" i="2"/>
  <c r="U1645" i="2"/>
  <c r="V1645" i="2"/>
  <c r="W1645" i="2"/>
  <c r="U1666" i="2"/>
  <c r="V1666" i="2"/>
  <c r="W1666" i="2"/>
  <c r="U1686" i="2"/>
  <c r="V1686" i="2"/>
  <c r="W1686" i="2"/>
  <c r="U1693" i="2"/>
  <c r="V1693" i="2"/>
  <c r="W1693" i="2"/>
  <c r="U1708" i="2"/>
  <c r="V1708" i="2"/>
  <c r="W1708" i="2"/>
  <c r="U1734" i="2"/>
  <c r="V1734" i="2"/>
  <c r="W1734" i="2"/>
  <c r="U1741" i="2"/>
  <c r="V1741" i="2"/>
  <c r="W1741" i="2"/>
  <c r="U1833" i="2"/>
  <c r="V1833" i="2"/>
  <c r="W1833" i="2"/>
  <c r="U1914" i="2"/>
  <c r="V1914" i="2"/>
  <c r="W1914" i="2"/>
  <c r="U2472" i="2"/>
  <c r="V2472" i="2"/>
  <c r="W2472" i="2"/>
  <c r="U2488" i="2"/>
  <c r="V2488" i="2"/>
  <c r="W2488" i="2"/>
  <c r="U3268" i="2"/>
  <c r="V3268" i="2"/>
  <c r="W3268" i="2"/>
  <c r="U3326" i="2"/>
  <c r="V3326" i="2"/>
  <c r="W3326" i="2"/>
  <c r="U3927" i="2"/>
  <c r="V3927" i="2"/>
  <c r="W3927" i="2"/>
  <c r="U2435" i="2"/>
  <c r="V2435" i="2"/>
  <c r="W2435" i="2"/>
  <c r="U2443" i="2"/>
  <c r="V2443" i="2"/>
  <c r="W2443" i="2"/>
  <c r="U2677" i="2"/>
  <c r="V2677" i="2"/>
  <c r="W2677" i="2"/>
  <c r="U3286" i="2"/>
  <c r="V3286" i="2"/>
  <c r="W3286" i="2"/>
  <c r="U3298" i="2"/>
  <c r="V3298" i="2"/>
  <c r="W3298" i="2"/>
  <c r="U2702" i="2"/>
  <c r="V2702" i="2"/>
  <c r="W2702" i="2"/>
  <c r="U3227" i="2"/>
  <c r="V3227" i="2"/>
  <c r="W3227" i="2"/>
  <c r="U3241" i="2"/>
  <c r="V3241" i="2"/>
  <c r="W3241" i="2"/>
  <c r="U3251" i="2"/>
  <c r="V3251" i="2"/>
  <c r="W3251" i="2"/>
  <c r="U3267" i="2"/>
  <c r="V3267" i="2"/>
  <c r="W3267" i="2"/>
  <c r="U3290" i="2"/>
  <c r="V3290" i="2"/>
  <c r="W3290" i="2"/>
  <c r="U3968" i="2"/>
  <c r="V3968" i="2"/>
  <c r="W3968" i="2"/>
  <c r="U3970" i="2"/>
  <c r="V3970" i="2"/>
  <c r="W3970" i="2"/>
  <c r="U4839" i="2"/>
  <c r="V4839" i="2"/>
  <c r="W4839" i="2"/>
  <c r="U4840" i="2"/>
  <c r="V4840" i="2"/>
  <c r="W4840" i="2"/>
  <c r="U4842" i="2"/>
  <c r="V4842" i="2"/>
  <c r="W4842" i="2"/>
  <c r="U4843" i="2"/>
  <c r="V4843" i="2"/>
  <c r="W4843" i="2"/>
  <c r="U4844" i="2"/>
  <c r="V4844" i="2"/>
  <c r="W4844" i="2"/>
  <c r="U4846" i="2"/>
  <c r="V4846" i="2"/>
  <c r="W4846" i="2"/>
  <c r="U4847" i="2"/>
  <c r="V4847" i="2"/>
  <c r="W4847" i="2"/>
  <c r="U4848" i="2"/>
  <c r="V4848" i="2"/>
  <c r="W4848" i="2"/>
  <c r="U4852" i="2"/>
  <c r="V4852" i="2"/>
  <c r="W4852" i="2"/>
  <c r="U4854" i="2"/>
  <c r="V4854" i="2"/>
  <c r="W4854" i="2"/>
  <c r="U4855" i="2"/>
  <c r="V4855" i="2"/>
  <c r="W4855" i="2"/>
  <c r="U4857" i="2"/>
  <c r="V4857" i="2"/>
  <c r="W4857" i="2"/>
  <c r="U4858" i="2"/>
  <c r="V4858" i="2"/>
  <c r="W4858" i="2"/>
  <c r="U4861" i="2"/>
  <c r="V4861" i="2"/>
  <c r="W4861" i="2"/>
  <c r="U4862" i="2"/>
  <c r="V4862" i="2"/>
  <c r="W4862" i="2"/>
  <c r="U4864" i="2"/>
  <c r="V4864" i="2"/>
  <c r="W4864" i="2"/>
  <c r="U1338" i="2"/>
  <c r="V1338" i="2"/>
  <c r="W1338" i="2"/>
  <c r="U1638" i="2"/>
  <c r="V1638" i="2"/>
  <c r="W1638" i="2"/>
  <c r="U1648" i="2"/>
  <c r="V1648" i="2"/>
  <c r="W1648" i="2"/>
  <c r="U1660" i="2"/>
  <c r="V1660" i="2"/>
  <c r="W1660" i="2"/>
  <c r="U1670" i="2"/>
  <c r="V1670" i="2"/>
  <c r="W1670" i="2"/>
  <c r="U1673" i="2"/>
  <c r="V1673" i="2"/>
  <c r="W1673" i="2"/>
  <c r="U1689" i="2"/>
  <c r="V1689" i="2"/>
  <c r="W1689" i="2"/>
  <c r="U1692" i="2"/>
  <c r="V1692" i="2"/>
  <c r="W1692" i="2"/>
  <c r="U1709" i="2"/>
  <c r="V1709" i="2"/>
  <c r="W1709" i="2"/>
  <c r="U1718" i="2"/>
  <c r="V1718" i="2"/>
  <c r="W1718" i="2"/>
  <c r="U1722" i="2"/>
  <c r="V1722" i="2"/>
  <c r="W1722" i="2"/>
  <c r="U1766" i="2"/>
  <c r="V1766" i="2"/>
  <c r="W1766" i="2"/>
  <c r="U1810" i="2"/>
  <c r="V1810" i="2"/>
  <c r="W1810" i="2"/>
  <c r="U1850" i="2"/>
  <c r="V1850" i="2"/>
  <c r="W1850" i="2"/>
  <c r="U1974" i="2"/>
  <c r="V1974" i="2"/>
  <c r="W1974" i="2"/>
  <c r="U2454" i="2"/>
  <c r="V2454" i="2"/>
  <c r="W2454" i="2"/>
  <c r="U2464" i="2"/>
  <c r="V2464" i="2"/>
  <c r="W2464" i="2"/>
  <c r="U2480" i="2"/>
  <c r="V2480" i="2"/>
  <c r="W2480" i="2"/>
  <c r="U2503" i="2"/>
  <c r="V2503" i="2"/>
  <c r="W2503" i="2"/>
  <c r="U2509" i="2"/>
  <c r="V2509" i="2"/>
  <c r="W2509" i="2"/>
  <c r="U2670" i="2"/>
  <c r="V2670" i="2"/>
  <c r="W2670" i="2"/>
  <c r="U3245" i="2"/>
  <c r="V3245" i="2"/>
  <c r="W3245" i="2"/>
  <c r="U3257" i="2"/>
  <c r="V3257" i="2"/>
  <c r="W3257" i="2"/>
  <c r="U3263" i="2"/>
  <c r="V3263" i="2"/>
  <c r="W3263" i="2"/>
  <c r="U3272" i="2"/>
  <c r="V3272" i="2"/>
  <c r="W3272" i="2"/>
  <c r="U3278" i="2"/>
  <c r="V3278" i="2"/>
  <c r="W3278" i="2"/>
  <c r="U3282" i="2"/>
  <c r="V3282" i="2"/>
  <c r="W3282" i="2"/>
  <c r="U3306" i="2"/>
  <c r="V3306" i="2"/>
  <c r="W3306" i="2"/>
  <c r="U3310" i="2"/>
  <c r="V3310" i="2"/>
  <c r="W3310" i="2"/>
  <c r="U3922" i="2"/>
  <c r="V3922" i="2"/>
  <c r="W3922" i="2"/>
  <c r="U1299" i="2"/>
  <c r="V1299" i="2"/>
  <c r="W1299" i="2"/>
  <c r="U1331" i="2"/>
  <c r="V1331" i="2"/>
  <c r="W1331" i="2"/>
  <c r="U1333" i="2"/>
  <c r="V1333" i="2"/>
  <c r="W1333" i="2"/>
  <c r="U1335" i="2"/>
  <c r="V1335" i="2"/>
  <c r="W1335" i="2"/>
  <c r="U1354" i="2"/>
  <c r="V1354" i="2"/>
  <c r="W1354" i="2"/>
  <c r="U1362" i="2"/>
  <c r="V1362" i="2"/>
  <c r="W1362" i="2"/>
  <c r="U1391" i="2"/>
  <c r="V1391" i="2"/>
  <c r="W1391" i="2"/>
  <c r="U1395" i="2"/>
  <c r="V1395" i="2"/>
  <c r="W1395" i="2"/>
  <c r="U1406" i="2"/>
  <c r="V1406" i="2"/>
  <c r="W1406" i="2"/>
  <c r="U1419" i="2"/>
  <c r="V1419" i="2"/>
  <c r="W1419" i="2"/>
  <c r="U1694" i="2"/>
  <c r="V1694" i="2"/>
  <c r="W1694" i="2"/>
  <c r="U1695" i="2"/>
  <c r="V1695" i="2"/>
  <c r="W1695" i="2"/>
  <c r="U1705" i="2"/>
  <c r="V1705" i="2"/>
  <c r="W1705" i="2"/>
  <c r="U1735" i="2"/>
  <c r="V1735" i="2"/>
  <c r="W1735" i="2"/>
  <c r="U1742" i="2"/>
  <c r="V1742" i="2"/>
  <c r="W1742" i="2"/>
  <c r="U1744" i="2"/>
  <c r="V1744" i="2"/>
  <c r="W1744" i="2"/>
  <c r="U1813" i="2"/>
  <c r="V1813" i="2"/>
  <c r="W1813" i="2"/>
  <c r="U1830" i="2"/>
  <c r="V1830" i="2"/>
  <c r="W1830" i="2"/>
  <c r="U1837" i="2"/>
  <c r="V1837" i="2"/>
  <c r="W1837" i="2"/>
  <c r="U1903" i="2"/>
  <c r="V1903" i="2"/>
  <c r="W1903" i="2"/>
  <c r="U1921" i="2"/>
  <c r="V1921" i="2"/>
  <c r="W1921" i="2"/>
  <c r="U1976" i="2"/>
  <c r="V1976" i="2"/>
  <c r="W1976" i="2"/>
  <c r="U2067" i="2"/>
  <c r="V2067" i="2"/>
  <c r="W2067" i="2"/>
  <c r="U2512" i="2"/>
  <c r="V2512" i="2"/>
  <c r="W2512" i="2"/>
  <c r="U2514" i="2"/>
  <c r="V2514" i="2"/>
  <c r="W2514" i="2"/>
  <c r="U3313" i="2"/>
  <c r="V3313" i="2"/>
  <c r="W3313" i="2"/>
  <c r="U3408" i="2"/>
  <c r="V3408" i="2"/>
  <c r="W3408" i="2"/>
  <c r="U4863" i="2"/>
  <c r="V4863" i="2"/>
  <c r="W4863" i="2"/>
  <c r="U1033" i="2"/>
  <c r="V1033" i="2"/>
  <c r="W1033" i="2"/>
  <c r="U1116" i="2"/>
  <c r="V1116" i="2"/>
  <c r="W1116" i="2"/>
  <c r="U1276" i="2"/>
  <c r="V1276" i="2"/>
  <c r="W1276" i="2"/>
  <c r="U1283" i="2"/>
  <c r="V1283" i="2"/>
  <c r="W1283" i="2"/>
  <c r="U1291" i="2"/>
  <c r="V1291" i="2"/>
  <c r="W1291" i="2"/>
  <c r="U1295" i="2"/>
  <c r="V1295" i="2"/>
  <c r="W1295" i="2"/>
  <c r="U1306" i="2"/>
  <c r="V1306" i="2"/>
  <c r="W1306" i="2"/>
  <c r="U1323" i="2"/>
  <c r="V1323" i="2"/>
  <c r="W1323" i="2"/>
  <c r="U1350" i="2"/>
  <c r="V1350" i="2"/>
  <c r="W1350" i="2"/>
  <c r="U1369" i="2"/>
  <c r="V1369" i="2"/>
  <c r="W1369" i="2"/>
  <c r="U1374" i="2"/>
  <c r="V1374" i="2"/>
  <c r="W1374" i="2"/>
  <c r="U1400" i="2"/>
  <c r="V1400" i="2"/>
  <c r="W1400" i="2"/>
  <c r="U1414" i="2"/>
  <c r="V1414" i="2"/>
  <c r="W1414" i="2"/>
  <c r="U1761" i="2"/>
  <c r="V1761" i="2"/>
  <c r="W1761" i="2"/>
  <c r="U1782" i="2"/>
  <c r="V1782" i="2"/>
  <c r="W1782" i="2"/>
  <c r="U1815" i="2"/>
  <c r="V1815" i="2"/>
  <c r="W1815" i="2"/>
  <c r="U1867" i="2"/>
  <c r="V1867" i="2"/>
  <c r="W1867" i="2"/>
  <c r="U2508" i="2"/>
  <c r="V2508" i="2"/>
  <c r="W2508" i="2"/>
  <c r="U2511" i="2"/>
  <c r="V2511" i="2"/>
  <c r="W2511" i="2"/>
  <c r="U3330" i="2"/>
  <c r="V3330" i="2"/>
  <c r="W3330" i="2"/>
  <c r="U1426" i="2"/>
  <c r="V1426" i="2"/>
  <c r="W1426" i="2"/>
  <c r="U1427" i="2"/>
  <c r="V1427" i="2"/>
  <c r="W1427" i="2"/>
  <c r="U1431" i="2"/>
  <c r="V1431" i="2"/>
  <c r="W1431" i="2"/>
  <c r="U1433" i="2"/>
  <c r="V1433" i="2"/>
  <c r="W1433" i="2"/>
  <c r="U1439" i="2"/>
  <c r="V1439" i="2"/>
  <c r="W1439" i="2"/>
  <c r="U1449" i="2"/>
  <c r="V1449" i="2"/>
  <c r="W1449" i="2"/>
  <c r="U1451" i="2"/>
  <c r="V1451" i="2"/>
  <c r="W1451" i="2"/>
  <c r="U1454" i="2"/>
  <c r="V1454" i="2"/>
  <c r="W1454" i="2"/>
  <c r="U1456" i="2"/>
  <c r="V1456" i="2"/>
  <c r="W1456" i="2"/>
  <c r="U1460" i="2"/>
  <c r="V1460" i="2"/>
  <c r="W1460" i="2"/>
  <c r="U1467" i="2"/>
  <c r="V1467" i="2"/>
  <c r="W1467" i="2"/>
  <c r="U1471" i="2"/>
  <c r="V1471" i="2"/>
  <c r="W1471" i="2"/>
  <c r="U1473" i="2"/>
  <c r="V1473" i="2"/>
  <c r="W1473" i="2"/>
  <c r="U1476" i="2"/>
  <c r="V1476" i="2"/>
  <c r="W1476" i="2"/>
  <c r="U1478" i="2"/>
  <c r="V1478" i="2"/>
  <c r="W1478" i="2"/>
  <c r="U1483" i="2"/>
  <c r="V1483" i="2"/>
  <c r="W1483" i="2"/>
  <c r="U1486" i="2"/>
  <c r="V1486" i="2"/>
  <c r="W1486" i="2"/>
  <c r="U1489" i="2"/>
  <c r="V1489" i="2"/>
  <c r="W1489" i="2"/>
  <c r="U1491" i="2"/>
  <c r="V1491" i="2"/>
  <c r="W1491" i="2"/>
  <c r="U1493" i="2"/>
  <c r="V1493" i="2"/>
  <c r="W1493" i="2"/>
  <c r="U1495" i="2"/>
  <c r="V1495" i="2"/>
  <c r="W1495" i="2"/>
  <c r="U1497" i="2"/>
  <c r="V1497" i="2"/>
  <c r="W1497" i="2"/>
  <c r="U1691" i="2"/>
  <c r="V1691" i="2"/>
  <c r="W1691" i="2"/>
  <c r="U1701" i="2"/>
  <c r="V1701" i="2"/>
  <c r="W1701" i="2"/>
  <c r="U1703" i="2"/>
  <c r="V1703" i="2"/>
  <c r="W1703" i="2"/>
  <c r="U1707" i="2"/>
  <c r="V1707" i="2"/>
  <c r="W1707" i="2"/>
  <c r="U1715" i="2"/>
  <c r="V1715" i="2"/>
  <c r="W1715" i="2"/>
  <c r="U1717" i="2"/>
  <c r="V1717" i="2"/>
  <c r="W1717" i="2"/>
  <c r="U1733" i="2"/>
  <c r="V1733" i="2"/>
  <c r="W1733" i="2"/>
  <c r="U1760" i="2"/>
  <c r="V1760" i="2"/>
  <c r="W1760" i="2"/>
  <c r="U1774" i="2"/>
  <c r="V1774" i="2"/>
  <c r="W1774" i="2"/>
  <c r="U1817" i="2"/>
  <c r="V1817" i="2"/>
  <c r="W1817" i="2"/>
  <c r="U1829" i="2"/>
  <c r="V1829" i="2"/>
  <c r="W1829" i="2"/>
  <c r="U1840" i="2"/>
  <c r="V1840" i="2"/>
  <c r="W1840" i="2"/>
  <c r="U1842" i="2"/>
  <c r="V1842" i="2"/>
  <c r="W1842" i="2"/>
  <c r="U1865" i="2"/>
  <c r="V1865" i="2"/>
  <c r="W1865" i="2"/>
  <c r="U1890" i="2"/>
  <c r="V1890" i="2"/>
  <c r="W1890" i="2"/>
  <c r="U1977" i="2"/>
  <c r="V1977" i="2"/>
  <c r="W1977" i="2"/>
  <c r="U1980" i="2"/>
  <c r="V1980" i="2"/>
  <c r="W1980" i="2"/>
  <c r="U2498" i="2"/>
  <c r="V2498" i="2"/>
  <c r="W2498" i="2"/>
  <c r="U2505" i="2"/>
  <c r="V2505" i="2"/>
  <c r="W2505" i="2"/>
  <c r="U2678" i="2"/>
  <c r="V2678" i="2"/>
  <c r="W2678" i="2"/>
  <c r="U2074" i="2"/>
  <c r="V2074" i="2"/>
  <c r="W2074" i="2"/>
  <c r="U2111" i="2"/>
  <c r="V2111" i="2"/>
  <c r="W2111" i="2"/>
  <c r="U2125" i="2"/>
  <c r="V2125" i="2"/>
  <c r="W2125" i="2"/>
  <c r="U2133" i="2"/>
  <c r="V2133" i="2"/>
  <c r="W2133" i="2"/>
  <c r="U2151" i="2"/>
  <c r="V2151" i="2"/>
  <c r="W2151" i="2"/>
  <c r="U2156" i="2"/>
  <c r="V2156" i="2"/>
  <c r="W2156" i="2"/>
  <c r="U2171" i="2"/>
  <c r="V2171" i="2"/>
  <c r="W2171" i="2"/>
  <c r="U2497" i="2"/>
  <c r="V2497" i="2"/>
  <c r="W2497" i="2"/>
  <c r="U2504" i="2"/>
  <c r="V2504" i="2"/>
  <c r="W2504" i="2"/>
  <c r="U2516" i="2"/>
  <c r="V2516" i="2"/>
  <c r="W2516" i="2"/>
  <c r="U3322" i="2"/>
  <c r="V3322" i="2"/>
  <c r="W3322" i="2"/>
  <c r="U3325" i="2"/>
  <c r="V3325" i="2"/>
  <c r="W3325" i="2"/>
  <c r="U4829" i="2"/>
  <c r="V4829" i="2"/>
  <c r="W4829" i="2"/>
  <c r="U2707" i="2"/>
  <c r="V2707" i="2"/>
  <c r="W2707" i="2"/>
  <c r="U2711" i="2"/>
  <c r="V2711" i="2"/>
  <c r="W2711" i="2"/>
  <c r="U2715" i="2"/>
  <c r="V2715" i="2"/>
  <c r="W2715" i="2"/>
  <c r="U2719" i="2"/>
  <c r="V2719" i="2"/>
  <c r="W2719" i="2"/>
  <c r="U2729" i="2"/>
  <c r="V2729" i="2"/>
  <c r="W2729" i="2"/>
  <c r="U2734" i="2"/>
  <c r="V2734" i="2"/>
  <c r="W2734" i="2"/>
  <c r="U2741" i="2"/>
  <c r="V2741" i="2"/>
  <c r="W2741" i="2"/>
  <c r="U2742" i="2"/>
  <c r="V2742" i="2"/>
  <c r="W2742" i="2"/>
  <c r="U2746" i="2"/>
  <c r="V2746" i="2"/>
  <c r="W2746" i="2"/>
  <c r="U2752" i="2"/>
  <c r="V2752" i="2"/>
  <c r="W2752" i="2"/>
  <c r="U2753" i="2"/>
  <c r="V2753" i="2"/>
  <c r="W2753" i="2"/>
  <c r="U2757" i="2"/>
  <c r="V2757" i="2"/>
  <c r="W2757" i="2"/>
  <c r="U2759" i="2"/>
  <c r="V2759" i="2"/>
  <c r="W2759" i="2"/>
  <c r="U2763" i="2"/>
  <c r="V2763" i="2"/>
  <c r="W2763" i="2"/>
  <c r="U2770" i="2"/>
  <c r="V2770" i="2"/>
  <c r="W2770" i="2"/>
  <c r="U2771" i="2"/>
  <c r="V2771" i="2"/>
  <c r="W2771" i="2"/>
  <c r="U2773" i="2"/>
  <c r="V2773" i="2"/>
  <c r="W2773" i="2"/>
  <c r="U2774" i="2"/>
  <c r="V2774" i="2"/>
  <c r="W2774" i="2"/>
  <c r="U2777" i="2"/>
  <c r="V2777" i="2"/>
  <c r="W2777" i="2"/>
  <c r="U2797" i="2"/>
  <c r="V2797" i="2"/>
  <c r="W2797" i="2"/>
  <c r="U2798" i="2"/>
  <c r="V2798" i="2"/>
  <c r="W2798" i="2"/>
  <c r="U2802" i="2"/>
  <c r="V2802" i="2"/>
  <c r="W2802" i="2"/>
  <c r="U2806" i="2"/>
  <c r="V2806" i="2"/>
  <c r="W2806" i="2"/>
  <c r="U2807" i="2"/>
  <c r="V2807" i="2"/>
  <c r="W2807" i="2"/>
  <c r="U2809" i="2"/>
  <c r="V2809" i="2"/>
  <c r="W2809" i="2"/>
  <c r="U2814" i="2"/>
  <c r="V2814" i="2"/>
  <c r="W2814" i="2"/>
  <c r="U2815" i="2"/>
  <c r="V2815" i="2"/>
  <c r="W2815" i="2"/>
  <c r="U2821" i="2"/>
  <c r="V2821" i="2"/>
  <c r="W2821" i="2"/>
  <c r="U2827" i="2"/>
  <c r="V2827" i="2"/>
  <c r="W2827" i="2"/>
  <c r="U2828" i="2"/>
  <c r="V2828" i="2"/>
  <c r="W2828" i="2"/>
  <c r="U3329" i="2"/>
  <c r="V3329" i="2"/>
  <c r="W3329" i="2"/>
  <c r="U4827" i="2"/>
  <c r="V4827" i="2"/>
  <c r="W4827" i="2"/>
  <c r="U3443" i="2"/>
  <c r="V3443" i="2"/>
  <c r="W3443" i="2"/>
  <c r="U3448" i="2"/>
  <c r="V3448" i="2"/>
  <c r="W3448" i="2"/>
  <c r="U3449" i="2"/>
  <c r="V3449" i="2"/>
  <c r="W3449" i="2"/>
  <c r="U3454" i="2"/>
  <c r="V3454" i="2"/>
  <c r="W3454" i="2"/>
  <c r="U3455" i="2"/>
  <c r="V3455" i="2"/>
  <c r="W3455" i="2"/>
  <c r="U3457" i="2"/>
  <c r="V3457" i="2"/>
  <c r="W3457" i="2"/>
  <c r="U3458" i="2"/>
  <c r="V3458" i="2"/>
  <c r="W3458" i="2"/>
  <c r="U3459" i="2"/>
  <c r="V3459" i="2"/>
  <c r="W3459" i="2"/>
  <c r="U3462" i="2"/>
  <c r="V3462" i="2"/>
  <c r="W3462" i="2"/>
  <c r="U3463" i="2"/>
  <c r="V3463" i="2"/>
  <c r="W3463" i="2"/>
  <c r="U3464" i="2"/>
  <c r="V3464" i="2"/>
  <c r="W3464" i="2"/>
  <c r="U3467" i="2"/>
  <c r="V3467" i="2"/>
  <c r="W3467" i="2"/>
  <c r="U3470" i="2"/>
  <c r="V3470" i="2"/>
  <c r="W3470" i="2"/>
  <c r="U3471" i="2"/>
  <c r="V3471" i="2"/>
  <c r="W3471" i="2"/>
  <c r="U3475" i="2"/>
  <c r="V3475" i="2"/>
  <c r="W3475" i="2"/>
  <c r="U3476" i="2"/>
  <c r="V3476" i="2"/>
  <c r="W3476" i="2"/>
  <c r="U3477" i="2"/>
  <c r="V3477" i="2"/>
  <c r="W3477" i="2"/>
  <c r="U3478" i="2"/>
  <c r="V3478" i="2"/>
  <c r="W3478" i="2"/>
  <c r="U3481" i="2"/>
  <c r="V3481" i="2"/>
  <c r="W3481" i="2"/>
  <c r="U3482" i="2"/>
  <c r="V3482" i="2"/>
  <c r="W3482" i="2"/>
  <c r="U3485" i="2"/>
  <c r="V3485" i="2"/>
  <c r="W3485" i="2"/>
  <c r="U3486" i="2"/>
  <c r="V3486" i="2"/>
  <c r="W3486" i="2"/>
  <c r="U3489" i="2"/>
  <c r="V3489" i="2"/>
  <c r="W3489" i="2"/>
  <c r="U3490" i="2"/>
  <c r="V3490" i="2"/>
  <c r="W3490" i="2"/>
  <c r="U3492" i="2"/>
  <c r="V3492" i="2"/>
  <c r="W3492" i="2"/>
  <c r="U3493" i="2"/>
  <c r="V3493" i="2"/>
  <c r="W3493" i="2"/>
  <c r="U3494" i="2"/>
  <c r="V3494" i="2"/>
  <c r="W3494" i="2"/>
  <c r="U3496" i="2"/>
  <c r="V3496" i="2"/>
  <c r="W3496" i="2"/>
  <c r="U3497" i="2"/>
  <c r="V3497" i="2"/>
  <c r="W3497" i="2"/>
  <c r="U3504" i="2"/>
  <c r="V3504" i="2"/>
  <c r="W3504" i="2"/>
  <c r="U3505" i="2"/>
  <c r="V3505" i="2"/>
  <c r="W3505" i="2"/>
  <c r="U3506" i="2"/>
  <c r="V3506" i="2"/>
  <c r="W3506" i="2"/>
  <c r="U3509" i="2"/>
  <c r="V3509" i="2"/>
  <c r="W3509" i="2"/>
  <c r="U3512" i="2"/>
  <c r="V3512" i="2"/>
  <c r="W3512" i="2"/>
  <c r="U3513" i="2"/>
  <c r="V3513" i="2"/>
  <c r="W3513" i="2"/>
  <c r="U3514" i="2"/>
  <c r="V3514" i="2"/>
  <c r="W3514" i="2"/>
  <c r="U3515" i="2"/>
  <c r="V3515" i="2"/>
  <c r="W3515" i="2"/>
  <c r="U3518" i="2"/>
  <c r="V3518" i="2"/>
  <c r="W3518" i="2"/>
  <c r="U3519" i="2"/>
  <c r="V3519" i="2"/>
  <c r="W3519" i="2"/>
  <c r="U3520" i="2"/>
  <c r="V3520" i="2"/>
  <c r="W3520" i="2"/>
  <c r="U3521" i="2"/>
  <c r="V3521" i="2"/>
  <c r="W3521" i="2"/>
  <c r="U3525" i="2"/>
  <c r="V3525" i="2"/>
  <c r="W3525" i="2"/>
  <c r="U3526" i="2"/>
  <c r="V3526" i="2"/>
  <c r="W3526" i="2"/>
  <c r="U3528" i="2"/>
  <c r="V3528" i="2"/>
  <c r="W3528" i="2"/>
  <c r="U3529" i="2"/>
  <c r="V3529" i="2"/>
  <c r="W3529" i="2"/>
  <c r="U3532" i="2"/>
  <c r="V3532" i="2"/>
  <c r="W3532" i="2"/>
  <c r="U3534" i="2"/>
  <c r="V3534" i="2"/>
  <c r="W3534" i="2"/>
  <c r="U3535" i="2"/>
  <c r="V3535" i="2"/>
  <c r="W3535" i="2"/>
  <c r="U3537" i="2"/>
  <c r="V3537" i="2"/>
  <c r="W3537" i="2"/>
  <c r="U3539" i="2"/>
  <c r="V3539" i="2"/>
  <c r="W3539" i="2"/>
  <c r="U3542" i="2"/>
  <c r="V3542" i="2"/>
  <c r="W3542" i="2"/>
  <c r="U3616" i="2"/>
  <c r="V3616" i="2"/>
  <c r="W3616" i="2"/>
  <c r="U3617" i="2"/>
  <c r="V3617" i="2"/>
  <c r="W3617" i="2"/>
  <c r="U4000" i="2"/>
  <c r="V4000" i="2"/>
  <c r="W4000" i="2"/>
  <c r="U4001" i="2"/>
  <c r="V4001" i="2"/>
  <c r="W4001" i="2"/>
  <c r="U4002" i="2"/>
  <c r="V4002" i="2"/>
  <c r="W4002" i="2"/>
  <c r="U4003" i="2"/>
  <c r="V4003" i="2"/>
  <c r="W4003" i="2"/>
  <c r="U4004" i="2"/>
  <c r="V4004" i="2"/>
  <c r="W4004" i="2"/>
  <c r="U4005" i="2"/>
  <c r="V4005" i="2"/>
  <c r="W4005" i="2"/>
  <c r="U4006" i="2"/>
  <c r="V4006" i="2"/>
  <c r="W4006" i="2"/>
  <c r="U4007" i="2"/>
  <c r="V4007" i="2"/>
  <c r="W4007" i="2"/>
  <c r="U4008" i="2"/>
  <c r="V4008" i="2"/>
  <c r="W4008" i="2"/>
  <c r="U4009" i="2"/>
  <c r="V4009" i="2"/>
  <c r="W4009" i="2"/>
  <c r="U4010" i="2"/>
  <c r="V4010" i="2"/>
  <c r="W4010" i="2"/>
  <c r="U4146" i="2"/>
  <c r="V4146" i="2"/>
  <c r="W4146" i="2"/>
  <c r="U4159" i="2"/>
  <c r="V4159" i="2"/>
  <c r="W4159" i="2"/>
  <c r="U4160" i="2"/>
  <c r="V4160" i="2"/>
  <c r="W4160" i="2"/>
  <c r="U4816" i="2"/>
  <c r="V4816" i="2"/>
  <c r="W4816" i="2"/>
  <c r="U4850" i="2"/>
  <c r="V4850" i="2"/>
  <c r="W4850" i="2"/>
  <c r="U1021" i="2"/>
  <c r="V1021" i="2"/>
  <c r="W1021" i="2"/>
  <c r="U1075" i="2"/>
  <c r="V1075" i="2"/>
  <c r="W1075" i="2"/>
  <c r="U1223" i="2"/>
  <c r="V1223" i="2"/>
  <c r="W1223" i="2"/>
  <c r="U1804" i="2"/>
  <c r="V1804" i="2"/>
  <c r="W1804" i="2"/>
  <c r="U1808" i="2"/>
  <c r="V1808" i="2"/>
  <c r="W1808" i="2"/>
  <c r="U1811" i="2"/>
  <c r="V1811" i="2"/>
  <c r="W1811" i="2"/>
  <c r="U1996" i="2"/>
  <c r="V1996" i="2"/>
  <c r="W1996" i="2"/>
  <c r="U2640" i="2"/>
  <c r="V2640" i="2"/>
  <c r="W2640" i="2"/>
  <c r="U1019" i="2"/>
  <c r="V1019" i="2"/>
  <c r="W1019" i="2"/>
  <c r="U1023" i="2"/>
  <c r="V1023" i="2"/>
  <c r="W1023" i="2"/>
  <c r="U1174" i="2"/>
  <c r="V1174" i="2"/>
  <c r="W1174" i="2"/>
  <c r="U1777" i="2"/>
  <c r="V1777" i="2"/>
  <c r="W1777" i="2"/>
  <c r="U1800" i="2"/>
  <c r="V1800" i="2"/>
  <c r="W1800" i="2"/>
  <c r="U1854" i="2"/>
  <c r="V1854" i="2"/>
  <c r="W1854" i="2"/>
  <c r="U1858" i="2"/>
  <c r="V1858" i="2"/>
  <c r="W1858" i="2"/>
  <c r="U1887" i="2"/>
  <c r="V1887" i="2"/>
  <c r="W1887" i="2"/>
  <c r="U1924" i="2"/>
  <c r="V1924" i="2"/>
  <c r="W1924" i="2"/>
  <c r="U1978" i="2"/>
  <c r="V1978" i="2"/>
  <c r="W1978" i="2"/>
  <c r="U1768" i="2"/>
  <c r="V1768" i="2"/>
  <c r="W1768" i="2"/>
  <c r="U4845" i="2"/>
  <c r="V4845" i="2"/>
  <c r="W4845" i="2"/>
  <c r="U2705" i="2"/>
  <c r="V2705" i="2"/>
  <c r="W2705" i="2"/>
  <c r="U3452" i="2"/>
  <c r="V3452" i="2"/>
  <c r="W3452" i="2"/>
  <c r="U3474" i="2"/>
  <c r="V3474" i="2"/>
  <c r="W3474" i="2"/>
  <c r="U3466" i="2"/>
  <c r="V3466" i="2"/>
  <c r="W3466" i="2"/>
  <c r="U4227" i="2"/>
  <c r="V4227" i="2"/>
  <c r="W4227" i="2"/>
  <c r="U4230" i="2"/>
  <c r="V4230" i="2"/>
  <c r="W4230" i="2"/>
  <c r="U4231" i="2"/>
  <c r="V4231" i="2"/>
  <c r="W4231" i="2"/>
  <c r="U4232" i="2"/>
  <c r="V4232" i="2"/>
  <c r="W4232" i="2"/>
  <c r="U4233" i="2"/>
  <c r="V4233" i="2"/>
  <c r="W4233" i="2"/>
  <c r="U4234" i="2"/>
  <c r="V4234" i="2"/>
  <c r="W4234" i="2"/>
  <c r="U4235" i="2"/>
  <c r="V4235" i="2"/>
  <c r="W4235" i="2"/>
  <c r="U4237" i="2"/>
  <c r="V4237" i="2"/>
  <c r="W4237" i="2"/>
  <c r="U4238" i="2"/>
  <c r="V4238" i="2"/>
  <c r="W4238" i="2"/>
  <c r="U4239" i="2"/>
  <c r="V4239" i="2"/>
  <c r="W4239" i="2"/>
  <c r="U4240" i="2"/>
  <c r="V4240" i="2"/>
  <c r="W4240" i="2"/>
  <c r="U4242" i="2"/>
  <c r="V4242" i="2"/>
  <c r="W4242" i="2"/>
  <c r="U4243" i="2"/>
  <c r="V4243" i="2"/>
  <c r="W4243" i="2"/>
  <c r="U4245" i="2"/>
  <c r="V4245" i="2"/>
  <c r="W4245" i="2"/>
  <c r="U4246" i="2"/>
  <c r="V4246" i="2"/>
  <c r="W4246" i="2"/>
  <c r="U4247" i="2"/>
  <c r="V4247" i="2"/>
  <c r="W4247" i="2"/>
  <c r="U4248" i="2"/>
  <c r="V4248" i="2"/>
  <c r="W4248" i="2"/>
  <c r="U4249" i="2"/>
  <c r="V4249" i="2"/>
  <c r="W4249" i="2"/>
  <c r="U4250" i="2"/>
  <c r="V4250" i="2"/>
  <c r="W4250" i="2"/>
  <c r="U4251" i="2"/>
  <c r="V4251" i="2"/>
  <c r="W4251" i="2"/>
  <c r="U4253" i="2"/>
  <c r="V4253" i="2"/>
  <c r="W4253" i="2"/>
  <c r="U4257" i="2"/>
  <c r="V4257" i="2"/>
  <c r="W4257" i="2"/>
  <c r="U4258" i="2"/>
  <c r="V4258" i="2"/>
  <c r="W4258" i="2"/>
  <c r="U4259" i="2"/>
  <c r="V4259" i="2"/>
  <c r="W4259" i="2"/>
  <c r="U4260" i="2"/>
  <c r="V4260" i="2"/>
  <c r="W4260" i="2"/>
  <c r="U4261" i="2"/>
  <c r="V4261" i="2"/>
  <c r="W4261" i="2"/>
  <c r="U4262" i="2"/>
  <c r="V4262" i="2"/>
  <c r="W4262" i="2"/>
  <c r="U4263" i="2"/>
  <c r="V4263" i="2"/>
  <c r="W4263" i="2"/>
  <c r="U4264" i="2"/>
  <c r="V4264" i="2"/>
  <c r="W4264" i="2"/>
  <c r="U4265" i="2"/>
  <c r="V4265" i="2"/>
  <c r="W4265" i="2"/>
  <c r="U4266" i="2"/>
  <c r="V4266" i="2"/>
  <c r="W4266" i="2"/>
  <c r="U4267" i="2"/>
  <c r="V4267" i="2"/>
  <c r="W4267" i="2"/>
  <c r="U4268" i="2"/>
  <c r="V4268" i="2"/>
  <c r="W4268" i="2"/>
  <c r="U4269" i="2"/>
  <c r="V4269" i="2"/>
  <c r="W4269" i="2"/>
  <c r="U4270" i="2"/>
  <c r="V4270" i="2"/>
  <c r="W4270" i="2"/>
  <c r="U4271" i="2"/>
  <c r="V4271" i="2"/>
  <c r="W4271" i="2"/>
  <c r="U4272" i="2"/>
  <c r="V4272" i="2"/>
  <c r="W4272" i="2"/>
  <c r="U4273" i="2"/>
  <c r="V4273" i="2"/>
  <c r="W4273" i="2"/>
  <c r="U4274" i="2"/>
  <c r="V4274" i="2"/>
  <c r="W4274" i="2"/>
  <c r="U4275" i="2"/>
  <c r="V4275" i="2"/>
  <c r="W4275" i="2"/>
  <c r="U4276" i="2"/>
  <c r="V4276" i="2"/>
  <c r="W4276" i="2"/>
  <c r="U4277" i="2"/>
  <c r="V4277" i="2"/>
  <c r="W4277" i="2"/>
  <c r="U4278" i="2"/>
  <c r="V4278" i="2"/>
  <c r="W4278" i="2"/>
  <c r="U4279" i="2"/>
  <c r="V4279" i="2"/>
  <c r="W4279" i="2"/>
  <c r="U4280" i="2"/>
  <c r="V4280" i="2"/>
  <c r="W4280" i="2"/>
  <c r="U4281" i="2"/>
  <c r="V4281" i="2"/>
  <c r="W4281" i="2"/>
  <c r="U4282" i="2"/>
  <c r="V4282" i="2"/>
  <c r="W4282" i="2"/>
  <c r="U4283" i="2"/>
  <c r="V4283" i="2"/>
  <c r="W4283" i="2"/>
  <c r="U4284" i="2"/>
  <c r="V4284" i="2"/>
  <c r="W4284" i="2"/>
  <c r="U4285" i="2"/>
  <c r="V4285" i="2"/>
  <c r="W4285" i="2"/>
  <c r="U4286" i="2"/>
  <c r="V4286" i="2"/>
  <c r="W4286" i="2"/>
  <c r="U4287" i="2"/>
  <c r="V4287" i="2"/>
  <c r="W4287" i="2"/>
  <c r="U4288" i="2"/>
  <c r="V4288" i="2"/>
  <c r="W4288" i="2"/>
  <c r="U4289" i="2"/>
  <c r="V4289" i="2"/>
  <c r="W4289" i="2"/>
  <c r="U4290" i="2"/>
  <c r="V4290" i="2"/>
  <c r="W4290" i="2"/>
  <c r="U4291" i="2"/>
  <c r="V4291" i="2"/>
  <c r="W4291" i="2"/>
  <c r="U4292" i="2"/>
  <c r="V4292" i="2"/>
  <c r="W4292" i="2"/>
  <c r="U4293" i="2"/>
  <c r="V4293" i="2"/>
  <c r="W4293" i="2"/>
  <c r="U4294" i="2"/>
  <c r="V4294" i="2"/>
  <c r="W4294" i="2"/>
  <c r="U4295" i="2"/>
  <c r="V4295" i="2"/>
  <c r="W4295" i="2"/>
  <c r="U4296" i="2"/>
  <c r="V4296" i="2"/>
  <c r="W4296" i="2"/>
  <c r="U4297" i="2"/>
  <c r="V4297" i="2"/>
  <c r="W4297" i="2"/>
  <c r="U4298" i="2"/>
  <c r="V4298" i="2"/>
  <c r="W4298" i="2"/>
  <c r="U4299" i="2"/>
  <c r="V4299" i="2"/>
  <c r="W4299" i="2"/>
  <c r="U4300" i="2"/>
  <c r="V4300" i="2"/>
  <c r="W4300" i="2"/>
  <c r="U4301" i="2"/>
  <c r="V4301" i="2"/>
  <c r="W4301" i="2"/>
  <c r="U4302" i="2"/>
  <c r="V4302" i="2"/>
  <c r="W4302" i="2"/>
  <c r="U4303" i="2"/>
  <c r="V4303" i="2"/>
  <c r="W4303" i="2"/>
  <c r="U4304" i="2"/>
  <c r="V4304" i="2"/>
  <c r="W4304" i="2"/>
  <c r="U4305" i="2"/>
  <c r="V4305" i="2"/>
  <c r="W4305" i="2"/>
  <c r="U4306" i="2"/>
  <c r="V4306" i="2"/>
  <c r="W4306" i="2"/>
  <c r="U4307" i="2"/>
  <c r="V4307" i="2"/>
  <c r="W4307" i="2"/>
  <c r="U4308" i="2"/>
  <c r="V4308" i="2"/>
  <c r="W4308" i="2"/>
  <c r="U4310" i="2"/>
  <c r="V4310" i="2"/>
  <c r="W4310" i="2"/>
  <c r="U4311" i="2"/>
  <c r="V4311" i="2"/>
  <c r="W4311" i="2"/>
  <c r="U4312" i="2"/>
  <c r="V4312" i="2"/>
  <c r="W4312" i="2"/>
  <c r="U4313" i="2"/>
  <c r="V4313" i="2"/>
  <c r="W4313" i="2"/>
  <c r="U4314" i="2"/>
  <c r="V4314" i="2"/>
  <c r="W4314" i="2"/>
  <c r="U4315" i="2"/>
  <c r="V4315" i="2"/>
  <c r="W4315" i="2"/>
  <c r="U4316" i="2"/>
  <c r="V4316" i="2"/>
  <c r="W4316" i="2"/>
  <c r="U4317" i="2"/>
  <c r="V4317" i="2"/>
  <c r="W4317" i="2"/>
  <c r="U4319" i="2"/>
  <c r="V4319" i="2"/>
  <c r="W4319" i="2"/>
  <c r="U4320" i="2"/>
  <c r="V4320" i="2"/>
  <c r="W4320" i="2"/>
  <c r="U4322" i="2"/>
  <c r="V4322" i="2"/>
  <c r="W4322" i="2"/>
  <c r="U4323" i="2"/>
  <c r="V4323" i="2"/>
  <c r="W4323" i="2"/>
  <c r="U4325" i="2"/>
  <c r="V4325" i="2"/>
  <c r="W4325" i="2"/>
  <c r="U4327" i="2"/>
  <c r="V4327" i="2"/>
  <c r="W4327" i="2"/>
  <c r="U4328" i="2"/>
  <c r="V4328" i="2"/>
  <c r="W4328" i="2"/>
  <c r="U4329" i="2"/>
  <c r="V4329" i="2"/>
  <c r="W4329" i="2"/>
  <c r="U4330" i="2"/>
  <c r="V4330" i="2"/>
  <c r="W4330" i="2"/>
  <c r="U4331" i="2"/>
  <c r="V4331" i="2"/>
  <c r="W4331" i="2"/>
  <c r="U4333" i="2"/>
  <c r="V4333" i="2"/>
  <c r="W4333" i="2"/>
  <c r="U4334" i="2"/>
  <c r="V4334" i="2"/>
  <c r="W4334" i="2"/>
  <c r="U4335" i="2"/>
  <c r="V4335" i="2"/>
  <c r="W4335" i="2"/>
  <c r="U4336" i="2"/>
  <c r="V4336" i="2"/>
  <c r="W4336" i="2"/>
  <c r="U4337" i="2"/>
  <c r="V4337" i="2"/>
  <c r="W4337" i="2"/>
  <c r="U4338" i="2"/>
  <c r="V4338" i="2"/>
  <c r="W4338" i="2"/>
  <c r="U4340" i="2"/>
  <c r="V4340" i="2"/>
  <c r="W4340" i="2"/>
  <c r="U4341" i="2"/>
  <c r="V4341" i="2"/>
  <c r="W4341" i="2"/>
  <c r="U4342" i="2"/>
  <c r="V4342" i="2"/>
  <c r="W4342" i="2"/>
  <c r="U4344" i="2"/>
  <c r="V4344" i="2"/>
  <c r="W4344" i="2"/>
  <c r="U4345" i="2"/>
  <c r="V4345" i="2"/>
  <c r="W4345" i="2"/>
  <c r="U4346" i="2"/>
  <c r="V4346" i="2"/>
  <c r="W4346" i="2"/>
  <c r="U4347" i="2"/>
  <c r="V4347" i="2"/>
  <c r="W4347" i="2"/>
  <c r="U4348" i="2"/>
  <c r="V4348" i="2"/>
  <c r="W4348" i="2"/>
  <c r="U4349" i="2"/>
  <c r="V4349" i="2"/>
  <c r="W4349" i="2"/>
  <c r="U4351" i="2"/>
  <c r="V4351" i="2"/>
  <c r="W4351" i="2"/>
  <c r="U4353" i="2"/>
  <c r="V4353" i="2"/>
  <c r="W4353" i="2"/>
  <c r="U4354" i="2"/>
  <c r="V4354" i="2"/>
  <c r="W4354" i="2"/>
  <c r="U4355" i="2"/>
  <c r="V4355" i="2"/>
  <c r="W4355" i="2"/>
  <c r="U4356" i="2"/>
  <c r="V4356" i="2"/>
  <c r="W4356" i="2"/>
  <c r="U4358" i="2"/>
  <c r="V4358" i="2"/>
  <c r="W4358" i="2"/>
  <c r="U4359" i="2"/>
  <c r="V4359" i="2"/>
  <c r="W4359" i="2"/>
  <c r="U4360" i="2"/>
  <c r="V4360" i="2"/>
  <c r="W4360" i="2"/>
  <c r="U4361" i="2"/>
  <c r="V4361" i="2"/>
  <c r="W4361" i="2"/>
  <c r="U4362" i="2"/>
  <c r="V4362" i="2"/>
  <c r="W4362" i="2"/>
  <c r="U4363" i="2"/>
  <c r="V4363" i="2"/>
  <c r="W4363" i="2"/>
  <c r="U4364" i="2"/>
  <c r="V4364" i="2"/>
  <c r="W4364" i="2"/>
  <c r="U4365" i="2"/>
  <c r="V4365" i="2"/>
  <c r="W4365" i="2"/>
  <c r="U4366" i="2"/>
  <c r="V4366" i="2"/>
  <c r="W4366" i="2"/>
  <c r="U4368" i="2"/>
  <c r="V4368" i="2"/>
  <c r="W4368" i="2"/>
  <c r="U4370" i="2"/>
  <c r="V4370" i="2"/>
  <c r="W4370" i="2"/>
  <c r="U4371" i="2"/>
  <c r="V4371" i="2"/>
  <c r="W4371" i="2"/>
  <c r="U4372" i="2"/>
  <c r="V4372" i="2"/>
  <c r="W4372" i="2"/>
  <c r="U4373" i="2"/>
  <c r="V4373" i="2"/>
  <c r="W4373" i="2"/>
  <c r="U4374" i="2"/>
  <c r="V4374" i="2"/>
  <c r="W4374" i="2"/>
  <c r="U4375" i="2"/>
  <c r="V4375" i="2"/>
  <c r="W4375" i="2"/>
  <c r="U4376" i="2"/>
  <c r="V4376" i="2"/>
  <c r="W4376" i="2"/>
  <c r="U4377" i="2"/>
  <c r="V4377" i="2"/>
  <c r="W4377" i="2"/>
  <c r="U4378" i="2"/>
  <c r="V4378" i="2"/>
  <c r="W4378" i="2"/>
  <c r="U4379" i="2"/>
  <c r="V4379" i="2"/>
  <c r="W4379" i="2"/>
  <c r="U4380" i="2"/>
  <c r="V4380" i="2"/>
  <c r="W4380" i="2"/>
  <c r="U4381" i="2"/>
  <c r="V4381" i="2"/>
  <c r="W4381" i="2"/>
  <c r="U4382" i="2"/>
  <c r="V4382" i="2"/>
  <c r="W4382" i="2"/>
  <c r="U4383" i="2"/>
  <c r="V4383" i="2"/>
  <c r="W4383" i="2"/>
  <c r="U4384" i="2"/>
  <c r="V4384" i="2"/>
  <c r="W4384" i="2"/>
  <c r="U4385" i="2"/>
  <c r="V4385" i="2"/>
  <c r="W4385" i="2"/>
  <c r="U4387" i="2"/>
  <c r="V4387" i="2"/>
  <c r="W4387" i="2"/>
  <c r="U4388" i="2"/>
  <c r="V4388" i="2"/>
  <c r="W4388" i="2"/>
  <c r="U4389" i="2"/>
  <c r="V4389" i="2"/>
  <c r="W4389" i="2"/>
  <c r="U4393" i="2"/>
  <c r="V4393" i="2"/>
  <c r="W4393" i="2"/>
  <c r="U4394" i="2"/>
  <c r="V4394" i="2"/>
  <c r="W4394" i="2"/>
  <c r="U4396" i="2"/>
  <c r="V4396" i="2"/>
  <c r="W4396" i="2"/>
  <c r="U4397" i="2"/>
  <c r="V4397" i="2"/>
  <c r="W4397" i="2"/>
  <c r="U4398" i="2"/>
  <c r="V4398" i="2"/>
  <c r="W4398" i="2"/>
  <c r="U4399" i="2"/>
  <c r="V4399" i="2"/>
  <c r="W4399" i="2"/>
  <c r="U4400" i="2"/>
  <c r="V4400" i="2"/>
  <c r="W4400" i="2"/>
  <c r="U4401" i="2"/>
  <c r="V4401" i="2"/>
  <c r="W4401" i="2"/>
  <c r="U4402" i="2"/>
  <c r="V4402" i="2"/>
  <c r="W4402" i="2"/>
  <c r="U4403" i="2"/>
  <c r="V4403" i="2"/>
  <c r="W4403" i="2"/>
  <c r="U4404" i="2"/>
  <c r="V4404" i="2"/>
  <c r="W4404" i="2"/>
  <c r="U4405" i="2"/>
  <c r="V4405" i="2"/>
  <c r="W4405" i="2"/>
  <c r="U4406" i="2"/>
  <c r="V4406" i="2"/>
  <c r="W4406" i="2"/>
  <c r="U4407" i="2"/>
  <c r="V4407" i="2"/>
  <c r="W4407" i="2"/>
  <c r="U4408" i="2"/>
  <c r="V4408" i="2"/>
  <c r="W4408" i="2"/>
  <c r="U4409" i="2"/>
  <c r="V4409" i="2"/>
  <c r="W4409" i="2"/>
  <c r="U4410" i="2"/>
  <c r="V4410" i="2"/>
  <c r="W4410" i="2"/>
  <c r="U4411" i="2"/>
  <c r="V4411" i="2"/>
  <c r="W4411" i="2"/>
  <c r="U4412" i="2"/>
  <c r="V4412" i="2"/>
  <c r="W4412" i="2"/>
  <c r="U4413" i="2"/>
  <c r="V4413" i="2"/>
  <c r="W4413" i="2"/>
  <c r="U4414" i="2"/>
  <c r="V4414" i="2"/>
  <c r="W4414" i="2"/>
  <c r="U4415" i="2"/>
  <c r="V4415" i="2"/>
  <c r="W4415" i="2"/>
  <c r="U4416" i="2"/>
  <c r="V4416" i="2"/>
  <c r="W4416" i="2"/>
  <c r="U4417" i="2"/>
  <c r="V4417" i="2"/>
  <c r="W4417" i="2"/>
  <c r="U4418" i="2"/>
  <c r="V4418" i="2"/>
  <c r="W4418" i="2"/>
  <c r="U4419" i="2"/>
  <c r="V4419" i="2"/>
  <c r="W4419" i="2"/>
  <c r="U4420" i="2"/>
  <c r="V4420" i="2"/>
  <c r="W4420" i="2"/>
  <c r="U4421" i="2"/>
  <c r="V4421" i="2"/>
  <c r="W4421" i="2"/>
  <c r="U4422" i="2"/>
  <c r="V4422" i="2"/>
  <c r="W4422" i="2"/>
  <c r="U4423" i="2"/>
  <c r="V4423" i="2"/>
  <c r="W4423" i="2"/>
  <c r="U4424" i="2"/>
  <c r="V4424" i="2"/>
  <c r="W4424" i="2"/>
  <c r="U4425" i="2"/>
  <c r="V4425" i="2"/>
  <c r="W4425" i="2"/>
  <c r="U4426" i="2"/>
  <c r="V4426" i="2"/>
  <c r="W4426" i="2"/>
  <c r="U4427" i="2"/>
  <c r="V4427" i="2"/>
  <c r="W4427" i="2"/>
  <c r="U4428" i="2"/>
  <c r="V4428" i="2"/>
  <c r="W4428" i="2"/>
  <c r="U4429" i="2"/>
  <c r="V4429" i="2"/>
  <c r="W4429" i="2"/>
  <c r="U4430" i="2"/>
  <c r="V4430" i="2"/>
  <c r="W4430" i="2"/>
  <c r="U4431" i="2"/>
  <c r="V4431" i="2"/>
  <c r="W4431" i="2"/>
  <c r="U4432" i="2"/>
  <c r="V4432" i="2"/>
  <c r="W4432" i="2"/>
  <c r="U4433" i="2"/>
  <c r="V4433" i="2"/>
  <c r="W4433" i="2"/>
  <c r="U4434" i="2"/>
  <c r="V4434" i="2"/>
  <c r="W4434" i="2"/>
  <c r="U4435" i="2"/>
  <c r="V4435" i="2"/>
  <c r="W4435" i="2"/>
  <c r="U4436" i="2"/>
  <c r="V4436" i="2"/>
  <c r="W4436" i="2"/>
  <c r="U4437" i="2"/>
  <c r="V4437" i="2"/>
  <c r="W4437" i="2"/>
  <c r="U4438" i="2"/>
  <c r="V4438" i="2"/>
  <c r="W4438" i="2"/>
  <c r="U4439" i="2"/>
  <c r="V4439" i="2"/>
  <c r="W4439" i="2"/>
  <c r="U4440" i="2"/>
  <c r="V4440" i="2"/>
  <c r="W4440" i="2"/>
  <c r="U4441" i="2"/>
  <c r="V4441" i="2"/>
  <c r="W4441" i="2"/>
  <c r="U4442" i="2"/>
  <c r="V4442" i="2"/>
  <c r="W4442" i="2"/>
  <c r="U4443" i="2"/>
  <c r="V4443" i="2"/>
  <c r="W4443" i="2"/>
  <c r="U4444" i="2"/>
  <c r="V4444" i="2"/>
  <c r="W4444" i="2"/>
  <c r="U4445" i="2"/>
  <c r="V4445" i="2"/>
  <c r="W4445" i="2"/>
  <c r="U4446" i="2"/>
  <c r="V4446" i="2"/>
  <c r="W4446" i="2"/>
  <c r="U4447" i="2"/>
  <c r="V4447" i="2"/>
  <c r="W4447" i="2"/>
  <c r="U4448" i="2"/>
  <c r="V4448" i="2"/>
  <c r="W4448" i="2"/>
  <c r="U4449" i="2"/>
  <c r="V4449" i="2"/>
  <c r="W4449" i="2"/>
  <c r="U4450" i="2"/>
  <c r="V4450" i="2"/>
  <c r="W4450" i="2"/>
  <c r="U4451" i="2"/>
  <c r="V4451" i="2"/>
  <c r="W4451" i="2"/>
  <c r="U4452" i="2"/>
  <c r="V4452" i="2"/>
  <c r="W4452" i="2"/>
  <c r="U4453" i="2"/>
  <c r="V4453" i="2"/>
  <c r="W4453" i="2"/>
  <c r="U4454" i="2"/>
  <c r="V4454" i="2"/>
  <c r="W4454" i="2"/>
  <c r="U4455" i="2"/>
  <c r="V4455" i="2"/>
  <c r="W4455" i="2"/>
  <c r="U4456" i="2"/>
  <c r="V4456" i="2"/>
  <c r="W4456" i="2"/>
  <c r="U4457" i="2"/>
  <c r="V4457" i="2"/>
  <c r="W4457" i="2"/>
  <c r="U4459" i="2"/>
  <c r="V4459" i="2"/>
  <c r="W4459" i="2"/>
  <c r="U4460" i="2"/>
  <c r="V4460" i="2"/>
  <c r="W4460" i="2"/>
  <c r="U4462" i="2"/>
  <c r="V4462" i="2"/>
  <c r="W4462" i="2"/>
  <c r="U4463" i="2"/>
  <c r="V4463" i="2"/>
  <c r="W4463" i="2"/>
  <c r="U4464" i="2"/>
  <c r="V4464" i="2"/>
  <c r="W4464" i="2"/>
  <c r="U4465" i="2"/>
  <c r="V4465" i="2"/>
  <c r="W4465" i="2"/>
  <c r="U4466" i="2"/>
  <c r="V4466" i="2"/>
  <c r="W4466" i="2"/>
  <c r="U4467" i="2"/>
  <c r="V4467" i="2"/>
  <c r="W4467" i="2"/>
  <c r="U4468" i="2"/>
  <c r="V4468" i="2"/>
  <c r="W4468" i="2"/>
  <c r="U4469" i="2"/>
  <c r="V4469" i="2"/>
  <c r="W4469" i="2"/>
  <c r="U4470" i="2"/>
  <c r="V4470" i="2"/>
  <c r="W4470" i="2"/>
  <c r="U4471" i="2"/>
  <c r="V4471" i="2"/>
  <c r="W4471" i="2"/>
  <c r="U4472" i="2"/>
  <c r="V4472" i="2"/>
  <c r="W4472" i="2"/>
  <c r="U4474" i="2"/>
  <c r="V4474" i="2"/>
  <c r="W4474" i="2"/>
  <c r="U4475" i="2"/>
  <c r="V4475" i="2"/>
  <c r="W4475" i="2"/>
  <c r="U4476" i="2"/>
  <c r="V4476" i="2"/>
  <c r="W4476" i="2"/>
  <c r="U4477" i="2"/>
  <c r="V4477" i="2"/>
  <c r="W4477" i="2"/>
  <c r="U4479" i="2"/>
  <c r="V4479" i="2"/>
  <c r="W4479" i="2"/>
  <c r="U4480" i="2"/>
  <c r="V4480" i="2"/>
  <c r="W4480" i="2"/>
  <c r="U4481" i="2"/>
  <c r="V4481" i="2"/>
  <c r="W4481" i="2"/>
  <c r="U4482" i="2"/>
  <c r="V4482" i="2"/>
  <c r="W4482" i="2"/>
  <c r="U4483" i="2"/>
  <c r="V4483" i="2"/>
  <c r="W4483" i="2"/>
  <c r="U4484" i="2"/>
  <c r="V4484" i="2"/>
  <c r="W4484" i="2"/>
  <c r="U4485" i="2"/>
  <c r="V4485" i="2"/>
  <c r="W4485" i="2"/>
  <c r="U4486" i="2"/>
  <c r="V4486" i="2"/>
  <c r="W4486" i="2"/>
  <c r="U4488" i="2"/>
  <c r="V4488" i="2"/>
  <c r="W4488" i="2"/>
  <c r="U4489" i="2"/>
  <c r="V4489" i="2"/>
  <c r="W4489" i="2"/>
  <c r="U4490" i="2"/>
  <c r="V4490" i="2"/>
  <c r="W4490" i="2"/>
  <c r="U4491" i="2"/>
  <c r="V4491" i="2"/>
  <c r="W4491" i="2"/>
  <c r="U4492" i="2"/>
  <c r="V4492" i="2"/>
  <c r="W4492" i="2"/>
  <c r="U4493" i="2"/>
  <c r="V4493" i="2"/>
  <c r="W4493" i="2"/>
  <c r="U4494" i="2"/>
  <c r="V4494" i="2"/>
  <c r="W4494" i="2"/>
  <c r="U4495" i="2"/>
  <c r="V4495" i="2"/>
  <c r="W4495" i="2"/>
  <c r="U4496" i="2"/>
  <c r="V4496" i="2"/>
  <c r="W4496" i="2"/>
  <c r="U4499" i="2"/>
  <c r="V4499" i="2"/>
  <c r="W4499" i="2"/>
  <c r="U4500" i="2"/>
  <c r="V4500" i="2"/>
  <c r="W4500" i="2"/>
  <c r="U4502" i="2"/>
  <c r="V4502" i="2"/>
  <c r="W4502" i="2"/>
  <c r="U4503" i="2"/>
  <c r="V4503" i="2"/>
  <c r="W4503" i="2"/>
  <c r="U4722" i="2"/>
  <c r="V4722" i="2"/>
  <c r="W4722" i="2"/>
  <c r="U4744" i="2"/>
  <c r="V4744" i="2"/>
  <c r="W4744" i="2"/>
  <c r="U4787" i="2"/>
  <c r="V4787" i="2"/>
  <c r="W4787" i="2"/>
  <c r="U4788" i="2"/>
  <c r="V4788" i="2"/>
  <c r="W4788" i="2"/>
  <c r="U4789" i="2"/>
  <c r="V4789" i="2"/>
  <c r="W4789" i="2"/>
  <c r="U4790" i="2"/>
  <c r="V4790" i="2"/>
  <c r="W4790" i="2"/>
  <c r="U4792" i="2"/>
  <c r="V4792" i="2"/>
  <c r="W4792" i="2"/>
  <c r="U4793" i="2"/>
  <c r="V4793" i="2"/>
  <c r="W4793" i="2"/>
  <c r="U4794" i="2"/>
  <c r="V4794" i="2"/>
  <c r="W4794" i="2"/>
  <c r="U4795" i="2"/>
  <c r="V4795" i="2"/>
  <c r="W4795" i="2"/>
  <c r="U4796" i="2"/>
  <c r="V4796" i="2"/>
  <c r="W4796" i="2"/>
  <c r="U4798" i="2"/>
  <c r="V4798" i="2"/>
  <c r="W4798" i="2"/>
  <c r="U4799" i="2"/>
  <c r="V4799" i="2"/>
  <c r="W4799" i="2"/>
  <c r="U4800" i="2"/>
  <c r="V4800" i="2"/>
  <c r="W4800" i="2"/>
  <c r="U4802" i="2"/>
  <c r="V4802" i="2"/>
  <c r="W4802" i="2"/>
  <c r="U4803" i="2"/>
  <c r="V4803" i="2"/>
  <c r="W4803" i="2"/>
  <c r="U4804" i="2"/>
  <c r="V4804" i="2"/>
  <c r="W4804" i="2"/>
  <c r="U4805" i="2"/>
  <c r="V4805" i="2"/>
  <c r="W4805" i="2"/>
  <c r="U4806" i="2"/>
  <c r="V4806" i="2"/>
  <c r="W4806" i="2"/>
  <c r="U4866" i="2"/>
  <c r="V4866" i="2"/>
  <c r="W4866" i="2"/>
  <c r="U4867" i="2"/>
  <c r="V4867" i="2"/>
  <c r="W4867" i="2"/>
  <c r="U4868" i="2"/>
  <c r="V4868" i="2"/>
  <c r="W4868" i="2"/>
  <c r="U4869" i="2"/>
  <c r="V4869" i="2"/>
  <c r="W4869" i="2"/>
  <c r="U4870" i="2"/>
  <c r="V4870" i="2"/>
  <c r="W4870" i="2"/>
  <c r="U4871" i="2"/>
  <c r="V4871" i="2"/>
  <c r="W4871" i="2"/>
  <c r="U4872" i="2"/>
  <c r="V4872" i="2"/>
  <c r="W4872" i="2"/>
  <c r="U4873" i="2"/>
  <c r="V4873" i="2"/>
  <c r="W4873" i="2"/>
  <c r="U4874" i="2"/>
  <c r="V4874" i="2"/>
  <c r="W4874" i="2"/>
  <c r="U4875" i="2"/>
  <c r="V4875" i="2"/>
  <c r="W4875" i="2"/>
  <c r="U4878" i="2"/>
  <c r="V4878" i="2"/>
  <c r="W4878" i="2"/>
  <c r="U4879" i="2"/>
  <c r="V4879" i="2"/>
  <c r="W4879" i="2"/>
  <c r="U4880" i="2"/>
  <c r="V4880" i="2"/>
  <c r="W4880" i="2"/>
  <c r="U4881" i="2"/>
  <c r="V4881" i="2"/>
  <c r="W4881" i="2"/>
  <c r="U4882" i="2"/>
  <c r="V4882" i="2"/>
  <c r="W4882" i="2"/>
  <c r="U4883" i="2"/>
  <c r="V4883" i="2"/>
  <c r="W4883" i="2"/>
  <c r="U4884" i="2"/>
  <c r="V4884" i="2"/>
  <c r="W4884" i="2"/>
  <c r="U4885" i="2"/>
  <c r="V4885" i="2"/>
  <c r="W4885" i="2"/>
  <c r="U4886" i="2"/>
  <c r="V4886" i="2"/>
  <c r="W4886" i="2"/>
  <c r="U4887" i="2"/>
  <c r="V4887" i="2"/>
  <c r="W4887" i="2"/>
  <c r="U4888" i="2"/>
  <c r="V4888" i="2"/>
  <c r="W4888" i="2"/>
  <c r="U4889" i="2"/>
  <c r="V4889" i="2"/>
  <c r="W4889" i="2"/>
  <c r="U4890" i="2"/>
  <c r="V4890" i="2"/>
  <c r="W4890" i="2"/>
  <c r="U4892" i="2"/>
  <c r="V4892" i="2"/>
  <c r="W4892" i="2"/>
  <c r="U4895" i="2"/>
  <c r="V4895" i="2"/>
  <c r="W4895" i="2"/>
  <c r="U4896" i="2"/>
  <c r="V4896" i="2"/>
  <c r="W4896" i="2"/>
  <c r="U4897" i="2"/>
  <c r="V4897" i="2"/>
  <c r="W4897" i="2"/>
  <c r="U4900" i="2"/>
  <c r="V4900" i="2"/>
  <c r="W4900" i="2"/>
  <c r="U4901" i="2"/>
  <c r="V4901" i="2"/>
  <c r="W4901" i="2"/>
  <c r="U4902" i="2"/>
  <c r="V4902" i="2"/>
  <c r="W4902" i="2"/>
  <c r="U4903" i="2"/>
  <c r="V4903" i="2"/>
  <c r="W4903" i="2"/>
  <c r="U4905" i="2"/>
  <c r="V4905" i="2"/>
  <c r="W4905" i="2"/>
  <c r="U4906" i="2"/>
  <c r="V4906" i="2"/>
  <c r="W4906" i="2"/>
  <c r="U4907" i="2"/>
  <c r="V4907" i="2"/>
  <c r="W4907" i="2"/>
  <c r="U4908" i="2"/>
  <c r="V4908" i="2"/>
  <c r="W4908" i="2"/>
  <c r="U4909" i="2"/>
  <c r="V4909" i="2"/>
  <c r="W4909" i="2"/>
  <c r="U4910" i="2"/>
  <c r="V4910" i="2"/>
  <c r="W4910" i="2"/>
  <c r="U4911" i="2"/>
  <c r="V4911" i="2"/>
  <c r="W4911" i="2"/>
  <c r="U4912" i="2"/>
  <c r="V4912" i="2"/>
  <c r="W4912" i="2"/>
  <c r="U4913" i="2"/>
  <c r="V4913" i="2"/>
  <c r="W4913" i="2"/>
  <c r="U4914" i="2"/>
  <c r="V4914" i="2"/>
  <c r="W4914" i="2"/>
  <c r="U4915" i="2"/>
  <c r="V4915" i="2"/>
  <c r="W4915" i="2"/>
  <c r="U4916" i="2"/>
  <c r="V4916" i="2"/>
  <c r="W4916" i="2"/>
  <c r="U4917" i="2"/>
  <c r="V4917" i="2"/>
  <c r="W4917" i="2"/>
  <c r="U4918" i="2"/>
  <c r="V4918" i="2"/>
  <c r="W4918" i="2"/>
  <c r="U4920" i="2"/>
  <c r="V4920" i="2"/>
  <c r="W4920" i="2"/>
  <c r="U4921" i="2"/>
  <c r="V4921" i="2"/>
  <c r="W4921" i="2"/>
  <c r="U4922" i="2"/>
  <c r="V4922" i="2"/>
  <c r="W4922" i="2"/>
  <c r="U4924" i="2"/>
  <c r="V4924" i="2"/>
  <c r="W4924" i="2"/>
  <c r="U4925" i="2"/>
  <c r="V4925" i="2"/>
  <c r="W4925" i="2"/>
  <c r="U4926" i="2"/>
  <c r="V4926" i="2"/>
  <c r="W4926" i="2"/>
  <c r="U4928" i="2"/>
  <c r="V4928" i="2"/>
  <c r="W4928" i="2"/>
  <c r="U4929" i="2"/>
  <c r="V4929" i="2"/>
  <c r="W4929" i="2"/>
  <c r="U4930" i="2"/>
  <c r="V4930" i="2"/>
  <c r="W4930" i="2"/>
  <c r="U4933" i="2"/>
  <c r="V4933" i="2"/>
  <c r="W4933" i="2"/>
  <c r="U4934" i="2"/>
  <c r="V4934" i="2"/>
  <c r="W4934" i="2"/>
  <c r="U4935" i="2"/>
  <c r="V4935" i="2"/>
  <c r="W4935" i="2"/>
  <c r="U4937" i="2"/>
  <c r="V4937" i="2"/>
  <c r="W4937" i="2"/>
  <c r="U4940" i="2"/>
  <c r="V4940" i="2"/>
  <c r="W4940" i="2"/>
  <c r="U4942" i="2"/>
  <c r="V4942" i="2"/>
  <c r="W4942" i="2"/>
  <c r="U4943" i="2"/>
  <c r="V4943" i="2"/>
  <c r="W4943" i="2"/>
  <c r="U4944" i="2"/>
  <c r="V4944" i="2"/>
  <c r="W4944" i="2"/>
  <c r="U4945" i="2"/>
  <c r="V4945" i="2"/>
  <c r="W4945" i="2"/>
  <c r="U4946" i="2"/>
  <c r="V4946" i="2"/>
  <c r="W4946" i="2"/>
  <c r="U4947" i="2"/>
  <c r="V4947" i="2"/>
  <c r="W4947" i="2"/>
  <c r="U4948" i="2"/>
  <c r="V4948" i="2"/>
  <c r="W4948" i="2"/>
  <c r="U4949" i="2"/>
  <c r="V4949" i="2"/>
  <c r="W4949" i="2"/>
  <c r="U4950" i="2"/>
  <c r="V4950" i="2"/>
  <c r="W4950" i="2"/>
  <c r="U4953" i="2"/>
  <c r="V4953" i="2"/>
  <c r="W4953" i="2"/>
  <c r="U4955" i="2"/>
  <c r="V4955" i="2"/>
  <c r="W4955" i="2"/>
  <c r="U4956" i="2"/>
  <c r="V4956" i="2"/>
  <c r="W4956" i="2"/>
  <c r="U4957" i="2"/>
  <c r="V4957" i="2"/>
  <c r="W4957" i="2"/>
  <c r="U4958" i="2"/>
  <c r="V4958" i="2"/>
  <c r="W4958" i="2"/>
  <c r="U4959" i="2"/>
  <c r="V4959" i="2"/>
  <c r="W4959" i="2"/>
  <c r="U4960" i="2"/>
  <c r="V4960" i="2"/>
  <c r="W4960" i="2"/>
  <c r="U4961" i="2"/>
  <c r="V4961" i="2"/>
  <c r="W4961" i="2"/>
  <c r="U4963" i="2"/>
  <c r="V4963" i="2"/>
  <c r="W4963" i="2"/>
  <c r="U4965" i="2"/>
  <c r="V4965" i="2"/>
  <c r="W4965" i="2"/>
  <c r="U4966" i="2"/>
  <c r="V4966" i="2"/>
  <c r="W4966" i="2"/>
  <c r="U4968" i="2"/>
  <c r="V4968" i="2"/>
  <c r="W4968" i="2"/>
  <c r="U4969" i="2"/>
  <c r="V4969" i="2"/>
  <c r="W4969" i="2"/>
  <c r="U4971" i="2"/>
  <c r="V4971" i="2"/>
  <c r="W4971" i="2"/>
  <c r="U4972" i="2"/>
  <c r="V4972" i="2"/>
  <c r="W4972" i="2"/>
  <c r="U4973" i="2"/>
  <c r="V4973" i="2"/>
  <c r="W4973" i="2"/>
  <c r="U4975" i="2"/>
  <c r="V4975" i="2"/>
  <c r="W4975" i="2"/>
  <c r="U4976" i="2"/>
  <c r="V4976" i="2"/>
  <c r="W4976" i="2"/>
  <c r="U4977" i="2"/>
  <c r="V4977" i="2"/>
  <c r="W4977" i="2"/>
  <c r="U4978" i="2"/>
  <c r="V4978" i="2"/>
  <c r="W4978" i="2"/>
  <c r="U4979" i="2"/>
  <c r="V4979" i="2"/>
  <c r="W4979" i="2"/>
  <c r="U4980" i="2"/>
  <c r="V4980" i="2"/>
  <c r="W4980" i="2"/>
  <c r="U4982" i="2"/>
  <c r="V4982" i="2"/>
  <c r="W4982" i="2"/>
  <c r="U4983" i="2"/>
  <c r="V4983" i="2"/>
  <c r="W4983" i="2"/>
  <c r="U4984" i="2"/>
  <c r="V4984" i="2"/>
  <c r="W4984" i="2"/>
  <c r="U4985" i="2"/>
  <c r="V4985" i="2"/>
  <c r="W4985" i="2"/>
  <c r="U4987" i="2"/>
  <c r="V4987" i="2"/>
  <c r="W4987" i="2"/>
  <c r="U4989" i="2"/>
  <c r="V4989" i="2"/>
  <c r="W4989" i="2"/>
  <c r="U4992" i="2"/>
  <c r="V4992" i="2"/>
  <c r="W4992" i="2"/>
  <c r="U4993" i="2"/>
  <c r="V4993" i="2"/>
  <c r="W4993" i="2"/>
  <c r="U4994" i="2"/>
  <c r="V4994" i="2"/>
  <c r="W4994" i="2"/>
  <c r="U4995" i="2"/>
  <c r="V4995" i="2"/>
  <c r="W4995" i="2"/>
  <c r="U4996" i="2"/>
  <c r="V4996" i="2"/>
  <c r="W4996" i="2"/>
  <c r="U4997" i="2"/>
  <c r="V4997" i="2"/>
  <c r="W4997" i="2"/>
  <c r="U4998" i="2"/>
  <c r="V4998" i="2"/>
  <c r="W4998" i="2"/>
  <c r="U4999" i="2"/>
  <c r="V4999" i="2"/>
  <c r="W4999" i="2"/>
  <c r="U5002" i="2"/>
  <c r="V5002" i="2"/>
  <c r="W5002" i="2"/>
  <c r="U5003" i="2"/>
  <c r="V5003" i="2"/>
  <c r="W5003" i="2"/>
  <c r="U5004" i="2"/>
  <c r="V5004" i="2"/>
  <c r="W5004" i="2"/>
  <c r="U5005" i="2"/>
  <c r="V5005" i="2"/>
  <c r="W5005" i="2"/>
  <c r="U5006" i="2"/>
  <c r="V5006" i="2"/>
  <c r="W5006" i="2"/>
  <c r="U5007" i="2"/>
  <c r="V5007" i="2"/>
  <c r="W5007" i="2"/>
  <c r="U5008" i="2"/>
  <c r="V5008" i="2"/>
  <c r="W5008" i="2"/>
  <c r="U5009" i="2"/>
  <c r="V5009" i="2"/>
  <c r="W5009" i="2"/>
  <c r="U5010" i="2"/>
  <c r="V5010" i="2"/>
  <c r="W5010" i="2"/>
  <c r="U5011" i="2"/>
  <c r="V5011" i="2"/>
  <c r="W5011" i="2"/>
  <c r="U5012" i="2"/>
  <c r="V5012" i="2"/>
  <c r="W5012" i="2"/>
  <c r="U5014" i="2"/>
  <c r="V5014" i="2"/>
  <c r="W5014" i="2"/>
  <c r="U5015" i="2"/>
  <c r="V5015" i="2"/>
  <c r="W5015" i="2"/>
  <c r="U5016" i="2"/>
  <c r="V5016" i="2"/>
  <c r="W5016" i="2"/>
  <c r="U1462" i="2"/>
  <c r="V1462" i="2"/>
  <c r="W1462" i="2"/>
  <c r="U1805" i="2"/>
  <c r="V1805" i="2"/>
  <c r="W1805" i="2"/>
  <c r="U1905" i="2"/>
  <c r="V1905" i="2"/>
  <c r="W1905" i="2"/>
  <c r="U1971" i="2"/>
  <c r="V1971" i="2"/>
  <c r="W1971" i="2"/>
  <c r="U1987" i="2"/>
  <c r="V1987" i="2"/>
  <c r="W1987" i="2"/>
  <c r="U1058" i="2"/>
  <c r="V1058" i="2"/>
  <c r="W1058" i="2"/>
  <c r="U1166" i="2"/>
  <c r="V1166" i="2"/>
  <c r="W1166" i="2"/>
  <c r="U1197" i="2"/>
  <c r="V1197" i="2"/>
  <c r="W1197" i="2"/>
  <c r="U1245" i="2"/>
  <c r="V1245" i="2"/>
  <c r="W1245" i="2"/>
  <c r="U1445" i="2"/>
  <c r="V1445" i="2"/>
  <c r="W1445" i="2"/>
  <c r="U1484" i="2"/>
  <c r="V1484" i="2"/>
  <c r="W1484" i="2"/>
  <c r="U1764" i="2"/>
  <c r="V1764" i="2"/>
  <c r="W1764" i="2"/>
  <c r="U1772" i="2"/>
  <c r="V1772" i="2"/>
  <c r="W1772" i="2"/>
  <c r="U1773" i="2"/>
  <c r="V1773" i="2"/>
  <c r="W1773" i="2"/>
  <c r="U1775" i="2"/>
  <c r="V1775" i="2"/>
  <c r="W1775" i="2"/>
  <c r="U1776" i="2"/>
  <c r="V1776" i="2"/>
  <c r="W1776" i="2"/>
  <c r="U1778" i="2"/>
  <c r="V1778" i="2"/>
  <c r="W1778" i="2"/>
  <c r="U1796" i="2"/>
  <c r="V1796" i="2"/>
  <c r="W1796" i="2"/>
  <c r="U2121" i="2"/>
  <c r="V2121" i="2"/>
  <c r="W2121" i="2"/>
  <c r="U2127" i="2"/>
  <c r="V2127" i="2"/>
  <c r="W2127" i="2"/>
  <c r="U2643" i="2"/>
  <c r="V2643" i="2"/>
  <c r="W2643" i="2"/>
  <c r="U2653" i="2"/>
  <c r="V2653" i="2"/>
  <c r="W2653" i="2"/>
  <c r="U3409" i="2"/>
  <c r="V3409" i="2"/>
  <c r="W3409" i="2"/>
  <c r="U3488" i="2"/>
  <c r="V3488" i="2"/>
  <c r="W3488" i="2"/>
  <c r="U3508" i="2"/>
  <c r="V3508" i="2"/>
  <c r="W3508" i="2"/>
  <c r="U3524" i="2"/>
  <c r="V3524" i="2"/>
  <c r="W3524" i="2"/>
  <c r="U4951" i="2"/>
  <c r="V4951" i="2"/>
  <c r="W4951" i="2"/>
  <c r="U4974" i="2"/>
  <c r="V4974" i="2"/>
  <c r="W4974" i="2"/>
  <c r="U1073" i="2"/>
  <c r="V1073" i="2"/>
  <c r="W1073" i="2"/>
  <c r="U1082" i="2"/>
  <c r="V1082" i="2"/>
  <c r="W1082" i="2"/>
  <c r="U1091" i="2"/>
  <c r="V1091" i="2"/>
  <c r="W1091" i="2"/>
  <c r="U1312" i="2"/>
  <c r="V1312" i="2"/>
  <c r="W1312" i="2"/>
  <c r="U1379" i="2"/>
  <c r="V1379" i="2"/>
  <c r="W1379" i="2"/>
  <c r="U1896" i="2"/>
  <c r="V1896" i="2"/>
  <c r="W1896" i="2"/>
  <c r="U1985" i="2"/>
  <c r="V1985" i="2"/>
  <c r="W1985" i="2"/>
  <c r="U2071" i="2"/>
  <c r="V2071" i="2"/>
  <c r="W2071" i="2"/>
  <c r="U2117" i="2"/>
  <c r="V2117" i="2"/>
  <c r="W2117" i="2"/>
  <c r="U2119" i="2"/>
  <c r="V2119" i="2"/>
  <c r="W2119" i="2"/>
  <c r="U2130" i="2"/>
  <c r="V2130" i="2"/>
  <c r="W2130" i="2"/>
  <c r="U2138" i="2"/>
  <c r="V2138" i="2"/>
  <c r="W2138" i="2"/>
  <c r="U2732" i="2"/>
  <c r="V2732" i="2"/>
  <c r="W2732" i="2"/>
  <c r="U2737" i="2"/>
  <c r="V2737" i="2"/>
  <c r="W2737" i="2"/>
  <c r="U4894" i="2"/>
  <c r="V4894" i="2"/>
  <c r="W4894" i="2"/>
  <c r="U4952" i="2"/>
  <c r="V4952" i="2"/>
  <c r="W4952" i="2"/>
  <c r="U1748" i="2"/>
  <c r="V1748" i="2"/>
  <c r="W1748" i="2"/>
  <c r="U1749" i="2"/>
  <c r="V1749" i="2"/>
  <c r="W1749" i="2"/>
  <c r="U1750" i="2"/>
  <c r="V1750" i="2"/>
  <c r="W1750" i="2"/>
  <c r="U1751" i="2"/>
  <c r="V1751" i="2"/>
  <c r="W1751" i="2"/>
  <c r="U1752" i="2"/>
  <c r="V1752" i="2"/>
  <c r="W1752" i="2"/>
  <c r="U1753" i="2"/>
  <c r="V1753" i="2"/>
  <c r="W1753" i="2"/>
  <c r="U1754" i="2"/>
  <c r="V1754" i="2"/>
  <c r="W1754" i="2"/>
  <c r="U1755" i="2"/>
  <c r="V1755" i="2"/>
  <c r="W1755" i="2"/>
  <c r="U1756" i="2"/>
  <c r="V1756" i="2"/>
  <c r="W1756" i="2"/>
  <c r="U1757" i="2"/>
  <c r="V1757" i="2"/>
  <c r="W1757" i="2"/>
  <c r="U1758" i="2"/>
  <c r="V1758" i="2"/>
  <c r="W1758" i="2"/>
  <c r="U1759" i="2"/>
  <c r="V1759" i="2"/>
  <c r="W1759" i="2"/>
  <c r="U1762" i="2"/>
  <c r="V1762" i="2"/>
  <c r="W1762" i="2"/>
  <c r="U1769" i="2"/>
  <c r="V1769" i="2"/>
  <c r="W1769" i="2"/>
  <c r="U1770" i="2"/>
  <c r="V1770" i="2"/>
  <c r="W1770" i="2"/>
  <c r="U1780" i="2"/>
  <c r="V1780" i="2"/>
  <c r="W1780" i="2"/>
  <c r="U1803" i="2"/>
  <c r="V1803" i="2"/>
  <c r="W1803" i="2"/>
  <c r="U1816" i="2"/>
  <c r="V1816" i="2"/>
  <c r="W1816" i="2"/>
  <c r="U1818" i="2"/>
  <c r="V1818" i="2"/>
  <c r="W1818" i="2"/>
  <c r="U1892" i="2"/>
  <c r="V1892" i="2"/>
  <c r="W1892" i="2"/>
  <c r="U1901" i="2"/>
  <c r="V1901" i="2"/>
  <c r="W1901" i="2"/>
  <c r="U1918" i="2"/>
  <c r="V1918" i="2"/>
  <c r="W1918" i="2"/>
  <c r="U2116" i="2"/>
  <c r="V2116" i="2"/>
  <c r="W2116" i="2"/>
  <c r="U2665" i="2"/>
  <c r="V2665" i="2"/>
  <c r="W2665" i="2"/>
  <c r="U2687" i="2"/>
  <c r="V2687" i="2"/>
  <c r="W2687" i="2"/>
  <c r="U2694" i="2"/>
  <c r="V2694" i="2"/>
  <c r="W2694" i="2"/>
  <c r="U2756" i="2"/>
  <c r="V2756" i="2"/>
  <c r="W2756" i="2"/>
  <c r="U2784" i="2"/>
  <c r="V2784" i="2"/>
  <c r="W2784" i="2"/>
  <c r="U3536" i="2"/>
  <c r="V3536" i="2"/>
  <c r="W3536" i="2"/>
  <c r="U2688" i="2"/>
  <c r="V2688" i="2"/>
  <c r="W2688" i="2"/>
  <c r="U3410" i="2"/>
  <c r="V3410" i="2"/>
  <c r="W3410" i="2"/>
  <c r="U3468" i="2"/>
  <c r="V3468" i="2"/>
  <c r="W3468" i="2"/>
  <c r="U5001" i="2"/>
  <c r="V5001" i="2"/>
  <c r="W5001" i="2"/>
  <c r="U3338" i="2"/>
  <c r="V3338" i="2"/>
  <c r="W3338" i="2"/>
  <c r="U3339" i="2"/>
  <c r="V3339" i="2"/>
  <c r="W3339" i="2"/>
  <c r="U3340" i="2"/>
  <c r="V3340" i="2"/>
  <c r="W3340" i="2"/>
  <c r="U3341" i="2"/>
  <c r="V3341" i="2"/>
  <c r="W3341" i="2"/>
  <c r="U3342" i="2"/>
  <c r="V3342" i="2"/>
  <c r="W3342" i="2"/>
  <c r="U3343" i="2"/>
  <c r="V3343" i="2"/>
  <c r="W3343" i="2"/>
  <c r="U3344" i="2"/>
  <c r="V3344" i="2"/>
  <c r="W3344" i="2"/>
  <c r="U3346" i="2"/>
  <c r="V3346" i="2"/>
  <c r="W3346" i="2"/>
  <c r="U3347" i="2"/>
  <c r="V3347" i="2"/>
  <c r="W3347" i="2"/>
  <c r="U3348" i="2"/>
  <c r="V3348" i="2"/>
  <c r="W3348" i="2"/>
  <c r="U3351" i="2"/>
  <c r="V3351" i="2"/>
  <c r="W3351" i="2"/>
  <c r="U3352" i="2"/>
  <c r="V3352" i="2"/>
  <c r="W3352" i="2"/>
  <c r="U3353" i="2"/>
  <c r="V3353" i="2"/>
  <c r="W3353" i="2"/>
  <c r="U3354" i="2"/>
  <c r="V3354" i="2"/>
  <c r="W3354" i="2"/>
  <c r="U3356" i="2"/>
  <c r="V3356" i="2"/>
  <c r="W3356" i="2"/>
  <c r="U3357" i="2"/>
  <c r="V3357" i="2"/>
  <c r="W3357" i="2"/>
  <c r="U3358" i="2"/>
  <c r="V3358" i="2"/>
  <c r="W3358" i="2"/>
  <c r="U3359" i="2"/>
  <c r="V3359" i="2"/>
  <c r="W3359" i="2"/>
  <c r="U3360" i="2"/>
  <c r="V3360" i="2"/>
  <c r="W3360" i="2"/>
  <c r="U3361" i="2"/>
  <c r="V3361" i="2"/>
  <c r="W3361" i="2"/>
  <c r="U3362" i="2"/>
  <c r="V3362" i="2"/>
  <c r="W3362" i="2"/>
  <c r="U3364" i="2"/>
  <c r="V3364" i="2"/>
  <c r="W3364" i="2"/>
  <c r="U3365" i="2"/>
  <c r="V3365" i="2"/>
  <c r="W3365" i="2"/>
  <c r="U3366" i="2"/>
  <c r="V3366" i="2"/>
  <c r="W3366" i="2"/>
  <c r="U3368" i="2"/>
  <c r="V3368" i="2"/>
  <c r="W3368" i="2"/>
  <c r="U3369" i="2"/>
  <c r="V3369" i="2"/>
  <c r="W3369" i="2"/>
  <c r="U3370" i="2"/>
  <c r="V3370" i="2"/>
  <c r="W3370" i="2"/>
  <c r="U3373" i="2"/>
  <c r="V3373" i="2"/>
  <c r="W3373" i="2"/>
  <c r="U3374" i="2"/>
  <c r="V3374" i="2"/>
  <c r="W3374" i="2"/>
  <c r="U3375" i="2"/>
  <c r="V3375" i="2"/>
  <c r="W3375" i="2"/>
  <c r="U3376" i="2"/>
  <c r="V3376" i="2"/>
  <c r="W3376" i="2"/>
  <c r="U3377" i="2"/>
  <c r="V3377" i="2"/>
  <c r="W3377" i="2"/>
  <c r="U3379" i="2"/>
  <c r="V3379" i="2"/>
  <c r="W3379" i="2"/>
  <c r="U3380" i="2"/>
  <c r="V3380" i="2"/>
  <c r="W3380" i="2"/>
  <c r="U3381" i="2"/>
  <c r="V3381" i="2"/>
  <c r="W3381" i="2"/>
  <c r="U3382" i="2"/>
  <c r="V3382" i="2"/>
  <c r="W3382" i="2"/>
  <c r="U3384" i="2"/>
  <c r="V3384" i="2"/>
  <c r="W3384" i="2"/>
  <c r="U3385" i="2"/>
  <c r="V3385" i="2"/>
  <c r="W3385" i="2"/>
  <c r="U3386" i="2"/>
  <c r="V3386" i="2"/>
  <c r="W3386" i="2"/>
  <c r="U3389" i="2"/>
  <c r="V3389" i="2"/>
  <c r="W3389" i="2"/>
  <c r="U3391" i="2"/>
  <c r="V3391" i="2"/>
  <c r="W3391" i="2"/>
  <c r="U3392" i="2"/>
  <c r="V3392" i="2"/>
  <c r="W3392" i="2"/>
  <c r="U3393" i="2"/>
  <c r="V3393" i="2"/>
  <c r="W3393" i="2"/>
  <c r="U3395" i="2"/>
  <c r="V3395" i="2"/>
  <c r="W3395" i="2"/>
  <c r="U3396" i="2"/>
  <c r="V3396" i="2"/>
  <c r="W3396" i="2"/>
  <c r="U3397" i="2"/>
  <c r="V3397" i="2"/>
  <c r="W3397" i="2"/>
  <c r="U3398" i="2"/>
  <c r="V3398" i="2"/>
  <c r="W3398" i="2"/>
  <c r="U3399" i="2"/>
  <c r="V3399" i="2"/>
  <c r="W3399" i="2"/>
  <c r="U3400" i="2"/>
  <c r="V3400" i="2"/>
  <c r="W3400" i="2"/>
  <c r="U3402" i="2"/>
  <c r="V3402" i="2"/>
  <c r="W3402" i="2"/>
  <c r="U3403" i="2"/>
  <c r="V3403" i="2"/>
  <c r="W3403" i="2"/>
  <c r="U3404" i="2"/>
  <c r="V3404" i="2"/>
  <c r="W3404" i="2"/>
  <c r="U3405" i="2"/>
  <c r="V3405" i="2"/>
  <c r="W3405" i="2"/>
  <c r="U4808" i="2"/>
  <c r="V4808" i="2"/>
  <c r="W4808" i="2"/>
  <c r="U4113" i="2"/>
  <c r="V4113" i="2"/>
  <c r="W4113" i="2"/>
  <c r="U4970" i="2"/>
  <c r="V4970" i="2"/>
  <c r="W4970" i="2"/>
  <c r="U4988" i="2"/>
  <c r="V4988" i="2"/>
  <c r="W4988" i="2"/>
  <c r="U1024" i="2"/>
  <c r="V1024" i="2"/>
  <c r="W1024" i="2"/>
  <c r="U1037" i="2"/>
  <c r="V1037" i="2"/>
  <c r="W1037" i="2"/>
  <c r="U1105" i="2"/>
  <c r="V1105" i="2"/>
  <c r="W1105" i="2"/>
  <c r="U1136" i="2"/>
  <c r="V1136" i="2"/>
  <c r="W1136" i="2"/>
  <c r="U1168" i="2"/>
  <c r="V1168" i="2"/>
  <c r="W1168" i="2"/>
  <c r="U1185" i="2"/>
  <c r="V1185" i="2"/>
  <c r="W1185" i="2"/>
  <c r="U1202" i="2"/>
  <c r="V1202" i="2"/>
  <c r="W1202" i="2"/>
  <c r="U1209" i="2"/>
  <c r="V1209" i="2"/>
  <c r="W1209" i="2"/>
  <c r="U1252" i="2"/>
  <c r="V1252" i="2"/>
  <c r="W1252" i="2"/>
  <c r="U1285" i="2"/>
  <c r="V1285" i="2"/>
  <c r="W1285" i="2"/>
  <c r="U1385" i="2"/>
  <c r="V1385" i="2"/>
  <c r="W1385" i="2"/>
  <c r="U1435" i="2"/>
  <c r="V1435" i="2"/>
  <c r="W1435" i="2"/>
  <c r="U1447" i="2"/>
  <c r="V1447" i="2"/>
  <c r="W1447" i="2"/>
  <c r="U1469" i="2"/>
  <c r="V1469" i="2"/>
  <c r="W1469" i="2"/>
  <c r="U1784" i="2"/>
  <c r="V1784" i="2"/>
  <c r="W1784" i="2"/>
  <c r="U1787" i="2"/>
  <c r="V1787" i="2"/>
  <c r="W1787" i="2"/>
  <c r="U1790" i="2"/>
  <c r="V1790" i="2"/>
  <c r="W1790" i="2"/>
  <c r="U1793" i="2"/>
  <c r="V1793" i="2"/>
  <c r="W1793" i="2"/>
  <c r="U1799" i="2"/>
  <c r="V1799" i="2"/>
  <c r="W1799" i="2"/>
  <c r="U1821" i="2"/>
  <c r="V1821" i="2"/>
  <c r="W1821" i="2"/>
  <c r="U1853" i="2"/>
  <c r="V1853" i="2"/>
  <c r="W1853" i="2"/>
  <c r="U1981" i="2"/>
  <c r="V1981" i="2"/>
  <c r="W1981" i="2"/>
  <c r="U2092" i="2"/>
  <c r="V2092" i="2"/>
  <c r="W2092" i="2"/>
  <c r="U2167" i="2"/>
  <c r="V2167" i="2"/>
  <c r="W2167" i="2"/>
  <c r="U2655" i="2"/>
  <c r="V2655" i="2"/>
  <c r="W2655" i="2"/>
  <c r="U2762" i="2"/>
  <c r="V2762" i="2"/>
  <c r="W2762" i="2"/>
  <c r="U2779" i="2"/>
  <c r="V2779" i="2"/>
  <c r="W2779" i="2"/>
  <c r="U2820" i="2"/>
  <c r="V2820" i="2"/>
  <c r="W2820" i="2"/>
  <c r="U3390" i="2"/>
  <c r="V3390" i="2"/>
  <c r="W3390" i="2"/>
  <c r="U1052" i="2"/>
  <c r="V1052" i="2"/>
  <c r="W1052" i="2"/>
  <c r="U1078" i="2"/>
  <c r="V1078" i="2"/>
  <c r="W1078" i="2"/>
  <c r="U1083" i="2"/>
  <c r="V1083" i="2"/>
  <c r="W1083" i="2"/>
  <c r="U1098" i="2"/>
  <c r="V1098" i="2"/>
  <c r="W1098" i="2"/>
  <c r="U1130" i="2"/>
  <c r="V1130" i="2"/>
  <c r="W1130" i="2"/>
  <c r="U1133" i="2"/>
  <c r="V1133" i="2"/>
  <c r="W1133" i="2"/>
  <c r="U1189" i="2"/>
  <c r="V1189" i="2"/>
  <c r="W1189" i="2"/>
  <c r="U1193" i="2"/>
  <c r="V1193" i="2"/>
  <c r="W1193" i="2"/>
  <c r="U1219" i="2"/>
  <c r="V1219" i="2"/>
  <c r="W1219" i="2"/>
  <c r="U1224" i="2"/>
  <c r="V1224" i="2"/>
  <c r="W1224" i="2"/>
  <c r="U1229" i="2"/>
  <c r="V1229" i="2"/>
  <c r="W1229" i="2"/>
  <c r="U1232" i="2"/>
  <c r="V1232" i="2"/>
  <c r="W1232" i="2"/>
  <c r="U1235" i="2"/>
  <c r="V1235" i="2"/>
  <c r="W1235" i="2"/>
  <c r="U1247" i="2"/>
  <c r="V1247" i="2"/>
  <c r="W1247" i="2"/>
  <c r="U1358" i="2"/>
  <c r="V1358" i="2"/>
  <c r="W1358" i="2"/>
  <c r="U1463" i="2"/>
  <c r="V1463" i="2"/>
  <c r="W1463" i="2"/>
  <c r="U1786" i="2"/>
  <c r="V1786" i="2"/>
  <c r="W1786" i="2"/>
  <c r="U1789" i="2"/>
  <c r="V1789" i="2"/>
  <c r="W1789" i="2"/>
  <c r="U1792" i="2"/>
  <c r="V1792" i="2"/>
  <c r="W1792" i="2"/>
  <c r="U1794" i="2"/>
  <c r="V1794" i="2"/>
  <c r="W1794" i="2"/>
  <c r="U1828" i="2"/>
  <c r="V1828" i="2"/>
  <c r="W1828" i="2"/>
  <c r="U1831" i="2"/>
  <c r="V1831" i="2"/>
  <c r="W1831" i="2"/>
  <c r="U1834" i="2"/>
  <c r="V1834" i="2"/>
  <c r="W1834" i="2"/>
  <c r="U1835" i="2"/>
  <c r="V1835" i="2"/>
  <c r="W1835" i="2"/>
  <c r="U1843" i="2"/>
  <c r="V1843" i="2"/>
  <c r="W1843" i="2"/>
  <c r="U1845" i="2"/>
  <c r="V1845" i="2"/>
  <c r="W1845" i="2"/>
  <c r="U1849" i="2"/>
  <c r="V1849" i="2"/>
  <c r="W1849" i="2"/>
  <c r="U1895" i="2"/>
  <c r="V1895" i="2"/>
  <c r="W1895" i="2"/>
  <c r="U1910" i="2"/>
  <c r="V1910" i="2"/>
  <c r="W1910" i="2"/>
  <c r="U1920" i="2"/>
  <c r="V1920" i="2"/>
  <c r="W1920" i="2"/>
  <c r="U1925" i="2"/>
  <c r="V1925" i="2"/>
  <c r="W1925" i="2"/>
  <c r="U1983" i="2"/>
  <c r="V1983" i="2"/>
  <c r="W1983" i="2"/>
  <c r="U2114" i="2"/>
  <c r="V2114" i="2"/>
  <c r="W2114" i="2"/>
  <c r="U2141" i="2"/>
  <c r="V2141" i="2"/>
  <c r="W2141" i="2"/>
  <c r="U2163" i="2"/>
  <c r="V2163" i="2"/>
  <c r="W2163" i="2"/>
  <c r="U2165" i="2"/>
  <c r="V2165" i="2"/>
  <c r="W2165" i="2"/>
  <c r="U2168" i="2"/>
  <c r="V2168" i="2"/>
  <c r="W2168" i="2"/>
  <c r="U2639" i="2"/>
  <c r="V2639" i="2"/>
  <c r="W2639" i="2"/>
  <c r="U2690" i="2"/>
  <c r="V2690" i="2"/>
  <c r="W2690" i="2"/>
  <c r="U2710" i="2"/>
  <c r="V2710" i="2"/>
  <c r="W2710" i="2"/>
  <c r="U2731" i="2"/>
  <c r="V2731" i="2"/>
  <c r="W2731" i="2"/>
  <c r="U2735" i="2"/>
  <c r="V2735" i="2"/>
  <c r="W2735" i="2"/>
  <c r="U2787" i="2"/>
  <c r="V2787" i="2"/>
  <c r="W2787" i="2"/>
  <c r="U2817" i="2"/>
  <c r="V2817" i="2"/>
  <c r="W2817" i="2"/>
  <c r="U2822" i="2"/>
  <c r="V2822" i="2"/>
  <c r="W2822" i="2"/>
  <c r="U3349" i="2"/>
  <c r="V3349" i="2"/>
  <c r="W3349" i="2"/>
  <c r="U3355" i="2"/>
  <c r="V3355" i="2"/>
  <c r="W3355" i="2"/>
  <c r="U3367" i="2"/>
  <c r="V3367" i="2"/>
  <c r="W3367" i="2"/>
  <c r="U3371" i="2"/>
  <c r="V3371" i="2"/>
  <c r="W3371" i="2"/>
  <c r="U3378" i="2"/>
  <c r="V3378" i="2"/>
  <c r="W3378" i="2"/>
  <c r="U3387" i="2"/>
  <c r="V3387" i="2"/>
  <c r="W3387" i="2"/>
  <c r="U3441" i="2"/>
  <c r="V3441" i="2"/>
  <c r="W3441" i="2"/>
  <c r="U1783" i="2"/>
  <c r="V1783" i="2"/>
  <c r="W1783" i="2"/>
  <c r="U1785" i="2"/>
  <c r="V1785" i="2"/>
  <c r="W1785" i="2"/>
  <c r="U1788" i="2"/>
  <c r="V1788" i="2"/>
  <c r="W1788" i="2"/>
  <c r="U1791" i="2"/>
  <c r="V1791" i="2"/>
  <c r="W1791" i="2"/>
  <c r="U1795" i="2"/>
  <c r="V1795" i="2"/>
  <c r="W1795" i="2"/>
  <c r="U1797" i="2"/>
  <c r="V1797" i="2"/>
  <c r="W1797" i="2"/>
  <c r="U1801" i="2"/>
  <c r="V1801" i="2"/>
  <c r="W1801" i="2"/>
  <c r="U1851" i="2"/>
  <c r="V1851" i="2"/>
  <c r="W1851" i="2"/>
  <c r="U1855" i="2"/>
  <c r="V1855" i="2"/>
  <c r="W1855" i="2"/>
  <c r="U1897" i="2"/>
  <c r="V1897" i="2"/>
  <c r="W1897" i="2"/>
  <c r="U1908" i="2"/>
  <c r="V1908" i="2"/>
  <c r="W1908" i="2"/>
  <c r="U1916" i="2"/>
  <c r="V1916" i="2"/>
  <c r="W1916" i="2"/>
  <c r="U1919" i="2"/>
  <c r="V1919" i="2"/>
  <c r="W1919" i="2"/>
  <c r="U1922" i="2"/>
  <c r="V1922" i="2"/>
  <c r="W1922" i="2"/>
  <c r="U1923" i="2"/>
  <c r="V1923" i="2"/>
  <c r="W1923" i="2"/>
  <c r="U1975" i="2"/>
  <c r="V1975" i="2"/>
  <c r="W1975" i="2"/>
  <c r="U1998" i="2"/>
  <c r="V1998" i="2"/>
  <c r="W1998" i="2"/>
  <c r="U2080" i="2"/>
  <c r="V2080" i="2"/>
  <c r="W2080" i="2"/>
  <c r="U2169" i="2"/>
  <c r="V2169" i="2"/>
  <c r="W2169" i="2"/>
  <c r="U2681" i="2"/>
  <c r="V2681" i="2"/>
  <c r="W2681" i="2"/>
  <c r="U2721" i="2"/>
  <c r="V2721" i="2"/>
  <c r="W2721" i="2"/>
  <c r="U2739" i="2"/>
  <c r="V2739" i="2"/>
  <c r="W2739" i="2"/>
  <c r="U2749" i="2"/>
  <c r="V2749" i="2"/>
  <c r="W2749" i="2"/>
  <c r="U2751" i="2"/>
  <c r="V2751" i="2"/>
  <c r="W2751" i="2"/>
  <c r="U2775" i="2"/>
  <c r="V2775" i="2"/>
  <c r="W2775" i="2"/>
  <c r="U2816" i="2"/>
  <c r="V2816" i="2"/>
  <c r="W2816" i="2"/>
  <c r="U2823" i="2"/>
  <c r="V2823" i="2"/>
  <c r="W2823" i="2"/>
  <c r="U3363" i="2"/>
  <c r="V3363" i="2"/>
  <c r="W3363" i="2"/>
  <c r="U3383" i="2"/>
  <c r="V3383" i="2"/>
  <c r="W3383" i="2"/>
  <c r="U3394" i="2"/>
  <c r="V3394" i="2"/>
  <c r="W3394" i="2"/>
  <c r="U3401" i="2"/>
  <c r="V3401" i="2"/>
  <c r="W3401" i="2"/>
  <c r="U3500" i="2"/>
  <c r="V3500" i="2"/>
  <c r="W3500" i="2"/>
  <c r="U3531" i="2"/>
  <c r="V3531" i="2"/>
  <c r="W3531" i="2"/>
  <c r="U4923" i="2"/>
  <c r="V4923" i="2"/>
  <c r="W4923" i="2"/>
  <c r="U2175" i="2"/>
  <c r="V2175" i="2"/>
  <c r="W2175" i="2"/>
  <c r="U2713" i="2"/>
  <c r="V2713" i="2"/>
  <c r="W2713" i="2"/>
  <c r="U2765" i="2"/>
  <c r="V2765" i="2"/>
  <c r="W2765" i="2"/>
  <c r="U2810" i="2"/>
  <c r="V2810" i="2"/>
  <c r="W2810" i="2"/>
  <c r="U3372" i="2"/>
  <c r="V3372" i="2"/>
  <c r="W3372" i="2"/>
  <c r="U3406" i="2"/>
  <c r="V3406" i="2"/>
  <c r="W3406" i="2"/>
  <c r="U3431" i="2"/>
  <c r="V3431" i="2"/>
  <c r="W3431" i="2"/>
  <c r="U3446" i="2"/>
  <c r="V3446" i="2"/>
  <c r="W3446" i="2"/>
  <c r="U4938" i="2"/>
  <c r="V4938" i="2"/>
  <c r="W4938" i="2"/>
  <c r="U4962" i="2"/>
  <c r="V4962" i="2"/>
  <c r="W4962" i="2"/>
  <c r="U2835" i="2"/>
  <c r="V2835" i="2"/>
  <c r="W2835" i="2"/>
  <c r="U2837" i="2"/>
  <c r="V2837" i="2"/>
  <c r="W2837" i="2"/>
  <c r="U2840" i="2"/>
  <c r="V2840" i="2"/>
  <c r="W2840" i="2"/>
  <c r="U3332" i="2"/>
  <c r="V3332" i="2"/>
  <c r="W3332" i="2"/>
  <c r="U3333" i="2"/>
  <c r="V3333" i="2"/>
  <c r="W3333" i="2"/>
  <c r="U3334" i="2"/>
  <c r="V3334" i="2"/>
  <c r="W3334" i="2"/>
  <c r="U3335" i="2"/>
  <c r="V3335" i="2"/>
  <c r="W3335" i="2"/>
  <c r="U3336" i="2"/>
  <c r="V3336" i="2"/>
  <c r="W3336" i="2"/>
  <c r="U3337" i="2"/>
  <c r="V3337" i="2"/>
  <c r="W3337" i="2"/>
  <c r="U3345" i="2"/>
  <c r="V3345" i="2"/>
  <c r="W3345" i="2"/>
  <c r="U3350" i="2"/>
  <c r="V3350" i="2"/>
  <c r="W3350" i="2"/>
  <c r="U3388" i="2"/>
  <c r="V3388" i="2"/>
  <c r="W3388" i="2"/>
  <c r="U3411" i="2"/>
  <c r="V3411" i="2"/>
  <c r="W3411" i="2"/>
  <c r="U3495" i="2"/>
  <c r="V3495" i="2"/>
  <c r="W3495" i="2"/>
  <c r="U3507" i="2"/>
  <c r="V3507" i="2"/>
  <c r="W3507" i="2"/>
  <c r="U3522" i="2"/>
  <c r="V3522" i="2"/>
  <c r="W3522" i="2"/>
  <c r="U3543" i="2"/>
  <c r="V3543" i="2"/>
  <c r="W3543" i="2"/>
  <c r="U3545" i="2"/>
  <c r="V3545" i="2"/>
  <c r="W3545" i="2"/>
  <c r="U3546" i="2"/>
  <c r="V3546" i="2"/>
  <c r="W3546" i="2"/>
  <c r="U3547" i="2"/>
  <c r="V3547" i="2"/>
  <c r="W3547" i="2"/>
  <c r="U3549" i="2"/>
  <c r="V3549" i="2"/>
  <c r="W3549" i="2"/>
  <c r="U3550" i="2"/>
  <c r="V3550" i="2"/>
  <c r="W3550" i="2"/>
  <c r="U3551" i="2"/>
  <c r="V3551" i="2"/>
  <c r="W3551" i="2"/>
  <c r="U3552" i="2"/>
  <c r="V3552" i="2"/>
  <c r="W3552" i="2"/>
  <c r="U3553" i="2"/>
  <c r="V3553" i="2"/>
  <c r="W3553" i="2"/>
  <c r="U3555" i="2"/>
  <c r="V3555" i="2"/>
  <c r="W3555" i="2"/>
  <c r="U3556" i="2"/>
  <c r="V3556" i="2"/>
  <c r="W3556" i="2"/>
  <c r="U3557" i="2"/>
  <c r="V3557" i="2"/>
  <c r="W3557" i="2"/>
  <c r="U4161" i="2"/>
  <c r="V4161" i="2"/>
  <c r="W4161" i="2"/>
  <c r="U4162" i="2"/>
  <c r="V4162" i="2"/>
  <c r="W4162" i="2"/>
  <c r="U4163" i="2"/>
  <c r="V4163" i="2"/>
  <c r="W4163" i="2"/>
  <c r="U4164" i="2"/>
  <c r="V4164" i="2"/>
  <c r="W4164" i="2"/>
  <c r="U4166" i="2"/>
  <c r="V4166" i="2"/>
  <c r="W4166" i="2"/>
  <c r="U4167" i="2"/>
  <c r="V4167" i="2"/>
  <c r="W4167" i="2"/>
  <c r="U4168" i="2"/>
  <c r="V4168" i="2"/>
  <c r="W4168" i="2"/>
  <c r="U4791" i="2"/>
  <c r="V4791" i="2"/>
  <c r="W4791" i="2"/>
  <c r="U4841" i="2"/>
  <c r="V4841" i="2"/>
  <c r="W4841" i="2"/>
  <c r="U1063" i="2"/>
  <c r="V1063" i="2"/>
  <c r="W1063" i="2"/>
  <c r="U1085" i="2"/>
  <c r="V1085" i="2"/>
  <c r="W1085" i="2"/>
  <c r="U1119" i="2"/>
  <c r="V1119" i="2"/>
  <c r="W1119" i="2"/>
  <c r="U1126" i="2"/>
  <c r="V1126" i="2"/>
  <c r="W1126" i="2"/>
  <c r="U1137" i="2"/>
  <c r="V1137" i="2"/>
  <c r="W1137" i="2"/>
  <c r="U1140" i="2"/>
  <c r="V1140" i="2"/>
  <c r="W1140" i="2"/>
  <c r="U1148" i="2"/>
  <c r="V1148" i="2"/>
  <c r="W1148" i="2"/>
  <c r="U1154" i="2"/>
  <c r="V1154" i="2"/>
  <c r="W1154" i="2"/>
  <c r="U1210" i="2"/>
  <c r="V1210" i="2"/>
  <c r="W1210" i="2"/>
  <c r="U1211" i="2"/>
  <c r="V1211" i="2"/>
  <c r="W1211" i="2"/>
  <c r="U1249" i="2"/>
  <c r="V1249" i="2"/>
  <c r="W1249" i="2"/>
  <c r="U1254" i="2"/>
  <c r="V1254" i="2"/>
  <c r="W1254" i="2"/>
  <c r="U1266" i="2"/>
  <c r="V1266" i="2"/>
  <c r="W1266" i="2"/>
  <c r="U1325" i="2"/>
  <c r="V1325" i="2"/>
  <c r="W1325" i="2"/>
  <c r="U1329" i="2"/>
  <c r="V1329" i="2"/>
  <c r="W1329" i="2"/>
  <c r="U1410" i="2"/>
  <c r="V1410" i="2"/>
  <c r="W1410" i="2"/>
  <c r="U1428" i="2"/>
  <c r="V1428" i="2"/>
  <c r="W1428" i="2"/>
  <c r="U1437" i="2"/>
  <c r="V1437" i="2"/>
  <c r="W1437" i="2"/>
  <c r="U1441" i="2"/>
  <c r="V1441" i="2"/>
  <c r="W1441" i="2"/>
  <c r="U1823" i="2"/>
  <c r="V1823" i="2"/>
  <c r="W1823" i="2"/>
  <c r="U1863" i="2"/>
  <c r="V1863" i="2"/>
  <c r="W1863" i="2"/>
  <c r="U1872" i="2"/>
  <c r="V1872" i="2"/>
  <c r="W1872" i="2"/>
  <c r="U1882" i="2"/>
  <c r="V1882" i="2"/>
  <c r="W1882" i="2"/>
  <c r="U1888" i="2"/>
  <c r="V1888" i="2"/>
  <c r="W1888" i="2"/>
  <c r="U1966" i="2"/>
  <c r="V1966" i="2"/>
  <c r="W1966" i="2"/>
  <c r="U1969" i="2"/>
  <c r="V1969" i="2"/>
  <c r="W1969" i="2"/>
  <c r="U2012" i="2"/>
  <c r="V2012" i="2"/>
  <c r="W2012" i="2"/>
  <c r="U2048" i="2"/>
  <c r="V2048" i="2"/>
  <c r="W2048" i="2"/>
  <c r="U2072" i="2"/>
  <c r="V2072" i="2"/>
  <c r="W2072" i="2"/>
  <c r="U2086" i="2"/>
  <c r="V2086" i="2"/>
  <c r="W2086" i="2"/>
  <c r="U2103" i="2"/>
  <c r="V2103" i="2"/>
  <c r="W2103" i="2"/>
  <c r="U2109" i="2"/>
  <c r="V2109" i="2"/>
  <c r="W2109" i="2"/>
  <c r="U2136" i="2"/>
  <c r="V2136" i="2"/>
  <c r="W2136" i="2"/>
  <c r="U2159" i="2"/>
  <c r="V2159" i="2"/>
  <c r="W2159" i="2"/>
  <c r="U2173" i="2"/>
  <c r="V2173" i="2"/>
  <c r="W2173" i="2"/>
  <c r="U2727" i="2"/>
  <c r="V2727" i="2"/>
  <c r="W2727" i="2"/>
  <c r="U2745" i="2"/>
  <c r="V2745" i="2"/>
  <c r="W2745" i="2"/>
  <c r="U2791" i="2"/>
  <c r="V2791" i="2"/>
  <c r="W2791" i="2"/>
  <c r="U2794" i="2"/>
  <c r="V2794" i="2"/>
  <c r="W2794" i="2"/>
  <c r="U3484" i="2"/>
  <c r="V3484" i="2"/>
  <c r="W3484" i="2"/>
  <c r="U4856" i="2"/>
  <c r="V4856" i="2"/>
  <c r="W4856" i="2"/>
  <c r="U4859" i="2"/>
  <c r="V4859" i="2"/>
  <c r="W4859" i="2"/>
  <c r="U4876" i="2"/>
  <c r="V4876" i="2"/>
  <c r="W4876" i="2"/>
  <c r="U4891" i="2"/>
  <c r="V4891" i="2"/>
  <c r="W4891" i="2"/>
  <c r="U4919" i="2"/>
  <c r="V4919" i="2"/>
  <c r="W4919" i="2"/>
  <c r="U4927" i="2"/>
  <c r="V4927" i="2"/>
  <c r="W4927" i="2"/>
  <c r="U4941" i="2"/>
  <c r="V4941" i="2"/>
  <c r="W4941" i="2"/>
  <c r="U4954" i="2"/>
  <c r="V4954" i="2"/>
  <c r="W4954" i="2"/>
  <c r="U4964" i="2"/>
  <c r="V4964" i="2"/>
  <c r="W4964" i="2"/>
  <c r="U1027" i="2"/>
  <c r="V1027" i="2"/>
  <c r="W1027" i="2"/>
  <c r="U1049" i="2"/>
  <c r="V1049" i="2"/>
  <c r="W1049" i="2"/>
  <c r="U1070" i="2"/>
  <c r="V1070" i="2"/>
  <c r="W1070" i="2"/>
  <c r="U1089" i="2"/>
  <c r="V1089" i="2"/>
  <c r="W1089" i="2"/>
  <c r="U1092" i="2"/>
  <c r="V1092" i="2"/>
  <c r="W1092" i="2"/>
  <c r="U1112" i="2"/>
  <c r="V1112" i="2"/>
  <c r="W1112" i="2"/>
  <c r="U1157" i="2"/>
  <c r="V1157" i="2"/>
  <c r="W1157" i="2"/>
  <c r="U1163" i="2"/>
  <c r="V1163" i="2"/>
  <c r="W1163" i="2"/>
  <c r="U1170" i="2"/>
  <c r="V1170" i="2"/>
  <c r="W1170" i="2"/>
  <c r="U1179" i="2"/>
  <c r="V1179" i="2"/>
  <c r="W1179" i="2"/>
  <c r="U1240" i="2"/>
  <c r="V1240" i="2"/>
  <c r="W1240" i="2"/>
  <c r="U1279" i="2"/>
  <c r="V1279" i="2"/>
  <c r="W1279" i="2"/>
  <c r="U1302" i="2"/>
  <c r="V1302" i="2"/>
  <c r="W1302" i="2"/>
  <c r="U1345" i="2"/>
  <c r="V1345" i="2"/>
  <c r="W1345" i="2"/>
  <c r="U1396" i="2"/>
  <c r="V1396" i="2"/>
  <c r="W1396" i="2"/>
  <c r="U1458" i="2"/>
  <c r="V1458" i="2"/>
  <c r="W1458" i="2"/>
  <c r="U1470" i="2"/>
  <c r="V1470" i="2"/>
  <c r="W1470" i="2"/>
  <c r="U1474" i="2"/>
  <c r="V1474" i="2"/>
  <c r="W1474" i="2"/>
  <c r="U1480" i="2"/>
  <c r="V1480" i="2"/>
  <c r="W1480" i="2"/>
  <c r="U1522" i="2"/>
  <c r="V1522" i="2"/>
  <c r="W1522" i="2"/>
  <c r="U1825" i="2"/>
  <c r="V1825" i="2"/>
  <c r="W1825" i="2"/>
  <c r="U1827" i="2"/>
  <c r="V1827" i="2"/>
  <c r="W1827" i="2"/>
  <c r="U1832" i="2"/>
  <c r="V1832" i="2"/>
  <c r="W1832" i="2"/>
  <c r="U1869" i="2"/>
  <c r="V1869" i="2"/>
  <c r="W1869" i="2"/>
  <c r="U1871" i="2"/>
  <c r="V1871" i="2"/>
  <c r="W1871" i="2"/>
  <c r="U1874" i="2"/>
  <c r="V1874" i="2"/>
  <c r="W1874" i="2"/>
  <c r="U1900" i="2"/>
  <c r="V1900" i="2"/>
  <c r="W1900" i="2"/>
  <c r="U1973" i="2"/>
  <c r="V1973" i="2"/>
  <c r="W1973" i="2"/>
  <c r="U1979" i="2"/>
  <c r="V1979" i="2"/>
  <c r="W1979" i="2"/>
  <c r="U1982" i="2"/>
  <c r="V1982" i="2"/>
  <c r="W1982" i="2"/>
  <c r="U2001" i="2"/>
  <c r="V2001" i="2"/>
  <c r="W2001" i="2"/>
  <c r="U2055" i="2"/>
  <c r="V2055" i="2"/>
  <c r="W2055" i="2"/>
  <c r="U2135" i="2"/>
  <c r="V2135" i="2"/>
  <c r="W2135" i="2"/>
  <c r="U2147" i="2"/>
  <c r="V2147" i="2"/>
  <c r="W2147" i="2"/>
  <c r="U2683" i="2"/>
  <c r="V2683" i="2"/>
  <c r="W2683" i="2"/>
  <c r="U2701" i="2"/>
  <c r="V2701" i="2"/>
  <c r="W2701" i="2"/>
  <c r="U2728" i="2"/>
  <c r="V2728" i="2"/>
  <c r="W2728" i="2"/>
  <c r="U2740" i="2"/>
  <c r="V2740" i="2"/>
  <c r="W2740" i="2"/>
  <c r="U2782" i="2"/>
  <c r="V2782" i="2"/>
  <c r="W2782" i="2"/>
  <c r="U2792" i="2"/>
  <c r="V2792" i="2"/>
  <c r="W2792" i="2"/>
  <c r="U2796" i="2"/>
  <c r="V2796" i="2"/>
  <c r="W2796" i="2"/>
  <c r="U2801" i="2"/>
  <c r="V2801" i="2"/>
  <c r="W2801" i="2"/>
  <c r="U4801" i="2"/>
  <c r="V4801" i="2"/>
  <c r="W4801" i="2"/>
  <c r="U4830" i="2"/>
  <c r="V4830" i="2"/>
  <c r="W4830" i="2"/>
  <c r="U4853" i="2"/>
  <c r="V4853" i="2"/>
  <c r="W4853" i="2"/>
  <c r="U4898" i="2"/>
  <c r="V4898" i="2"/>
  <c r="W4898" i="2"/>
  <c r="U1819" i="2"/>
  <c r="V1819" i="2"/>
  <c r="W1819" i="2"/>
  <c r="U1822" i="2"/>
  <c r="V1822" i="2"/>
  <c r="W1822" i="2"/>
  <c r="U1824" i="2"/>
  <c r="V1824" i="2"/>
  <c r="W1824" i="2"/>
  <c r="U1826" i="2"/>
  <c r="V1826" i="2"/>
  <c r="W1826" i="2"/>
  <c r="U1868" i="2"/>
  <c r="V1868" i="2"/>
  <c r="W1868" i="2"/>
  <c r="U1870" i="2"/>
  <c r="V1870" i="2"/>
  <c r="W1870" i="2"/>
  <c r="U1876" i="2"/>
  <c r="V1876" i="2"/>
  <c r="W1876" i="2"/>
  <c r="U1886" i="2"/>
  <c r="V1886" i="2"/>
  <c r="W1886" i="2"/>
  <c r="U1893" i="2"/>
  <c r="V1893" i="2"/>
  <c r="W1893" i="2"/>
  <c r="U1906" i="2"/>
  <c r="V1906" i="2"/>
  <c r="W1906" i="2"/>
  <c r="U1917" i="2"/>
  <c r="V1917" i="2"/>
  <c r="W1917" i="2"/>
  <c r="U2104" i="2"/>
  <c r="V2104" i="2"/>
  <c r="W2104" i="2"/>
  <c r="U2108" i="2"/>
  <c r="V2108" i="2"/>
  <c r="W2108" i="2"/>
  <c r="U2112" i="2"/>
  <c r="V2112" i="2"/>
  <c r="W2112" i="2"/>
  <c r="U2118" i="2"/>
  <c r="V2118" i="2"/>
  <c r="W2118" i="2"/>
  <c r="U2124" i="2"/>
  <c r="V2124" i="2"/>
  <c r="W2124" i="2"/>
  <c r="U2148" i="2"/>
  <c r="V2148" i="2"/>
  <c r="W2148" i="2"/>
  <c r="U2150" i="2"/>
  <c r="V2150" i="2"/>
  <c r="W2150" i="2"/>
  <c r="U2153" i="2"/>
  <c r="V2153" i="2"/>
  <c r="W2153" i="2"/>
  <c r="U2157" i="2"/>
  <c r="V2157" i="2"/>
  <c r="W2157" i="2"/>
  <c r="U2680" i="2"/>
  <c r="V2680" i="2"/>
  <c r="W2680" i="2"/>
  <c r="U2704" i="2"/>
  <c r="V2704" i="2"/>
  <c r="W2704" i="2"/>
  <c r="U2708" i="2"/>
  <c r="V2708" i="2"/>
  <c r="W2708" i="2"/>
  <c r="U2718" i="2"/>
  <c r="V2718" i="2"/>
  <c r="W2718" i="2"/>
  <c r="U2748" i="2"/>
  <c r="V2748" i="2"/>
  <c r="W2748" i="2"/>
  <c r="U2767" i="2"/>
  <c r="V2767" i="2"/>
  <c r="W2767" i="2"/>
  <c r="U2824" i="2"/>
  <c r="V2824" i="2"/>
  <c r="W2824" i="2"/>
  <c r="U2833" i="2"/>
  <c r="V2833" i="2"/>
  <c r="W2833" i="2"/>
  <c r="U3503" i="2"/>
  <c r="V3503" i="2"/>
  <c r="W3503" i="2"/>
  <c r="U3548" i="2"/>
  <c r="V3548" i="2"/>
  <c r="W3548" i="2"/>
  <c r="U4812" i="2"/>
  <c r="V4812" i="2"/>
  <c r="W4812" i="2"/>
  <c r="U4860" i="2"/>
  <c r="V4860" i="2"/>
  <c r="W4860" i="2"/>
  <c r="U4877" i="2"/>
  <c r="V4877" i="2"/>
  <c r="W4877" i="2"/>
  <c r="U5000" i="2"/>
  <c r="V5000" i="2"/>
  <c r="W5000" i="2"/>
  <c r="U2177" i="2"/>
  <c r="V2177" i="2"/>
  <c r="W2177" i="2"/>
  <c r="U2179" i="2"/>
  <c r="V2179" i="2"/>
  <c r="W2179" i="2"/>
  <c r="U2181" i="2"/>
  <c r="V2181" i="2"/>
  <c r="W2181" i="2"/>
  <c r="U2186" i="2"/>
  <c r="V2186" i="2"/>
  <c r="W2186" i="2"/>
  <c r="U2190" i="2"/>
  <c r="V2190" i="2"/>
  <c r="W2190" i="2"/>
  <c r="U2196" i="2"/>
  <c r="V2196" i="2"/>
  <c r="W2196" i="2"/>
  <c r="U2197" i="2"/>
  <c r="V2197" i="2"/>
  <c r="W2197" i="2"/>
  <c r="U2199" i="2"/>
  <c r="V2199" i="2"/>
  <c r="W2199" i="2"/>
  <c r="U2200" i="2"/>
  <c r="V2200" i="2"/>
  <c r="W2200" i="2"/>
  <c r="U2793" i="2"/>
  <c r="V2793" i="2"/>
  <c r="W2793" i="2"/>
  <c r="U2799" i="2"/>
  <c r="V2799" i="2"/>
  <c r="W2799" i="2"/>
  <c r="U3434" i="2"/>
  <c r="V3434" i="2"/>
  <c r="W3434" i="2"/>
  <c r="U4797" i="2"/>
  <c r="V4797" i="2"/>
  <c r="W4797" i="2"/>
  <c r="U4807" i="2"/>
  <c r="V4807" i="2"/>
  <c r="W4807" i="2"/>
  <c r="U4851" i="2"/>
  <c r="V4851" i="2"/>
  <c r="W4851" i="2"/>
  <c r="U4931" i="2"/>
  <c r="V4931" i="2"/>
  <c r="W4931" i="2"/>
  <c r="U2841" i="2"/>
  <c r="V2841" i="2"/>
  <c r="W2841" i="2"/>
  <c r="U2843" i="2"/>
  <c r="V2843" i="2"/>
  <c r="W2843" i="2"/>
  <c r="U2844" i="2"/>
  <c r="V2844" i="2"/>
  <c r="W2844" i="2"/>
  <c r="U2845" i="2"/>
  <c r="V2845" i="2"/>
  <c r="W2845" i="2"/>
  <c r="U2848" i="2"/>
  <c r="V2848" i="2"/>
  <c r="W2848" i="2"/>
  <c r="U2849" i="2"/>
  <c r="V2849" i="2"/>
  <c r="W2849" i="2"/>
  <c r="U2851" i="2"/>
  <c r="V2851" i="2"/>
  <c r="W2851" i="2"/>
  <c r="U2853" i="2"/>
  <c r="V2853" i="2"/>
  <c r="W2853" i="2"/>
  <c r="U2856" i="2"/>
  <c r="V2856" i="2"/>
  <c r="W2856" i="2"/>
  <c r="U2860" i="2"/>
  <c r="V2860" i="2"/>
  <c r="W2860" i="2"/>
  <c r="U3558" i="2"/>
  <c r="V3558" i="2"/>
  <c r="W3558" i="2"/>
  <c r="U3560" i="2"/>
  <c r="V3560" i="2"/>
  <c r="W3560" i="2"/>
  <c r="U3561" i="2"/>
  <c r="V3561" i="2"/>
  <c r="W3561" i="2"/>
  <c r="U3562" i="2"/>
  <c r="V3562" i="2"/>
  <c r="W3562" i="2"/>
  <c r="U3563" i="2"/>
  <c r="V3563" i="2"/>
  <c r="W3563" i="2"/>
  <c r="U3564" i="2"/>
  <c r="V3564" i="2"/>
  <c r="W3564" i="2"/>
  <c r="U3565" i="2"/>
  <c r="V3565" i="2"/>
  <c r="W3565" i="2"/>
  <c r="U3568" i="2"/>
  <c r="V3568" i="2"/>
  <c r="W3568" i="2"/>
  <c r="U3569" i="2"/>
  <c r="V3569" i="2"/>
  <c r="W3569" i="2"/>
  <c r="U3570" i="2"/>
  <c r="V3570" i="2"/>
  <c r="W3570" i="2"/>
  <c r="U3573" i="2"/>
  <c r="V3573" i="2"/>
  <c r="W3573" i="2"/>
  <c r="U3574" i="2"/>
  <c r="V3574" i="2"/>
  <c r="W3574" i="2"/>
  <c r="U3575" i="2"/>
  <c r="V3575" i="2"/>
  <c r="W3575" i="2"/>
  <c r="U3576" i="2"/>
  <c r="V3576" i="2"/>
  <c r="W3576" i="2"/>
  <c r="U3577" i="2"/>
  <c r="V3577" i="2"/>
  <c r="W3577" i="2"/>
  <c r="U3579" i="2"/>
  <c r="V3579" i="2"/>
  <c r="W3579" i="2"/>
  <c r="U3580" i="2"/>
  <c r="V3580" i="2"/>
  <c r="W3580" i="2"/>
  <c r="U3581" i="2"/>
  <c r="V3581" i="2"/>
  <c r="W3581" i="2"/>
  <c r="U3582" i="2"/>
  <c r="V3582" i="2"/>
  <c r="W3582" i="2"/>
  <c r="U3584" i="2"/>
  <c r="V3584" i="2"/>
  <c r="W3584" i="2"/>
  <c r="U3585" i="2"/>
  <c r="V3585" i="2"/>
  <c r="W3585" i="2"/>
  <c r="U3586" i="2"/>
  <c r="V3586" i="2"/>
  <c r="W3586" i="2"/>
  <c r="U3587" i="2"/>
  <c r="V3587" i="2"/>
  <c r="W3587" i="2"/>
  <c r="U3588" i="2"/>
  <c r="V3588" i="2"/>
  <c r="W3588" i="2"/>
  <c r="U3590" i="2"/>
  <c r="V3590" i="2"/>
  <c r="W3590" i="2"/>
  <c r="U3591" i="2"/>
  <c r="V3591" i="2"/>
  <c r="W3591" i="2"/>
  <c r="U3592" i="2"/>
  <c r="V3592" i="2"/>
  <c r="W3592" i="2"/>
  <c r="U3593" i="2"/>
  <c r="V3593" i="2"/>
  <c r="W3593" i="2"/>
  <c r="U3594" i="2"/>
  <c r="V3594" i="2"/>
  <c r="W3594" i="2"/>
  <c r="U3595" i="2"/>
  <c r="V3595" i="2"/>
  <c r="W3595" i="2"/>
  <c r="U3596" i="2"/>
  <c r="V3596" i="2"/>
  <c r="W3596" i="2"/>
  <c r="U3600" i="2"/>
  <c r="V3600" i="2"/>
  <c r="W3600" i="2"/>
  <c r="U3601" i="2"/>
  <c r="V3601" i="2"/>
  <c r="W3601" i="2"/>
  <c r="U3602" i="2"/>
  <c r="V3602" i="2"/>
  <c r="W3602" i="2"/>
  <c r="U3605" i="2"/>
  <c r="V3605" i="2"/>
  <c r="W3605" i="2"/>
  <c r="U3607" i="2"/>
  <c r="V3607" i="2"/>
  <c r="W3607" i="2"/>
  <c r="U3608" i="2"/>
  <c r="V3608" i="2"/>
  <c r="W3608" i="2"/>
  <c r="U3609" i="2"/>
  <c r="V3609" i="2"/>
  <c r="W3609" i="2"/>
  <c r="U3610" i="2"/>
  <c r="V3610" i="2"/>
  <c r="W3610" i="2"/>
  <c r="U3611" i="2"/>
  <c r="V3611" i="2"/>
  <c r="W3611" i="2"/>
  <c r="U3612" i="2"/>
  <c r="V3612" i="2"/>
  <c r="W3612" i="2"/>
  <c r="U3613" i="2"/>
  <c r="V3613" i="2"/>
  <c r="W3613" i="2"/>
  <c r="U3614" i="2"/>
  <c r="V3614" i="2"/>
  <c r="W3614" i="2"/>
  <c r="U3615" i="2"/>
  <c r="V3615" i="2"/>
  <c r="W3615" i="2"/>
  <c r="U4818" i="2"/>
  <c r="V4818" i="2"/>
  <c r="W4818" i="2"/>
  <c r="U4849" i="2"/>
  <c r="V4849" i="2"/>
  <c r="W4849" i="2"/>
  <c r="U4899" i="2"/>
  <c r="V4899" i="2"/>
  <c r="W4899" i="2"/>
  <c r="U4169" i="2"/>
  <c r="V4169" i="2"/>
  <c r="W4169" i="2"/>
  <c r="U4170" i="2"/>
  <c r="V4170" i="2"/>
  <c r="W4170" i="2"/>
  <c r="U4171" i="2"/>
  <c r="V4171" i="2"/>
  <c r="W4171" i="2"/>
  <c r="U4172" i="2"/>
  <c r="V4172" i="2"/>
  <c r="W4172" i="2"/>
  <c r="U4173" i="2"/>
  <c r="V4173" i="2"/>
  <c r="W4173" i="2"/>
  <c r="U4174" i="2"/>
  <c r="V4174" i="2"/>
  <c r="W4174" i="2"/>
  <c r="U4175" i="2"/>
  <c r="V4175" i="2"/>
  <c r="W4175" i="2"/>
  <c r="U4177" i="2"/>
  <c r="V4177" i="2"/>
  <c r="W4177" i="2"/>
  <c r="U4178" i="2"/>
  <c r="V4178" i="2"/>
  <c r="W4178" i="2"/>
  <c r="U4179" i="2"/>
  <c r="V4179" i="2"/>
  <c r="W4179" i="2"/>
  <c r="U4180" i="2"/>
  <c r="V4180" i="2"/>
  <c r="W4180" i="2"/>
  <c r="U4181" i="2"/>
  <c r="V4181" i="2"/>
  <c r="W4181" i="2"/>
  <c r="U4182" i="2"/>
  <c r="V4182" i="2"/>
  <c r="W4182" i="2"/>
  <c r="U4183" i="2"/>
  <c r="V4183" i="2"/>
  <c r="W4183" i="2"/>
  <c r="U4184" i="2"/>
  <c r="V4184" i="2"/>
  <c r="W4184" i="2"/>
  <c r="U4185" i="2"/>
  <c r="V4185" i="2"/>
  <c r="W4185" i="2"/>
  <c r="U4187" i="2"/>
  <c r="V4187" i="2"/>
  <c r="W4187" i="2"/>
  <c r="U4188" i="2"/>
  <c r="V4188" i="2"/>
  <c r="W4188" i="2"/>
  <c r="U4189" i="2"/>
  <c r="V4189" i="2"/>
  <c r="W4189" i="2"/>
  <c r="U4190" i="2"/>
  <c r="V4190" i="2"/>
  <c r="W4190" i="2"/>
  <c r="U4191" i="2"/>
  <c r="V4191" i="2"/>
  <c r="W4191" i="2"/>
  <c r="U4193" i="2"/>
  <c r="V4193" i="2"/>
  <c r="W4193" i="2"/>
  <c r="U4194" i="2"/>
  <c r="V4194" i="2"/>
  <c r="W4194" i="2"/>
  <c r="U4195" i="2"/>
  <c r="V4195" i="2"/>
  <c r="W4195" i="2"/>
  <c r="U4196" i="2"/>
  <c r="V4196" i="2"/>
  <c r="W4196" i="2"/>
  <c r="U4197" i="2"/>
  <c r="V4197" i="2"/>
  <c r="W4197" i="2"/>
  <c r="U4198" i="2"/>
  <c r="V4198" i="2"/>
  <c r="W4198" i="2"/>
  <c r="U4199" i="2"/>
  <c r="V4199" i="2"/>
  <c r="W4199" i="2"/>
  <c r="U4200" i="2"/>
  <c r="V4200" i="2"/>
  <c r="W4200" i="2"/>
  <c r="U4201" i="2"/>
  <c r="V4201" i="2"/>
  <c r="W4201" i="2"/>
  <c r="U4202" i="2"/>
  <c r="V4202" i="2"/>
  <c r="W4202" i="2"/>
  <c r="U4203" i="2"/>
  <c r="V4203" i="2"/>
  <c r="W4203" i="2"/>
  <c r="U4204" i="2"/>
  <c r="V4204" i="2"/>
  <c r="W4204" i="2"/>
  <c r="U4205" i="2"/>
  <c r="V4205" i="2"/>
  <c r="W4205" i="2"/>
  <c r="U4206" i="2"/>
  <c r="V4206" i="2"/>
  <c r="W4206" i="2"/>
  <c r="U4207" i="2"/>
  <c r="V4207" i="2"/>
  <c r="W4207" i="2"/>
  <c r="U4208" i="2"/>
  <c r="V4208" i="2"/>
  <c r="W4208" i="2"/>
  <c r="U4209" i="2"/>
  <c r="V4209" i="2"/>
  <c r="W4209" i="2"/>
  <c r="U4210" i="2"/>
  <c r="V4210" i="2"/>
  <c r="W4210" i="2"/>
  <c r="U4211" i="2"/>
  <c r="V4211" i="2"/>
  <c r="W4211" i="2"/>
  <c r="U4212" i="2"/>
  <c r="V4212" i="2"/>
  <c r="W4212" i="2"/>
  <c r="U4213" i="2"/>
  <c r="V4213" i="2"/>
  <c r="W4213" i="2"/>
  <c r="U4214" i="2"/>
  <c r="V4214" i="2"/>
  <c r="W4214" i="2"/>
  <c r="U4215" i="2"/>
  <c r="V4215" i="2"/>
  <c r="W4215" i="2"/>
  <c r="U4216" i="2"/>
  <c r="V4216" i="2"/>
  <c r="W4216" i="2"/>
  <c r="U4217" i="2"/>
  <c r="V4217" i="2"/>
  <c r="W4217" i="2"/>
  <c r="U4218" i="2"/>
  <c r="V4218" i="2"/>
  <c r="W4218" i="2"/>
  <c r="U4219" i="2"/>
  <c r="V4219" i="2"/>
  <c r="W4219" i="2"/>
  <c r="U4220" i="2"/>
  <c r="V4220" i="2"/>
  <c r="W4220" i="2"/>
  <c r="U4221" i="2"/>
  <c r="V4221" i="2"/>
  <c r="W4221" i="2"/>
  <c r="U4222" i="2"/>
  <c r="V4222" i="2"/>
  <c r="W4222" i="2"/>
  <c r="U4223" i="2"/>
  <c r="V4223" i="2"/>
  <c r="W4223" i="2"/>
  <c r="U4224" i="2"/>
  <c r="V4224" i="2"/>
  <c r="W4224" i="2"/>
  <c r="U4225" i="2"/>
  <c r="V4225" i="2"/>
  <c r="W4225" i="2"/>
  <c r="U4831" i="2"/>
  <c r="V4831" i="2"/>
  <c r="W4831" i="2"/>
  <c r="U4893" i="2"/>
  <c r="V4893" i="2"/>
  <c r="W4893" i="2"/>
  <c r="U1028" i="2"/>
  <c r="V1028" i="2"/>
  <c r="W1028" i="2"/>
  <c r="U1034" i="2"/>
  <c r="V1034" i="2"/>
  <c r="W1034" i="2"/>
  <c r="U1036" i="2"/>
  <c r="V1036" i="2"/>
  <c r="W1036" i="2"/>
  <c r="U1044" i="2"/>
  <c r="V1044" i="2"/>
  <c r="W1044" i="2"/>
  <c r="U1046" i="2"/>
  <c r="V1046" i="2"/>
  <c r="W1046" i="2"/>
  <c r="U1051" i="2"/>
  <c r="V1051" i="2"/>
  <c r="W1051" i="2"/>
  <c r="U1064" i="2"/>
  <c r="V1064" i="2"/>
  <c r="W1064" i="2"/>
  <c r="U1066" i="2"/>
  <c r="V1066" i="2"/>
  <c r="W1066" i="2"/>
  <c r="U1068" i="2"/>
  <c r="V1068" i="2"/>
  <c r="W1068" i="2"/>
  <c r="U1090" i="2"/>
  <c r="V1090" i="2"/>
  <c r="W1090" i="2"/>
  <c r="U1097" i="2"/>
  <c r="V1097" i="2"/>
  <c r="W1097" i="2"/>
  <c r="U1101" i="2"/>
  <c r="V1101" i="2"/>
  <c r="W1101" i="2"/>
  <c r="U1113" i="2"/>
  <c r="V1113" i="2"/>
  <c r="W1113" i="2"/>
  <c r="U1115" i="2"/>
  <c r="V1115" i="2"/>
  <c r="W1115" i="2"/>
  <c r="U1117" i="2"/>
  <c r="V1117" i="2"/>
  <c r="W1117" i="2"/>
  <c r="U1120" i="2"/>
  <c r="V1120" i="2"/>
  <c r="W1120" i="2"/>
  <c r="U1122" i="2"/>
  <c r="V1122" i="2"/>
  <c r="W1122" i="2"/>
  <c r="U1125" i="2"/>
  <c r="V1125" i="2"/>
  <c r="W1125" i="2"/>
  <c r="U1131" i="2"/>
  <c r="V1131" i="2"/>
  <c r="W1131" i="2"/>
  <c r="U1141" i="2"/>
  <c r="V1141" i="2"/>
  <c r="W1141" i="2"/>
  <c r="U1143" i="2"/>
  <c r="V1143" i="2"/>
  <c r="W1143" i="2"/>
  <c r="U1145" i="2"/>
  <c r="V1145" i="2"/>
  <c r="W1145" i="2"/>
  <c r="U1158" i="2"/>
  <c r="V1158" i="2"/>
  <c r="W1158" i="2"/>
  <c r="U1160" i="2"/>
  <c r="V1160" i="2"/>
  <c r="W1160" i="2"/>
  <c r="U1162" i="2"/>
  <c r="V1162" i="2"/>
  <c r="W1162" i="2"/>
  <c r="U1165" i="2"/>
  <c r="V1165" i="2"/>
  <c r="W1165" i="2"/>
  <c r="U1167" i="2"/>
  <c r="V1167" i="2"/>
  <c r="W1167" i="2"/>
  <c r="U1171" i="2"/>
  <c r="V1171" i="2"/>
  <c r="W1171" i="2"/>
  <c r="U1173" i="2"/>
  <c r="V1173" i="2"/>
  <c r="W1173" i="2"/>
  <c r="U1194" i="2"/>
  <c r="V1194" i="2"/>
  <c r="W1194" i="2"/>
  <c r="U1198" i="2"/>
  <c r="V1198" i="2"/>
  <c r="W1198" i="2"/>
  <c r="U1200" i="2"/>
  <c r="V1200" i="2"/>
  <c r="W1200" i="2"/>
  <c r="U1203" i="2"/>
  <c r="V1203" i="2"/>
  <c r="W1203" i="2"/>
  <c r="U1205" i="2"/>
  <c r="V1205" i="2"/>
  <c r="W1205" i="2"/>
  <c r="U1207" i="2"/>
  <c r="V1207" i="2"/>
  <c r="W1207" i="2"/>
  <c r="U1212" i="2"/>
  <c r="V1212" i="2"/>
  <c r="W1212" i="2"/>
  <c r="U1214" i="2"/>
  <c r="V1214" i="2"/>
  <c r="W1214" i="2"/>
  <c r="U1216" i="2"/>
  <c r="V1216" i="2"/>
  <c r="W1216" i="2"/>
  <c r="U1218" i="2"/>
  <c r="V1218" i="2"/>
  <c r="W1218" i="2"/>
  <c r="U1220" i="2"/>
  <c r="V1220" i="2"/>
  <c r="W1220" i="2"/>
  <c r="U1225" i="2"/>
  <c r="V1225" i="2"/>
  <c r="W1225" i="2"/>
  <c r="U1227" i="2"/>
  <c r="V1227" i="2"/>
  <c r="W1227" i="2"/>
  <c r="U1233" i="2"/>
  <c r="V1233" i="2"/>
  <c r="W1233" i="2"/>
  <c r="U1250" i="2"/>
  <c r="V1250" i="2"/>
  <c r="W1250" i="2"/>
  <c r="U1274" i="2"/>
  <c r="V1274" i="2"/>
  <c r="W1274" i="2"/>
  <c r="U1277" i="2"/>
  <c r="V1277" i="2"/>
  <c r="W1277" i="2"/>
  <c r="U1286" i="2"/>
  <c r="V1286" i="2"/>
  <c r="W1286" i="2"/>
  <c r="U1292" i="2"/>
  <c r="V1292" i="2"/>
  <c r="W1292" i="2"/>
  <c r="U1298" i="2"/>
  <c r="V1298" i="2"/>
  <c r="W1298" i="2"/>
  <c r="U1301" i="2"/>
  <c r="V1301" i="2"/>
  <c r="W1301" i="2"/>
  <c r="U1370" i="2"/>
  <c r="V1370" i="2"/>
  <c r="W1370" i="2"/>
  <c r="U1382" i="2"/>
  <c r="V1382" i="2"/>
  <c r="W1382" i="2"/>
  <c r="U1394" i="2"/>
  <c r="V1394" i="2"/>
  <c r="W1394" i="2"/>
  <c r="U1411" i="2"/>
  <c r="V1411" i="2"/>
  <c r="W1411" i="2"/>
  <c r="U1413" i="2"/>
  <c r="V1413" i="2"/>
  <c r="W1413" i="2"/>
  <c r="U1415" i="2"/>
  <c r="V1415" i="2"/>
  <c r="W1415" i="2"/>
  <c r="U1429" i="2"/>
  <c r="V1429" i="2"/>
  <c r="W1429" i="2"/>
  <c r="U1440" i="2"/>
  <c r="V1440" i="2"/>
  <c r="W1440" i="2"/>
  <c r="U1442" i="2"/>
  <c r="V1442" i="2"/>
  <c r="W1442" i="2"/>
  <c r="U1446" i="2"/>
  <c r="V1446" i="2"/>
  <c r="W1446" i="2"/>
  <c r="U1453" i="2"/>
  <c r="V1453" i="2"/>
  <c r="W1453" i="2"/>
  <c r="U1459" i="2"/>
  <c r="V1459" i="2"/>
  <c r="W1459" i="2"/>
  <c r="U1465" i="2"/>
  <c r="V1465" i="2"/>
  <c r="W1465" i="2"/>
  <c r="U1481" i="2"/>
  <c r="V1481" i="2"/>
  <c r="W1481" i="2"/>
  <c r="U1505" i="2"/>
  <c r="V1505" i="2"/>
  <c r="W1505" i="2"/>
  <c r="U1507" i="2"/>
  <c r="V1507" i="2"/>
  <c r="W1507" i="2"/>
  <c r="U1512" i="2"/>
  <c r="V1512" i="2"/>
  <c r="W1512" i="2"/>
  <c r="U1516" i="2"/>
  <c r="V1516" i="2"/>
  <c r="W1516" i="2"/>
  <c r="U1548" i="2"/>
  <c r="V1548" i="2"/>
  <c r="W1548" i="2"/>
  <c r="U1550" i="2"/>
  <c r="V1550" i="2"/>
  <c r="W1550" i="2"/>
  <c r="U1861" i="2"/>
  <c r="V1861" i="2"/>
  <c r="W1861" i="2"/>
  <c r="U1907" i="2"/>
  <c r="V1907" i="2"/>
  <c r="W1907" i="2"/>
  <c r="U2004" i="2"/>
  <c r="V2004" i="2"/>
  <c r="W2004" i="2"/>
  <c r="U2009" i="2"/>
  <c r="V2009" i="2"/>
  <c r="W2009" i="2"/>
  <c r="U2015" i="2"/>
  <c r="V2015" i="2"/>
  <c r="W2015" i="2"/>
  <c r="U2031" i="2"/>
  <c r="V2031" i="2"/>
  <c r="W2031" i="2"/>
  <c r="U2033" i="2"/>
  <c r="V2033" i="2"/>
  <c r="W2033" i="2"/>
  <c r="U2056" i="2"/>
  <c r="V2056" i="2"/>
  <c r="W2056" i="2"/>
  <c r="U2060" i="2"/>
  <c r="V2060" i="2"/>
  <c r="W2060" i="2"/>
  <c r="U2075" i="2"/>
  <c r="V2075" i="2"/>
  <c r="W2075" i="2"/>
  <c r="U2078" i="2"/>
  <c r="V2078" i="2"/>
  <c r="W2078" i="2"/>
  <c r="U2083" i="2"/>
  <c r="V2083" i="2"/>
  <c r="W2083" i="2"/>
  <c r="U2089" i="2"/>
  <c r="V2089" i="2"/>
  <c r="W2089" i="2"/>
  <c r="U2094" i="2"/>
  <c r="V2094" i="2"/>
  <c r="W2094" i="2"/>
  <c r="U2098" i="2"/>
  <c r="V2098" i="2"/>
  <c r="W2098" i="2"/>
  <c r="U2101" i="2"/>
  <c r="V2101" i="2"/>
  <c r="W2101" i="2"/>
  <c r="U2115" i="2"/>
  <c r="V2115" i="2"/>
  <c r="W2115" i="2"/>
  <c r="U2122" i="2"/>
  <c r="V2122" i="2"/>
  <c r="W2122" i="2"/>
  <c r="U2144" i="2"/>
  <c r="V2144" i="2"/>
  <c r="W2144" i="2"/>
  <c r="U2176" i="2"/>
  <c r="V2176" i="2"/>
  <c r="W2176" i="2"/>
  <c r="U2184" i="2"/>
  <c r="V2184" i="2"/>
  <c r="W2184" i="2"/>
  <c r="U2189" i="2"/>
  <c r="V2189" i="2"/>
  <c r="W2189" i="2"/>
  <c r="U2191" i="2"/>
  <c r="V2191" i="2"/>
  <c r="W2191" i="2"/>
  <c r="U2194" i="2"/>
  <c r="V2194" i="2"/>
  <c r="W2194" i="2"/>
  <c r="U2772" i="2"/>
  <c r="V2772" i="2"/>
  <c r="W2772" i="2"/>
  <c r="U2858" i="2"/>
  <c r="V2858" i="2"/>
  <c r="W2858" i="2"/>
  <c r="U3430" i="2"/>
  <c r="V3430" i="2"/>
  <c r="W3430" i="2"/>
  <c r="U3445" i="2"/>
  <c r="V3445" i="2"/>
  <c r="W3445" i="2"/>
  <c r="U3451" i="2"/>
  <c r="V3451" i="2"/>
  <c r="W3451" i="2"/>
  <c r="U3469" i="2"/>
  <c r="V3469" i="2"/>
  <c r="W3469" i="2"/>
  <c r="U3472" i="2"/>
  <c r="V3472" i="2"/>
  <c r="W3472" i="2"/>
  <c r="U3480" i="2"/>
  <c r="V3480" i="2"/>
  <c r="W3480" i="2"/>
  <c r="U3499" i="2"/>
  <c r="V3499" i="2"/>
  <c r="W3499" i="2"/>
  <c r="U3502" i="2"/>
  <c r="V3502" i="2"/>
  <c r="W3502" i="2"/>
  <c r="U3540" i="2"/>
  <c r="V3540" i="2"/>
  <c r="W3540" i="2"/>
  <c r="U3566" i="2"/>
  <c r="V3566" i="2"/>
  <c r="W3566" i="2"/>
  <c r="U3583" i="2"/>
  <c r="V3583" i="2"/>
  <c r="W3583" i="2"/>
  <c r="U3589" i="2"/>
  <c r="V3589" i="2"/>
  <c r="W3589" i="2"/>
  <c r="U3603" i="2"/>
  <c r="V3603" i="2"/>
  <c r="W3603" i="2"/>
  <c r="U4165" i="2"/>
  <c r="V4165" i="2"/>
  <c r="W4165" i="2"/>
  <c r="U4186" i="2"/>
  <c r="V4186" i="2"/>
  <c r="W4186" i="2"/>
  <c r="U4192" i="2"/>
  <c r="V4192" i="2"/>
  <c r="W4192" i="2"/>
  <c r="U4936" i="2"/>
  <c r="V4936" i="2"/>
  <c r="W4936" i="2"/>
  <c r="U4981" i="2"/>
  <c r="V4981" i="2"/>
  <c r="W4981" i="2"/>
  <c r="U4991" i="2"/>
  <c r="V4991" i="2"/>
  <c r="W4991" i="2"/>
  <c r="U1026" i="2"/>
  <c r="V1026" i="2"/>
  <c r="W1026" i="2"/>
  <c r="U1032" i="2"/>
  <c r="V1032" i="2"/>
  <c r="W1032" i="2"/>
  <c r="U1038" i="2"/>
  <c r="V1038" i="2"/>
  <c r="W1038" i="2"/>
  <c r="U1040" i="2"/>
  <c r="V1040" i="2"/>
  <c r="W1040" i="2"/>
  <c r="U1042" i="2"/>
  <c r="V1042" i="2"/>
  <c r="W1042" i="2"/>
  <c r="U1054" i="2"/>
  <c r="V1054" i="2"/>
  <c r="W1054" i="2"/>
  <c r="U1056" i="2"/>
  <c r="V1056" i="2"/>
  <c r="W1056" i="2"/>
  <c r="U1061" i="2"/>
  <c r="V1061" i="2"/>
  <c r="W1061" i="2"/>
  <c r="U1071" i="2"/>
  <c r="V1071" i="2"/>
  <c r="W1071" i="2"/>
  <c r="U1074" i="2"/>
  <c r="V1074" i="2"/>
  <c r="W1074" i="2"/>
  <c r="U1076" i="2"/>
  <c r="V1076" i="2"/>
  <c r="W1076" i="2"/>
  <c r="U1079" i="2"/>
  <c r="V1079" i="2"/>
  <c r="W1079" i="2"/>
  <c r="U1081" i="2"/>
  <c r="V1081" i="2"/>
  <c r="W1081" i="2"/>
  <c r="U1084" i="2"/>
  <c r="V1084" i="2"/>
  <c r="W1084" i="2"/>
  <c r="U1086" i="2"/>
  <c r="V1086" i="2"/>
  <c r="W1086" i="2"/>
  <c r="U1093" i="2"/>
  <c r="V1093" i="2"/>
  <c r="W1093" i="2"/>
  <c r="U1095" i="2"/>
  <c r="V1095" i="2"/>
  <c r="W1095" i="2"/>
  <c r="U1099" i="2"/>
  <c r="V1099" i="2"/>
  <c r="W1099" i="2"/>
  <c r="U1103" i="2"/>
  <c r="V1103" i="2"/>
  <c r="W1103" i="2"/>
  <c r="U1106" i="2"/>
  <c r="V1106" i="2"/>
  <c r="W1106" i="2"/>
  <c r="U1108" i="2"/>
  <c r="V1108" i="2"/>
  <c r="W1108" i="2"/>
  <c r="U1110" i="2"/>
  <c r="V1110" i="2"/>
  <c r="W1110" i="2"/>
  <c r="U1127" i="2"/>
  <c r="V1127" i="2"/>
  <c r="W1127" i="2"/>
  <c r="U1129" i="2"/>
  <c r="V1129" i="2"/>
  <c r="W1129" i="2"/>
  <c r="U1134" i="2"/>
  <c r="V1134" i="2"/>
  <c r="W1134" i="2"/>
  <c r="U1138" i="2"/>
  <c r="V1138" i="2"/>
  <c r="W1138" i="2"/>
  <c r="U1152" i="2"/>
  <c r="V1152" i="2"/>
  <c r="W1152" i="2"/>
  <c r="U1155" i="2"/>
  <c r="V1155" i="2"/>
  <c r="W1155" i="2"/>
  <c r="U1176" i="2"/>
  <c r="V1176" i="2"/>
  <c r="W1176" i="2"/>
  <c r="U1178" i="2"/>
  <c r="V1178" i="2"/>
  <c r="W1178" i="2"/>
  <c r="U1180" i="2"/>
  <c r="V1180" i="2"/>
  <c r="W1180" i="2"/>
  <c r="U1182" i="2"/>
  <c r="V1182" i="2"/>
  <c r="W1182" i="2"/>
  <c r="U1184" i="2"/>
  <c r="V1184" i="2"/>
  <c r="W1184" i="2"/>
  <c r="U1186" i="2"/>
  <c r="V1186" i="2"/>
  <c r="W1186" i="2"/>
  <c r="U1188" i="2"/>
  <c r="V1188" i="2"/>
  <c r="W1188" i="2"/>
  <c r="U1190" i="2"/>
  <c r="V1190" i="2"/>
  <c r="W1190" i="2"/>
  <c r="U1192" i="2"/>
  <c r="V1192" i="2"/>
  <c r="W1192" i="2"/>
  <c r="U1196" i="2"/>
  <c r="V1196" i="2"/>
  <c r="W1196" i="2"/>
  <c r="U1222" i="2"/>
  <c r="V1222" i="2"/>
  <c r="W1222" i="2"/>
  <c r="U1230" i="2"/>
  <c r="V1230" i="2"/>
  <c r="W1230" i="2"/>
  <c r="U1236" i="2"/>
  <c r="V1236" i="2"/>
  <c r="W1236" i="2"/>
  <c r="U1238" i="2"/>
  <c r="V1238" i="2"/>
  <c r="W1238" i="2"/>
  <c r="U1241" i="2"/>
  <c r="V1241" i="2"/>
  <c r="W1241" i="2"/>
  <c r="U1243" i="2"/>
  <c r="V1243" i="2"/>
  <c r="W1243" i="2"/>
  <c r="U1246" i="2"/>
  <c r="V1246" i="2"/>
  <c r="W1246" i="2"/>
  <c r="U1248" i="2"/>
  <c r="V1248" i="2"/>
  <c r="W1248" i="2"/>
  <c r="U1253" i="2"/>
  <c r="V1253" i="2"/>
  <c r="W1253" i="2"/>
  <c r="U1269" i="2"/>
  <c r="V1269" i="2"/>
  <c r="W1269" i="2"/>
  <c r="U1282" i="2"/>
  <c r="V1282" i="2"/>
  <c r="W1282" i="2"/>
  <c r="U1321" i="2"/>
  <c r="V1321" i="2"/>
  <c r="W1321" i="2"/>
  <c r="U1330" i="2"/>
  <c r="V1330" i="2"/>
  <c r="W1330" i="2"/>
  <c r="U1339" i="2"/>
  <c r="V1339" i="2"/>
  <c r="W1339" i="2"/>
  <c r="U1349" i="2"/>
  <c r="V1349" i="2"/>
  <c r="W1349" i="2"/>
  <c r="U1351" i="2"/>
  <c r="V1351" i="2"/>
  <c r="W1351" i="2"/>
  <c r="U1365" i="2"/>
  <c r="V1365" i="2"/>
  <c r="W1365" i="2"/>
  <c r="U1387" i="2"/>
  <c r="V1387" i="2"/>
  <c r="W1387" i="2"/>
  <c r="U1390" i="2"/>
  <c r="V1390" i="2"/>
  <c r="W1390" i="2"/>
  <c r="U1392" i="2"/>
  <c r="V1392" i="2"/>
  <c r="W1392" i="2"/>
  <c r="U1402" i="2"/>
  <c r="V1402" i="2"/>
  <c r="W1402" i="2"/>
  <c r="U1420" i="2"/>
  <c r="V1420" i="2"/>
  <c r="W1420" i="2"/>
  <c r="U1422" i="2"/>
  <c r="V1422" i="2"/>
  <c r="W1422" i="2"/>
  <c r="U1487" i="2"/>
  <c r="V1487" i="2"/>
  <c r="W1487" i="2"/>
  <c r="U1490" i="2"/>
  <c r="V1490" i="2"/>
  <c r="W1490" i="2"/>
  <c r="U1496" i="2"/>
  <c r="V1496" i="2"/>
  <c r="W1496" i="2"/>
  <c r="U1502" i="2"/>
  <c r="V1502" i="2"/>
  <c r="W1502" i="2"/>
  <c r="U1527" i="2"/>
  <c r="V1527" i="2"/>
  <c r="W1527" i="2"/>
  <c r="U1537" i="2"/>
  <c r="V1537" i="2"/>
  <c r="W1537" i="2"/>
  <c r="U1540" i="2"/>
  <c r="V1540" i="2"/>
  <c r="W1540" i="2"/>
  <c r="U1545" i="2"/>
  <c r="V1545" i="2"/>
  <c r="W1545" i="2"/>
  <c r="U1556" i="2"/>
  <c r="V1556" i="2"/>
  <c r="W1556" i="2"/>
  <c r="U1558" i="2"/>
  <c r="V1558" i="2"/>
  <c r="W1558" i="2"/>
  <c r="U1873" i="2"/>
  <c r="V1873" i="2"/>
  <c r="W1873" i="2"/>
  <c r="U1877" i="2"/>
  <c r="V1877" i="2"/>
  <c r="W1877" i="2"/>
  <c r="U1878" i="2"/>
  <c r="V1878" i="2"/>
  <c r="W1878" i="2"/>
  <c r="U1880" i="2"/>
  <c r="V1880" i="2"/>
  <c r="W1880" i="2"/>
  <c r="U1881" i="2"/>
  <c r="V1881" i="2"/>
  <c r="W1881" i="2"/>
  <c r="U1891" i="2"/>
  <c r="V1891" i="2"/>
  <c r="W1891" i="2"/>
  <c r="U1898" i="2"/>
  <c r="V1898" i="2"/>
  <c r="W1898" i="2"/>
  <c r="U1902" i="2"/>
  <c r="V1902" i="2"/>
  <c r="W1902" i="2"/>
  <c r="U1911" i="2"/>
  <c r="V1911" i="2"/>
  <c r="W1911" i="2"/>
  <c r="U1915" i="2"/>
  <c r="V1915" i="2"/>
  <c r="W1915" i="2"/>
  <c r="U1999" i="2"/>
  <c r="V1999" i="2"/>
  <c r="W1999" i="2"/>
  <c r="U2021" i="2"/>
  <c r="V2021" i="2"/>
  <c r="W2021" i="2"/>
  <c r="U2025" i="2"/>
  <c r="V2025" i="2"/>
  <c r="W2025" i="2"/>
  <c r="U2052" i="2"/>
  <c r="V2052" i="2"/>
  <c r="W2052" i="2"/>
  <c r="U2058" i="2"/>
  <c r="V2058" i="2"/>
  <c r="W2058" i="2"/>
  <c r="U2070" i="2"/>
  <c r="V2070" i="2"/>
  <c r="W2070" i="2"/>
  <c r="U2087" i="2"/>
  <c r="V2087" i="2"/>
  <c r="W2087" i="2"/>
  <c r="U2096" i="2"/>
  <c r="V2096" i="2"/>
  <c r="W2096" i="2"/>
  <c r="U2099" i="2"/>
  <c r="V2099" i="2"/>
  <c r="W2099" i="2"/>
  <c r="U2113" i="2"/>
  <c r="V2113" i="2"/>
  <c r="W2113" i="2"/>
  <c r="U2154" i="2"/>
  <c r="V2154" i="2"/>
  <c r="W2154" i="2"/>
  <c r="U2162" i="2"/>
  <c r="V2162" i="2"/>
  <c r="W2162" i="2"/>
  <c r="U2174" i="2"/>
  <c r="V2174" i="2"/>
  <c r="W2174" i="2"/>
  <c r="U2187" i="2"/>
  <c r="V2187" i="2"/>
  <c r="W2187" i="2"/>
  <c r="U2642" i="2"/>
  <c r="V2642" i="2"/>
  <c r="W2642" i="2"/>
  <c r="U2644" i="2"/>
  <c r="V2644" i="2"/>
  <c r="W2644" i="2"/>
  <c r="U2646" i="2"/>
  <c r="V2646" i="2"/>
  <c r="W2646" i="2"/>
  <c r="U2657" i="2"/>
  <c r="V2657" i="2"/>
  <c r="W2657" i="2"/>
  <c r="U2659" i="2"/>
  <c r="V2659" i="2"/>
  <c r="W2659" i="2"/>
  <c r="U2663" i="2"/>
  <c r="V2663" i="2"/>
  <c r="W2663" i="2"/>
  <c r="U2684" i="2"/>
  <c r="V2684" i="2"/>
  <c r="W2684" i="2"/>
  <c r="U2686" i="2"/>
  <c r="V2686" i="2"/>
  <c r="W2686" i="2"/>
  <c r="U2689" i="2"/>
  <c r="V2689" i="2"/>
  <c r="W2689" i="2"/>
  <c r="U2720" i="2"/>
  <c r="V2720" i="2"/>
  <c r="W2720" i="2"/>
  <c r="U2723" i="2"/>
  <c r="V2723" i="2"/>
  <c r="W2723" i="2"/>
  <c r="U3437" i="2"/>
  <c r="V3437" i="2"/>
  <c r="W3437" i="2"/>
  <c r="U3450" i="2"/>
  <c r="V3450" i="2"/>
  <c r="W3450" i="2"/>
  <c r="U3456" i="2"/>
  <c r="V3456" i="2"/>
  <c r="W3456" i="2"/>
  <c r="U3473" i="2"/>
  <c r="V3473" i="2"/>
  <c r="W3473" i="2"/>
  <c r="U3511" i="2"/>
  <c r="V3511" i="2"/>
  <c r="W3511" i="2"/>
  <c r="U3523" i="2"/>
  <c r="V3523" i="2"/>
  <c r="W3523" i="2"/>
  <c r="U3530" i="2"/>
  <c r="V3530" i="2"/>
  <c r="W3530" i="2"/>
  <c r="U3533" i="2"/>
  <c r="V3533" i="2"/>
  <c r="W3533" i="2"/>
  <c r="U3538" i="2"/>
  <c r="V3538" i="2"/>
  <c r="W3538" i="2"/>
  <c r="U3541" i="2"/>
  <c r="V3541" i="2"/>
  <c r="W3541" i="2"/>
  <c r="U3598" i="2"/>
  <c r="V3598" i="2"/>
  <c r="W3598" i="2"/>
  <c r="U3606" i="2"/>
  <c r="V3606" i="2"/>
  <c r="W3606" i="2"/>
  <c r="U1847" i="2"/>
  <c r="V1847" i="2"/>
  <c r="W1847" i="2"/>
  <c r="U1857" i="2"/>
  <c r="V1857" i="2"/>
  <c r="W1857" i="2"/>
  <c r="U1859" i="2"/>
  <c r="V1859" i="2"/>
  <c r="W1859" i="2"/>
  <c r="U1862" i="2"/>
  <c r="V1862" i="2"/>
  <c r="W1862" i="2"/>
  <c r="U1875" i="2"/>
  <c r="V1875" i="2"/>
  <c r="W1875" i="2"/>
  <c r="U1883" i="2"/>
  <c r="V1883" i="2"/>
  <c r="W1883" i="2"/>
  <c r="U1884" i="2"/>
  <c r="V1884" i="2"/>
  <c r="W1884" i="2"/>
  <c r="U1889" i="2"/>
  <c r="V1889" i="2"/>
  <c r="W1889" i="2"/>
  <c r="U1904" i="2"/>
  <c r="V1904" i="2"/>
  <c r="W1904" i="2"/>
  <c r="U1909" i="2"/>
  <c r="V1909" i="2"/>
  <c r="W1909" i="2"/>
  <c r="U1913" i="2"/>
  <c r="V1913" i="2"/>
  <c r="W1913" i="2"/>
  <c r="U1967" i="2"/>
  <c r="V1967" i="2"/>
  <c r="W1967" i="2"/>
  <c r="U1988" i="2"/>
  <c r="V1988" i="2"/>
  <c r="W1988" i="2"/>
  <c r="U1991" i="2"/>
  <c r="V1991" i="2"/>
  <c r="W1991" i="2"/>
  <c r="U1993" i="2"/>
  <c r="V1993" i="2"/>
  <c r="W1993" i="2"/>
  <c r="U2005" i="2"/>
  <c r="V2005" i="2"/>
  <c r="W2005" i="2"/>
  <c r="U2007" i="2"/>
  <c r="V2007" i="2"/>
  <c r="W2007" i="2"/>
  <c r="U2010" i="2"/>
  <c r="V2010" i="2"/>
  <c r="W2010" i="2"/>
  <c r="U2016" i="2"/>
  <c r="V2016" i="2"/>
  <c r="W2016" i="2"/>
  <c r="U2023" i="2"/>
  <c r="V2023" i="2"/>
  <c r="W2023" i="2"/>
  <c r="U2026" i="2"/>
  <c r="V2026" i="2"/>
  <c r="W2026" i="2"/>
  <c r="U2028" i="2"/>
  <c r="V2028" i="2"/>
  <c r="W2028" i="2"/>
  <c r="U2030" i="2"/>
  <c r="V2030" i="2"/>
  <c r="W2030" i="2"/>
  <c r="U2061" i="2"/>
  <c r="V2061" i="2"/>
  <c r="W2061" i="2"/>
  <c r="U2066" i="2"/>
  <c r="V2066" i="2"/>
  <c r="W2066" i="2"/>
  <c r="U2077" i="2"/>
  <c r="V2077" i="2"/>
  <c r="W2077" i="2"/>
  <c r="U2095" i="2"/>
  <c r="V2095" i="2"/>
  <c r="W2095" i="2"/>
  <c r="U2097" i="2"/>
  <c r="V2097" i="2"/>
  <c r="W2097" i="2"/>
  <c r="U2106" i="2"/>
  <c r="V2106" i="2"/>
  <c r="W2106" i="2"/>
  <c r="U2128" i="2"/>
  <c r="V2128" i="2"/>
  <c r="W2128" i="2"/>
  <c r="U2131" i="2"/>
  <c r="V2131" i="2"/>
  <c r="W2131" i="2"/>
  <c r="U2139" i="2"/>
  <c r="V2139" i="2"/>
  <c r="W2139" i="2"/>
  <c r="U2142" i="2"/>
  <c r="V2142" i="2"/>
  <c r="W2142" i="2"/>
  <c r="U2145" i="2"/>
  <c r="V2145" i="2"/>
  <c r="W2145" i="2"/>
  <c r="U2160" i="2"/>
  <c r="V2160" i="2"/>
  <c r="W2160" i="2"/>
  <c r="U2178" i="2"/>
  <c r="V2178" i="2"/>
  <c r="W2178" i="2"/>
  <c r="U2182" i="2"/>
  <c r="V2182" i="2"/>
  <c r="W2182" i="2"/>
  <c r="U2193" i="2"/>
  <c r="V2193" i="2"/>
  <c r="W2193" i="2"/>
  <c r="U2645" i="2"/>
  <c r="V2645" i="2"/>
  <c r="W2645" i="2"/>
  <c r="U2667" i="2"/>
  <c r="V2667" i="2"/>
  <c r="W2667" i="2"/>
  <c r="U2693" i="2"/>
  <c r="V2693" i="2"/>
  <c r="W2693" i="2"/>
  <c r="U2717" i="2"/>
  <c r="V2717" i="2"/>
  <c r="W2717" i="2"/>
  <c r="U2724" i="2"/>
  <c r="V2724" i="2"/>
  <c r="W2724" i="2"/>
  <c r="U2758" i="2"/>
  <c r="V2758" i="2"/>
  <c r="W2758" i="2"/>
  <c r="U2769" i="2"/>
  <c r="V2769" i="2"/>
  <c r="W2769" i="2"/>
  <c r="U2785" i="2"/>
  <c r="V2785" i="2"/>
  <c r="W2785" i="2"/>
  <c r="U3440" i="2"/>
  <c r="V3440" i="2"/>
  <c r="W3440" i="2"/>
  <c r="U3444" i="2"/>
  <c r="V3444" i="2"/>
  <c r="W3444" i="2"/>
  <c r="U3510" i="2"/>
  <c r="V3510" i="2"/>
  <c r="W3510" i="2"/>
  <c r="U3516" i="2"/>
  <c r="V3516" i="2"/>
  <c r="W3516" i="2"/>
  <c r="U3544" i="2"/>
  <c r="V3544" i="2"/>
  <c r="W3544" i="2"/>
  <c r="U3567" i="2"/>
  <c r="V3567" i="2"/>
  <c r="W3567" i="2"/>
  <c r="U3571" i="2"/>
  <c r="V3571" i="2"/>
  <c r="W3571" i="2"/>
  <c r="U3597" i="2"/>
  <c r="V3597" i="2"/>
  <c r="W3597" i="2"/>
  <c r="U3599" i="2"/>
  <c r="V3599" i="2"/>
  <c r="W3599" i="2"/>
  <c r="U4904" i="2"/>
  <c r="V4904" i="2"/>
  <c r="W4904" i="2"/>
  <c r="U2202" i="2"/>
  <c r="V2202" i="2"/>
  <c r="W2202" i="2"/>
  <c r="U2203" i="2"/>
  <c r="V2203" i="2"/>
  <c r="W2203" i="2"/>
  <c r="U2204" i="2"/>
  <c r="V2204" i="2"/>
  <c r="W2204" i="2"/>
  <c r="U2205" i="2"/>
  <c r="V2205" i="2"/>
  <c r="W2205" i="2"/>
  <c r="U2206" i="2"/>
  <c r="V2206" i="2"/>
  <c r="W2206" i="2"/>
  <c r="U2207" i="2"/>
  <c r="V2207" i="2"/>
  <c r="W2207" i="2"/>
  <c r="U2208" i="2"/>
  <c r="V2208" i="2"/>
  <c r="W2208" i="2"/>
  <c r="U2627" i="2"/>
  <c r="V2627" i="2"/>
  <c r="W2627" i="2"/>
  <c r="U2629" i="2"/>
  <c r="V2629" i="2"/>
  <c r="W2629" i="2"/>
  <c r="U2630" i="2"/>
  <c r="V2630" i="2"/>
  <c r="W2630" i="2"/>
  <c r="U2632" i="2"/>
  <c r="V2632" i="2"/>
  <c r="W2632" i="2"/>
  <c r="U2634" i="2"/>
  <c r="V2634" i="2"/>
  <c r="W2634" i="2"/>
  <c r="U2635" i="2"/>
  <c r="V2635" i="2"/>
  <c r="W2635" i="2"/>
  <c r="U2636" i="2"/>
  <c r="V2636" i="2"/>
  <c r="W2636" i="2"/>
  <c r="U2652" i="2"/>
  <c r="V2652" i="2"/>
  <c r="W2652" i="2"/>
  <c r="U2654" i="2"/>
  <c r="V2654" i="2"/>
  <c r="W2654" i="2"/>
  <c r="U2664" i="2"/>
  <c r="V2664" i="2"/>
  <c r="W2664" i="2"/>
  <c r="U2685" i="2"/>
  <c r="V2685" i="2"/>
  <c r="W2685" i="2"/>
  <c r="U2696" i="2"/>
  <c r="V2696" i="2"/>
  <c r="W2696" i="2"/>
  <c r="U2795" i="2"/>
  <c r="V2795" i="2"/>
  <c r="W2795" i="2"/>
  <c r="U2808" i="2"/>
  <c r="V2808" i="2"/>
  <c r="W2808" i="2"/>
  <c r="U2811" i="2"/>
  <c r="V2811" i="2"/>
  <c r="W2811" i="2"/>
  <c r="U2847" i="2"/>
  <c r="V2847" i="2"/>
  <c r="W2847" i="2"/>
  <c r="U2854" i="2"/>
  <c r="V2854" i="2"/>
  <c r="W2854" i="2"/>
  <c r="U3438" i="2"/>
  <c r="V3438" i="2"/>
  <c r="W3438" i="2"/>
  <c r="U3460" i="2"/>
  <c r="V3460" i="2"/>
  <c r="W3460" i="2"/>
  <c r="U3501" i="2"/>
  <c r="V3501" i="2"/>
  <c r="W3501" i="2"/>
  <c r="U3527" i="2"/>
  <c r="V3527" i="2"/>
  <c r="W3527" i="2"/>
  <c r="U3554" i="2"/>
  <c r="V3554" i="2"/>
  <c r="W3554" i="2"/>
  <c r="U3578" i="2"/>
  <c r="V3578" i="2"/>
  <c r="W3578" i="2"/>
  <c r="U4176" i="2"/>
  <c r="V4176" i="2"/>
  <c r="W4176" i="2"/>
  <c r="U3415" i="2"/>
  <c r="V3415" i="2"/>
  <c r="W3415" i="2"/>
  <c r="U3416" i="2"/>
  <c r="V3416" i="2"/>
  <c r="W3416" i="2"/>
  <c r="U3417" i="2"/>
  <c r="V3417" i="2"/>
  <c r="W3417" i="2"/>
  <c r="U3418" i="2"/>
  <c r="V3418" i="2"/>
  <c r="W3418" i="2"/>
  <c r="U3419" i="2"/>
  <c r="V3419" i="2"/>
  <c r="W3419" i="2"/>
  <c r="U3420" i="2"/>
  <c r="V3420" i="2"/>
  <c r="W3420" i="2"/>
  <c r="U3421" i="2"/>
  <c r="V3421" i="2"/>
  <c r="W3421" i="2"/>
  <c r="U3422" i="2"/>
  <c r="V3422" i="2"/>
  <c r="W3422" i="2"/>
  <c r="U3423" i="2"/>
  <c r="V3423" i="2"/>
  <c r="W3423" i="2"/>
  <c r="U3424" i="2"/>
  <c r="V3424" i="2"/>
  <c r="W3424" i="2"/>
  <c r="U3425" i="2"/>
  <c r="V3425" i="2"/>
  <c r="W3425" i="2"/>
  <c r="U3426" i="2"/>
  <c r="V3426" i="2"/>
  <c r="W3426" i="2"/>
  <c r="U3427" i="2"/>
  <c r="V3427" i="2"/>
  <c r="W3427" i="2"/>
  <c r="U3428" i="2"/>
  <c r="V3428" i="2"/>
  <c r="W3428" i="2"/>
  <c r="U3433" i="2"/>
  <c r="V3433" i="2"/>
  <c r="W3433" i="2"/>
  <c r="U3498" i="2"/>
  <c r="V3498" i="2"/>
  <c r="W3498" i="2"/>
  <c r="U3517" i="2"/>
  <c r="V3517" i="2"/>
  <c r="W3517" i="2"/>
  <c r="U3559" i="2"/>
  <c r="V3559" i="2"/>
  <c r="W3559" i="2"/>
  <c r="U3572" i="2"/>
  <c r="V3572" i="2"/>
  <c r="W3572" i="2"/>
  <c r="U3604" i="2"/>
  <c r="V3604" i="2"/>
  <c r="W3604" i="2"/>
  <c r="U4986" i="2"/>
  <c r="V4986" i="2"/>
  <c r="W4986" i="2"/>
  <c r="U4077" i="2"/>
  <c r="V4077" i="2"/>
  <c r="W4077" i="2"/>
  <c r="U4078" i="2"/>
  <c r="V4078" i="2"/>
  <c r="W4078" i="2"/>
  <c r="U4079" i="2"/>
  <c r="V4079" i="2"/>
  <c r="W4079" i="2"/>
  <c r="U4080" i="2"/>
  <c r="V4080" i="2"/>
  <c r="W4080" i="2"/>
  <c r="U4082" i="2"/>
  <c r="V4082" i="2"/>
  <c r="W4082" i="2"/>
  <c r="U4083" i="2"/>
  <c r="V4083" i="2"/>
  <c r="W4083" i="2"/>
  <c r="U4085" i="2"/>
  <c r="V4085" i="2"/>
  <c r="W4085" i="2"/>
  <c r="U4086" i="2"/>
  <c r="V4086" i="2"/>
  <c r="W4086" i="2"/>
  <c r="U4087" i="2"/>
  <c r="V4087" i="2"/>
  <c r="W4087" i="2"/>
  <c r="U4088" i="2"/>
  <c r="V4088" i="2"/>
  <c r="W4088" i="2"/>
  <c r="U4091" i="2"/>
  <c r="V4091" i="2"/>
  <c r="W4091" i="2"/>
  <c r="U4092" i="2"/>
  <c r="V4092" i="2"/>
  <c r="W4092" i="2"/>
  <c r="U4093" i="2"/>
  <c r="V4093" i="2"/>
  <c r="W4093" i="2"/>
  <c r="U4094" i="2"/>
  <c r="V4094" i="2"/>
  <c r="W4094" i="2"/>
  <c r="U4095" i="2"/>
  <c r="V4095" i="2"/>
  <c r="W4095" i="2"/>
  <c r="U4096" i="2"/>
  <c r="V4096" i="2"/>
  <c r="W4096" i="2"/>
  <c r="U4097" i="2"/>
  <c r="V4097" i="2"/>
  <c r="W4097" i="2"/>
  <c r="U4098" i="2"/>
  <c r="V4098" i="2"/>
  <c r="W4098" i="2"/>
  <c r="U4099" i="2"/>
  <c r="V4099" i="2"/>
  <c r="W4099" i="2"/>
  <c r="U4100" i="2"/>
  <c r="V4100" i="2"/>
  <c r="W4100" i="2"/>
  <c r="U4101" i="2"/>
  <c r="V4101" i="2"/>
  <c r="W4101" i="2"/>
  <c r="U4102" i="2"/>
  <c r="V4102" i="2"/>
  <c r="W4102" i="2"/>
  <c r="U4103" i="2"/>
  <c r="V4103" i="2"/>
  <c r="W4103" i="2"/>
  <c r="U4104" i="2"/>
  <c r="V4104" i="2"/>
  <c r="W4104" i="2"/>
  <c r="U4105" i="2"/>
  <c r="V4105" i="2"/>
  <c r="W4105" i="2"/>
  <c r="U4107" i="2"/>
  <c r="V4107" i="2"/>
  <c r="W4107" i="2"/>
  <c r="U4108" i="2"/>
  <c r="V4108" i="2"/>
  <c r="W4108" i="2"/>
  <c r="U4109" i="2"/>
  <c r="V4109" i="2"/>
  <c r="W4109" i="2"/>
  <c r="U4110" i="2"/>
  <c r="V4110" i="2"/>
  <c r="W4110" i="2"/>
  <c r="U4111" i="2"/>
  <c r="V4111" i="2"/>
  <c r="W4111" i="2"/>
  <c r="U4112" i="2"/>
  <c r="V4112" i="2"/>
  <c r="W4112" i="2"/>
  <c r="U4114" i="2"/>
  <c r="V4114" i="2"/>
  <c r="W4114" i="2"/>
  <c r="U4115" i="2"/>
  <c r="V4115" i="2"/>
  <c r="W4115" i="2"/>
  <c r="U4116" i="2"/>
  <c r="V4116" i="2"/>
  <c r="W4116" i="2"/>
  <c r="U4117" i="2"/>
  <c r="V4117" i="2"/>
  <c r="W4117" i="2"/>
  <c r="U4118" i="2"/>
  <c r="V4118" i="2"/>
  <c r="W4118" i="2"/>
  <c r="U4119" i="2"/>
  <c r="V4119" i="2"/>
  <c r="W4119" i="2"/>
  <c r="U4120" i="2"/>
  <c r="V4120" i="2"/>
  <c r="W4120" i="2"/>
  <c r="U4121" i="2"/>
  <c r="V4121" i="2"/>
  <c r="W4121" i="2"/>
  <c r="U4122" i="2"/>
  <c r="V4122" i="2"/>
  <c r="W4122" i="2"/>
  <c r="U4123" i="2"/>
  <c r="V4123" i="2"/>
  <c r="W4123" i="2"/>
  <c r="U4124" i="2"/>
  <c r="V4124" i="2"/>
  <c r="W4124" i="2"/>
  <c r="U4125" i="2"/>
  <c r="V4125" i="2"/>
  <c r="W4125" i="2"/>
  <c r="U4126" i="2"/>
  <c r="V4126" i="2"/>
  <c r="W4126" i="2"/>
  <c r="U4127" i="2"/>
  <c r="V4127" i="2"/>
  <c r="W4127" i="2"/>
  <c r="U4128" i="2"/>
  <c r="V4128" i="2"/>
  <c r="W4128" i="2"/>
  <c r="U4129" i="2"/>
  <c r="V4129" i="2"/>
  <c r="W4129" i="2"/>
  <c r="U4130" i="2"/>
  <c r="V4130" i="2"/>
  <c r="W4130" i="2"/>
  <c r="U4131" i="2"/>
  <c r="V4131" i="2"/>
  <c r="W4131" i="2"/>
  <c r="U4132" i="2"/>
  <c r="V4132" i="2"/>
  <c r="W4132" i="2"/>
  <c r="U4133" i="2"/>
  <c r="V4133" i="2"/>
  <c r="W4133" i="2"/>
  <c r="U4134" i="2"/>
  <c r="V4134" i="2"/>
  <c r="W4134" i="2"/>
  <c r="U4135" i="2"/>
  <c r="V4135" i="2"/>
  <c r="W4135" i="2"/>
  <c r="U4136" i="2"/>
  <c r="V4136" i="2"/>
  <c r="W4136" i="2"/>
  <c r="U4137" i="2"/>
  <c r="V4137" i="2"/>
  <c r="W4137" i="2"/>
  <c r="U4138" i="2"/>
  <c r="V4138" i="2"/>
  <c r="W4138" i="2"/>
  <c r="U4139" i="2"/>
  <c r="V4139" i="2"/>
  <c r="W4139" i="2"/>
  <c r="U4140" i="2"/>
  <c r="V4140" i="2"/>
  <c r="W4140" i="2"/>
  <c r="U4141" i="2"/>
  <c r="V4141" i="2"/>
  <c r="W4141" i="2"/>
  <c r="U4142" i="2"/>
  <c r="V4142" i="2"/>
  <c r="W4142" i="2"/>
  <c r="U4143" i="2"/>
  <c r="V4143" i="2"/>
  <c r="W4143" i="2"/>
  <c r="U4144" i="2"/>
  <c r="V4144" i="2"/>
  <c r="W4144" i="2"/>
  <c r="U4145" i="2"/>
  <c r="V4145" i="2"/>
  <c r="W4145" i="2"/>
  <c r="U4147" i="2"/>
  <c r="V4147" i="2"/>
  <c r="W4147" i="2"/>
  <c r="U4148" i="2"/>
  <c r="V4148" i="2"/>
  <c r="W4148" i="2"/>
  <c r="U4149" i="2"/>
  <c r="V4149" i="2"/>
  <c r="W4149" i="2"/>
  <c r="U4150" i="2"/>
  <c r="V4150" i="2"/>
  <c r="W4150" i="2"/>
  <c r="U4151" i="2"/>
  <c r="V4151" i="2"/>
  <c r="W4151" i="2"/>
  <c r="U4152" i="2"/>
  <c r="V4152" i="2"/>
  <c r="W4152" i="2"/>
  <c r="U4153" i="2"/>
  <c r="V4153" i="2"/>
  <c r="W4153" i="2"/>
  <c r="U4154" i="2"/>
  <c r="V4154" i="2"/>
  <c r="W4154" i="2"/>
  <c r="U4155" i="2"/>
  <c r="V4155" i="2"/>
  <c r="W4155" i="2"/>
  <c r="U4156" i="2"/>
  <c r="V4156" i="2"/>
  <c r="W4156" i="2"/>
  <c r="U4157" i="2"/>
  <c r="V4157" i="2"/>
  <c r="W4157" i="2"/>
  <c r="U4158" i="2"/>
  <c r="V4158" i="2"/>
  <c r="W4158" i="2"/>
  <c r="U4504" i="2"/>
  <c r="V4504" i="2"/>
  <c r="W4504" i="2"/>
  <c r="U4505" i="2"/>
  <c r="V4505" i="2"/>
  <c r="W4505" i="2"/>
  <c r="U4506" i="2"/>
  <c r="V4506" i="2"/>
  <c r="W4506" i="2"/>
  <c r="U4507" i="2"/>
  <c r="V4507" i="2"/>
  <c r="W4507" i="2"/>
  <c r="U4508" i="2"/>
  <c r="V4508" i="2"/>
  <c r="W4508" i="2"/>
  <c r="U4509" i="2"/>
  <c r="V4509" i="2"/>
  <c r="W4509" i="2"/>
  <c r="U4510" i="2"/>
  <c r="V4510" i="2"/>
  <c r="W4510" i="2"/>
  <c r="U4511" i="2"/>
  <c r="V4511" i="2"/>
  <c r="W4511" i="2"/>
  <c r="U4512" i="2"/>
  <c r="V4512" i="2"/>
  <c r="W4512" i="2"/>
  <c r="U4513" i="2"/>
  <c r="V4513" i="2"/>
  <c r="W4513" i="2"/>
  <c r="U4514" i="2"/>
  <c r="V4514" i="2"/>
  <c r="W4514" i="2"/>
  <c r="U4515" i="2"/>
  <c r="V4515" i="2"/>
  <c r="W4515" i="2"/>
  <c r="U4516" i="2"/>
  <c r="V4516" i="2"/>
  <c r="W4516" i="2"/>
  <c r="U4517" i="2"/>
  <c r="V4517" i="2"/>
  <c r="W4517" i="2"/>
  <c r="U4518" i="2"/>
  <c r="V4518" i="2"/>
  <c r="W4518" i="2"/>
  <c r="U4519" i="2"/>
  <c r="V4519" i="2"/>
  <c r="W4519" i="2"/>
  <c r="U4520" i="2"/>
  <c r="V4520" i="2"/>
  <c r="W4520" i="2"/>
  <c r="U4521" i="2"/>
  <c r="V4521" i="2"/>
  <c r="W4521" i="2"/>
  <c r="U4522" i="2"/>
  <c r="V4522" i="2"/>
  <c r="W4522" i="2"/>
  <c r="U4523" i="2"/>
  <c r="V4523" i="2"/>
  <c r="W4523" i="2"/>
  <c r="U4524" i="2"/>
  <c r="V4524" i="2"/>
  <c r="W4524" i="2"/>
  <c r="U4525" i="2"/>
  <c r="V4525" i="2"/>
  <c r="W4525" i="2"/>
  <c r="U4526" i="2"/>
  <c r="V4526" i="2"/>
  <c r="W4526" i="2"/>
  <c r="U4527" i="2"/>
  <c r="V4527" i="2"/>
  <c r="W4527" i="2"/>
  <c r="U4528" i="2"/>
  <c r="V4528" i="2"/>
  <c r="W4528" i="2"/>
  <c r="U4529" i="2"/>
  <c r="V4529" i="2"/>
  <c r="W4529" i="2"/>
  <c r="U4530" i="2"/>
  <c r="V4530" i="2"/>
  <c r="W4530" i="2"/>
  <c r="U4531" i="2"/>
  <c r="V4531" i="2"/>
  <c r="W4531" i="2"/>
  <c r="U4532" i="2"/>
  <c r="V4532" i="2"/>
  <c r="W4532" i="2"/>
  <c r="U4533" i="2"/>
  <c r="V4533" i="2"/>
  <c r="W4533" i="2"/>
  <c r="U4534" i="2"/>
  <c r="V4534" i="2"/>
  <c r="W4534" i="2"/>
  <c r="U4535" i="2"/>
  <c r="V4535" i="2"/>
  <c r="W4535" i="2"/>
  <c r="U4536" i="2"/>
  <c r="V4536" i="2"/>
  <c r="W4536" i="2"/>
  <c r="U4537" i="2"/>
  <c r="V4537" i="2"/>
  <c r="W4537" i="2"/>
  <c r="U4538" i="2"/>
  <c r="V4538" i="2"/>
  <c r="W4538" i="2"/>
  <c r="U4539" i="2"/>
  <c r="V4539" i="2"/>
  <c r="W4539" i="2"/>
  <c r="U4540" i="2"/>
  <c r="V4540" i="2"/>
  <c r="W4540" i="2"/>
  <c r="U4541" i="2"/>
  <c r="V4541" i="2"/>
  <c r="W4541" i="2"/>
  <c r="U4542" i="2"/>
  <c r="V4542" i="2"/>
  <c r="W4542" i="2"/>
  <c r="U4543" i="2"/>
  <c r="V4543" i="2"/>
  <c r="W4543" i="2"/>
  <c r="U4544" i="2"/>
  <c r="V4544" i="2"/>
  <c r="W4544" i="2"/>
  <c r="U4545" i="2"/>
  <c r="V4545" i="2"/>
  <c r="W4545" i="2"/>
  <c r="U4546" i="2"/>
  <c r="V4546" i="2"/>
  <c r="W4546" i="2"/>
  <c r="U4547" i="2"/>
  <c r="V4547" i="2"/>
  <c r="W4547" i="2"/>
  <c r="U4548" i="2"/>
  <c r="V4548" i="2"/>
  <c r="W4548" i="2"/>
  <c r="U4549" i="2"/>
  <c r="V4549" i="2"/>
  <c r="W4549" i="2"/>
  <c r="U4550" i="2"/>
  <c r="V4550" i="2"/>
  <c r="W4550" i="2"/>
  <c r="U4551" i="2"/>
  <c r="V4551" i="2"/>
  <c r="W4551" i="2"/>
  <c r="U4552" i="2"/>
  <c r="V4552" i="2"/>
  <c r="W4552" i="2"/>
  <c r="U4553" i="2"/>
  <c r="V4553" i="2"/>
  <c r="W4553" i="2"/>
  <c r="U4554" i="2"/>
  <c r="V4554" i="2"/>
  <c r="W4554" i="2"/>
  <c r="U4555" i="2"/>
  <c r="V4555" i="2"/>
  <c r="W4555" i="2"/>
  <c r="U4556" i="2"/>
  <c r="V4556" i="2"/>
  <c r="W4556" i="2"/>
  <c r="U4557" i="2"/>
  <c r="V4557" i="2"/>
  <c r="W4557" i="2"/>
  <c r="U4558" i="2"/>
  <c r="V4558" i="2"/>
  <c r="W4558" i="2"/>
  <c r="U4559" i="2"/>
  <c r="V4559" i="2"/>
  <c r="W4559" i="2"/>
  <c r="U4560" i="2"/>
  <c r="V4560" i="2"/>
  <c r="W4560" i="2"/>
  <c r="U4561" i="2"/>
  <c r="V4561" i="2"/>
  <c r="W4561" i="2"/>
  <c r="U4562" i="2"/>
  <c r="V4562" i="2"/>
  <c r="W4562" i="2"/>
  <c r="U4563" i="2"/>
  <c r="V4563" i="2"/>
  <c r="W4563" i="2"/>
  <c r="U4564" i="2"/>
  <c r="V4564" i="2"/>
  <c r="W4564" i="2"/>
  <c r="U4565" i="2"/>
  <c r="V4565" i="2"/>
  <c r="W4565" i="2"/>
  <c r="U4566" i="2"/>
  <c r="V4566" i="2"/>
  <c r="W4566" i="2"/>
  <c r="U4567" i="2"/>
  <c r="V4567" i="2"/>
  <c r="W4567" i="2"/>
  <c r="U4568" i="2"/>
  <c r="V4568" i="2"/>
  <c r="W4568" i="2"/>
  <c r="U4569" i="2"/>
  <c r="V4569" i="2"/>
  <c r="W4569" i="2"/>
  <c r="U4570" i="2"/>
  <c r="V4570" i="2"/>
  <c r="W4570" i="2"/>
  <c r="U4571" i="2"/>
  <c r="V4571" i="2"/>
  <c r="W4571" i="2"/>
  <c r="U4572" i="2"/>
  <c r="V4572" i="2"/>
  <c r="W4572" i="2"/>
  <c r="U4573" i="2"/>
  <c r="V4573" i="2"/>
  <c r="W4573" i="2"/>
  <c r="U4574" i="2"/>
  <c r="V4574" i="2"/>
  <c r="W4574" i="2"/>
  <c r="U4575" i="2"/>
  <c r="V4575" i="2"/>
  <c r="W4575" i="2"/>
  <c r="U4576" i="2"/>
  <c r="V4576" i="2"/>
  <c r="W4576" i="2"/>
  <c r="U4577" i="2"/>
  <c r="V4577" i="2"/>
  <c r="W4577" i="2"/>
  <c r="U4578" i="2"/>
  <c r="V4578" i="2"/>
  <c r="W4578" i="2"/>
  <c r="U4579" i="2"/>
  <c r="V4579" i="2"/>
  <c r="W4579" i="2"/>
  <c r="U4580" i="2"/>
  <c r="V4580" i="2"/>
  <c r="W4580" i="2"/>
  <c r="U4581" i="2"/>
  <c r="V4581" i="2"/>
  <c r="W4581" i="2"/>
  <c r="U4582" i="2"/>
  <c r="V4582" i="2"/>
  <c r="W4582" i="2"/>
  <c r="U4583" i="2"/>
  <c r="V4583" i="2"/>
  <c r="W4583" i="2"/>
  <c r="U4584" i="2"/>
  <c r="V4584" i="2"/>
  <c r="W4584" i="2"/>
  <c r="U4585" i="2"/>
  <c r="V4585" i="2"/>
  <c r="W4585" i="2"/>
  <c r="U4586" i="2"/>
  <c r="V4586" i="2"/>
  <c r="W4586" i="2"/>
  <c r="U4587" i="2"/>
  <c r="V4587" i="2"/>
  <c r="W4587" i="2"/>
  <c r="U4588" i="2"/>
  <c r="V4588" i="2"/>
  <c r="W4588" i="2"/>
  <c r="U4589" i="2"/>
  <c r="V4589" i="2"/>
  <c r="W4589" i="2"/>
  <c r="U4590" i="2"/>
  <c r="V4590" i="2"/>
  <c r="W4590" i="2"/>
  <c r="U4591" i="2"/>
  <c r="V4591" i="2"/>
  <c r="W4591" i="2"/>
  <c r="U4592" i="2"/>
  <c r="V4592" i="2"/>
  <c r="W4592" i="2"/>
  <c r="U4593" i="2"/>
  <c r="V4593" i="2"/>
  <c r="W4593" i="2"/>
  <c r="U4594" i="2"/>
  <c r="V4594" i="2"/>
  <c r="W4594" i="2"/>
  <c r="U4595" i="2"/>
  <c r="V4595" i="2"/>
  <c r="W4595" i="2"/>
  <c r="U4596" i="2"/>
  <c r="V4596" i="2"/>
  <c r="W4596" i="2"/>
  <c r="U4597" i="2"/>
  <c r="V4597" i="2"/>
  <c r="W4597" i="2"/>
  <c r="U4598" i="2"/>
  <c r="V4598" i="2"/>
  <c r="W4598" i="2"/>
  <c r="U4599" i="2"/>
  <c r="V4599" i="2"/>
  <c r="W4599" i="2"/>
  <c r="U4600" i="2"/>
  <c r="V4600" i="2"/>
  <c r="W4600" i="2"/>
  <c r="U4601" i="2"/>
  <c r="V4601" i="2"/>
  <c r="W4601" i="2"/>
  <c r="U4602" i="2"/>
  <c r="V4602" i="2"/>
  <c r="W4602" i="2"/>
  <c r="U4603" i="2"/>
  <c r="V4603" i="2"/>
  <c r="W4603" i="2"/>
  <c r="U4604" i="2"/>
  <c r="V4604" i="2"/>
  <c r="W4604" i="2"/>
  <c r="U4605" i="2"/>
  <c r="V4605" i="2"/>
  <c r="W4605" i="2"/>
  <c r="U4606" i="2"/>
  <c r="V4606" i="2"/>
  <c r="W4606" i="2"/>
  <c r="U4607" i="2"/>
  <c r="V4607" i="2"/>
  <c r="W4607" i="2"/>
  <c r="U4608" i="2"/>
  <c r="V4608" i="2"/>
  <c r="W4608" i="2"/>
  <c r="U4609" i="2"/>
  <c r="V4609" i="2"/>
  <c r="W4609" i="2"/>
  <c r="U4610" i="2"/>
  <c r="V4610" i="2"/>
  <c r="W4610" i="2"/>
  <c r="U4611" i="2"/>
  <c r="V4611" i="2"/>
  <c r="W4611" i="2"/>
  <c r="U4612" i="2"/>
  <c r="V4612" i="2"/>
  <c r="W4612" i="2"/>
  <c r="U4613" i="2"/>
  <c r="V4613" i="2"/>
  <c r="W4613" i="2"/>
  <c r="U4614" i="2"/>
  <c r="V4614" i="2"/>
  <c r="W4614" i="2"/>
  <c r="U4615" i="2"/>
  <c r="V4615" i="2"/>
  <c r="W4615" i="2"/>
  <c r="U4616" i="2"/>
  <c r="V4616" i="2"/>
  <c r="W4616" i="2"/>
  <c r="U4617" i="2"/>
  <c r="V4617" i="2"/>
  <c r="W4617" i="2"/>
  <c r="U4618" i="2"/>
  <c r="V4618" i="2"/>
  <c r="W4618" i="2"/>
  <c r="U4619" i="2"/>
  <c r="V4619" i="2"/>
  <c r="W4619" i="2"/>
  <c r="U4620" i="2"/>
  <c r="V4620" i="2"/>
  <c r="W4620" i="2"/>
  <c r="U4621" i="2"/>
  <c r="V4621" i="2"/>
  <c r="W4621" i="2"/>
  <c r="U4622" i="2"/>
  <c r="V4622" i="2"/>
  <c r="W4622" i="2"/>
  <c r="U4623" i="2"/>
  <c r="V4623" i="2"/>
  <c r="W4623" i="2"/>
  <c r="U4625" i="2"/>
  <c r="V4625" i="2"/>
  <c r="W4625" i="2"/>
  <c r="U4626" i="2"/>
  <c r="V4626" i="2"/>
  <c r="W4626" i="2"/>
  <c r="U4627" i="2"/>
  <c r="V4627" i="2"/>
  <c r="W4627" i="2"/>
  <c r="U4628" i="2"/>
  <c r="V4628" i="2"/>
  <c r="W4628" i="2"/>
  <c r="U4629" i="2"/>
  <c r="V4629" i="2"/>
  <c r="W4629" i="2"/>
  <c r="U4630" i="2"/>
  <c r="V4630" i="2"/>
  <c r="W4630" i="2"/>
  <c r="U4631" i="2"/>
  <c r="V4631" i="2"/>
  <c r="W4631" i="2"/>
  <c r="U4632" i="2"/>
  <c r="V4632" i="2"/>
  <c r="W4632" i="2"/>
  <c r="U4633" i="2"/>
  <c r="V4633" i="2"/>
  <c r="W4633" i="2"/>
  <c r="U4634" i="2"/>
  <c r="V4634" i="2"/>
  <c r="W4634" i="2"/>
  <c r="U4635" i="2"/>
  <c r="V4635" i="2"/>
  <c r="W4635" i="2"/>
  <c r="U4636" i="2"/>
  <c r="V4636" i="2"/>
  <c r="W4636" i="2"/>
  <c r="U4637" i="2"/>
  <c r="V4637" i="2"/>
  <c r="W4637" i="2"/>
  <c r="U4638" i="2"/>
  <c r="V4638" i="2"/>
  <c r="W4638" i="2"/>
  <c r="U4639" i="2"/>
  <c r="V4639" i="2"/>
  <c r="W4639" i="2"/>
  <c r="U4640" i="2"/>
  <c r="V4640" i="2"/>
  <c r="W4640" i="2"/>
  <c r="U4641" i="2"/>
  <c r="V4641" i="2"/>
  <c r="W4641" i="2"/>
  <c r="U4642" i="2"/>
  <c r="V4642" i="2"/>
  <c r="W4642" i="2"/>
  <c r="U4643" i="2"/>
  <c r="V4643" i="2"/>
  <c r="W4643" i="2"/>
  <c r="U4644" i="2"/>
  <c r="V4644" i="2"/>
  <c r="W4644" i="2"/>
  <c r="U4645" i="2"/>
  <c r="V4645" i="2"/>
  <c r="W4645" i="2"/>
  <c r="U4646" i="2"/>
  <c r="V4646" i="2"/>
  <c r="W4646" i="2"/>
  <c r="U4647" i="2"/>
  <c r="V4647" i="2"/>
  <c r="W4647" i="2"/>
  <c r="U4648" i="2"/>
  <c r="V4648" i="2"/>
  <c r="W4648" i="2"/>
  <c r="U4649" i="2"/>
  <c r="V4649" i="2"/>
  <c r="W4649" i="2"/>
  <c r="U4651" i="2"/>
  <c r="V4651" i="2"/>
  <c r="W4651" i="2"/>
  <c r="U4652" i="2"/>
  <c r="V4652" i="2"/>
  <c r="W4652" i="2"/>
  <c r="U4653" i="2"/>
  <c r="V4653" i="2"/>
  <c r="W4653" i="2"/>
  <c r="U4654" i="2"/>
  <c r="V4654" i="2"/>
  <c r="W4654" i="2"/>
  <c r="U4655" i="2"/>
  <c r="V4655" i="2"/>
  <c r="W4655" i="2"/>
  <c r="U4656" i="2"/>
  <c r="V4656" i="2"/>
  <c r="W4656" i="2"/>
  <c r="U4657" i="2"/>
  <c r="V4657" i="2"/>
  <c r="W4657" i="2"/>
  <c r="U4658" i="2"/>
  <c r="V4658" i="2"/>
  <c r="W4658" i="2"/>
  <c r="U4659" i="2"/>
  <c r="V4659" i="2"/>
  <c r="W4659" i="2"/>
  <c r="U4660" i="2"/>
  <c r="V4660" i="2"/>
  <c r="W4660" i="2"/>
  <c r="U4661" i="2"/>
  <c r="V4661" i="2"/>
  <c r="W4661" i="2"/>
  <c r="U4662" i="2"/>
  <c r="V4662" i="2"/>
  <c r="W4662" i="2"/>
  <c r="U4664" i="2"/>
  <c r="V4664" i="2"/>
  <c r="W4664" i="2"/>
  <c r="U4665" i="2"/>
  <c r="V4665" i="2"/>
  <c r="W4665" i="2"/>
  <c r="U4666" i="2"/>
  <c r="V4666" i="2"/>
  <c r="W4666" i="2"/>
  <c r="U4667" i="2"/>
  <c r="V4667" i="2"/>
  <c r="W4667" i="2"/>
  <c r="U4668" i="2"/>
  <c r="V4668" i="2"/>
  <c r="W4668" i="2"/>
  <c r="U4669" i="2"/>
  <c r="V4669" i="2"/>
  <c r="W4669" i="2"/>
  <c r="U4670" i="2"/>
  <c r="V4670" i="2"/>
  <c r="W4670" i="2"/>
  <c r="U4671" i="2"/>
  <c r="V4671" i="2"/>
  <c r="W4671" i="2"/>
  <c r="U4672" i="2"/>
  <c r="V4672" i="2"/>
  <c r="W4672" i="2"/>
  <c r="U4673" i="2"/>
  <c r="V4673" i="2"/>
  <c r="W4673" i="2"/>
  <c r="U4674" i="2"/>
  <c r="V4674" i="2"/>
  <c r="W4674" i="2"/>
  <c r="U4675" i="2"/>
  <c r="V4675" i="2"/>
  <c r="W4675" i="2"/>
  <c r="U4676" i="2"/>
  <c r="V4676" i="2"/>
  <c r="W4676" i="2"/>
  <c r="U4677" i="2"/>
  <c r="V4677" i="2"/>
  <c r="W4677" i="2"/>
  <c r="U4678" i="2"/>
  <c r="V4678" i="2"/>
  <c r="W4678" i="2"/>
  <c r="U4679" i="2"/>
  <c r="V4679" i="2"/>
  <c r="W4679" i="2"/>
  <c r="U4680" i="2"/>
  <c r="V4680" i="2"/>
  <c r="W4680" i="2"/>
  <c r="U4681" i="2"/>
  <c r="V4681" i="2"/>
  <c r="W4681" i="2"/>
  <c r="U4682" i="2"/>
  <c r="V4682" i="2"/>
  <c r="W4682" i="2"/>
  <c r="U4683" i="2"/>
  <c r="V4683" i="2"/>
  <c r="W4683" i="2"/>
  <c r="U4684" i="2"/>
  <c r="V4684" i="2"/>
  <c r="W4684" i="2"/>
  <c r="U4685" i="2"/>
  <c r="V4685" i="2"/>
  <c r="W4685" i="2"/>
  <c r="U4686" i="2"/>
  <c r="V4686" i="2"/>
  <c r="W4686" i="2"/>
  <c r="U4687" i="2"/>
  <c r="V4687" i="2"/>
  <c r="W4687" i="2"/>
  <c r="U4688" i="2"/>
  <c r="V4688" i="2"/>
  <c r="W4688" i="2"/>
  <c r="U4689" i="2"/>
  <c r="V4689" i="2"/>
  <c r="W4689" i="2"/>
  <c r="U4691" i="2"/>
  <c r="V4691" i="2"/>
  <c r="W4691" i="2"/>
  <c r="U4692" i="2"/>
  <c r="V4692" i="2"/>
  <c r="W4692" i="2"/>
  <c r="U4693" i="2"/>
  <c r="V4693" i="2"/>
  <c r="W4693" i="2"/>
  <c r="U4694" i="2"/>
  <c r="V4694" i="2"/>
  <c r="W4694" i="2"/>
  <c r="U4695" i="2"/>
  <c r="V4695" i="2"/>
  <c r="W4695" i="2"/>
  <c r="U4696" i="2"/>
  <c r="V4696" i="2"/>
  <c r="W4696" i="2"/>
  <c r="U4697" i="2"/>
  <c r="V4697" i="2"/>
  <c r="W4697" i="2"/>
  <c r="U4698" i="2"/>
  <c r="V4698" i="2"/>
  <c r="W4698" i="2"/>
  <c r="U4699" i="2"/>
  <c r="V4699" i="2"/>
  <c r="W4699" i="2"/>
  <c r="U4700" i="2"/>
  <c r="V4700" i="2"/>
  <c r="W4700" i="2"/>
  <c r="U4701" i="2"/>
  <c r="V4701" i="2"/>
  <c r="W4701" i="2"/>
  <c r="U4702" i="2"/>
  <c r="V4702" i="2"/>
  <c r="W4702" i="2"/>
  <c r="U4703" i="2"/>
  <c r="V4703" i="2"/>
  <c r="W4703" i="2"/>
  <c r="U4704" i="2"/>
  <c r="V4704" i="2"/>
  <c r="W4704" i="2"/>
  <c r="U4705" i="2"/>
  <c r="V4705" i="2"/>
  <c r="W4705" i="2"/>
  <c r="U4706" i="2"/>
  <c r="V4706" i="2"/>
  <c r="W4706" i="2"/>
  <c r="U4707" i="2"/>
  <c r="V4707" i="2"/>
  <c r="W4707" i="2"/>
  <c r="U4708" i="2"/>
  <c r="V4708" i="2"/>
  <c r="W4708" i="2"/>
  <c r="U4709" i="2"/>
  <c r="V4709" i="2"/>
  <c r="W4709" i="2"/>
  <c r="U4710" i="2"/>
  <c r="V4710" i="2"/>
  <c r="W4710" i="2"/>
  <c r="U4711" i="2"/>
  <c r="V4711" i="2"/>
  <c r="W4711" i="2"/>
  <c r="U4712" i="2"/>
  <c r="V4712" i="2"/>
  <c r="W4712" i="2"/>
  <c r="U4713" i="2"/>
  <c r="V4713" i="2"/>
  <c r="W4713" i="2"/>
  <c r="U4714" i="2"/>
  <c r="V4714" i="2"/>
  <c r="W4714" i="2"/>
  <c r="U4715" i="2"/>
  <c r="V4715" i="2"/>
  <c r="W4715" i="2"/>
  <c r="U4716" i="2"/>
  <c r="V4716" i="2"/>
  <c r="W4716" i="2"/>
  <c r="U4717" i="2"/>
  <c r="V4717" i="2"/>
  <c r="W4717" i="2"/>
  <c r="U4718" i="2"/>
  <c r="V4718" i="2"/>
  <c r="W4718" i="2"/>
  <c r="U4719" i="2"/>
  <c r="V4719" i="2"/>
  <c r="W4719" i="2"/>
  <c r="U4720" i="2"/>
  <c r="V4720" i="2"/>
  <c r="W4720" i="2"/>
  <c r="U4721" i="2"/>
  <c r="V4721" i="2"/>
  <c r="W4721" i="2"/>
  <c r="U4723" i="2"/>
  <c r="V4723" i="2"/>
  <c r="W4723" i="2"/>
  <c r="U4724" i="2"/>
  <c r="V4724" i="2"/>
  <c r="W4724" i="2"/>
  <c r="U4725" i="2"/>
  <c r="V4725" i="2"/>
  <c r="W4725" i="2"/>
  <c r="U4726" i="2"/>
  <c r="V4726" i="2"/>
  <c r="W4726" i="2"/>
  <c r="U4727" i="2"/>
  <c r="V4727" i="2"/>
  <c r="W4727" i="2"/>
  <c r="U4728" i="2"/>
  <c r="V4728" i="2"/>
  <c r="W4728" i="2"/>
  <c r="U4729" i="2"/>
  <c r="V4729" i="2"/>
  <c r="W4729" i="2"/>
  <c r="U4730" i="2"/>
  <c r="V4730" i="2"/>
  <c r="W4730" i="2"/>
  <c r="U4731" i="2"/>
  <c r="V4731" i="2"/>
  <c r="W4731" i="2"/>
  <c r="U4732" i="2"/>
  <c r="V4732" i="2"/>
  <c r="W4732" i="2"/>
  <c r="U4733" i="2"/>
  <c r="V4733" i="2"/>
  <c r="W4733" i="2"/>
  <c r="U4734" i="2"/>
  <c r="V4734" i="2"/>
  <c r="W4734" i="2"/>
  <c r="U4735" i="2"/>
  <c r="V4735" i="2"/>
  <c r="W4735" i="2"/>
  <c r="U4736" i="2"/>
  <c r="V4736" i="2"/>
  <c r="W4736" i="2"/>
  <c r="U4737" i="2"/>
  <c r="V4737" i="2"/>
  <c r="W4737" i="2"/>
  <c r="U4738" i="2"/>
  <c r="V4738" i="2"/>
  <c r="W4738" i="2"/>
  <c r="U4739" i="2"/>
  <c r="V4739" i="2"/>
  <c r="W4739" i="2"/>
  <c r="U4740" i="2"/>
  <c r="V4740" i="2"/>
  <c r="W4740" i="2"/>
  <c r="U4741" i="2"/>
  <c r="V4741" i="2"/>
  <c r="W4741" i="2"/>
  <c r="U4742" i="2"/>
  <c r="V4742" i="2"/>
  <c r="W4742" i="2"/>
  <c r="U4743" i="2"/>
  <c r="V4743" i="2"/>
  <c r="W4743" i="2"/>
  <c r="U4745" i="2"/>
  <c r="V4745" i="2"/>
  <c r="W4745" i="2"/>
  <c r="U4746" i="2"/>
  <c r="V4746" i="2"/>
  <c r="W4746" i="2"/>
  <c r="U4747" i="2"/>
  <c r="V4747" i="2"/>
  <c r="W4747" i="2"/>
  <c r="U4748" i="2"/>
  <c r="V4748" i="2"/>
  <c r="W4748" i="2"/>
  <c r="U4749" i="2"/>
  <c r="V4749" i="2"/>
  <c r="W4749" i="2"/>
  <c r="U4751" i="2"/>
  <c r="V4751" i="2"/>
  <c r="W4751" i="2"/>
  <c r="U4752" i="2"/>
  <c r="V4752" i="2"/>
  <c r="W4752" i="2"/>
  <c r="U4753" i="2"/>
  <c r="V4753" i="2"/>
  <c r="W4753" i="2"/>
  <c r="U4754" i="2"/>
  <c r="V4754" i="2"/>
  <c r="W4754" i="2"/>
  <c r="U4755" i="2"/>
  <c r="V4755" i="2"/>
  <c r="W4755" i="2"/>
  <c r="U4756" i="2"/>
  <c r="V4756" i="2"/>
  <c r="W4756" i="2"/>
  <c r="U4757" i="2"/>
  <c r="V4757" i="2"/>
  <c r="W4757" i="2"/>
  <c r="U4758" i="2"/>
  <c r="V4758" i="2"/>
  <c r="W4758" i="2"/>
  <c r="U4759" i="2"/>
  <c r="V4759" i="2"/>
  <c r="W4759" i="2"/>
  <c r="U4760" i="2"/>
  <c r="V4760" i="2"/>
  <c r="W4760" i="2"/>
  <c r="U4762" i="2"/>
  <c r="V4762" i="2"/>
  <c r="W4762" i="2"/>
  <c r="U4763" i="2"/>
  <c r="V4763" i="2"/>
  <c r="W4763" i="2"/>
  <c r="U4764" i="2"/>
  <c r="V4764" i="2"/>
  <c r="W4764" i="2"/>
  <c r="U4765" i="2"/>
  <c r="V4765" i="2"/>
  <c r="W4765" i="2"/>
  <c r="U4766" i="2"/>
  <c r="V4766" i="2"/>
  <c r="W4766" i="2"/>
  <c r="U4767" i="2"/>
  <c r="V4767" i="2"/>
  <c r="W4767" i="2"/>
  <c r="U4768" i="2"/>
  <c r="V4768" i="2"/>
  <c r="W4768" i="2"/>
  <c r="U4769" i="2"/>
  <c r="V4769" i="2"/>
  <c r="W4769" i="2"/>
  <c r="U4770" i="2"/>
  <c r="V4770" i="2"/>
  <c r="W4770" i="2"/>
  <c r="U4771" i="2"/>
  <c r="V4771" i="2"/>
  <c r="W4771" i="2"/>
  <c r="U4772" i="2"/>
  <c r="V4772" i="2"/>
  <c r="W4772" i="2"/>
  <c r="U4773" i="2"/>
  <c r="V4773" i="2"/>
  <c r="W4773" i="2"/>
  <c r="U4774" i="2"/>
  <c r="V4774" i="2"/>
  <c r="W4774" i="2"/>
  <c r="U4775" i="2"/>
  <c r="V4775" i="2"/>
  <c r="W4775" i="2"/>
  <c r="U4776" i="2"/>
  <c r="V4776" i="2"/>
  <c r="W4776" i="2"/>
  <c r="U4777" i="2"/>
  <c r="V4777" i="2"/>
  <c r="W4777" i="2"/>
  <c r="U4778" i="2"/>
  <c r="V4778" i="2"/>
  <c r="W4778" i="2"/>
  <c r="U4779" i="2"/>
  <c r="V4779" i="2"/>
  <c r="W4779" i="2"/>
  <c r="U4780" i="2"/>
  <c r="V4780" i="2"/>
  <c r="W4780" i="2"/>
  <c r="U4781" i="2"/>
  <c r="V4781" i="2"/>
  <c r="W4781" i="2"/>
  <c r="U4782" i="2"/>
  <c r="V4782" i="2"/>
  <c r="W4782" i="2"/>
  <c r="U4783" i="2"/>
  <c r="V4783" i="2"/>
  <c r="W4783" i="2"/>
  <c r="U4784" i="2"/>
  <c r="V4784" i="2"/>
  <c r="W4784" i="2"/>
  <c r="U4785" i="2"/>
  <c r="V4785" i="2"/>
  <c r="W4785" i="2"/>
  <c r="U4786" i="2"/>
  <c r="V4786" i="2"/>
  <c r="W4786" i="2"/>
  <c r="U4967" i="2"/>
  <c r="V4967" i="2"/>
  <c r="W4967" i="2"/>
  <c r="U4990" i="2"/>
  <c r="V4990" i="2"/>
  <c r="W4990" i="2"/>
  <c r="U5013" i="2"/>
  <c r="V5013" i="2"/>
  <c r="W5013" i="2"/>
  <c r="U1048" i="2"/>
  <c r="V1048" i="2"/>
  <c r="W1048" i="2"/>
  <c r="U1088" i="2"/>
  <c r="V1088" i="2"/>
  <c r="W1088" i="2"/>
  <c r="U1123" i="2"/>
  <c r="V1123" i="2"/>
  <c r="W1123" i="2"/>
  <c r="U1147" i="2"/>
  <c r="V1147" i="2"/>
  <c r="W1147" i="2"/>
  <c r="U1150" i="2"/>
  <c r="V1150" i="2"/>
  <c r="W1150" i="2"/>
  <c r="U1270" i="2"/>
  <c r="V1270" i="2"/>
  <c r="W1270" i="2"/>
  <c r="U1296" i="2"/>
  <c r="V1296" i="2"/>
  <c r="W1296" i="2"/>
  <c r="U1337" i="2"/>
  <c r="V1337" i="2"/>
  <c r="W1337" i="2"/>
  <c r="U1510" i="2"/>
  <c r="V1510" i="2"/>
  <c r="W1510" i="2"/>
  <c r="U1529" i="2"/>
  <c r="V1529" i="2"/>
  <c r="W1529" i="2"/>
  <c r="U1564" i="2"/>
  <c r="V1564" i="2"/>
  <c r="W1564" i="2"/>
  <c r="U2000" i="2"/>
  <c r="V2000" i="2"/>
  <c r="W2000" i="2"/>
  <c r="U2002" i="2"/>
  <c r="V2002" i="2"/>
  <c r="W2002" i="2"/>
  <c r="U2013" i="2"/>
  <c r="V2013" i="2"/>
  <c r="W2013" i="2"/>
  <c r="U2024" i="2"/>
  <c r="V2024" i="2"/>
  <c r="W2024" i="2"/>
  <c r="U2037" i="2"/>
  <c r="V2037" i="2"/>
  <c r="W2037" i="2"/>
  <c r="U2039" i="2"/>
  <c r="V2039" i="2"/>
  <c r="W2039" i="2"/>
  <c r="U2044" i="2"/>
  <c r="V2044" i="2"/>
  <c r="W2044" i="2"/>
  <c r="U2100" i="2"/>
  <c r="V2100" i="2"/>
  <c r="W2100" i="2"/>
  <c r="U2102" i="2"/>
  <c r="V2102" i="2"/>
  <c r="W2102" i="2"/>
  <c r="U2107" i="2"/>
  <c r="V2107" i="2"/>
  <c r="W2107" i="2"/>
  <c r="U2120" i="2"/>
  <c r="V2120" i="2"/>
  <c r="W2120" i="2"/>
  <c r="U2123" i="2"/>
  <c r="V2123" i="2"/>
  <c r="W2123" i="2"/>
  <c r="U2126" i="2"/>
  <c r="V2126" i="2"/>
  <c r="W2126" i="2"/>
  <c r="U2140" i="2"/>
  <c r="V2140" i="2"/>
  <c r="W2140" i="2"/>
  <c r="U2143" i="2"/>
  <c r="V2143" i="2"/>
  <c r="W2143" i="2"/>
  <c r="U2146" i="2"/>
  <c r="V2146" i="2"/>
  <c r="W2146" i="2"/>
  <c r="U2155" i="2"/>
  <c r="V2155" i="2"/>
  <c r="W2155" i="2"/>
  <c r="U2158" i="2"/>
  <c r="V2158" i="2"/>
  <c r="W2158" i="2"/>
  <c r="U2161" i="2"/>
  <c r="V2161" i="2"/>
  <c r="W2161" i="2"/>
  <c r="U2166" i="2"/>
  <c r="V2166" i="2"/>
  <c r="W2166" i="2"/>
  <c r="U2170" i="2"/>
  <c r="V2170" i="2"/>
  <c r="W2170" i="2"/>
  <c r="U2180" i="2"/>
  <c r="V2180" i="2"/>
  <c r="W2180" i="2"/>
  <c r="U2185" i="2"/>
  <c r="V2185" i="2"/>
  <c r="W2185" i="2"/>
  <c r="U2188" i="2"/>
  <c r="V2188" i="2"/>
  <c r="W2188" i="2"/>
  <c r="U2706" i="2"/>
  <c r="V2706" i="2"/>
  <c r="W2706" i="2"/>
  <c r="U2766" i="2"/>
  <c r="V2766" i="2"/>
  <c r="W2766" i="2"/>
  <c r="U2768" i="2"/>
  <c r="V2768" i="2"/>
  <c r="W2768" i="2"/>
  <c r="U2776" i="2"/>
  <c r="V2776" i="2"/>
  <c r="W2776" i="2"/>
  <c r="U2786" i="2"/>
  <c r="V2786" i="2"/>
  <c r="W2786" i="2"/>
  <c r="U2788" i="2"/>
  <c r="V2788" i="2"/>
  <c r="W2788" i="2"/>
  <c r="U2790" i="2"/>
  <c r="V2790" i="2"/>
  <c r="W2790" i="2"/>
  <c r="U2805" i="2"/>
  <c r="V2805" i="2"/>
  <c r="W2805" i="2"/>
  <c r="U2850" i="2"/>
  <c r="V2850" i="2"/>
  <c r="W2850" i="2"/>
  <c r="U3447" i="2"/>
  <c r="V3447" i="2"/>
  <c r="W3447" i="2"/>
  <c r="U4084" i="2"/>
  <c r="V4084" i="2"/>
  <c r="W4084" i="2"/>
  <c r="U4761" i="2"/>
  <c r="V4761" i="2"/>
  <c r="W4761" i="2"/>
  <c r="U4939" i="2"/>
  <c r="V4939" i="2"/>
  <c r="W4939" i="2"/>
  <c r="U1030" i="2"/>
  <c r="V1030" i="2"/>
  <c r="W1030" i="2"/>
  <c r="U1059" i="2"/>
  <c r="V1059" i="2"/>
  <c r="W1059" i="2"/>
  <c r="U1149" i="2"/>
  <c r="V1149" i="2"/>
  <c r="W1149" i="2"/>
  <c r="U1255" i="2"/>
  <c r="V1255" i="2"/>
  <c r="W1255" i="2"/>
  <c r="U1271" i="2"/>
  <c r="V1271" i="2"/>
  <c r="W1271" i="2"/>
  <c r="U1272" i="2"/>
  <c r="V1272" i="2"/>
  <c r="W1272" i="2"/>
  <c r="U1280" i="2"/>
  <c r="V1280" i="2"/>
  <c r="W1280" i="2"/>
  <c r="U1284" i="2"/>
  <c r="V1284" i="2"/>
  <c r="W1284" i="2"/>
  <c r="U1294" i="2"/>
  <c r="V1294" i="2"/>
  <c r="W1294" i="2"/>
  <c r="U1314" i="2"/>
  <c r="V1314" i="2"/>
  <c r="W1314" i="2"/>
  <c r="U1376" i="2"/>
  <c r="V1376" i="2"/>
  <c r="W1376" i="2"/>
  <c r="U1565" i="2"/>
  <c r="V1565" i="2"/>
  <c r="W1565" i="2"/>
  <c r="U2011" i="2"/>
  <c r="V2011" i="2"/>
  <c r="W2011" i="2"/>
  <c r="U2022" i="2"/>
  <c r="V2022" i="2"/>
  <c r="W2022" i="2"/>
  <c r="U2027" i="2"/>
  <c r="V2027" i="2"/>
  <c r="W2027" i="2"/>
  <c r="U2029" i="2"/>
  <c r="V2029" i="2"/>
  <c r="W2029" i="2"/>
  <c r="U2043" i="2"/>
  <c r="V2043" i="2"/>
  <c r="W2043" i="2"/>
  <c r="U2062" i="2"/>
  <c r="V2062" i="2"/>
  <c r="W2062" i="2"/>
  <c r="U2068" i="2"/>
  <c r="V2068" i="2"/>
  <c r="W2068" i="2"/>
  <c r="U2073" i="2"/>
  <c r="V2073" i="2"/>
  <c r="W2073" i="2"/>
  <c r="U2110" i="2"/>
  <c r="V2110" i="2"/>
  <c r="W2110" i="2"/>
  <c r="U2129" i="2"/>
  <c r="V2129" i="2"/>
  <c r="W2129" i="2"/>
  <c r="U2132" i="2"/>
  <c r="V2132" i="2"/>
  <c r="W2132" i="2"/>
  <c r="U2183" i="2"/>
  <c r="V2183" i="2"/>
  <c r="W2183" i="2"/>
  <c r="U2195" i="2"/>
  <c r="V2195" i="2"/>
  <c r="W2195" i="2"/>
  <c r="U2198" i="2"/>
  <c r="V2198" i="2"/>
  <c r="W2198" i="2"/>
  <c r="U2201" i="2"/>
  <c r="V2201" i="2"/>
  <c r="W2201" i="2"/>
  <c r="U2842" i="2"/>
  <c r="V2842" i="2"/>
  <c r="W2842" i="2"/>
  <c r="U3461" i="2"/>
  <c r="V3461" i="2"/>
  <c r="W3461" i="2"/>
  <c r="U3487" i="2"/>
  <c r="V3487" i="2"/>
  <c r="W3487" i="2"/>
  <c r="U4690" i="2"/>
  <c r="V4690" i="2"/>
  <c r="W4690" i="2"/>
  <c r="U1603" i="2"/>
  <c r="V1603" i="2"/>
  <c r="W1603" i="2"/>
  <c r="U1606" i="2"/>
  <c r="V1606" i="2"/>
  <c r="W1606" i="2"/>
  <c r="U2041" i="2"/>
  <c r="V2041" i="2"/>
  <c r="W2041" i="2"/>
  <c r="U2046" i="2"/>
  <c r="V2046" i="2"/>
  <c r="W2046" i="2"/>
  <c r="U2076" i="2"/>
  <c r="V2076" i="2"/>
  <c r="W2076" i="2"/>
  <c r="U2105" i="2"/>
  <c r="V2105" i="2"/>
  <c r="W2105" i="2"/>
  <c r="U2134" i="2"/>
  <c r="V2134" i="2"/>
  <c r="W2134" i="2"/>
  <c r="U2137" i="2"/>
  <c r="V2137" i="2"/>
  <c r="W2137" i="2"/>
  <c r="U2149" i="2"/>
  <c r="V2149" i="2"/>
  <c r="W2149" i="2"/>
  <c r="U2152" i="2"/>
  <c r="V2152" i="2"/>
  <c r="W2152" i="2"/>
  <c r="U2164" i="2"/>
  <c r="V2164" i="2"/>
  <c r="W2164" i="2"/>
  <c r="U2172" i="2"/>
  <c r="V2172" i="2"/>
  <c r="W2172" i="2"/>
  <c r="U2192" i="2"/>
  <c r="V2192" i="2"/>
  <c r="W2192" i="2"/>
  <c r="U2656" i="2"/>
  <c r="V2656" i="2"/>
  <c r="W2656" i="2"/>
  <c r="U2714" i="2"/>
  <c r="V2714" i="2"/>
  <c r="W2714" i="2"/>
  <c r="U2754" i="2"/>
  <c r="V2754" i="2"/>
  <c r="W2754" i="2"/>
  <c r="U2789" i="2"/>
  <c r="V2789" i="2"/>
  <c r="W2789" i="2"/>
  <c r="U2830" i="2"/>
  <c r="V2830" i="2"/>
  <c r="W2830" i="2"/>
  <c r="U2832" i="2"/>
  <c r="V2832" i="2"/>
  <c r="W2832" i="2"/>
  <c r="U2838" i="2"/>
  <c r="V2838" i="2"/>
  <c r="W2838" i="2"/>
  <c r="U2861" i="2"/>
  <c r="V2861" i="2"/>
  <c r="W2861" i="2"/>
  <c r="U2863" i="2"/>
  <c r="V2863" i="2"/>
  <c r="W2863" i="2"/>
  <c r="U3479" i="2"/>
  <c r="V3479" i="2"/>
  <c r="W3479" i="2"/>
  <c r="U3483" i="2"/>
  <c r="V3483" i="2"/>
  <c r="W3483" i="2"/>
  <c r="U3491" i="2"/>
  <c r="V3491" i="2"/>
  <c r="W3491" i="2"/>
  <c r="U2211" i="2"/>
  <c r="V2211" i="2"/>
  <c r="W2211" i="2"/>
  <c r="U2212" i="2"/>
  <c r="V2212" i="2"/>
  <c r="W2212" i="2"/>
  <c r="U2213" i="2"/>
  <c r="V2213" i="2"/>
  <c r="W2213" i="2"/>
  <c r="U2214" i="2"/>
  <c r="V2214" i="2"/>
  <c r="W2214" i="2"/>
  <c r="U2215" i="2"/>
  <c r="V2215" i="2"/>
  <c r="W2215" i="2"/>
  <c r="U2216" i="2"/>
  <c r="V2216" i="2"/>
  <c r="W2216" i="2"/>
  <c r="U2217" i="2"/>
  <c r="V2217" i="2"/>
  <c r="W2217" i="2"/>
  <c r="U2218" i="2"/>
  <c r="V2218" i="2"/>
  <c r="W2218" i="2"/>
  <c r="U2219" i="2"/>
  <c r="V2219" i="2"/>
  <c r="W2219" i="2"/>
  <c r="U2220" i="2"/>
  <c r="V2220" i="2"/>
  <c r="W2220" i="2"/>
  <c r="U2221" i="2"/>
  <c r="V2221" i="2"/>
  <c r="W2221" i="2"/>
  <c r="U2222" i="2"/>
  <c r="V2222" i="2"/>
  <c r="W2222" i="2"/>
  <c r="U2223" i="2"/>
  <c r="V2223" i="2"/>
  <c r="W2223" i="2"/>
  <c r="U2224" i="2"/>
  <c r="V2224" i="2"/>
  <c r="W2224" i="2"/>
  <c r="U2225" i="2"/>
  <c r="V2225" i="2"/>
  <c r="W2225" i="2"/>
  <c r="U2226" i="2"/>
  <c r="V2226" i="2"/>
  <c r="W2226" i="2"/>
  <c r="U2227" i="2"/>
  <c r="V2227" i="2"/>
  <c r="W2227" i="2"/>
  <c r="U2228" i="2"/>
  <c r="V2228" i="2"/>
  <c r="W2228" i="2"/>
  <c r="U2229" i="2"/>
  <c r="V2229" i="2"/>
  <c r="W2229" i="2"/>
  <c r="U2230" i="2"/>
  <c r="V2230" i="2"/>
  <c r="W2230" i="2"/>
  <c r="U2231" i="2"/>
  <c r="V2231" i="2"/>
  <c r="W2231" i="2"/>
  <c r="U2232" i="2"/>
  <c r="V2232" i="2"/>
  <c r="W2232" i="2"/>
  <c r="U2233" i="2"/>
  <c r="V2233" i="2"/>
  <c r="W2233" i="2"/>
  <c r="U2234" i="2"/>
  <c r="V2234" i="2"/>
  <c r="W2234" i="2"/>
  <c r="U2586" i="2"/>
  <c r="V2586" i="2"/>
  <c r="W2586" i="2"/>
  <c r="U2587" i="2"/>
  <c r="V2587" i="2"/>
  <c r="W2587" i="2"/>
  <c r="U2589" i="2"/>
  <c r="V2589" i="2"/>
  <c r="W2589" i="2"/>
  <c r="U2590" i="2"/>
  <c r="V2590" i="2"/>
  <c r="W2590" i="2"/>
  <c r="U2591" i="2"/>
  <c r="V2591" i="2"/>
  <c r="W2591" i="2"/>
  <c r="U2594" i="2"/>
  <c r="V2594" i="2"/>
  <c r="W2594" i="2"/>
  <c r="U2595" i="2"/>
  <c r="V2595" i="2"/>
  <c r="W2595" i="2"/>
  <c r="U2596" i="2"/>
  <c r="V2596" i="2"/>
  <c r="W2596" i="2"/>
  <c r="U2597" i="2"/>
  <c r="V2597" i="2"/>
  <c r="W2597" i="2"/>
  <c r="U2598" i="2"/>
  <c r="V2598" i="2"/>
  <c r="W2598" i="2"/>
  <c r="U2600" i="2"/>
  <c r="V2600" i="2"/>
  <c r="W2600" i="2"/>
  <c r="U2601" i="2"/>
  <c r="V2601" i="2"/>
  <c r="W2601" i="2"/>
  <c r="U2602" i="2"/>
  <c r="V2602" i="2"/>
  <c r="W2602" i="2"/>
  <c r="U2603" i="2"/>
  <c r="V2603" i="2"/>
  <c r="W2603" i="2"/>
  <c r="U2604" i="2"/>
  <c r="V2604" i="2"/>
  <c r="W2604" i="2"/>
  <c r="U2605" i="2"/>
  <c r="V2605" i="2"/>
  <c r="W2605" i="2"/>
  <c r="U2608" i="2"/>
  <c r="V2608" i="2"/>
  <c r="W2608" i="2"/>
  <c r="U2609" i="2"/>
  <c r="V2609" i="2"/>
  <c r="W2609" i="2"/>
  <c r="U2610" i="2"/>
  <c r="V2610" i="2"/>
  <c r="W2610" i="2"/>
  <c r="U2611" i="2"/>
  <c r="V2611" i="2"/>
  <c r="W2611" i="2"/>
  <c r="U2612" i="2"/>
  <c r="V2612" i="2"/>
  <c r="W2612" i="2"/>
  <c r="U2613" i="2"/>
  <c r="V2613" i="2"/>
  <c r="W2613" i="2"/>
  <c r="U2614" i="2"/>
  <c r="V2614" i="2"/>
  <c r="W2614" i="2"/>
  <c r="U2616" i="2"/>
  <c r="V2616" i="2"/>
  <c r="W2616" i="2"/>
  <c r="U2617" i="2"/>
  <c r="V2617" i="2"/>
  <c r="W2617" i="2"/>
  <c r="U2619" i="2"/>
  <c r="V2619" i="2"/>
  <c r="W2619" i="2"/>
  <c r="U2620" i="2"/>
  <c r="V2620" i="2"/>
  <c r="W2620" i="2"/>
  <c r="U2621" i="2"/>
  <c r="V2621" i="2"/>
  <c r="W2621" i="2"/>
  <c r="U2622" i="2"/>
  <c r="V2622" i="2"/>
  <c r="W2622" i="2"/>
  <c r="U2626" i="2"/>
  <c r="V2626" i="2"/>
  <c r="W2626" i="2"/>
  <c r="U2633" i="2"/>
  <c r="V2633" i="2"/>
  <c r="W2633" i="2"/>
  <c r="U2682" i="2"/>
  <c r="V2682" i="2"/>
  <c r="W2682" i="2"/>
  <c r="U2712" i="2"/>
  <c r="V2712" i="2"/>
  <c r="W2712" i="2"/>
  <c r="U2736" i="2"/>
  <c r="V2736" i="2"/>
  <c r="W2736" i="2"/>
  <c r="U2831" i="2"/>
  <c r="V2831" i="2"/>
  <c r="W2831" i="2"/>
  <c r="U3465" i="2"/>
  <c r="V3465" i="2"/>
  <c r="W3465" i="2"/>
  <c r="U4089" i="2"/>
  <c r="V4089" i="2"/>
  <c r="W4089" i="2"/>
  <c r="U4650" i="2"/>
  <c r="V4650" i="2"/>
  <c r="W4650" i="2"/>
  <c r="U4865" i="2"/>
  <c r="V4865" i="2"/>
  <c r="W4865" i="2"/>
  <c r="U3453" i="2"/>
  <c r="V3453" i="2"/>
  <c r="W3453" i="2"/>
  <c r="U4081" i="2"/>
  <c r="V4081" i="2"/>
  <c r="W4081" i="2"/>
  <c r="U4663" i="2"/>
  <c r="V4663" i="2"/>
  <c r="W4663" i="2"/>
  <c r="U4011" i="2"/>
  <c r="V4011" i="2"/>
  <c r="W4011" i="2"/>
  <c r="U4012" i="2"/>
  <c r="V4012" i="2"/>
  <c r="W4012" i="2"/>
  <c r="U4013" i="2"/>
  <c r="V4013" i="2"/>
  <c r="W4013" i="2"/>
  <c r="U4014" i="2"/>
  <c r="V4014" i="2"/>
  <c r="W4014" i="2"/>
  <c r="U4015" i="2"/>
  <c r="V4015" i="2"/>
  <c r="W4015" i="2"/>
  <c r="U4016" i="2"/>
  <c r="V4016" i="2"/>
  <c r="W4016" i="2"/>
  <c r="U4017" i="2"/>
  <c r="V4017" i="2"/>
  <c r="W4017" i="2"/>
  <c r="U4018" i="2"/>
  <c r="V4018" i="2"/>
  <c r="W4018" i="2"/>
  <c r="U4019" i="2"/>
  <c r="V4019" i="2"/>
  <c r="W4019" i="2"/>
  <c r="U4020" i="2"/>
  <c r="V4020" i="2"/>
  <c r="W4020" i="2"/>
  <c r="U4021" i="2"/>
  <c r="V4021" i="2"/>
  <c r="W4021" i="2"/>
  <c r="U4022" i="2"/>
  <c r="V4022" i="2"/>
  <c r="W4022" i="2"/>
  <c r="U4023" i="2"/>
  <c r="V4023" i="2"/>
  <c r="W4023" i="2"/>
  <c r="U4024" i="2"/>
  <c r="V4024" i="2"/>
  <c r="W4024" i="2"/>
  <c r="U4025" i="2"/>
  <c r="V4025" i="2"/>
  <c r="W4025" i="2"/>
  <c r="U4026" i="2"/>
  <c r="V4026" i="2"/>
  <c r="W4026" i="2"/>
  <c r="U4027" i="2"/>
  <c r="V4027" i="2"/>
  <c r="W4027" i="2"/>
  <c r="U4028" i="2"/>
  <c r="V4028" i="2"/>
  <c r="W4028" i="2"/>
  <c r="U4029" i="2"/>
  <c r="V4029" i="2"/>
  <c r="W4029" i="2"/>
  <c r="U4030" i="2"/>
  <c r="V4030" i="2"/>
  <c r="W4030" i="2"/>
  <c r="U4031" i="2"/>
  <c r="V4031" i="2"/>
  <c r="W4031" i="2"/>
  <c r="U4032" i="2"/>
  <c r="V4032" i="2"/>
  <c r="W4032" i="2"/>
  <c r="U4033" i="2"/>
  <c r="V4033" i="2"/>
  <c r="W4033" i="2"/>
  <c r="U4034" i="2"/>
  <c r="V4034" i="2"/>
  <c r="W4034" i="2"/>
  <c r="U4035" i="2"/>
  <c r="V4035" i="2"/>
  <c r="W4035" i="2"/>
  <c r="U4036" i="2"/>
  <c r="V4036" i="2"/>
  <c r="W4036" i="2"/>
  <c r="U4037" i="2"/>
  <c r="V4037" i="2"/>
  <c r="W4037" i="2"/>
  <c r="U4038" i="2"/>
  <c r="V4038" i="2"/>
  <c r="W4038" i="2"/>
  <c r="U4039" i="2"/>
  <c r="V4039" i="2"/>
  <c r="W4039" i="2"/>
  <c r="U4040" i="2"/>
  <c r="V4040" i="2"/>
  <c r="W4040" i="2"/>
  <c r="U4041" i="2"/>
  <c r="V4041" i="2"/>
  <c r="W4041" i="2"/>
  <c r="U4042" i="2"/>
  <c r="V4042" i="2"/>
  <c r="W4042" i="2"/>
  <c r="U4043" i="2"/>
  <c r="V4043" i="2"/>
  <c r="W4043" i="2"/>
  <c r="U4044" i="2"/>
  <c r="V4044" i="2"/>
  <c r="W4044" i="2"/>
  <c r="U4045" i="2"/>
  <c r="V4045" i="2"/>
  <c r="W4045" i="2"/>
  <c r="U4046" i="2"/>
  <c r="V4046" i="2"/>
  <c r="W4046" i="2"/>
  <c r="U4047" i="2"/>
  <c r="V4047" i="2"/>
  <c r="W4047" i="2"/>
  <c r="U4048" i="2"/>
  <c r="V4048" i="2"/>
  <c r="W4048" i="2"/>
  <c r="U4049" i="2"/>
  <c r="V4049" i="2"/>
  <c r="W4049" i="2"/>
  <c r="U4050" i="2"/>
  <c r="V4050" i="2"/>
  <c r="W4050" i="2"/>
  <c r="U4051" i="2"/>
  <c r="V4051" i="2"/>
  <c r="W4051" i="2"/>
  <c r="U4052" i="2"/>
  <c r="V4052" i="2"/>
  <c r="W4052" i="2"/>
  <c r="U4053" i="2"/>
  <c r="V4053" i="2"/>
  <c r="W4053" i="2"/>
  <c r="U4054" i="2"/>
  <c r="V4054" i="2"/>
  <c r="W4054" i="2"/>
  <c r="U4055" i="2"/>
  <c r="V4055" i="2"/>
  <c r="W4055" i="2"/>
  <c r="U4056" i="2"/>
  <c r="V4056" i="2"/>
  <c r="W4056" i="2"/>
  <c r="U4057" i="2"/>
  <c r="V4057" i="2"/>
  <c r="W4057" i="2"/>
  <c r="U4058" i="2"/>
  <c r="V4058" i="2"/>
  <c r="W4058" i="2"/>
  <c r="U4059" i="2"/>
  <c r="V4059" i="2"/>
  <c r="W4059" i="2"/>
  <c r="U4060" i="2"/>
  <c r="V4060" i="2"/>
  <c r="W4060" i="2"/>
  <c r="U4061" i="2"/>
  <c r="V4061" i="2"/>
  <c r="W4061" i="2"/>
  <c r="U4062" i="2"/>
  <c r="V4062" i="2"/>
  <c r="W4062" i="2"/>
  <c r="U4063" i="2"/>
  <c r="V4063" i="2"/>
  <c r="W4063" i="2"/>
  <c r="U4064" i="2"/>
  <c r="V4064" i="2"/>
  <c r="W4064" i="2"/>
  <c r="U4065" i="2"/>
  <c r="V4065" i="2"/>
  <c r="W4065" i="2"/>
  <c r="U4066" i="2"/>
  <c r="V4066" i="2"/>
  <c r="W4066" i="2"/>
  <c r="U4067" i="2"/>
  <c r="V4067" i="2"/>
  <c r="W4067" i="2"/>
  <c r="U4068" i="2"/>
  <c r="V4068" i="2"/>
  <c r="W4068" i="2"/>
  <c r="U4069" i="2"/>
  <c r="V4069" i="2"/>
  <c r="W4069" i="2"/>
  <c r="U4070" i="2"/>
  <c r="V4070" i="2"/>
  <c r="W4070" i="2"/>
  <c r="U4071" i="2"/>
  <c r="V4071" i="2"/>
  <c r="W4071" i="2"/>
  <c r="U4072" i="2"/>
  <c r="V4072" i="2"/>
  <c r="W4072" i="2"/>
  <c r="U4073" i="2"/>
  <c r="V4073" i="2"/>
  <c r="W4073" i="2"/>
  <c r="U4074" i="2"/>
  <c r="V4074" i="2"/>
  <c r="W4074" i="2"/>
  <c r="U4075" i="2"/>
  <c r="V4075" i="2"/>
  <c r="W4075" i="2"/>
  <c r="U4076" i="2"/>
  <c r="V4076" i="2"/>
  <c r="W4076" i="2"/>
  <c r="U4090" i="2"/>
  <c r="V4090" i="2"/>
  <c r="W4090" i="2"/>
  <c r="U4106" i="2"/>
  <c r="V4106" i="2"/>
  <c r="W4106" i="2"/>
  <c r="U4624" i="2"/>
  <c r="V4624" i="2"/>
  <c r="W4624" i="2"/>
  <c r="U4750" i="2"/>
  <c r="V4750" i="2"/>
  <c r="W4750" i="2"/>
  <c r="U4932" i="2"/>
  <c r="V4932" i="2"/>
  <c r="W4932" i="2"/>
  <c r="U1259" i="2"/>
  <c r="V1259" i="2"/>
  <c r="W1259" i="2"/>
  <c r="U1261" i="2"/>
  <c r="V1261" i="2"/>
  <c r="W1261" i="2"/>
  <c r="U1263" i="2"/>
  <c r="V1263" i="2"/>
  <c r="W1263" i="2"/>
  <c r="U1267" i="2"/>
  <c r="V1267" i="2"/>
  <c r="W1267" i="2"/>
  <c r="U1287" i="2"/>
  <c r="V1287" i="2"/>
  <c r="W1287" i="2"/>
  <c r="U1288" i="2"/>
  <c r="V1288" i="2"/>
  <c r="W1288" i="2"/>
  <c r="U1290" i="2"/>
  <c r="V1290" i="2"/>
  <c r="W1290" i="2"/>
  <c r="U1305" i="2"/>
  <c r="V1305" i="2"/>
  <c r="W1305" i="2"/>
  <c r="U1307" i="2"/>
  <c r="V1307" i="2"/>
  <c r="W1307" i="2"/>
  <c r="U1309" i="2"/>
  <c r="V1309" i="2"/>
  <c r="W1309" i="2"/>
  <c r="U1313" i="2"/>
  <c r="V1313" i="2"/>
  <c r="W1313" i="2"/>
  <c r="U1315" i="2"/>
  <c r="V1315" i="2"/>
  <c r="W1315" i="2"/>
  <c r="U1316" i="2"/>
  <c r="V1316" i="2"/>
  <c r="W1316" i="2"/>
  <c r="U1318" i="2"/>
  <c r="V1318" i="2"/>
  <c r="W1318" i="2"/>
  <c r="U1319" i="2"/>
  <c r="V1319" i="2"/>
  <c r="W1319" i="2"/>
  <c r="U1324" i="2"/>
  <c r="V1324" i="2"/>
  <c r="W1324" i="2"/>
  <c r="U1326" i="2"/>
  <c r="V1326" i="2"/>
  <c r="W1326" i="2"/>
  <c r="U1328" i="2"/>
  <c r="V1328" i="2"/>
  <c r="W1328" i="2"/>
  <c r="U1334" i="2"/>
  <c r="V1334" i="2"/>
  <c r="W1334" i="2"/>
  <c r="U1336" i="2"/>
  <c r="V1336" i="2"/>
  <c r="W1336" i="2"/>
  <c r="U1342" i="2"/>
  <c r="V1342" i="2"/>
  <c r="W1342" i="2"/>
  <c r="U1344" i="2"/>
  <c r="V1344" i="2"/>
  <c r="W1344" i="2"/>
  <c r="U1346" i="2"/>
  <c r="V1346" i="2"/>
  <c r="W1346" i="2"/>
  <c r="U1347" i="2"/>
  <c r="V1347" i="2"/>
  <c r="W1347" i="2"/>
  <c r="U1355" i="2"/>
  <c r="V1355" i="2"/>
  <c r="W1355" i="2"/>
  <c r="U1359" i="2"/>
  <c r="V1359" i="2"/>
  <c r="W1359" i="2"/>
  <c r="U1363" i="2"/>
  <c r="V1363" i="2"/>
  <c r="W1363" i="2"/>
  <c r="U1366" i="2"/>
  <c r="V1366" i="2"/>
  <c r="W1366" i="2"/>
  <c r="U1371" i="2"/>
  <c r="V1371" i="2"/>
  <c r="W1371" i="2"/>
  <c r="U1373" i="2"/>
  <c r="V1373" i="2"/>
  <c r="W1373" i="2"/>
  <c r="U1378" i="2"/>
  <c r="V1378" i="2"/>
  <c r="W1378" i="2"/>
  <c r="U1380" i="2"/>
  <c r="V1380" i="2"/>
  <c r="W1380" i="2"/>
  <c r="U1386" i="2"/>
  <c r="V1386" i="2"/>
  <c r="W1386" i="2"/>
  <c r="U1388" i="2"/>
  <c r="V1388" i="2"/>
  <c r="W1388" i="2"/>
  <c r="U1399" i="2"/>
  <c r="V1399" i="2"/>
  <c r="W1399" i="2"/>
  <c r="U1403" i="2"/>
  <c r="V1403" i="2"/>
  <c r="W1403" i="2"/>
  <c r="U1407" i="2"/>
  <c r="V1407" i="2"/>
  <c r="W1407" i="2"/>
  <c r="U1408" i="2"/>
  <c r="V1408" i="2"/>
  <c r="W1408" i="2"/>
  <c r="U1418" i="2"/>
  <c r="V1418" i="2"/>
  <c r="W1418" i="2"/>
  <c r="U1425" i="2"/>
  <c r="V1425" i="2"/>
  <c r="W1425" i="2"/>
  <c r="U1430" i="2"/>
  <c r="V1430" i="2"/>
  <c r="W1430" i="2"/>
  <c r="U1432" i="2"/>
  <c r="V1432" i="2"/>
  <c r="W1432" i="2"/>
  <c r="U1434" i="2"/>
  <c r="V1434" i="2"/>
  <c r="W1434" i="2"/>
  <c r="U1438" i="2"/>
  <c r="V1438" i="2"/>
  <c r="W1438" i="2"/>
  <c r="U1450" i="2"/>
  <c r="V1450" i="2"/>
  <c r="W1450" i="2"/>
  <c r="U1452" i="2"/>
  <c r="V1452" i="2"/>
  <c r="W1452" i="2"/>
  <c r="U1457" i="2"/>
  <c r="V1457" i="2"/>
  <c r="W1457" i="2"/>
  <c r="U1464" i="2"/>
  <c r="V1464" i="2"/>
  <c r="W1464" i="2"/>
  <c r="U1466" i="2"/>
  <c r="V1466" i="2"/>
  <c r="W1466" i="2"/>
  <c r="U1468" i="2"/>
  <c r="V1468" i="2"/>
  <c r="W1468" i="2"/>
  <c r="U1479" i="2"/>
  <c r="V1479" i="2"/>
  <c r="W1479" i="2"/>
  <c r="U1494" i="2"/>
  <c r="V1494" i="2"/>
  <c r="W1494" i="2"/>
  <c r="U1500" i="2"/>
  <c r="V1500" i="2"/>
  <c r="W1500" i="2"/>
  <c r="U1509" i="2"/>
  <c r="V1509" i="2"/>
  <c r="W1509" i="2"/>
  <c r="U1517" i="2"/>
  <c r="V1517" i="2"/>
  <c r="W1517" i="2"/>
  <c r="U1519" i="2"/>
  <c r="V1519" i="2"/>
  <c r="W1519" i="2"/>
  <c r="U1521" i="2"/>
  <c r="V1521" i="2"/>
  <c r="W1521" i="2"/>
  <c r="U1523" i="2"/>
  <c r="V1523" i="2"/>
  <c r="W1523" i="2"/>
  <c r="U1525" i="2"/>
  <c r="V1525" i="2"/>
  <c r="W1525" i="2"/>
  <c r="U1533" i="2"/>
  <c r="V1533" i="2"/>
  <c r="W1533" i="2"/>
  <c r="U1535" i="2"/>
  <c r="V1535" i="2"/>
  <c r="W1535" i="2"/>
  <c r="U1538" i="2"/>
  <c r="V1538" i="2"/>
  <c r="W1538" i="2"/>
  <c r="U1554" i="2"/>
  <c r="V1554" i="2"/>
  <c r="W1554" i="2"/>
  <c r="U1990" i="2"/>
  <c r="V1990" i="2"/>
  <c r="W1990" i="2"/>
  <c r="U1992" i="2"/>
  <c r="V1992" i="2"/>
  <c r="W1992" i="2"/>
  <c r="U2003" i="2"/>
  <c r="V2003" i="2"/>
  <c r="W2003" i="2"/>
  <c r="U2006" i="2"/>
  <c r="V2006" i="2"/>
  <c r="W2006" i="2"/>
  <c r="U2008" i="2"/>
  <c r="V2008" i="2"/>
  <c r="W2008" i="2"/>
  <c r="U2014" i="2"/>
  <c r="V2014" i="2"/>
  <c r="W2014" i="2"/>
  <c r="U2017" i="2"/>
  <c r="V2017" i="2"/>
  <c r="W2017" i="2"/>
  <c r="U2019" i="2"/>
  <c r="V2019" i="2"/>
  <c r="W2019" i="2"/>
  <c r="U2036" i="2"/>
  <c r="V2036" i="2"/>
  <c r="W2036" i="2"/>
  <c r="U2042" i="2"/>
  <c r="V2042" i="2"/>
  <c r="W2042" i="2"/>
  <c r="U2045" i="2"/>
  <c r="V2045" i="2"/>
  <c r="W2045" i="2"/>
  <c r="U2047" i="2"/>
  <c r="V2047" i="2"/>
  <c r="W2047" i="2"/>
  <c r="U2051" i="2"/>
  <c r="V2051" i="2"/>
  <c r="W2051" i="2"/>
  <c r="U2053" i="2"/>
  <c r="V2053" i="2"/>
  <c r="W2053" i="2"/>
  <c r="U2054" i="2"/>
  <c r="V2054" i="2"/>
  <c r="W2054" i="2"/>
  <c r="U2057" i="2"/>
  <c r="V2057" i="2"/>
  <c r="W2057" i="2"/>
  <c r="U2059" i="2"/>
  <c r="V2059" i="2"/>
  <c r="W2059" i="2"/>
  <c r="U2063" i="2"/>
  <c r="V2063" i="2"/>
  <c r="W2063" i="2"/>
  <c r="U2064" i="2"/>
  <c r="V2064" i="2"/>
  <c r="W2064" i="2"/>
  <c r="U2593" i="2"/>
  <c r="V2593" i="2"/>
  <c r="W2593" i="2"/>
  <c r="U2606" i="2"/>
  <c r="V2606" i="2"/>
  <c r="W2606" i="2"/>
  <c r="U2615" i="2"/>
  <c r="V2615" i="2"/>
  <c r="W2615" i="2"/>
  <c r="U2618" i="2"/>
  <c r="V2618" i="2"/>
  <c r="W2618" i="2"/>
  <c r="U2625" i="2"/>
  <c r="V2625" i="2"/>
  <c r="W2625" i="2"/>
  <c r="U2628" i="2"/>
  <c r="V2628" i="2"/>
  <c r="W2628" i="2"/>
  <c r="U2631" i="2"/>
  <c r="V2631" i="2"/>
  <c r="W2631" i="2"/>
  <c r="U2650" i="2"/>
  <c r="V2650" i="2"/>
  <c r="W2650" i="2"/>
  <c r="U2658" i="2"/>
  <c r="V2658" i="2"/>
  <c r="W2658" i="2"/>
  <c r="U2661" i="2"/>
  <c r="V2661" i="2"/>
  <c r="W2661" i="2"/>
  <c r="U2666" i="2"/>
  <c r="V2666" i="2"/>
  <c r="W2666" i="2"/>
  <c r="U2669" i="2"/>
  <c r="V2669" i="2"/>
  <c r="W2669" i="2"/>
  <c r="U2672" i="2"/>
  <c r="V2672" i="2"/>
  <c r="W2672" i="2"/>
  <c r="U2676" i="2"/>
  <c r="V2676" i="2"/>
  <c r="W2676" i="2"/>
  <c r="U2692" i="2"/>
  <c r="V2692" i="2"/>
  <c r="W2692" i="2"/>
  <c r="U2700" i="2"/>
  <c r="V2700" i="2"/>
  <c r="W2700" i="2"/>
  <c r="U2716" i="2"/>
  <c r="V2716" i="2"/>
  <c r="W2716" i="2"/>
  <c r="U2722" i="2"/>
  <c r="V2722" i="2"/>
  <c r="W2722" i="2"/>
  <c r="U2764" i="2"/>
  <c r="V2764" i="2"/>
  <c r="W2764" i="2"/>
  <c r="U2780" i="2"/>
  <c r="V2780" i="2"/>
  <c r="W2780" i="2"/>
  <c r="U2783" i="2"/>
  <c r="V2783" i="2"/>
  <c r="W2783" i="2"/>
  <c r="U2800" i="2"/>
  <c r="V2800" i="2"/>
  <c r="W2800" i="2"/>
  <c r="U2803" i="2"/>
  <c r="V2803" i="2"/>
  <c r="W2803" i="2"/>
  <c r="U2819" i="2"/>
  <c r="V2819" i="2"/>
  <c r="W2819" i="2"/>
  <c r="U2826" i="2"/>
  <c r="V2826" i="2"/>
  <c r="W2826" i="2"/>
  <c r="U2836" i="2"/>
  <c r="V2836" i="2"/>
  <c r="W2836" i="2"/>
  <c r="U2839" i="2"/>
  <c r="V2839" i="2"/>
  <c r="W2839" i="2"/>
  <c r="U2846" i="2"/>
  <c r="V2846" i="2"/>
  <c r="W2846" i="2"/>
  <c r="U2852" i="2"/>
  <c r="V2852" i="2"/>
  <c r="W2852" i="2"/>
  <c r="U2855" i="2"/>
  <c r="V2855" i="2"/>
  <c r="W2855" i="2"/>
  <c r="U2857" i="2"/>
  <c r="V2857" i="2"/>
  <c r="W2857" i="2"/>
  <c r="U2859" i="2"/>
  <c r="V2859" i="2"/>
  <c r="W2859" i="2"/>
  <c r="U2862" i="2"/>
  <c r="V2862" i="2"/>
  <c r="W2862" i="2"/>
  <c r="U1256" i="2"/>
  <c r="V1256" i="2"/>
  <c r="W1256" i="2"/>
  <c r="U1257" i="2"/>
  <c r="V1257" i="2"/>
  <c r="W1257" i="2"/>
  <c r="U1265" i="2"/>
  <c r="V1265" i="2"/>
  <c r="W1265" i="2"/>
  <c r="U1275" i="2"/>
  <c r="V1275" i="2"/>
  <c r="W1275" i="2"/>
  <c r="U1300" i="2"/>
  <c r="V1300" i="2"/>
  <c r="W1300" i="2"/>
  <c r="U1303" i="2"/>
  <c r="V1303" i="2"/>
  <c r="W1303" i="2"/>
  <c r="U1311" i="2"/>
  <c r="V1311" i="2"/>
  <c r="W1311" i="2"/>
  <c r="U1322" i="2"/>
  <c r="V1322" i="2"/>
  <c r="W1322" i="2"/>
  <c r="U1332" i="2"/>
  <c r="V1332" i="2"/>
  <c r="W1332" i="2"/>
  <c r="U1340" i="2"/>
  <c r="V1340" i="2"/>
  <c r="W1340" i="2"/>
  <c r="U1353" i="2"/>
  <c r="V1353" i="2"/>
  <c r="W1353" i="2"/>
  <c r="U1357" i="2"/>
  <c r="V1357" i="2"/>
  <c r="W1357" i="2"/>
  <c r="U1361" i="2"/>
  <c r="V1361" i="2"/>
  <c r="W1361" i="2"/>
  <c r="U1368" i="2"/>
  <c r="V1368" i="2"/>
  <c r="W1368" i="2"/>
  <c r="U1375" i="2"/>
  <c r="V1375" i="2"/>
  <c r="W1375" i="2"/>
  <c r="U1383" i="2"/>
  <c r="V1383" i="2"/>
  <c r="W1383" i="2"/>
  <c r="U1397" i="2"/>
  <c r="V1397" i="2"/>
  <c r="W1397" i="2"/>
  <c r="U1401" i="2"/>
  <c r="V1401" i="2"/>
  <c r="W1401" i="2"/>
  <c r="U1405" i="2"/>
  <c r="V1405" i="2"/>
  <c r="W1405" i="2"/>
  <c r="U1416" i="2"/>
  <c r="V1416" i="2"/>
  <c r="W1416" i="2"/>
  <c r="U1423" i="2"/>
  <c r="V1423" i="2"/>
  <c r="W1423" i="2"/>
  <c r="U1436" i="2"/>
  <c r="V1436" i="2"/>
  <c r="W1436" i="2"/>
  <c r="U1443" i="2"/>
  <c r="V1443" i="2"/>
  <c r="W1443" i="2"/>
  <c r="U1448" i="2"/>
  <c r="V1448" i="2"/>
  <c r="W1448" i="2"/>
  <c r="U1455" i="2"/>
  <c r="V1455" i="2"/>
  <c r="W1455" i="2"/>
  <c r="U1461" i="2"/>
  <c r="V1461" i="2"/>
  <c r="W1461" i="2"/>
  <c r="U1472" i="2"/>
  <c r="V1472" i="2"/>
  <c r="W1472" i="2"/>
  <c r="U1475" i="2"/>
  <c r="V1475" i="2"/>
  <c r="W1475" i="2"/>
  <c r="U1477" i="2"/>
  <c r="V1477" i="2"/>
  <c r="W1477" i="2"/>
  <c r="U1482" i="2"/>
  <c r="V1482" i="2"/>
  <c r="W1482" i="2"/>
  <c r="U1485" i="2"/>
  <c r="V1485" i="2"/>
  <c r="W1485" i="2"/>
  <c r="U1488" i="2"/>
  <c r="V1488" i="2"/>
  <c r="W1488" i="2"/>
  <c r="U1492" i="2"/>
  <c r="V1492" i="2"/>
  <c r="W1492" i="2"/>
  <c r="U1498" i="2"/>
  <c r="V1498" i="2"/>
  <c r="W1498" i="2"/>
  <c r="U1503" i="2"/>
  <c r="V1503" i="2"/>
  <c r="W1503" i="2"/>
  <c r="U1514" i="2"/>
  <c r="V1514" i="2"/>
  <c r="W1514" i="2"/>
  <c r="U1531" i="2"/>
  <c r="V1531" i="2"/>
  <c r="W1531" i="2"/>
  <c r="U1541" i="2"/>
  <c r="V1541" i="2"/>
  <c r="W1541" i="2"/>
  <c r="U1543" i="2"/>
  <c r="V1543" i="2"/>
  <c r="W1543" i="2"/>
  <c r="U1546" i="2"/>
  <c r="V1546" i="2"/>
  <c r="W1546" i="2"/>
  <c r="U1551" i="2"/>
  <c r="V1551" i="2"/>
  <c r="W1551" i="2"/>
  <c r="U1986" i="2"/>
  <c r="V1986" i="2"/>
  <c r="W1986" i="2"/>
  <c r="U2034" i="2"/>
  <c r="V2034" i="2"/>
  <c r="W2034" i="2"/>
  <c r="U2035" i="2"/>
  <c r="V2035" i="2"/>
  <c r="W2035" i="2"/>
  <c r="U2038" i="2"/>
  <c r="V2038" i="2"/>
  <c r="W2038" i="2"/>
  <c r="U2040" i="2"/>
  <c r="V2040" i="2"/>
  <c r="W2040" i="2"/>
  <c r="U2049" i="2"/>
  <c r="V2049" i="2"/>
  <c r="W2049" i="2"/>
  <c r="U2079" i="2"/>
  <c r="V2079" i="2"/>
  <c r="W2079" i="2"/>
  <c r="U2088" i="2"/>
  <c r="V2088" i="2"/>
  <c r="W2088" i="2"/>
  <c r="U2592" i="2"/>
  <c r="V2592" i="2"/>
  <c r="W2592" i="2"/>
  <c r="U2624" i="2"/>
  <c r="V2624" i="2"/>
  <c r="W2624" i="2"/>
  <c r="U2691" i="2"/>
  <c r="V2691" i="2"/>
  <c r="W2691" i="2"/>
  <c r="U2726" i="2"/>
  <c r="V2726" i="2"/>
  <c r="W2726" i="2"/>
  <c r="U2747" i="2"/>
  <c r="V2747" i="2"/>
  <c r="W2747" i="2"/>
  <c r="U2750" i="2"/>
  <c r="V2750" i="2"/>
  <c r="W2750" i="2"/>
  <c r="U2760" i="2"/>
  <c r="V2760" i="2"/>
  <c r="W2760" i="2"/>
  <c r="U2778" i="2"/>
  <c r="V2778" i="2"/>
  <c r="W2778" i="2"/>
  <c r="U2825" i="2"/>
  <c r="V2825" i="2"/>
  <c r="W2825" i="2"/>
  <c r="U1926" i="2"/>
  <c r="V1926" i="2"/>
  <c r="W1926" i="2"/>
  <c r="U1927" i="2"/>
  <c r="V1927" i="2"/>
  <c r="W1927" i="2"/>
  <c r="U1928" i="2"/>
  <c r="V1928" i="2"/>
  <c r="W1928" i="2"/>
  <c r="U1929" i="2"/>
  <c r="V1929" i="2"/>
  <c r="W1929" i="2"/>
  <c r="U1930" i="2"/>
  <c r="V1930" i="2"/>
  <c r="W1930" i="2"/>
  <c r="U1931" i="2"/>
  <c r="V1931" i="2"/>
  <c r="W1931" i="2"/>
  <c r="U1932" i="2"/>
  <c r="V1932" i="2"/>
  <c r="W1932" i="2"/>
  <c r="U1933" i="2"/>
  <c r="V1933" i="2"/>
  <c r="W1933" i="2"/>
  <c r="U1934" i="2"/>
  <c r="V1934" i="2"/>
  <c r="W1934" i="2"/>
  <c r="U1935" i="2"/>
  <c r="V1935" i="2"/>
  <c r="W1935" i="2"/>
  <c r="U1936" i="2"/>
  <c r="V1936" i="2"/>
  <c r="W1936" i="2"/>
  <c r="U1937" i="2"/>
  <c r="V1937" i="2"/>
  <c r="W1937" i="2"/>
  <c r="U1938" i="2"/>
  <c r="V1938" i="2"/>
  <c r="W1938" i="2"/>
  <c r="U1939" i="2"/>
  <c r="V1939" i="2"/>
  <c r="W1939" i="2"/>
  <c r="U1940" i="2"/>
  <c r="V1940" i="2"/>
  <c r="W1940" i="2"/>
  <c r="U1941" i="2"/>
  <c r="V1941" i="2"/>
  <c r="W1941" i="2"/>
  <c r="U1942" i="2"/>
  <c r="V1942" i="2"/>
  <c r="W1942" i="2"/>
  <c r="U1943" i="2"/>
  <c r="V1943" i="2"/>
  <c r="W1943" i="2"/>
  <c r="U1944" i="2"/>
  <c r="V1944" i="2"/>
  <c r="W1944" i="2"/>
  <c r="U1945" i="2"/>
  <c r="V1945" i="2"/>
  <c r="W1945" i="2"/>
  <c r="U1946" i="2"/>
  <c r="V1946" i="2"/>
  <c r="W1946" i="2"/>
  <c r="U1947" i="2"/>
  <c r="V1947" i="2"/>
  <c r="W1947" i="2"/>
  <c r="U1948" i="2"/>
  <c r="V1948" i="2"/>
  <c r="W1948" i="2"/>
  <c r="U1949" i="2"/>
  <c r="V1949" i="2"/>
  <c r="W1949" i="2"/>
  <c r="U1950" i="2"/>
  <c r="V1950" i="2"/>
  <c r="W1950" i="2"/>
  <c r="U1951" i="2"/>
  <c r="V1951" i="2"/>
  <c r="W1951" i="2"/>
  <c r="U1952" i="2"/>
  <c r="V1952" i="2"/>
  <c r="W1952" i="2"/>
  <c r="U1953" i="2"/>
  <c r="V1953" i="2"/>
  <c r="W1953" i="2"/>
  <c r="U1954" i="2"/>
  <c r="V1954" i="2"/>
  <c r="W1954" i="2"/>
  <c r="U1955" i="2"/>
  <c r="V1955" i="2"/>
  <c r="W1955" i="2"/>
  <c r="U1956" i="2"/>
  <c r="V1956" i="2"/>
  <c r="W1956" i="2"/>
  <c r="U1957" i="2"/>
  <c r="V1957" i="2"/>
  <c r="W1957" i="2"/>
  <c r="U1958" i="2"/>
  <c r="V1958" i="2"/>
  <c r="W1958" i="2"/>
  <c r="U1959" i="2"/>
  <c r="V1959" i="2"/>
  <c r="W1959" i="2"/>
  <c r="U1960" i="2"/>
  <c r="V1960" i="2"/>
  <c r="W1960" i="2"/>
  <c r="U1961" i="2"/>
  <c r="V1961" i="2"/>
  <c r="W1961" i="2"/>
  <c r="U1962" i="2"/>
  <c r="V1962" i="2"/>
  <c r="W1962" i="2"/>
  <c r="U1963" i="2"/>
  <c r="V1963" i="2"/>
  <c r="W1963" i="2"/>
  <c r="U1964" i="2"/>
  <c r="V1964" i="2"/>
  <c r="W1964" i="2"/>
  <c r="U1965" i="2"/>
  <c r="V1965" i="2"/>
  <c r="W1965" i="2"/>
  <c r="U1984" i="2"/>
  <c r="V1984" i="2"/>
  <c r="W1984" i="2"/>
  <c r="U1989" i="2"/>
  <c r="V1989" i="2"/>
  <c r="W1989" i="2"/>
  <c r="U1995" i="2"/>
  <c r="V1995" i="2"/>
  <c r="W1995" i="2"/>
  <c r="U1997" i="2"/>
  <c r="V1997" i="2"/>
  <c r="W1997" i="2"/>
  <c r="U2032" i="2"/>
  <c r="V2032" i="2"/>
  <c r="W2032" i="2"/>
  <c r="U2050" i="2"/>
  <c r="V2050" i="2"/>
  <c r="W2050" i="2"/>
  <c r="U2065" i="2"/>
  <c r="V2065" i="2"/>
  <c r="W2065" i="2"/>
  <c r="U2081" i="2"/>
  <c r="V2081" i="2"/>
  <c r="W2081" i="2"/>
  <c r="U2082" i="2"/>
  <c r="V2082" i="2"/>
  <c r="W2082" i="2"/>
  <c r="U2084" i="2"/>
  <c r="V2084" i="2"/>
  <c r="W2084" i="2"/>
  <c r="U2085" i="2"/>
  <c r="V2085" i="2"/>
  <c r="W2085" i="2"/>
  <c r="U2090" i="2"/>
  <c r="V2090" i="2"/>
  <c r="W2090" i="2"/>
  <c r="U2091" i="2"/>
  <c r="V2091" i="2"/>
  <c r="W2091" i="2"/>
  <c r="U2093" i="2"/>
  <c r="V2093" i="2"/>
  <c r="W2093" i="2"/>
  <c r="U2588" i="2"/>
  <c r="V2588" i="2"/>
  <c r="W2588" i="2"/>
  <c r="U2623" i="2"/>
  <c r="V2623" i="2"/>
  <c r="W2623" i="2"/>
  <c r="U2679" i="2"/>
  <c r="V2679" i="2"/>
  <c r="W2679" i="2"/>
  <c r="U2703" i="2"/>
  <c r="V2703" i="2"/>
  <c r="W2703" i="2"/>
  <c r="U2709" i="2"/>
  <c r="V2709" i="2"/>
  <c r="W2709" i="2"/>
  <c r="U2725" i="2"/>
  <c r="V2725" i="2"/>
  <c r="W2725" i="2"/>
  <c r="U2733" i="2"/>
  <c r="V2733" i="2"/>
  <c r="W2733" i="2"/>
  <c r="U2738" i="2"/>
  <c r="V2738" i="2"/>
  <c r="W2738" i="2"/>
  <c r="U2743" i="2"/>
  <c r="V2743" i="2"/>
  <c r="W2743" i="2"/>
  <c r="U2755" i="2"/>
  <c r="V2755" i="2"/>
  <c r="W2755" i="2"/>
  <c r="U2761" i="2"/>
  <c r="V2761" i="2"/>
  <c r="W2761" i="2"/>
  <c r="U2781" i="2"/>
  <c r="V2781" i="2"/>
  <c r="W2781" i="2"/>
  <c r="U2813" i="2"/>
  <c r="V2813" i="2"/>
  <c r="W2813" i="2"/>
  <c r="U2818" i="2"/>
  <c r="V2818" i="2"/>
  <c r="W2818" i="2"/>
  <c r="U2829" i="2"/>
  <c r="V2829" i="2"/>
  <c r="W2829" i="2"/>
  <c r="U2517" i="2"/>
  <c r="V2517" i="2"/>
  <c r="W2517" i="2"/>
  <c r="U2518" i="2"/>
  <c r="V2518" i="2"/>
  <c r="W2518" i="2"/>
  <c r="U2519" i="2"/>
  <c r="V2519" i="2"/>
  <c r="W2519" i="2"/>
  <c r="U2520" i="2"/>
  <c r="V2520" i="2"/>
  <c r="W2520" i="2"/>
  <c r="U2521" i="2"/>
  <c r="V2521" i="2"/>
  <c r="W2521" i="2"/>
  <c r="U2522" i="2"/>
  <c r="V2522" i="2"/>
  <c r="W2522" i="2"/>
  <c r="U2523" i="2"/>
  <c r="V2523" i="2"/>
  <c r="W2523" i="2"/>
  <c r="U2524" i="2"/>
  <c r="V2524" i="2"/>
  <c r="W2524" i="2"/>
  <c r="U2525" i="2"/>
  <c r="V2525" i="2"/>
  <c r="W2525" i="2"/>
  <c r="U2526" i="2"/>
  <c r="V2526" i="2"/>
  <c r="W2526" i="2"/>
  <c r="U2527" i="2"/>
  <c r="V2527" i="2"/>
  <c r="W2527" i="2"/>
  <c r="U2528" i="2"/>
  <c r="V2528" i="2"/>
  <c r="W2528" i="2"/>
  <c r="U2529" i="2"/>
  <c r="V2529" i="2"/>
  <c r="W2529" i="2"/>
  <c r="U2530" i="2"/>
  <c r="V2530" i="2"/>
  <c r="W2530" i="2"/>
  <c r="U2531" i="2"/>
  <c r="V2531" i="2"/>
  <c r="W2531" i="2"/>
  <c r="U2532" i="2"/>
  <c r="V2532" i="2"/>
  <c r="W2532" i="2"/>
  <c r="U2533" i="2"/>
  <c r="V2533" i="2"/>
  <c r="W2533" i="2"/>
  <c r="U2534" i="2"/>
  <c r="V2534" i="2"/>
  <c r="W2534" i="2"/>
  <c r="U2535" i="2"/>
  <c r="V2535" i="2"/>
  <c r="W2535" i="2"/>
  <c r="U2536" i="2"/>
  <c r="V2536" i="2"/>
  <c r="W2536" i="2"/>
  <c r="U2537" i="2"/>
  <c r="V2537" i="2"/>
  <c r="W2537" i="2"/>
  <c r="U2538" i="2"/>
  <c r="V2538" i="2"/>
  <c r="W2538" i="2"/>
  <c r="U2539" i="2"/>
  <c r="V2539" i="2"/>
  <c r="W2539" i="2"/>
  <c r="U2540" i="2"/>
  <c r="V2540" i="2"/>
  <c r="W2540" i="2"/>
  <c r="U2541" i="2"/>
  <c r="V2541" i="2"/>
  <c r="W2541" i="2"/>
  <c r="U2542" i="2"/>
  <c r="V2542" i="2"/>
  <c r="W2542" i="2"/>
  <c r="U2543" i="2"/>
  <c r="V2543" i="2"/>
  <c r="W2543" i="2"/>
  <c r="U2544" i="2"/>
  <c r="V2544" i="2"/>
  <c r="W2544" i="2"/>
  <c r="U2545" i="2"/>
  <c r="V2545" i="2"/>
  <c r="W2545" i="2"/>
  <c r="U2546" i="2"/>
  <c r="V2546" i="2"/>
  <c r="W2546" i="2"/>
  <c r="U2547" i="2"/>
  <c r="V2547" i="2"/>
  <c r="W2547" i="2"/>
  <c r="U2548" i="2"/>
  <c r="V2548" i="2"/>
  <c r="W2548" i="2"/>
  <c r="U2549" i="2"/>
  <c r="V2549" i="2"/>
  <c r="W2549" i="2"/>
  <c r="U2550" i="2"/>
  <c r="V2550" i="2"/>
  <c r="W2550" i="2"/>
  <c r="U2551" i="2"/>
  <c r="V2551" i="2"/>
  <c r="W2551" i="2"/>
  <c r="U2552" i="2"/>
  <c r="V2552" i="2"/>
  <c r="W2552" i="2"/>
  <c r="U2553" i="2"/>
  <c r="V2553" i="2"/>
  <c r="W2553" i="2"/>
  <c r="U2554" i="2"/>
  <c r="V2554" i="2"/>
  <c r="W2554" i="2"/>
  <c r="U2555" i="2"/>
  <c r="V2555" i="2"/>
  <c r="W2555" i="2"/>
  <c r="U2556" i="2"/>
  <c r="V2556" i="2"/>
  <c r="W2556" i="2"/>
  <c r="U2557" i="2"/>
  <c r="V2557" i="2"/>
  <c r="W2557" i="2"/>
  <c r="U2558" i="2"/>
  <c r="V2558" i="2"/>
  <c r="W2558" i="2"/>
  <c r="U2559" i="2"/>
  <c r="V2559" i="2"/>
  <c r="W2559" i="2"/>
  <c r="U2560" i="2"/>
  <c r="V2560" i="2"/>
  <c r="W2560" i="2"/>
  <c r="U2561" i="2"/>
  <c r="V2561" i="2"/>
  <c r="W2561" i="2"/>
  <c r="U2562" i="2"/>
  <c r="V2562" i="2"/>
  <c r="W2562" i="2"/>
  <c r="U2563" i="2"/>
  <c r="V2563" i="2"/>
  <c r="W2563" i="2"/>
  <c r="U2564" i="2"/>
  <c r="V2564" i="2"/>
  <c r="W2564" i="2"/>
  <c r="U2565" i="2"/>
  <c r="V2565" i="2"/>
  <c r="W2565" i="2"/>
  <c r="U2566" i="2"/>
  <c r="V2566" i="2"/>
  <c r="W2566" i="2"/>
  <c r="U2567" i="2"/>
  <c r="V2567" i="2"/>
  <c r="W2567" i="2"/>
  <c r="U2568" i="2"/>
  <c r="V2568" i="2"/>
  <c r="W2568" i="2"/>
  <c r="U2569" i="2"/>
  <c r="V2569" i="2"/>
  <c r="W2569" i="2"/>
  <c r="U2570" i="2"/>
  <c r="V2570" i="2"/>
  <c r="W2570" i="2"/>
  <c r="U2571" i="2"/>
  <c r="V2571" i="2"/>
  <c r="W2571" i="2"/>
  <c r="U2572" i="2"/>
  <c r="V2572" i="2"/>
  <c r="W2572" i="2"/>
  <c r="U2573" i="2"/>
  <c r="V2573" i="2"/>
  <c r="W2573" i="2"/>
  <c r="U2574" i="2"/>
  <c r="V2574" i="2"/>
  <c r="W2574" i="2"/>
  <c r="U2575" i="2"/>
  <c r="V2575" i="2"/>
  <c r="W2575" i="2"/>
  <c r="U2576" i="2"/>
  <c r="V2576" i="2"/>
  <c r="W2576" i="2"/>
  <c r="U2577" i="2"/>
  <c r="V2577" i="2"/>
  <c r="W2577" i="2"/>
  <c r="U2578" i="2"/>
  <c r="V2578" i="2"/>
  <c r="W2578" i="2"/>
  <c r="U2579" i="2"/>
  <c r="V2579" i="2"/>
  <c r="W2579" i="2"/>
  <c r="U2580" i="2"/>
  <c r="V2580" i="2"/>
  <c r="W2580" i="2"/>
  <c r="U2581" i="2"/>
  <c r="V2581" i="2"/>
  <c r="W2581" i="2"/>
  <c r="U2582" i="2"/>
  <c r="V2582" i="2"/>
  <c r="W2582" i="2"/>
  <c r="U2583" i="2"/>
  <c r="V2583" i="2"/>
  <c r="W2583" i="2"/>
  <c r="U2584" i="2"/>
  <c r="V2584" i="2"/>
  <c r="W2584" i="2"/>
  <c r="U2585" i="2"/>
  <c r="V2585" i="2"/>
  <c r="W2585" i="2"/>
  <c r="U2599" i="2"/>
  <c r="V2599" i="2"/>
  <c r="W2599" i="2"/>
  <c r="U2607" i="2"/>
  <c r="V2607" i="2"/>
  <c r="W2607" i="2"/>
  <c r="U2649" i="2"/>
  <c r="V2649" i="2"/>
  <c r="W2649" i="2"/>
  <c r="U2660" i="2"/>
  <c r="V2660" i="2"/>
  <c r="W2660" i="2"/>
  <c r="U2668" i="2"/>
  <c r="V2668" i="2"/>
  <c r="W2668" i="2"/>
  <c r="U2675" i="2"/>
  <c r="V2675" i="2"/>
  <c r="W2675" i="2"/>
  <c r="U2697" i="2"/>
  <c r="V2697" i="2"/>
  <c r="W2697" i="2"/>
  <c r="U2699" i="2"/>
  <c r="V2699" i="2"/>
  <c r="W2699" i="2"/>
  <c r="U2730" i="2"/>
  <c r="V2730" i="2"/>
  <c r="W2730" i="2"/>
  <c r="U2744" i="2"/>
  <c r="V2744" i="2"/>
  <c r="W2744" i="2"/>
  <c r="U2804" i="2"/>
  <c r="V2804" i="2"/>
  <c r="W2804" i="2"/>
  <c r="U2812" i="2"/>
  <c r="V2812" i="2"/>
  <c r="W2812" i="2"/>
  <c r="U2834" i="2"/>
  <c r="V2834" i="2"/>
  <c r="W2834" i="2"/>
  <c r="U2864" i="2"/>
  <c r="V2864" i="2"/>
  <c r="W2864" i="2"/>
  <c r="U2865" i="2"/>
  <c r="V2865" i="2"/>
  <c r="W2865" i="2"/>
  <c r="U2866" i="2"/>
  <c r="V2866" i="2"/>
  <c r="W2866" i="2"/>
  <c r="U2867" i="2"/>
  <c r="V2867" i="2"/>
  <c r="W2867" i="2"/>
  <c r="U2868" i="2"/>
  <c r="V2868" i="2"/>
  <c r="W2868" i="2"/>
  <c r="U2869" i="2"/>
  <c r="V2869" i="2"/>
  <c r="W2869" i="2"/>
  <c r="U2870" i="2"/>
  <c r="V2870" i="2"/>
  <c r="W2870" i="2"/>
  <c r="U2871" i="2"/>
  <c r="V2871" i="2"/>
  <c r="W2871" i="2"/>
  <c r="U2872" i="2"/>
  <c r="V2872" i="2"/>
  <c r="W2872" i="2"/>
  <c r="U2873" i="2"/>
  <c r="V2873" i="2"/>
  <c r="W2873" i="2"/>
  <c r="U2874" i="2"/>
  <c r="V2874" i="2"/>
  <c r="W2874" i="2"/>
  <c r="U2875" i="2"/>
  <c r="V2875" i="2"/>
  <c r="W2875" i="2"/>
  <c r="U2876" i="2"/>
  <c r="V2876" i="2"/>
  <c r="W2876" i="2"/>
  <c r="U2877" i="2"/>
  <c r="V2877" i="2"/>
  <c r="W2877" i="2"/>
  <c r="U2878" i="2"/>
  <c r="V2878" i="2"/>
  <c r="W2878" i="2"/>
  <c r="U2879" i="2"/>
  <c r="V2879" i="2"/>
  <c r="W2879" i="2"/>
  <c r="U2880" i="2"/>
  <c r="V2880" i="2"/>
  <c r="W2880" i="2"/>
  <c r="U2881" i="2"/>
  <c r="V2881" i="2"/>
  <c r="W2881" i="2"/>
  <c r="U2882" i="2"/>
  <c r="V2882" i="2"/>
  <c r="W2882" i="2"/>
  <c r="U2883" i="2"/>
  <c r="V2883" i="2"/>
  <c r="W2883" i="2"/>
  <c r="U2884" i="2"/>
  <c r="V2884" i="2"/>
  <c r="W2884" i="2"/>
  <c r="U2885" i="2"/>
  <c r="V2885" i="2"/>
  <c r="W2885" i="2"/>
  <c r="U2886" i="2"/>
  <c r="V2886" i="2"/>
  <c r="W2886" i="2"/>
  <c r="U2887" i="2"/>
  <c r="V2887" i="2"/>
  <c r="W2887" i="2"/>
  <c r="U2888" i="2"/>
  <c r="V2888" i="2"/>
  <c r="W2888" i="2"/>
  <c r="U2889" i="2"/>
  <c r="V2889" i="2"/>
  <c r="W2889" i="2"/>
  <c r="U2890" i="2"/>
  <c r="V2890" i="2"/>
  <c r="W2890" i="2"/>
  <c r="U2891" i="2"/>
  <c r="V2891" i="2"/>
  <c r="W2891" i="2"/>
  <c r="U2892" i="2"/>
  <c r="V2892" i="2"/>
  <c r="W2892" i="2"/>
  <c r="U2893" i="2"/>
  <c r="V2893" i="2"/>
  <c r="W2893" i="2"/>
  <c r="U2894" i="2"/>
  <c r="V2894" i="2"/>
  <c r="W2894" i="2"/>
  <c r="U2895" i="2"/>
  <c r="V2895" i="2"/>
  <c r="W2895" i="2"/>
  <c r="U2896" i="2"/>
  <c r="V2896" i="2"/>
  <c r="W2896" i="2"/>
  <c r="U2897" i="2"/>
  <c r="V2897" i="2"/>
  <c r="W2897" i="2"/>
  <c r="U2898" i="2"/>
  <c r="V2898" i="2"/>
  <c r="W2898" i="2"/>
  <c r="U2899" i="2"/>
  <c r="V2899" i="2"/>
  <c r="W2899" i="2"/>
  <c r="U2900" i="2"/>
  <c r="V2900" i="2"/>
  <c r="W2900" i="2"/>
  <c r="U2901" i="2"/>
  <c r="V2901" i="2"/>
  <c r="W2901" i="2"/>
  <c r="U2902" i="2"/>
  <c r="V2902" i="2"/>
  <c r="W2902" i="2"/>
  <c r="U2903" i="2"/>
  <c r="V2903" i="2"/>
  <c r="W2903" i="2"/>
  <c r="U2904" i="2"/>
  <c r="V2904" i="2"/>
  <c r="W2904" i="2"/>
  <c r="U2905" i="2"/>
  <c r="V2905" i="2"/>
  <c r="W2905" i="2"/>
  <c r="U2906" i="2"/>
  <c r="V2906" i="2"/>
  <c r="W2906" i="2"/>
  <c r="U2907" i="2"/>
  <c r="V2907" i="2"/>
  <c r="W2907" i="2"/>
  <c r="U2908" i="2"/>
  <c r="V2908" i="2"/>
  <c r="W2908" i="2"/>
  <c r="U2909" i="2"/>
  <c r="V2909" i="2"/>
  <c r="W2909" i="2"/>
  <c r="U2910" i="2"/>
  <c r="V2910" i="2"/>
  <c r="W2910" i="2"/>
  <c r="U2911" i="2"/>
  <c r="V2911" i="2"/>
  <c r="W2911" i="2"/>
  <c r="U2912" i="2"/>
  <c r="V2912" i="2"/>
  <c r="W2912" i="2"/>
  <c r="U2913" i="2"/>
  <c r="V2913" i="2"/>
  <c r="W2913" i="2"/>
  <c r="U2914" i="2"/>
  <c r="V2914" i="2"/>
  <c r="W2914" i="2"/>
  <c r="U2916" i="2"/>
  <c r="V2916" i="2"/>
  <c r="W2916" i="2"/>
  <c r="U2917" i="2"/>
  <c r="V2917" i="2"/>
  <c r="W2917" i="2"/>
  <c r="U2918" i="2"/>
  <c r="V2918" i="2"/>
  <c r="W2918" i="2"/>
  <c r="U2919" i="2"/>
  <c r="V2919" i="2"/>
  <c r="W2919" i="2"/>
  <c r="U2920" i="2"/>
  <c r="V2920" i="2"/>
  <c r="W2920" i="2"/>
  <c r="U2921" i="2"/>
  <c r="V2921" i="2"/>
  <c r="W2921" i="2"/>
  <c r="U2922" i="2"/>
  <c r="V2922" i="2"/>
  <c r="W2922" i="2"/>
  <c r="U2923" i="2"/>
  <c r="V2923" i="2"/>
  <c r="W2923" i="2"/>
  <c r="U2924" i="2"/>
  <c r="V2924" i="2"/>
  <c r="W2924" i="2"/>
  <c r="U2925" i="2"/>
  <c r="V2925" i="2"/>
  <c r="W2925" i="2"/>
  <c r="U2926" i="2"/>
  <c r="V2926" i="2"/>
  <c r="W2926" i="2"/>
  <c r="U2927" i="2"/>
  <c r="V2927" i="2"/>
  <c r="W2927" i="2"/>
  <c r="U2928" i="2"/>
  <c r="V2928" i="2"/>
  <c r="W2928" i="2"/>
  <c r="U2929" i="2"/>
  <c r="V2929" i="2"/>
  <c r="W2929" i="2"/>
  <c r="U2930" i="2"/>
  <c r="V2930" i="2"/>
  <c r="W2930" i="2"/>
  <c r="U2931" i="2"/>
  <c r="V2931" i="2"/>
  <c r="W2931" i="2"/>
  <c r="U2932" i="2"/>
  <c r="V2932" i="2"/>
  <c r="W2932" i="2"/>
  <c r="U2933" i="2"/>
  <c r="V2933" i="2"/>
  <c r="W2933" i="2"/>
  <c r="U2934" i="2"/>
  <c r="V2934" i="2"/>
  <c r="W2934" i="2"/>
  <c r="U2935" i="2"/>
  <c r="V2935" i="2"/>
  <c r="W2935" i="2"/>
  <c r="U2936" i="2"/>
  <c r="V2936" i="2"/>
  <c r="W2936" i="2"/>
  <c r="U2937" i="2"/>
  <c r="V2937" i="2"/>
  <c r="W2937" i="2"/>
  <c r="U2938" i="2"/>
  <c r="V2938" i="2"/>
  <c r="W2938" i="2"/>
  <c r="U2939" i="2"/>
  <c r="V2939" i="2"/>
  <c r="W2939" i="2"/>
  <c r="U2940" i="2"/>
  <c r="V2940" i="2"/>
  <c r="W2940" i="2"/>
  <c r="U2941" i="2"/>
  <c r="V2941" i="2"/>
  <c r="W2941" i="2"/>
  <c r="U2942" i="2"/>
  <c r="V2942" i="2"/>
  <c r="W2942" i="2"/>
  <c r="U2943" i="2"/>
  <c r="V2943" i="2"/>
  <c r="W2943" i="2"/>
  <c r="U2944" i="2"/>
  <c r="V2944" i="2"/>
  <c r="W2944" i="2"/>
  <c r="U2945" i="2"/>
  <c r="V2945" i="2"/>
  <c r="W2945" i="2"/>
  <c r="U2946" i="2"/>
  <c r="V2946" i="2"/>
  <c r="W2946" i="2"/>
  <c r="U2947" i="2"/>
  <c r="V2947" i="2"/>
  <c r="W2947" i="2"/>
  <c r="U2948" i="2"/>
  <c r="V2948" i="2"/>
  <c r="W2948" i="2"/>
  <c r="U2949" i="2"/>
  <c r="V2949" i="2"/>
  <c r="W2949" i="2"/>
  <c r="U2950" i="2"/>
  <c r="V2950" i="2"/>
  <c r="W2950" i="2"/>
  <c r="U2951" i="2"/>
  <c r="V2951" i="2"/>
  <c r="W2951" i="2"/>
  <c r="U2952" i="2"/>
  <c r="V2952" i="2"/>
  <c r="W2952" i="2"/>
  <c r="U2953" i="2"/>
  <c r="V2953" i="2"/>
  <c r="W2953" i="2"/>
  <c r="U2954" i="2"/>
  <c r="V2954" i="2"/>
  <c r="W2954" i="2"/>
  <c r="U2955" i="2"/>
  <c r="V2955" i="2"/>
  <c r="W2955" i="2"/>
  <c r="U2956" i="2"/>
  <c r="V2956" i="2"/>
  <c r="W2956" i="2"/>
  <c r="U2957" i="2"/>
  <c r="V2957" i="2"/>
  <c r="W2957" i="2"/>
  <c r="U2958" i="2"/>
  <c r="V2958" i="2"/>
  <c r="W2958" i="2"/>
  <c r="U2959" i="2"/>
  <c r="V2959" i="2"/>
  <c r="W2959" i="2"/>
  <c r="U2960" i="2"/>
  <c r="V2960" i="2"/>
  <c r="W2960" i="2"/>
  <c r="U2961" i="2"/>
  <c r="V2961" i="2"/>
  <c r="W2961" i="2"/>
  <c r="U2962" i="2"/>
  <c r="V2962" i="2"/>
  <c r="W2962" i="2"/>
  <c r="U2963" i="2"/>
  <c r="V2963" i="2"/>
  <c r="W2963" i="2"/>
  <c r="U2964" i="2"/>
  <c r="V2964" i="2"/>
  <c r="W2964" i="2"/>
  <c r="U2965" i="2"/>
  <c r="V2965" i="2"/>
  <c r="W2965" i="2"/>
  <c r="U2966" i="2"/>
  <c r="V2966" i="2"/>
  <c r="W2966" i="2"/>
  <c r="U2967" i="2"/>
  <c r="V2967" i="2"/>
  <c r="W2967" i="2"/>
  <c r="U2968" i="2"/>
  <c r="V2968" i="2"/>
  <c r="W2968" i="2"/>
  <c r="U2969" i="2"/>
  <c r="V2969" i="2"/>
  <c r="W2969" i="2"/>
  <c r="U2970" i="2"/>
  <c r="V2970" i="2"/>
  <c r="W2970" i="2"/>
  <c r="U2971" i="2"/>
  <c r="V2971" i="2"/>
  <c r="W2971" i="2"/>
  <c r="U2972" i="2"/>
  <c r="V2972" i="2"/>
  <c r="W2972" i="2"/>
  <c r="U2973" i="2"/>
  <c r="V2973" i="2"/>
  <c r="W2973" i="2"/>
  <c r="U2974" i="2"/>
  <c r="V2974" i="2"/>
  <c r="W2974" i="2"/>
  <c r="U2975" i="2"/>
  <c r="V2975" i="2"/>
  <c r="W2975" i="2"/>
  <c r="U2976" i="2"/>
  <c r="V2976" i="2"/>
  <c r="W2976" i="2"/>
  <c r="U2977" i="2"/>
  <c r="V2977" i="2"/>
  <c r="W2977" i="2"/>
  <c r="U2978" i="2"/>
  <c r="V2978" i="2"/>
  <c r="W2978" i="2"/>
  <c r="U2979" i="2"/>
  <c r="V2979" i="2"/>
  <c r="W2979" i="2"/>
  <c r="U2980" i="2"/>
  <c r="V2980" i="2"/>
  <c r="W2980" i="2"/>
  <c r="U2981" i="2"/>
  <c r="V2981" i="2"/>
  <c r="W2981" i="2"/>
  <c r="U2982" i="2"/>
  <c r="V2982" i="2"/>
  <c r="W2982" i="2"/>
  <c r="U2983" i="2"/>
  <c r="V2983" i="2"/>
  <c r="W2983" i="2"/>
  <c r="U2984" i="2"/>
  <c r="V2984" i="2"/>
  <c r="W2984" i="2"/>
  <c r="U2985" i="2"/>
  <c r="V2985" i="2"/>
  <c r="W2985" i="2"/>
  <c r="U2986" i="2"/>
  <c r="V2986" i="2"/>
  <c r="W2986" i="2"/>
  <c r="U2987" i="2"/>
  <c r="V2987" i="2"/>
  <c r="W2987" i="2"/>
  <c r="U2988" i="2"/>
  <c r="V2988" i="2"/>
  <c r="W2988" i="2"/>
  <c r="U2989" i="2"/>
  <c r="V2989" i="2"/>
  <c r="W2989" i="2"/>
  <c r="U2990" i="2"/>
  <c r="V2990" i="2"/>
  <c r="W2990" i="2"/>
  <c r="U2991" i="2"/>
  <c r="V2991" i="2"/>
  <c r="W2991" i="2"/>
  <c r="U2992" i="2"/>
  <c r="V2992" i="2"/>
  <c r="W2992" i="2"/>
  <c r="U2993" i="2"/>
  <c r="V2993" i="2"/>
  <c r="W2993" i="2"/>
  <c r="U2994" i="2"/>
  <c r="V2994" i="2"/>
  <c r="W2994" i="2"/>
  <c r="U2995" i="2"/>
  <c r="V2995" i="2"/>
  <c r="W2995" i="2"/>
  <c r="U2996" i="2"/>
  <c r="V2996" i="2"/>
  <c r="W2996" i="2"/>
  <c r="U2997" i="2"/>
  <c r="V2997" i="2"/>
  <c r="W2997" i="2"/>
  <c r="U2998" i="2"/>
  <c r="V2998" i="2"/>
  <c r="W2998" i="2"/>
  <c r="U2999" i="2"/>
  <c r="V2999" i="2"/>
  <c r="W2999" i="2"/>
  <c r="U3000" i="2"/>
  <c r="V3000" i="2"/>
  <c r="W3000" i="2"/>
  <c r="U3001" i="2"/>
  <c r="V3001" i="2"/>
  <c r="W3001" i="2"/>
  <c r="U3002" i="2"/>
  <c r="V3002" i="2"/>
  <c r="W3002" i="2"/>
  <c r="U3003" i="2"/>
  <c r="V3003" i="2"/>
  <c r="W3003" i="2"/>
  <c r="U3004" i="2"/>
  <c r="V3004" i="2"/>
  <c r="W3004" i="2"/>
  <c r="U3005" i="2"/>
  <c r="V3005" i="2"/>
  <c r="W3005" i="2"/>
  <c r="U3006" i="2"/>
  <c r="V3006" i="2"/>
  <c r="W3006" i="2"/>
  <c r="U3007" i="2"/>
  <c r="V3007" i="2"/>
  <c r="W3007" i="2"/>
  <c r="U3008" i="2"/>
  <c r="V3008" i="2"/>
  <c r="W3008" i="2"/>
  <c r="U3009" i="2"/>
  <c r="V3009" i="2"/>
  <c r="W3009" i="2"/>
  <c r="U3010" i="2"/>
  <c r="V3010" i="2"/>
  <c r="W3010" i="2"/>
  <c r="U3011" i="2"/>
  <c r="V3011" i="2"/>
  <c r="W3011" i="2"/>
  <c r="U3012" i="2"/>
  <c r="V3012" i="2"/>
  <c r="W3012" i="2"/>
  <c r="U3013" i="2"/>
  <c r="V3013" i="2"/>
  <c r="W3013" i="2"/>
  <c r="U3014" i="2"/>
  <c r="V3014" i="2"/>
  <c r="W3014" i="2"/>
  <c r="U3015" i="2"/>
  <c r="V3015" i="2"/>
  <c r="W3015" i="2"/>
  <c r="U3016" i="2"/>
  <c r="V3016" i="2"/>
  <c r="W3016" i="2"/>
  <c r="U3017" i="2"/>
  <c r="V3017" i="2"/>
  <c r="W3017" i="2"/>
  <c r="U3018" i="2"/>
  <c r="V3018" i="2"/>
  <c r="W3018" i="2"/>
  <c r="U3019" i="2"/>
  <c r="V3019" i="2"/>
  <c r="W3019" i="2"/>
  <c r="U3020" i="2"/>
  <c r="V3020" i="2"/>
  <c r="W3020" i="2"/>
  <c r="U3021" i="2"/>
  <c r="V3021" i="2"/>
  <c r="W3021" i="2"/>
  <c r="U3022" i="2"/>
  <c r="V3022" i="2"/>
  <c r="W3022" i="2"/>
  <c r="U3023" i="2"/>
  <c r="V3023" i="2"/>
  <c r="W3023" i="2"/>
  <c r="U3024" i="2"/>
  <c r="V3024" i="2"/>
  <c r="W3024" i="2"/>
  <c r="U3025" i="2"/>
  <c r="V3025" i="2"/>
  <c r="W3025" i="2"/>
  <c r="U3026" i="2"/>
  <c r="V3026" i="2"/>
  <c r="W3026" i="2"/>
  <c r="U3027" i="2"/>
  <c r="V3027" i="2"/>
  <c r="W3027" i="2"/>
  <c r="U3028" i="2"/>
  <c r="V3028" i="2"/>
  <c r="W3028" i="2"/>
  <c r="U3029" i="2"/>
  <c r="V3029" i="2"/>
  <c r="W3029" i="2"/>
  <c r="U3030" i="2"/>
  <c r="V3030" i="2"/>
  <c r="W3030" i="2"/>
  <c r="U3031" i="2"/>
  <c r="V3031" i="2"/>
  <c r="W3031" i="2"/>
  <c r="U3032" i="2"/>
  <c r="V3032" i="2"/>
  <c r="W3032" i="2"/>
  <c r="U3033" i="2"/>
  <c r="V3033" i="2"/>
  <c r="W3033" i="2"/>
  <c r="U3034" i="2"/>
  <c r="V3034" i="2"/>
  <c r="W3034" i="2"/>
  <c r="U3035" i="2"/>
  <c r="V3035" i="2"/>
  <c r="W3035" i="2"/>
  <c r="U3036" i="2"/>
  <c r="V3036" i="2"/>
  <c r="W3036" i="2"/>
  <c r="U3037" i="2"/>
  <c r="V3037" i="2"/>
  <c r="W3037" i="2"/>
  <c r="U3038" i="2"/>
  <c r="V3038" i="2"/>
  <c r="W3038" i="2"/>
  <c r="U3039" i="2"/>
  <c r="V3039" i="2"/>
  <c r="W3039" i="2"/>
  <c r="U3040" i="2"/>
  <c r="V3040" i="2"/>
  <c r="W3040" i="2"/>
  <c r="U3041" i="2"/>
  <c r="V3041" i="2"/>
  <c r="W3041" i="2"/>
  <c r="U3042" i="2"/>
  <c r="V3042" i="2"/>
  <c r="W3042" i="2"/>
  <c r="U3043" i="2"/>
  <c r="V3043" i="2"/>
  <c r="W3043" i="2"/>
  <c r="U3044" i="2"/>
  <c r="V3044" i="2"/>
  <c r="W3044" i="2"/>
  <c r="U3045" i="2"/>
  <c r="V3045" i="2"/>
  <c r="W3045" i="2"/>
  <c r="U3046" i="2"/>
  <c r="V3046" i="2"/>
  <c r="W3046" i="2"/>
  <c r="U3047" i="2"/>
  <c r="V3047" i="2"/>
  <c r="W3047" i="2"/>
  <c r="U3048" i="2"/>
  <c r="V3048" i="2"/>
  <c r="W3048" i="2"/>
  <c r="U3049" i="2"/>
  <c r="V3049" i="2"/>
  <c r="W3049" i="2"/>
  <c r="U3050" i="2"/>
  <c r="V3050" i="2"/>
  <c r="W3050" i="2"/>
  <c r="U3051" i="2"/>
  <c r="V3051" i="2"/>
  <c r="W3051" i="2"/>
  <c r="U3052" i="2"/>
  <c r="V3052" i="2"/>
  <c r="W3052" i="2"/>
  <c r="U3053" i="2"/>
  <c r="V3053" i="2"/>
  <c r="W3053" i="2"/>
  <c r="U3054" i="2"/>
  <c r="V3054" i="2"/>
  <c r="W3054" i="2"/>
  <c r="U3055" i="2"/>
  <c r="V3055" i="2"/>
  <c r="W3055" i="2"/>
  <c r="U3056" i="2"/>
  <c r="V3056" i="2"/>
  <c r="W3056" i="2"/>
  <c r="U3057" i="2"/>
  <c r="V3057" i="2"/>
  <c r="W3057" i="2"/>
  <c r="U3058" i="2"/>
  <c r="V3058" i="2"/>
  <c r="W3058" i="2"/>
  <c r="U3059" i="2"/>
  <c r="V3059" i="2"/>
  <c r="W3059" i="2"/>
  <c r="U3060" i="2"/>
  <c r="V3060" i="2"/>
  <c r="W3060" i="2"/>
  <c r="U3061" i="2"/>
  <c r="V3061" i="2"/>
  <c r="W3061" i="2"/>
  <c r="U3062" i="2"/>
  <c r="V3062" i="2"/>
  <c r="W3062" i="2"/>
  <c r="U3063" i="2"/>
  <c r="V3063" i="2"/>
  <c r="W3063" i="2"/>
  <c r="U3064" i="2"/>
  <c r="V3064" i="2"/>
  <c r="W3064" i="2"/>
  <c r="U3065" i="2"/>
  <c r="V3065" i="2"/>
  <c r="W3065" i="2"/>
  <c r="U3066" i="2"/>
  <c r="V3066" i="2"/>
  <c r="W3066" i="2"/>
  <c r="U3067" i="2"/>
  <c r="V3067" i="2"/>
  <c r="W3067" i="2"/>
  <c r="U3068" i="2"/>
  <c r="V3068" i="2"/>
  <c r="W3068" i="2"/>
  <c r="U3069" i="2"/>
  <c r="V3069" i="2"/>
  <c r="W3069" i="2"/>
  <c r="U3070" i="2"/>
  <c r="V3070" i="2"/>
  <c r="W3070" i="2"/>
  <c r="U3071" i="2"/>
  <c r="V3071" i="2"/>
  <c r="W3071" i="2"/>
  <c r="U3072" i="2"/>
  <c r="V3072" i="2"/>
  <c r="W3072" i="2"/>
  <c r="U3073" i="2"/>
  <c r="V3073" i="2"/>
  <c r="W3073" i="2"/>
  <c r="U3074" i="2"/>
  <c r="V3074" i="2"/>
  <c r="W3074" i="2"/>
  <c r="U3075" i="2"/>
  <c r="V3075" i="2"/>
  <c r="W3075" i="2"/>
  <c r="U3076" i="2"/>
  <c r="V3076" i="2"/>
  <c r="W3076" i="2"/>
  <c r="U3077" i="2"/>
  <c r="V3077" i="2"/>
  <c r="W3077" i="2"/>
  <c r="U3078" i="2"/>
  <c r="V3078" i="2"/>
  <c r="W3078" i="2"/>
  <c r="U3079" i="2"/>
  <c r="V3079" i="2"/>
  <c r="W3079" i="2"/>
  <c r="U3080" i="2"/>
  <c r="V3080" i="2"/>
  <c r="W3080" i="2"/>
  <c r="U3081" i="2"/>
  <c r="V3081" i="2"/>
  <c r="W3081" i="2"/>
  <c r="U3082" i="2"/>
  <c r="V3082" i="2"/>
  <c r="W3082" i="2"/>
  <c r="U3083" i="2"/>
  <c r="V3083" i="2"/>
  <c r="W3083" i="2"/>
  <c r="U3084" i="2"/>
  <c r="V3084" i="2"/>
  <c r="W3084" i="2"/>
  <c r="U3085" i="2"/>
  <c r="V3085" i="2"/>
  <c r="W3085" i="2"/>
  <c r="U3086" i="2"/>
  <c r="V3086" i="2"/>
  <c r="W3086" i="2"/>
  <c r="U3087" i="2"/>
  <c r="V3087" i="2"/>
  <c r="W3087" i="2"/>
  <c r="U3088" i="2"/>
  <c r="V3088" i="2"/>
  <c r="W3088" i="2"/>
  <c r="U3089" i="2"/>
  <c r="V3089" i="2"/>
  <c r="W3089" i="2"/>
  <c r="U3090" i="2"/>
  <c r="V3090" i="2"/>
  <c r="W3090" i="2"/>
  <c r="U3091" i="2"/>
  <c r="V3091" i="2"/>
  <c r="W3091" i="2"/>
  <c r="U3092" i="2"/>
  <c r="V3092" i="2"/>
  <c r="W3092" i="2"/>
  <c r="U3093" i="2"/>
  <c r="V3093" i="2"/>
  <c r="W3093" i="2"/>
  <c r="U3094" i="2"/>
  <c r="V3094" i="2"/>
  <c r="W3094" i="2"/>
  <c r="U3095" i="2"/>
  <c r="V3095" i="2"/>
  <c r="W3095" i="2"/>
  <c r="U3096" i="2"/>
  <c r="V3096" i="2"/>
  <c r="W3096" i="2"/>
  <c r="U3097" i="2"/>
  <c r="V3097" i="2"/>
  <c r="W3097" i="2"/>
  <c r="U3098" i="2"/>
  <c r="V3098" i="2"/>
  <c r="W3098" i="2"/>
  <c r="U3099" i="2"/>
  <c r="V3099" i="2"/>
  <c r="W3099" i="2"/>
  <c r="U3100" i="2"/>
  <c r="V3100" i="2"/>
  <c r="W3100" i="2"/>
  <c r="U3101" i="2"/>
  <c r="V3101" i="2"/>
  <c r="W3101" i="2"/>
  <c r="U3102" i="2"/>
  <c r="V3102" i="2"/>
  <c r="W3102" i="2"/>
  <c r="U3103" i="2"/>
  <c r="V3103" i="2"/>
  <c r="W3103" i="2"/>
  <c r="U3104" i="2"/>
  <c r="V3104" i="2"/>
  <c r="W3104" i="2"/>
  <c r="U3105" i="2"/>
  <c r="V3105" i="2"/>
  <c r="W3105" i="2"/>
  <c r="U3106" i="2"/>
  <c r="V3106" i="2"/>
  <c r="W3106" i="2"/>
  <c r="U3107" i="2"/>
  <c r="V3107" i="2"/>
  <c r="W3107" i="2"/>
  <c r="U3108" i="2"/>
  <c r="V3108" i="2"/>
  <c r="W3108" i="2"/>
  <c r="U3109" i="2"/>
  <c r="V3109" i="2"/>
  <c r="W3109" i="2"/>
  <c r="U3110" i="2"/>
  <c r="V3110" i="2"/>
  <c r="W3110" i="2"/>
  <c r="U3111" i="2"/>
  <c r="V3111" i="2"/>
  <c r="W3111" i="2"/>
  <c r="U3112" i="2"/>
  <c r="V3112" i="2"/>
  <c r="W3112" i="2"/>
  <c r="U3113" i="2"/>
  <c r="V3113" i="2"/>
  <c r="W3113" i="2"/>
  <c r="U3114" i="2"/>
  <c r="V3114" i="2"/>
  <c r="W3114" i="2"/>
  <c r="U3115" i="2"/>
  <c r="V3115" i="2"/>
  <c r="W3115" i="2"/>
  <c r="U3116" i="2"/>
  <c r="V3116" i="2"/>
  <c r="W3116" i="2"/>
  <c r="U3117" i="2"/>
  <c r="V3117" i="2"/>
  <c r="W3117" i="2"/>
  <c r="U3118" i="2"/>
  <c r="V3118" i="2"/>
  <c r="W3118" i="2"/>
  <c r="U3119" i="2"/>
  <c r="V3119" i="2"/>
  <c r="W3119" i="2"/>
  <c r="U3120" i="2"/>
  <c r="V3120" i="2"/>
  <c r="W3120" i="2"/>
  <c r="U3121" i="2"/>
  <c r="V3121" i="2"/>
  <c r="W3121" i="2"/>
  <c r="U3122" i="2"/>
  <c r="V3122" i="2"/>
  <c r="W3122" i="2"/>
  <c r="U3123" i="2"/>
  <c r="V3123" i="2"/>
  <c r="W3123" i="2"/>
  <c r="U3124" i="2"/>
  <c r="V3124" i="2"/>
  <c r="W3124" i="2"/>
  <c r="U3125" i="2"/>
  <c r="V3125" i="2"/>
  <c r="W3125" i="2"/>
  <c r="U3126" i="2"/>
  <c r="V3126" i="2"/>
  <c r="W3126" i="2"/>
  <c r="U3127" i="2"/>
  <c r="V3127" i="2"/>
  <c r="W3127" i="2"/>
  <c r="U3128" i="2"/>
  <c r="V3128" i="2"/>
  <c r="W3128" i="2"/>
  <c r="U3129" i="2"/>
  <c r="V3129" i="2"/>
  <c r="W3129" i="2"/>
  <c r="U3130" i="2"/>
  <c r="V3130" i="2"/>
  <c r="W3130" i="2"/>
  <c r="U3131" i="2"/>
  <c r="V3131" i="2"/>
  <c r="W3131" i="2"/>
  <c r="U3132" i="2"/>
  <c r="V3132" i="2"/>
  <c r="W3132" i="2"/>
  <c r="U3133" i="2"/>
  <c r="V3133" i="2"/>
  <c r="W3133" i="2"/>
  <c r="U3134" i="2"/>
  <c r="V3134" i="2"/>
  <c r="W3134" i="2"/>
  <c r="U3135" i="2"/>
  <c r="V3135" i="2"/>
  <c r="W3135" i="2"/>
  <c r="U3136" i="2"/>
  <c r="V3136" i="2"/>
  <c r="W3136" i="2"/>
  <c r="U3137" i="2"/>
  <c r="V3137" i="2"/>
  <c r="W3137" i="2"/>
  <c r="U3138" i="2"/>
  <c r="V3138" i="2"/>
  <c r="W3138" i="2"/>
  <c r="U3139" i="2"/>
  <c r="V3139" i="2"/>
  <c r="W3139" i="2"/>
  <c r="U3140" i="2"/>
  <c r="V3140" i="2"/>
  <c r="W3140" i="2"/>
  <c r="U3141" i="2"/>
  <c r="V3141" i="2"/>
  <c r="W3141" i="2"/>
  <c r="U3142" i="2"/>
  <c r="V3142" i="2"/>
  <c r="W3142" i="2"/>
  <c r="U3144" i="2"/>
  <c r="V3144" i="2"/>
  <c r="W3144" i="2"/>
  <c r="U3145" i="2"/>
  <c r="V3145" i="2"/>
  <c r="W3145" i="2"/>
  <c r="U3146" i="2"/>
  <c r="V3146" i="2"/>
  <c r="W3146" i="2"/>
  <c r="U3147" i="2"/>
  <c r="V3147" i="2"/>
  <c r="W3147" i="2"/>
  <c r="U3148" i="2"/>
  <c r="V3148" i="2"/>
  <c r="W3148" i="2"/>
  <c r="U3149" i="2"/>
  <c r="V3149" i="2"/>
  <c r="W3149" i="2"/>
  <c r="U3150" i="2"/>
  <c r="V3150" i="2"/>
  <c r="W3150" i="2"/>
  <c r="U3151" i="2"/>
  <c r="V3151" i="2"/>
  <c r="W3151" i="2"/>
  <c r="U3152" i="2"/>
  <c r="V3152" i="2"/>
  <c r="W3152" i="2"/>
  <c r="U3153" i="2"/>
  <c r="V3153" i="2"/>
  <c r="W3153" i="2"/>
  <c r="U3154" i="2"/>
  <c r="V3154" i="2"/>
  <c r="W3154" i="2"/>
  <c r="U3155" i="2"/>
  <c r="V3155" i="2"/>
  <c r="W3155" i="2"/>
  <c r="U3156" i="2"/>
  <c r="V3156" i="2"/>
  <c r="W3156" i="2"/>
  <c r="U3157" i="2"/>
  <c r="V3157" i="2"/>
  <c r="W3157" i="2"/>
  <c r="U3158" i="2"/>
  <c r="V3158" i="2"/>
  <c r="W3158" i="2"/>
  <c r="U3159" i="2"/>
  <c r="V3159" i="2"/>
  <c r="W3159" i="2"/>
  <c r="U3160" i="2"/>
  <c r="V3160" i="2"/>
  <c r="W3160" i="2"/>
  <c r="U3161" i="2"/>
  <c r="V3161" i="2"/>
  <c r="W3161" i="2"/>
  <c r="U3162" i="2"/>
  <c r="V3162" i="2"/>
  <c r="W3162" i="2"/>
  <c r="U3163" i="2"/>
  <c r="V3163" i="2"/>
  <c r="W3163" i="2"/>
  <c r="U3164" i="2"/>
  <c r="V3164" i="2"/>
  <c r="W3164" i="2"/>
  <c r="U3165" i="2"/>
  <c r="V3165" i="2"/>
  <c r="W3165" i="2"/>
  <c r="U3166" i="2"/>
  <c r="V3166" i="2"/>
  <c r="W3166" i="2"/>
  <c r="U3167" i="2"/>
  <c r="V3167" i="2"/>
  <c r="W3167" i="2"/>
  <c r="U3168" i="2"/>
  <c r="V3168" i="2"/>
  <c r="W3168" i="2"/>
  <c r="U3169" i="2"/>
  <c r="V3169" i="2"/>
  <c r="W3169" i="2"/>
  <c r="U3170" i="2"/>
  <c r="V3170" i="2"/>
  <c r="W3170" i="2"/>
  <c r="U3171" i="2"/>
  <c r="V3171" i="2"/>
  <c r="W3171" i="2"/>
  <c r="R1015" i="2"/>
  <c r="T1015" i="2"/>
  <c r="R1013" i="2"/>
  <c r="T1013" i="2"/>
  <c r="R1012" i="2"/>
  <c r="T1012" i="2"/>
  <c r="R1011" i="2"/>
  <c r="T1011" i="2"/>
  <c r="R1008" i="2"/>
  <c r="T1008" i="2"/>
  <c r="R1006" i="2"/>
  <c r="T1006" i="2"/>
  <c r="R1005" i="2"/>
  <c r="T1005" i="2"/>
  <c r="R1002" i="2"/>
  <c r="T1002" i="2"/>
  <c r="R1000" i="2"/>
  <c r="T1000" i="2"/>
  <c r="R992" i="2"/>
  <c r="T992" i="2"/>
  <c r="R989" i="2"/>
  <c r="T989" i="2"/>
  <c r="R985" i="2"/>
  <c r="T985" i="2"/>
  <c r="R984" i="2"/>
  <c r="T984" i="2"/>
  <c r="R976" i="2"/>
  <c r="T976" i="2"/>
  <c r="R970" i="2"/>
  <c r="T970" i="2"/>
  <c r="R960" i="2"/>
  <c r="T960" i="2"/>
  <c r="R957" i="2"/>
  <c r="T957" i="2"/>
  <c r="R956" i="2"/>
  <c r="T956" i="2"/>
  <c r="R955" i="2"/>
  <c r="T955" i="2"/>
  <c r="R953" i="2"/>
  <c r="T953" i="2"/>
  <c r="R951" i="2"/>
  <c r="T951" i="2"/>
  <c r="R950" i="2"/>
  <c r="T950" i="2"/>
  <c r="R948" i="2"/>
  <c r="T948" i="2"/>
  <c r="R946" i="2"/>
  <c r="T946" i="2"/>
  <c r="R944" i="2"/>
  <c r="T944" i="2"/>
  <c r="R943" i="2"/>
  <c r="T943" i="2"/>
  <c r="R937" i="2"/>
  <c r="T937" i="2"/>
  <c r="R933" i="2"/>
  <c r="T933" i="2"/>
  <c r="R932" i="2"/>
  <c r="T932" i="2"/>
  <c r="R928" i="2"/>
  <c r="T928" i="2"/>
  <c r="R924" i="2"/>
  <c r="T924" i="2"/>
  <c r="R923" i="2"/>
  <c r="T923" i="2"/>
  <c r="R922" i="2"/>
  <c r="T922" i="2"/>
  <c r="R917" i="2"/>
  <c r="T917" i="2"/>
  <c r="R916" i="2"/>
  <c r="T916" i="2"/>
  <c r="R915" i="2"/>
  <c r="T915" i="2"/>
  <c r="R914" i="2"/>
  <c r="T914" i="2"/>
  <c r="R913" i="2"/>
  <c r="T913" i="2"/>
  <c r="R909" i="2"/>
  <c r="T909" i="2"/>
  <c r="R908" i="2"/>
  <c r="T908" i="2"/>
  <c r="R907" i="2"/>
  <c r="T907" i="2"/>
  <c r="R906" i="2"/>
  <c r="T906" i="2"/>
  <c r="R905" i="2"/>
  <c r="T905" i="2"/>
  <c r="R900" i="2"/>
  <c r="T900" i="2"/>
  <c r="R895" i="2"/>
  <c r="T895" i="2"/>
  <c r="R892" i="2"/>
  <c r="T892" i="2"/>
  <c r="R890" i="2"/>
  <c r="T890" i="2"/>
  <c r="R887" i="2"/>
  <c r="T887" i="2"/>
  <c r="R886" i="2"/>
  <c r="T886" i="2"/>
  <c r="R885" i="2"/>
  <c r="T885" i="2"/>
  <c r="R882" i="2"/>
  <c r="T882" i="2"/>
  <c r="R881" i="2"/>
  <c r="T881" i="2"/>
  <c r="R880" i="2"/>
  <c r="T880" i="2"/>
  <c r="R878" i="2"/>
  <c r="T878" i="2"/>
  <c r="R877" i="2"/>
  <c r="T877" i="2"/>
  <c r="R876" i="2"/>
  <c r="T876" i="2"/>
  <c r="R874" i="2"/>
  <c r="T874" i="2"/>
  <c r="R871" i="2"/>
  <c r="T871" i="2"/>
  <c r="R869" i="2"/>
  <c r="T869" i="2"/>
  <c r="R868" i="2"/>
  <c r="T868" i="2"/>
  <c r="R864" i="2"/>
  <c r="T864" i="2"/>
  <c r="R863" i="2"/>
  <c r="T863" i="2"/>
  <c r="R862" i="2"/>
  <c r="T862" i="2"/>
  <c r="R860" i="2"/>
  <c r="T860" i="2"/>
  <c r="R856" i="2"/>
  <c r="T856" i="2"/>
  <c r="R855" i="2"/>
  <c r="T855" i="2"/>
  <c r="R854" i="2"/>
  <c r="T854" i="2"/>
  <c r="R853" i="2"/>
  <c r="T853" i="2"/>
  <c r="R851" i="2"/>
  <c r="T851" i="2"/>
  <c r="R848" i="2"/>
  <c r="T848" i="2"/>
  <c r="R844" i="2"/>
  <c r="T844" i="2"/>
  <c r="R840" i="2"/>
  <c r="T840" i="2"/>
  <c r="R838" i="2"/>
  <c r="T838" i="2"/>
  <c r="R835" i="2"/>
  <c r="T835" i="2"/>
  <c r="R832" i="2"/>
  <c r="T832" i="2"/>
  <c r="R830" i="2"/>
  <c r="T830" i="2"/>
  <c r="R829" i="2"/>
  <c r="T829" i="2"/>
  <c r="R824" i="2"/>
  <c r="T824" i="2"/>
  <c r="R804" i="2"/>
  <c r="T804" i="2"/>
  <c r="R792" i="2"/>
  <c r="T792" i="2"/>
  <c r="R776" i="2"/>
  <c r="T776" i="2"/>
  <c r="R764" i="2"/>
  <c r="T764" i="2"/>
  <c r="R760" i="2"/>
  <c r="T760" i="2"/>
  <c r="R744" i="2"/>
  <c r="T744" i="2"/>
  <c r="R732" i="2"/>
  <c r="T732" i="2"/>
  <c r="R698" i="2"/>
  <c r="T698" i="2"/>
  <c r="R696" i="2"/>
  <c r="T696" i="2"/>
  <c r="R688" i="2"/>
  <c r="T688" i="2"/>
  <c r="R686" i="2"/>
  <c r="T686" i="2"/>
  <c r="R684" i="2"/>
  <c r="T684" i="2"/>
  <c r="R680" i="2"/>
  <c r="T680" i="2"/>
  <c r="R678" i="2"/>
  <c r="T678" i="2"/>
  <c r="R673" i="2"/>
  <c r="T673" i="2"/>
  <c r="R671" i="2"/>
  <c r="T671" i="2"/>
  <c r="R669" i="2"/>
  <c r="T669" i="2"/>
  <c r="R667" i="2"/>
  <c r="T667" i="2"/>
  <c r="R665" i="2"/>
  <c r="T665" i="2"/>
  <c r="R661" i="2"/>
  <c r="T661" i="2"/>
  <c r="R660" i="2"/>
  <c r="T660" i="2"/>
  <c r="R655" i="2"/>
  <c r="T655" i="2"/>
  <c r="R654" i="2"/>
  <c r="T654" i="2"/>
  <c r="R649" i="2"/>
  <c r="T649" i="2"/>
  <c r="R648" i="2"/>
  <c r="T648" i="2"/>
  <c r="R646" i="2"/>
  <c r="T646" i="2"/>
  <c r="R640" i="2"/>
  <c r="T640" i="2"/>
  <c r="R638" i="2"/>
  <c r="T638" i="2"/>
  <c r="R637" i="2"/>
  <c r="T637" i="2"/>
  <c r="R636" i="2"/>
  <c r="T636" i="2"/>
  <c r="R635" i="2"/>
  <c r="T635" i="2"/>
  <c r="R633" i="2"/>
  <c r="T633" i="2"/>
  <c r="R632" i="2"/>
  <c r="T632" i="2"/>
  <c r="R630" i="2"/>
  <c r="T630" i="2"/>
  <c r="R628" i="2"/>
  <c r="T628" i="2"/>
  <c r="R622" i="2"/>
  <c r="T622" i="2"/>
  <c r="R621" i="2"/>
  <c r="T621" i="2"/>
  <c r="R620" i="2"/>
  <c r="T620" i="2"/>
  <c r="R619" i="2"/>
  <c r="T619" i="2"/>
  <c r="R616" i="2"/>
  <c r="T616" i="2"/>
  <c r="R615" i="2"/>
  <c r="T615" i="2"/>
  <c r="R613" i="2"/>
  <c r="T613" i="2"/>
  <c r="R610" i="2"/>
  <c r="T610" i="2"/>
  <c r="R608" i="2"/>
  <c r="T608" i="2"/>
  <c r="R606" i="2"/>
  <c r="T606" i="2"/>
  <c r="R604" i="2"/>
  <c r="T604" i="2"/>
  <c r="R603" i="2"/>
  <c r="T603" i="2"/>
  <c r="R601" i="2"/>
  <c r="T601" i="2"/>
  <c r="R595" i="2"/>
  <c r="T595" i="2"/>
  <c r="R587" i="2"/>
  <c r="T587" i="2"/>
  <c r="R586" i="2"/>
  <c r="T586" i="2"/>
  <c r="R577" i="2"/>
  <c r="T577" i="2"/>
  <c r="R574" i="2"/>
  <c r="T574" i="2"/>
  <c r="R573" i="2"/>
  <c r="T573" i="2"/>
  <c r="R565" i="2"/>
  <c r="T565" i="2"/>
  <c r="R813" i="2"/>
  <c r="T813" i="2"/>
  <c r="R809" i="2"/>
  <c r="T809" i="2"/>
  <c r="R797" i="2"/>
  <c r="T797" i="2"/>
  <c r="R786" i="2"/>
  <c r="T786" i="2"/>
  <c r="R777" i="2"/>
  <c r="T777" i="2"/>
  <c r="R773" i="2"/>
  <c r="T773" i="2"/>
  <c r="R769" i="2"/>
  <c r="T769" i="2"/>
  <c r="R755" i="2"/>
  <c r="T755" i="2"/>
  <c r="R743" i="2"/>
  <c r="T743" i="2"/>
  <c r="R723" i="2"/>
  <c r="T723" i="2"/>
  <c r="R720" i="2"/>
  <c r="T720" i="2"/>
  <c r="R712" i="2"/>
  <c r="T712" i="2"/>
  <c r="R708" i="2"/>
  <c r="T708" i="2"/>
  <c r="R548" i="2"/>
  <c r="T548" i="2"/>
  <c r="R542" i="2"/>
  <c r="T542" i="2"/>
  <c r="R519" i="2"/>
  <c r="T519" i="2"/>
  <c r="R515" i="2"/>
  <c r="T515" i="2"/>
  <c r="R514" i="2"/>
  <c r="T514" i="2"/>
  <c r="R512" i="2"/>
  <c r="T512" i="2"/>
  <c r="R491" i="2"/>
  <c r="T491" i="2"/>
  <c r="R489" i="2"/>
  <c r="T489" i="2"/>
  <c r="R488" i="2"/>
  <c r="T488" i="2"/>
  <c r="R487" i="2"/>
  <c r="T487" i="2"/>
  <c r="R486" i="2"/>
  <c r="T486" i="2"/>
  <c r="R482" i="2"/>
  <c r="T482" i="2"/>
  <c r="R477" i="2"/>
  <c r="T477" i="2"/>
  <c r="R468" i="2"/>
  <c r="T468" i="2"/>
  <c r="R465" i="2"/>
  <c r="T465" i="2"/>
  <c r="R455" i="2"/>
  <c r="T455" i="2"/>
  <c r="R453" i="2"/>
  <c r="T453" i="2"/>
  <c r="R451" i="2"/>
  <c r="T451" i="2"/>
  <c r="R426" i="2"/>
  <c r="T426" i="2"/>
  <c r="R416" i="2"/>
  <c r="T416" i="2"/>
  <c r="R414" i="2"/>
  <c r="T414" i="2"/>
  <c r="R411" i="2"/>
  <c r="T411" i="2"/>
  <c r="R408" i="2"/>
  <c r="T408" i="2"/>
  <c r="R401" i="2"/>
  <c r="T401" i="2"/>
  <c r="R396" i="2"/>
  <c r="T396" i="2"/>
  <c r="R393" i="2"/>
  <c r="T393" i="2"/>
  <c r="R392" i="2"/>
  <c r="T392" i="2"/>
  <c r="R391" i="2"/>
  <c r="T391" i="2"/>
  <c r="R390" i="2"/>
  <c r="T390" i="2"/>
  <c r="R384" i="2"/>
  <c r="T384" i="2"/>
  <c r="R383" i="2"/>
  <c r="T383" i="2"/>
  <c r="R376" i="2"/>
  <c r="T376" i="2"/>
  <c r="R375" i="2"/>
  <c r="T375" i="2"/>
  <c r="R372" i="2"/>
  <c r="T372" i="2"/>
  <c r="R371" i="2"/>
  <c r="T371" i="2"/>
  <c r="R369" i="2"/>
  <c r="T369" i="2"/>
  <c r="R367" i="2"/>
  <c r="T367" i="2"/>
  <c r="R366" i="2"/>
  <c r="T366" i="2"/>
  <c r="R364" i="2"/>
  <c r="T364" i="2"/>
  <c r="R362" i="2"/>
  <c r="T362" i="2"/>
  <c r="R347" i="2"/>
  <c r="T347" i="2"/>
  <c r="R342" i="2"/>
  <c r="T342" i="2"/>
  <c r="R341" i="2"/>
  <c r="T341" i="2"/>
  <c r="R339" i="2"/>
  <c r="T339" i="2"/>
  <c r="R338" i="2"/>
  <c r="T338" i="2"/>
  <c r="R336" i="2"/>
  <c r="T336" i="2"/>
  <c r="R335" i="2"/>
  <c r="T335" i="2"/>
  <c r="R328" i="2"/>
  <c r="T328" i="2"/>
  <c r="R327" i="2"/>
  <c r="T327" i="2"/>
  <c r="R326" i="2"/>
  <c r="T326" i="2"/>
  <c r="R323" i="2"/>
  <c r="T323" i="2"/>
  <c r="R316" i="2"/>
  <c r="T316" i="2"/>
  <c r="R315" i="2"/>
  <c r="T315" i="2"/>
  <c r="R314" i="2"/>
  <c r="T314" i="2"/>
  <c r="R313" i="2"/>
  <c r="T313" i="2"/>
  <c r="R310" i="2"/>
  <c r="T310" i="2"/>
  <c r="R306" i="2"/>
  <c r="T306" i="2"/>
  <c r="R304" i="2"/>
  <c r="T304" i="2"/>
  <c r="R302" i="2"/>
  <c r="T302" i="2"/>
  <c r="R301" i="2"/>
  <c r="T301" i="2"/>
  <c r="R300" i="2"/>
  <c r="T300" i="2"/>
  <c r="R819" i="2"/>
  <c r="T819" i="2"/>
  <c r="R815" i="2"/>
  <c r="T815" i="2"/>
  <c r="R807" i="2"/>
  <c r="T807" i="2"/>
  <c r="R803" i="2"/>
  <c r="T803" i="2"/>
  <c r="R795" i="2"/>
  <c r="T795" i="2"/>
  <c r="R791" i="2"/>
  <c r="T791" i="2"/>
  <c r="R779" i="2"/>
  <c r="T779" i="2"/>
  <c r="R775" i="2"/>
  <c r="T775" i="2"/>
  <c r="R749" i="2"/>
  <c r="T749" i="2"/>
  <c r="R745" i="2"/>
  <c r="T745" i="2"/>
  <c r="R733" i="2"/>
  <c r="T733" i="2"/>
  <c r="R722" i="2"/>
  <c r="T722" i="2"/>
  <c r="R706" i="2"/>
  <c r="T706" i="2"/>
  <c r="R552" i="2"/>
  <c r="T552" i="2"/>
  <c r="R549" i="2"/>
  <c r="T549" i="2"/>
  <c r="R546" i="2"/>
  <c r="T546" i="2"/>
  <c r="R536" i="2"/>
  <c r="T536" i="2"/>
  <c r="R529" i="2"/>
  <c r="T529" i="2"/>
  <c r="R523" i="2"/>
  <c r="T523" i="2"/>
  <c r="R522" i="2"/>
  <c r="T522" i="2"/>
  <c r="R509" i="2"/>
  <c r="T509" i="2"/>
  <c r="R507" i="2"/>
  <c r="T507" i="2"/>
  <c r="R505" i="2"/>
  <c r="T505" i="2"/>
  <c r="R501" i="2"/>
  <c r="T501" i="2"/>
  <c r="R495" i="2"/>
  <c r="T495" i="2"/>
  <c r="R483" i="2"/>
  <c r="T483" i="2"/>
  <c r="R478" i="2"/>
  <c r="T478" i="2"/>
  <c r="R467" i="2"/>
  <c r="T467" i="2"/>
  <c r="R458" i="2"/>
  <c r="T458" i="2"/>
  <c r="R454" i="2"/>
  <c r="T454" i="2"/>
  <c r="R450" i="2"/>
  <c r="T450" i="2"/>
  <c r="R444" i="2"/>
  <c r="T444" i="2"/>
  <c r="R442" i="2"/>
  <c r="T442" i="2"/>
  <c r="R440" i="2"/>
  <c r="T440" i="2"/>
  <c r="R431" i="2"/>
  <c r="T431" i="2"/>
  <c r="R427" i="2"/>
  <c r="T427" i="2"/>
  <c r="R425" i="2"/>
  <c r="T425" i="2"/>
  <c r="R419" i="2"/>
  <c r="T419" i="2"/>
  <c r="R417" i="2"/>
  <c r="T417" i="2"/>
  <c r="R296" i="2"/>
  <c r="T296" i="2"/>
  <c r="R290" i="2"/>
  <c r="T290" i="2"/>
  <c r="R287" i="2"/>
  <c r="T287" i="2"/>
  <c r="R286" i="2"/>
  <c r="T286" i="2"/>
  <c r="R279" i="2"/>
  <c r="T279" i="2"/>
  <c r="R275" i="2"/>
  <c r="T275" i="2"/>
  <c r="R274" i="2"/>
  <c r="T274" i="2"/>
  <c r="R269" i="2"/>
  <c r="T269" i="2"/>
  <c r="R267" i="2"/>
  <c r="T267" i="2"/>
  <c r="R258" i="2"/>
  <c r="T258" i="2"/>
  <c r="R257" i="2"/>
  <c r="T257" i="2"/>
  <c r="R255" i="2"/>
  <c r="T255" i="2"/>
  <c r="R254" i="2"/>
  <c r="T254" i="2"/>
  <c r="R253" i="2"/>
  <c r="T253" i="2"/>
  <c r="R245" i="2"/>
  <c r="T245" i="2"/>
  <c r="R241" i="2"/>
  <c r="T241" i="2"/>
  <c r="R233" i="2"/>
  <c r="T233" i="2"/>
  <c r="R232" i="2"/>
  <c r="T232" i="2"/>
  <c r="R229" i="2"/>
  <c r="T229" i="2"/>
  <c r="R226" i="2"/>
  <c r="T226" i="2"/>
  <c r="R224" i="2"/>
  <c r="T224" i="2"/>
  <c r="R218" i="2"/>
  <c r="T218" i="2"/>
  <c r="R215" i="2"/>
  <c r="T215" i="2"/>
  <c r="R214" i="2"/>
  <c r="T214" i="2"/>
  <c r="R213" i="2"/>
  <c r="T213" i="2"/>
  <c r="R206" i="2"/>
  <c r="T206" i="2"/>
  <c r="R203" i="2"/>
  <c r="T203" i="2"/>
  <c r="R201" i="2"/>
  <c r="T201" i="2"/>
  <c r="R199" i="2"/>
  <c r="T199" i="2"/>
  <c r="R191" i="2"/>
  <c r="T191" i="2"/>
  <c r="R190" i="2"/>
  <c r="T190" i="2"/>
  <c r="R187" i="2"/>
  <c r="T187" i="2"/>
  <c r="R183" i="2"/>
  <c r="T183" i="2"/>
  <c r="R181" i="2"/>
  <c r="T181" i="2"/>
  <c r="R180" i="2"/>
  <c r="T180" i="2"/>
  <c r="R174" i="2"/>
  <c r="T174" i="2"/>
  <c r="R173" i="2"/>
  <c r="T173" i="2"/>
  <c r="R171" i="2"/>
  <c r="T171" i="2"/>
  <c r="R170" i="2"/>
  <c r="T170" i="2"/>
  <c r="R168" i="2"/>
  <c r="T168" i="2"/>
  <c r="R821" i="2"/>
  <c r="T821" i="2"/>
  <c r="R814" i="2"/>
  <c r="T814" i="2"/>
  <c r="R789" i="2"/>
  <c r="T789" i="2"/>
  <c r="R774" i="2"/>
  <c r="T774" i="2"/>
  <c r="R758" i="2"/>
  <c r="T758" i="2"/>
  <c r="R746" i="2"/>
  <c r="T746" i="2"/>
  <c r="R738" i="2"/>
  <c r="T738" i="2"/>
  <c r="R734" i="2"/>
  <c r="T734" i="2"/>
  <c r="R725" i="2"/>
  <c r="T725" i="2"/>
  <c r="R713" i="2"/>
  <c r="T713" i="2"/>
  <c r="R553" i="2"/>
  <c r="T553" i="2"/>
  <c r="R550" i="2"/>
  <c r="T550" i="2"/>
  <c r="R541" i="2"/>
  <c r="T541" i="2"/>
  <c r="R538" i="2"/>
  <c r="T538" i="2"/>
  <c r="R535" i="2"/>
  <c r="T535" i="2"/>
  <c r="R533" i="2"/>
  <c r="T533" i="2"/>
  <c r="R524" i="2"/>
  <c r="T524" i="2"/>
  <c r="R152" i="2"/>
  <c r="T152" i="2"/>
  <c r="R143" i="2"/>
  <c r="T143" i="2"/>
  <c r="R141" i="2"/>
  <c r="T141" i="2"/>
  <c r="R137" i="2"/>
  <c r="T137" i="2"/>
  <c r="R136" i="2"/>
  <c r="T136" i="2"/>
  <c r="R134" i="2"/>
  <c r="T134" i="2"/>
  <c r="R130" i="2"/>
  <c r="T130" i="2"/>
  <c r="R127" i="2"/>
  <c r="T127" i="2"/>
  <c r="R125" i="2"/>
  <c r="T125" i="2"/>
  <c r="R124" i="2"/>
  <c r="T124" i="2"/>
  <c r="R121" i="2"/>
  <c r="T121" i="2"/>
  <c r="R119" i="2"/>
  <c r="T119" i="2"/>
  <c r="R118" i="2"/>
  <c r="T118" i="2"/>
  <c r="R116" i="2"/>
  <c r="T116" i="2"/>
  <c r="R115" i="2"/>
  <c r="T115" i="2"/>
  <c r="R108" i="2"/>
  <c r="T108" i="2"/>
  <c r="R107" i="2"/>
  <c r="T107" i="2"/>
  <c r="R106" i="2"/>
  <c r="T106" i="2"/>
  <c r="R103" i="2"/>
  <c r="T103" i="2"/>
  <c r="R96" i="2"/>
  <c r="T96" i="2"/>
  <c r="R95" i="2"/>
  <c r="T95" i="2"/>
  <c r="R94" i="2"/>
  <c r="T94" i="2"/>
  <c r="R92" i="2"/>
  <c r="T92" i="2"/>
  <c r="R81" i="2"/>
  <c r="T81" i="2"/>
  <c r="R80" i="2"/>
  <c r="T80" i="2"/>
  <c r="R77" i="2"/>
  <c r="T77" i="2"/>
  <c r="R76" i="2"/>
  <c r="T76" i="2"/>
  <c r="R74" i="2"/>
  <c r="T74" i="2"/>
  <c r="R73" i="2"/>
  <c r="T73" i="2"/>
  <c r="R72" i="2"/>
  <c r="T72" i="2"/>
  <c r="R71" i="2"/>
  <c r="T71" i="2"/>
  <c r="R70" i="2"/>
  <c r="T70" i="2"/>
  <c r="R69" i="2"/>
  <c r="T69" i="2"/>
  <c r="R67" i="2"/>
  <c r="T67" i="2"/>
  <c r="R64" i="2"/>
  <c r="T64" i="2"/>
  <c r="R62" i="2"/>
  <c r="T62" i="2"/>
  <c r="R61" i="2"/>
  <c r="T61" i="2"/>
  <c r="R53" i="2"/>
  <c r="T53" i="2"/>
  <c r="R51" i="2"/>
  <c r="T51" i="2"/>
  <c r="R50" i="2"/>
  <c r="T50" i="2"/>
  <c r="R49" i="2"/>
  <c r="T49" i="2"/>
  <c r="R45" i="2"/>
  <c r="T45" i="2"/>
  <c r="R44" i="2"/>
  <c r="T44" i="2"/>
  <c r="R41" i="2"/>
  <c r="T41" i="2"/>
  <c r="R39" i="2"/>
  <c r="T39" i="2"/>
  <c r="R38" i="2"/>
  <c r="T38" i="2"/>
  <c r="R37" i="2"/>
  <c r="T37" i="2"/>
  <c r="R34" i="2"/>
  <c r="T34" i="2"/>
  <c r="R33" i="2"/>
  <c r="T33" i="2"/>
  <c r="R31" i="2"/>
  <c r="T31" i="2"/>
  <c r="R28" i="2"/>
  <c r="T28" i="2"/>
  <c r="R25" i="2"/>
  <c r="T25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727" i="2"/>
  <c r="S745" i="2"/>
  <c r="S746" i="2"/>
  <c r="S751" i="2"/>
  <c r="S752" i="2"/>
  <c r="S753" i="2"/>
  <c r="S758" i="2"/>
  <c r="S759" i="2"/>
  <c r="S760" i="2"/>
  <c r="S769" i="2"/>
  <c r="S770" i="2"/>
  <c r="S771" i="2"/>
  <c r="S783" i="2"/>
  <c r="S784" i="2"/>
  <c r="S789" i="2"/>
  <c r="S790" i="2"/>
  <c r="S799" i="2"/>
  <c r="S800" i="2"/>
  <c r="S811" i="2"/>
  <c r="S816" i="2"/>
  <c r="S835" i="2"/>
  <c r="S847" i="2"/>
  <c r="S852" i="2"/>
  <c r="S853" i="2"/>
  <c r="S854" i="2"/>
  <c r="S863" i="2"/>
  <c r="S864" i="2"/>
  <c r="S865" i="2"/>
  <c r="S874" i="2"/>
  <c r="S883" i="2"/>
  <c r="S889" i="2"/>
  <c r="S890" i="2"/>
  <c r="S899" i="2"/>
  <c r="S900" i="2"/>
  <c r="S901" i="2"/>
  <c r="S902" i="2"/>
  <c r="S903" i="2"/>
  <c r="S904" i="2"/>
  <c r="S909" i="2"/>
  <c r="S914" i="2"/>
  <c r="S915" i="2"/>
  <c r="S916" i="2"/>
  <c r="S917" i="2"/>
  <c r="S941" i="2"/>
  <c r="S955" i="2"/>
  <c r="S956" i="2"/>
  <c r="S957" i="2"/>
  <c r="S961" i="2"/>
  <c r="S985" i="2"/>
  <c r="S990" i="2"/>
  <c r="S991" i="2"/>
  <c r="S992" i="2"/>
  <c r="S993" i="2"/>
  <c r="S994" i="2"/>
  <c r="S1012" i="2"/>
  <c r="S1013" i="2"/>
  <c r="S1014" i="2"/>
  <c r="S165" i="2"/>
  <c r="S166" i="2"/>
  <c r="S167" i="2"/>
  <c r="S168" i="2"/>
  <c r="S171" i="2"/>
  <c r="S172" i="2"/>
  <c r="S173" i="2"/>
  <c r="S177" i="2"/>
  <c r="S178" i="2"/>
  <c r="S179" i="2"/>
  <c r="S181" i="2"/>
  <c r="S182" i="2"/>
  <c r="S183" i="2"/>
  <c r="S185" i="2"/>
  <c r="S186" i="2"/>
  <c r="S187" i="2"/>
  <c r="S190" i="2"/>
  <c r="S191" i="2"/>
  <c r="S192" i="2"/>
  <c r="S194" i="2"/>
  <c r="S198" i="2"/>
  <c r="S200" i="2"/>
  <c r="S203" i="2"/>
  <c r="S204" i="2"/>
  <c r="S205" i="2"/>
  <c r="S206" i="2"/>
  <c r="S207" i="2"/>
  <c r="S208" i="2"/>
  <c r="S209" i="2"/>
  <c r="S211" i="2"/>
  <c r="S214" i="2"/>
  <c r="S215" i="2"/>
  <c r="S217" i="2"/>
  <c r="S219" i="2"/>
  <c r="S220" i="2"/>
  <c r="S223" i="2"/>
  <c r="S224" i="2"/>
  <c r="S231" i="2"/>
  <c r="S234" i="2"/>
  <c r="S235" i="2"/>
  <c r="S237" i="2"/>
  <c r="S239" i="2"/>
  <c r="S241" i="2"/>
  <c r="S242" i="2"/>
  <c r="S244" i="2"/>
  <c r="S246" i="2"/>
  <c r="S248" i="2"/>
  <c r="S250" i="2"/>
  <c r="S251" i="2"/>
  <c r="S253" i="2"/>
  <c r="S257" i="2"/>
  <c r="S258" i="2"/>
  <c r="S259" i="2"/>
  <c r="S260" i="2"/>
  <c r="S263" i="2"/>
  <c r="S264" i="2"/>
  <c r="S273" i="2"/>
  <c r="S274" i="2"/>
  <c r="S276" i="2"/>
  <c r="S278" i="2"/>
  <c r="S280" i="2"/>
  <c r="S282" i="2"/>
  <c r="S285" i="2"/>
  <c r="S286" i="2"/>
  <c r="S290" i="2"/>
  <c r="S291" i="2"/>
  <c r="S293" i="2"/>
  <c r="S295" i="2"/>
  <c r="S296" i="2"/>
  <c r="S298" i="2"/>
  <c r="S301" i="2"/>
  <c r="S309" i="2"/>
  <c r="S311" i="2"/>
  <c r="S313" i="2"/>
  <c r="S315" i="2"/>
  <c r="S317" i="2"/>
  <c r="S319" i="2"/>
  <c r="S322" i="2"/>
  <c r="S324" i="2"/>
  <c r="S326" i="2"/>
  <c r="S328" i="2"/>
  <c r="S428" i="2"/>
  <c r="S429" i="2"/>
  <c r="S432" i="2"/>
  <c r="S433" i="2"/>
  <c r="S436" i="2"/>
  <c r="S437" i="2"/>
  <c r="S440" i="2"/>
  <c r="S445" i="2"/>
  <c r="S448" i="2"/>
  <c r="S451" i="2"/>
  <c r="S454" i="2"/>
  <c r="S455" i="2"/>
  <c r="S458" i="2"/>
  <c r="S461" i="2"/>
  <c r="S464" i="2"/>
  <c r="S467" i="2"/>
  <c r="S468" i="2"/>
  <c r="S469" i="2"/>
  <c r="S473" i="2"/>
  <c r="S477" i="2"/>
  <c r="S478" i="2"/>
  <c r="S483" i="2"/>
  <c r="S486" i="2"/>
  <c r="S492" i="2"/>
  <c r="S495" i="2"/>
  <c r="S498" i="2"/>
  <c r="S501" i="2"/>
  <c r="S502" i="2"/>
  <c r="S503" i="2"/>
  <c r="S506" i="2"/>
  <c r="S509" i="2"/>
  <c r="S512" i="2"/>
  <c r="S513" i="2"/>
  <c r="S516" i="2"/>
  <c r="S517" i="2"/>
  <c r="S520" i="2"/>
  <c r="S523" i="2"/>
  <c r="S526" i="2"/>
  <c r="S531" i="2"/>
  <c r="S532" i="2"/>
  <c r="S535" i="2"/>
  <c r="S538" i="2"/>
  <c r="S541" i="2"/>
  <c r="S544" i="2"/>
  <c r="S545" i="2"/>
  <c r="S551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700" i="2"/>
  <c r="S711" i="2"/>
  <c r="S712" i="2"/>
  <c r="S713" i="2"/>
  <c r="S714" i="2"/>
  <c r="S715" i="2"/>
  <c r="S716" i="2"/>
  <c r="S726" i="2"/>
  <c r="S728" i="2"/>
  <c r="S729" i="2"/>
  <c r="S730" i="2"/>
  <c r="S731" i="2"/>
  <c r="S732" i="2"/>
  <c r="S737" i="2"/>
  <c r="S757" i="2"/>
  <c r="S763" i="2"/>
  <c r="S764" i="2"/>
  <c r="S768" i="2"/>
  <c r="S782" i="2"/>
  <c r="S791" i="2"/>
  <c r="S794" i="2"/>
  <c r="S795" i="2"/>
  <c r="S796" i="2"/>
  <c r="S801" i="2"/>
  <c r="S802" i="2"/>
  <c r="S807" i="2"/>
  <c r="S812" i="2"/>
  <c r="S813" i="2"/>
  <c r="S814" i="2"/>
  <c r="S815" i="2"/>
  <c r="S821" i="2"/>
  <c r="S825" i="2"/>
  <c r="S840" i="2"/>
  <c r="S841" i="2"/>
  <c r="S850" i="2"/>
  <c r="S855" i="2"/>
  <c r="S860" i="2"/>
  <c r="S906" i="2"/>
  <c r="S907" i="2"/>
  <c r="S908" i="2"/>
  <c r="S913" i="2"/>
  <c r="S918" i="2"/>
  <c r="S920" i="2"/>
  <c r="S921" i="2"/>
  <c r="S922" i="2"/>
  <c r="S927" i="2"/>
  <c r="S936" i="2"/>
  <c r="S937" i="2"/>
  <c r="S938" i="2"/>
  <c r="S947" i="2"/>
  <c r="S948" i="2"/>
  <c r="S949" i="2"/>
  <c r="S950" i="2"/>
  <c r="S964" i="2"/>
  <c r="S969" i="2"/>
  <c r="S970" i="2"/>
  <c r="S971" i="2"/>
  <c r="S986" i="2"/>
  <c r="S988" i="2"/>
  <c r="S989" i="2"/>
  <c r="S996" i="2"/>
  <c r="S997" i="2"/>
  <c r="S998" i="2"/>
  <c r="S1001" i="2"/>
  <c r="S1010" i="2"/>
  <c r="S1011" i="2"/>
  <c r="S164" i="2"/>
  <c r="S169" i="2"/>
  <c r="S170" i="2"/>
  <c r="S174" i="2"/>
  <c r="S175" i="2"/>
  <c r="S176" i="2"/>
  <c r="S180" i="2"/>
  <c r="S184" i="2"/>
  <c r="S188" i="2"/>
  <c r="S189" i="2"/>
  <c r="S193" i="2"/>
  <c r="S195" i="2"/>
  <c r="S196" i="2"/>
  <c r="S197" i="2"/>
  <c r="S199" i="2"/>
  <c r="S201" i="2"/>
  <c r="S202" i="2"/>
  <c r="S210" i="2"/>
  <c r="S212" i="2"/>
  <c r="S213" i="2"/>
  <c r="S216" i="2"/>
  <c r="S218" i="2"/>
  <c r="S221" i="2"/>
  <c r="S222" i="2"/>
  <c r="S225" i="2"/>
  <c r="S226" i="2"/>
  <c r="S227" i="2"/>
  <c r="S228" i="2"/>
  <c r="S229" i="2"/>
  <c r="S230" i="2"/>
  <c r="S232" i="2"/>
  <c r="S233" i="2"/>
  <c r="S236" i="2"/>
  <c r="S238" i="2"/>
  <c r="S240" i="2"/>
  <c r="S243" i="2"/>
  <c r="S245" i="2"/>
  <c r="S247" i="2"/>
  <c r="S249" i="2"/>
  <c r="S252" i="2"/>
  <c r="S254" i="2"/>
  <c r="S255" i="2"/>
  <c r="S256" i="2"/>
  <c r="S261" i="2"/>
  <c r="S262" i="2"/>
  <c r="S265" i="2"/>
  <c r="S266" i="2"/>
  <c r="S267" i="2"/>
  <c r="S268" i="2"/>
  <c r="S269" i="2"/>
  <c r="S270" i="2"/>
  <c r="S271" i="2"/>
  <c r="S272" i="2"/>
  <c r="S275" i="2"/>
  <c r="S277" i="2"/>
  <c r="S279" i="2"/>
  <c r="S281" i="2"/>
  <c r="S283" i="2"/>
  <c r="S284" i="2"/>
  <c r="S287" i="2"/>
  <c r="S288" i="2"/>
  <c r="S289" i="2"/>
  <c r="S292" i="2"/>
  <c r="S294" i="2"/>
  <c r="S297" i="2"/>
  <c r="S299" i="2"/>
  <c r="S300" i="2"/>
  <c r="S302" i="2"/>
  <c r="S303" i="2"/>
  <c r="S304" i="2"/>
  <c r="S305" i="2"/>
  <c r="S306" i="2"/>
  <c r="S307" i="2"/>
  <c r="S308" i="2"/>
  <c r="S310" i="2"/>
  <c r="S312" i="2"/>
  <c r="S314" i="2"/>
  <c r="S316" i="2"/>
  <c r="S318" i="2"/>
  <c r="S320" i="2"/>
  <c r="S321" i="2"/>
  <c r="S323" i="2"/>
  <c r="S325" i="2"/>
  <c r="S327" i="2"/>
  <c r="S425" i="2"/>
  <c r="S426" i="2"/>
  <c r="S431" i="2"/>
  <c r="S434" i="2"/>
  <c r="S438" i="2"/>
  <c r="S439" i="2"/>
  <c r="S442" i="2"/>
  <c r="S443" i="2"/>
  <c r="S446" i="2"/>
  <c r="S449" i="2"/>
  <c r="S452" i="2"/>
  <c r="S453" i="2"/>
  <c r="S456" i="2"/>
  <c r="S457" i="2"/>
  <c r="S460" i="2"/>
  <c r="S463" i="2"/>
  <c r="S466" i="2"/>
  <c r="S471" i="2"/>
  <c r="S476" i="2"/>
  <c r="S479" i="2"/>
  <c r="S482" i="2"/>
  <c r="S485" i="2"/>
  <c r="S487" i="2"/>
  <c r="S488" i="2"/>
  <c r="S493" i="2"/>
  <c r="S494" i="2"/>
  <c r="S497" i="2"/>
  <c r="S504" i="2"/>
  <c r="S505" i="2"/>
  <c r="S508" i="2"/>
  <c r="S515" i="2"/>
  <c r="S518" i="2"/>
  <c r="S519" i="2"/>
  <c r="S524" i="2"/>
  <c r="S527" i="2"/>
  <c r="S534" i="2"/>
  <c r="S537" i="2"/>
  <c r="S540" i="2"/>
  <c r="S543" i="2"/>
  <c r="S546" i="2"/>
  <c r="S548" i="2"/>
  <c r="S550" i="2"/>
  <c r="S689" i="2"/>
  <c r="S690" i="2"/>
  <c r="S691" i="2"/>
  <c r="S692" i="2"/>
  <c r="S693" i="2"/>
  <c r="S694" i="2"/>
  <c r="S695" i="2"/>
  <c r="S696" i="2"/>
  <c r="S697" i="2"/>
  <c r="S698" i="2"/>
  <c r="S699" i="2"/>
  <c r="S722" i="2"/>
  <c r="S723" i="2"/>
  <c r="S724" i="2"/>
  <c r="S725" i="2"/>
  <c r="S733" i="2"/>
  <c r="S738" i="2"/>
  <c r="S739" i="2"/>
  <c r="S740" i="2"/>
  <c r="S741" i="2"/>
  <c r="S742" i="2"/>
  <c r="S747" i="2"/>
  <c r="S748" i="2"/>
  <c r="S749" i="2"/>
  <c r="S750" i="2"/>
  <c r="S767" i="2"/>
  <c r="S781" i="2"/>
  <c r="S786" i="2"/>
  <c r="S798" i="2"/>
  <c r="S803" i="2"/>
  <c r="S804" i="2"/>
  <c r="S805" i="2"/>
  <c r="S810" i="2"/>
  <c r="S823" i="2"/>
  <c r="S824" i="2"/>
  <c r="S826" i="2"/>
  <c r="S827" i="2"/>
  <c r="S828" i="2"/>
  <c r="S858" i="2"/>
  <c r="S859" i="2"/>
  <c r="S873" i="2"/>
  <c r="S875" i="2"/>
  <c r="S876" i="2"/>
  <c r="S877" i="2"/>
  <c r="S878" i="2"/>
  <c r="S879" i="2"/>
  <c r="S880" i="2"/>
  <c r="S881" i="2"/>
  <c r="S882" i="2"/>
  <c r="S891" i="2"/>
  <c r="S923" i="2"/>
  <c r="S928" i="2"/>
  <c r="S929" i="2"/>
  <c r="S934" i="2"/>
  <c r="S935" i="2"/>
  <c r="S951" i="2"/>
  <c r="S952" i="2"/>
  <c r="S953" i="2"/>
  <c r="S954" i="2"/>
  <c r="S958" i="2"/>
  <c r="S959" i="2"/>
  <c r="S960" i="2"/>
  <c r="S965" i="2"/>
  <c r="S966" i="2"/>
  <c r="S975" i="2"/>
  <c r="S976" i="2"/>
  <c r="S977" i="2"/>
  <c r="S978" i="2"/>
  <c r="S979" i="2"/>
  <c r="S1002" i="2"/>
  <c r="S1007" i="2"/>
  <c r="S1008" i="2"/>
  <c r="S1009" i="2"/>
  <c r="S18" i="2"/>
  <c r="S19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7" i="2"/>
  <c r="S430" i="2"/>
  <c r="S435" i="2"/>
  <c r="S441" i="2"/>
  <c r="S444" i="2"/>
  <c r="S447" i="2"/>
  <c r="S450" i="2"/>
  <c r="S459" i="2"/>
  <c r="S462" i="2"/>
  <c r="S465" i="2"/>
  <c r="S470" i="2"/>
  <c r="S472" i="2"/>
  <c r="S474" i="2"/>
  <c r="S475" i="2"/>
  <c r="S480" i="2"/>
  <c r="S481" i="2"/>
  <c r="S484" i="2"/>
  <c r="S489" i="2"/>
  <c r="S490" i="2"/>
  <c r="S491" i="2"/>
  <c r="S496" i="2"/>
  <c r="S499" i="2"/>
  <c r="S500" i="2"/>
  <c r="S507" i="2"/>
  <c r="S510" i="2"/>
  <c r="S511" i="2"/>
  <c r="S514" i="2"/>
  <c r="S521" i="2"/>
  <c r="S522" i="2"/>
  <c r="S525" i="2"/>
  <c r="S528" i="2"/>
  <c r="S529" i="2"/>
  <c r="S530" i="2"/>
  <c r="S533" i="2"/>
  <c r="S536" i="2"/>
  <c r="S539" i="2"/>
  <c r="S542" i="2"/>
  <c r="S547" i="2"/>
  <c r="S549" i="2"/>
  <c r="S701" i="2"/>
  <c r="S702" i="2"/>
  <c r="S703" i="2"/>
  <c r="S704" i="2"/>
  <c r="S705" i="2"/>
  <c r="S734" i="2"/>
  <c r="S735" i="2"/>
  <c r="S736" i="2"/>
  <c r="S754" i="2"/>
  <c r="S755" i="2"/>
  <c r="S756" i="2"/>
  <c r="S765" i="2"/>
  <c r="S766" i="2"/>
  <c r="S774" i="2"/>
  <c r="S775" i="2"/>
  <c r="S776" i="2"/>
  <c r="S777" i="2"/>
  <c r="S778" i="2"/>
  <c r="S779" i="2"/>
  <c r="S780" i="2"/>
  <c r="S793" i="2"/>
  <c r="S797" i="2"/>
  <c r="S822" i="2"/>
  <c r="S829" i="2"/>
  <c r="S830" i="2"/>
  <c r="S831" i="2"/>
  <c r="S836" i="2"/>
  <c r="S837" i="2"/>
  <c r="S838" i="2"/>
  <c r="S839" i="2"/>
  <c r="S844" i="2"/>
  <c r="S845" i="2"/>
  <c r="S846" i="2"/>
  <c r="S851" i="2"/>
  <c r="S856" i="2"/>
  <c r="S861" i="2"/>
  <c r="S862" i="2"/>
  <c r="S871" i="2"/>
  <c r="S872" i="2"/>
  <c r="S884" i="2"/>
  <c r="S885" i="2"/>
  <c r="S886" i="2"/>
  <c r="S887" i="2"/>
  <c r="S888" i="2"/>
  <c r="S893" i="2"/>
  <c r="S894" i="2"/>
  <c r="S895" i="2"/>
  <c r="S896" i="2"/>
  <c r="S905" i="2"/>
  <c r="S910" i="2"/>
  <c r="S919" i="2"/>
  <c r="S924" i="2"/>
  <c r="S925" i="2"/>
  <c r="S926" i="2"/>
  <c r="S931" i="2"/>
  <c r="S932" i="2"/>
  <c r="S933" i="2"/>
  <c r="S942" i="2"/>
  <c r="S943" i="2"/>
  <c r="S944" i="2"/>
  <c r="S962" i="2"/>
  <c r="S963" i="2"/>
  <c r="S968" i="2"/>
  <c r="S980" i="2"/>
  <c r="S981" i="2"/>
  <c r="S982" i="2"/>
  <c r="S987" i="2"/>
  <c r="S999" i="2"/>
  <c r="S1000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81" i="2"/>
  <c r="S682" i="2"/>
  <c r="S683" i="2"/>
  <c r="S684" i="2"/>
  <c r="S685" i="2"/>
  <c r="S686" i="2"/>
  <c r="S687" i="2"/>
  <c r="S688" i="2"/>
  <c r="S706" i="2"/>
  <c r="S707" i="2"/>
  <c r="S708" i="2"/>
  <c r="U708" i="2"/>
  <c r="S709" i="2"/>
  <c r="S710" i="2"/>
  <c r="S717" i="2"/>
  <c r="S718" i="2"/>
  <c r="S719" i="2"/>
  <c r="S720" i="2"/>
  <c r="U720" i="2"/>
  <c r="S721" i="2"/>
  <c r="S743" i="2"/>
  <c r="U743" i="2"/>
  <c r="S744" i="2"/>
  <c r="S761" i="2"/>
  <c r="S762" i="2"/>
  <c r="S772" i="2"/>
  <c r="S773" i="2"/>
  <c r="U773" i="2"/>
  <c r="S785" i="2"/>
  <c r="S787" i="2"/>
  <c r="S788" i="2"/>
  <c r="S792" i="2"/>
  <c r="S806" i="2"/>
  <c r="S808" i="2"/>
  <c r="S809" i="2"/>
  <c r="U809" i="2"/>
  <c r="S817" i="2"/>
  <c r="S818" i="2"/>
  <c r="S819" i="2"/>
  <c r="S820" i="2"/>
  <c r="S832" i="2"/>
  <c r="S833" i="2"/>
  <c r="S834" i="2"/>
  <c r="S842" i="2"/>
  <c r="S843" i="2"/>
  <c r="S848" i="2"/>
  <c r="S849" i="2"/>
  <c r="S857" i="2"/>
  <c r="S866" i="2"/>
  <c r="S867" i="2"/>
  <c r="S868" i="2"/>
  <c r="S869" i="2"/>
  <c r="S870" i="2"/>
  <c r="S892" i="2"/>
  <c r="S897" i="2"/>
  <c r="S898" i="2"/>
  <c r="S911" i="2"/>
  <c r="S912" i="2"/>
  <c r="S20" i="2"/>
  <c r="S930" i="2"/>
  <c r="S939" i="2"/>
  <c r="S940" i="2"/>
  <c r="S945" i="2"/>
  <c r="S946" i="2"/>
  <c r="S967" i="2"/>
  <c r="S972" i="2"/>
  <c r="S973" i="2"/>
  <c r="S974" i="2"/>
  <c r="S983" i="2"/>
  <c r="S984" i="2"/>
  <c r="S21" i="2"/>
  <c r="S995" i="2"/>
  <c r="S1003" i="2"/>
  <c r="S1004" i="2"/>
  <c r="S1005" i="2"/>
  <c r="S1006" i="2"/>
  <c r="S1015" i="2"/>
  <c r="H21" i="2"/>
  <c r="H40" i="2"/>
  <c r="H42" i="2"/>
  <c r="H38" i="2"/>
  <c r="D29" i="4"/>
  <c r="H29" i="4"/>
  <c r="J29" i="4"/>
  <c r="I29" i="4"/>
  <c r="J35" i="4"/>
  <c r="I35" i="4"/>
  <c r="H35" i="4"/>
  <c r="J34" i="4"/>
  <c r="I34" i="4"/>
  <c r="H34" i="4"/>
  <c r="J33" i="4"/>
  <c r="I33" i="4"/>
  <c r="H33" i="4"/>
  <c r="J32" i="4"/>
  <c r="I32" i="4"/>
  <c r="H32" i="4"/>
  <c r="J31" i="4"/>
  <c r="I31" i="4"/>
  <c r="H31" i="4"/>
  <c r="J30" i="4"/>
  <c r="I30" i="4"/>
  <c r="H30" i="4"/>
  <c r="D44" i="4"/>
  <c r="E43" i="4"/>
  <c r="U1000" i="2"/>
  <c r="Z19" i="2"/>
  <c r="U813" i="2"/>
  <c r="U913" i="2"/>
  <c r="U922" i="2"/>
  <c r="U937" i="2"/>
  <c r="U948" i="2"/>
  <c r="U950" i="2"/>
  <c r="U425" i="2"/>
  <c r="U431" i="2"/>
  <c r="U769" i="2"/>
  <c r="U951" i="2"/>
  <c r="U953" i="2"/>
  <c r="U960" i="2"/>
  <c r="U976" i="2"/>
  <c r="U1002" i="2"/>
  <c r="U1008" i="2"/>
  <c r="U417" i="2"/>
  <c r="U419" i="2"/>
  <c r="U427" i="2"/>
  <c r="U444" i="2"/>
  <c r="U450" i="2"/>
  <c r="U514" i="2"/>
  <c r="U542" i="2"/>
  <c r="U755" i="2"/>
  <c r="U777" i="2"/>
  <c r="U797" i="2"/>
  <c r="Z18" i="2"/>
  <c r="Z17" i="2"/>
  <c r="U807" i="2"/>
  <c r="U815" i="2"/>
  <c r="U853" i="2"/>
  <c r="U900" i="2"/>
  <c r="U908" i="2"/>
  <c r="U854" i="2"/>
  <c r="U874" i="2"/>
  <c r="U906" i="2"/>
  <c r="U829" i="2"/>
  <c r="U863" i="2"/>
  <c r="U864" i="2"/>
  <c r="U890" i="2"/>
  <c r="U907" i="2"/>
  <c r="U830" i="2"/>
  <c r="U274" i="2"/>
  <c r="U909" i="2"/>
  <c r="U914" i="2"/>
  <c r="U915" i="2"/>
  <c r="U916" i="2"/>
  <c r="U970" i="2"/>
  <c r="U335" i="2"/>
  <c r="U336" i="2"/>
  <c r="U848" i="2"/>
  <c r="U868" i="2"/>
  <c r="U869" i="2"/>
  <c r="U892" i="2"/>
  <c r="U946" i="2"/>
  <c r="U984" i="2"/>
  <c r="U1005" i="2"/>
  <c r="U1006" i="2"/>
  <c r="U1015" i="2"/>
  <c r="U1013" i="2"/>
  <c r="U917" i="2"/>
  <c r="U955" i="2"/>
  <c r="U989" i="2"/>
  <c r="U338" i="2"/>
  <c r="U956" i="2"/>
  <c r="U957" i="2"/>
  <c r="U339" i="2"/>
  <c r="U341" i="2"/>
  <c r="U586" i="2"/>
  <c r="U587" i="2"/>
  <c r="U985" i="2"/>
  <c r="U992" i="2"/>
  <c r="U1012" i="2"/>
  <c r="U1011" i="2"/>
  <c r="U342" i="2"/>
  <c r="U347" i="2"/>
  <c r="U362" i="2"/>
  <c r="U364" i="2"/>
  <c r="U366" i="2"/>
  <c r="U367" i="2"/>
  <c r="U369" i="2"/>
  <c r="U25" i="2"/>
  <c r="U745" i="2"/>
  <c r="U257" i="2"/>
  <c r="U258" i="2"/>
  <c r="U791" i="2"/>
  <c r="U795" i="2"/>
  <c r="U275" i="2"/>
  <c r="U279" i="2"/>
  <c r="U287" i="2"/>
  <c r="U453" i="2"/>
  <c r="U482" i="2"/>
  <c r="U487" i="2"/>
  <c r="U488" i="2"/>
  <c r="U371" i="2"/>
  <c r="U372" i="2"/>
  <c r="U375" i="2"/>
  <c r="U465" i="2"/>
  <c r="U489" i="2"/>
  <c r="U491" i="2"/>
  <c r="U507" i="2"/>
  <c r="U522" i="2"/>
  <c r="U529" i="2"/>
  <c r="U536" i="2"/>
  <c r="U549" i="2"/>
  <c r="U775" i="2"/>
  <c r="U776" i="2"/>
  <c r="U779" i="2"/>
  <c r="U595" i="2"/>
  <c r="U601" i="2"/>
  <c r="U603" i="2"/>
  <c r="U604" i="2"/>
  <c r="U606" i="2"/>
  <c r="U608" i="2"/>
  <c r="U610" i="2"/>
  <c r="U613" i="2"/>
  <c r="U615" i="2"/>
  <c r="U616" i="2"/>
  <c r="U619" i="2"/>
  <c r="U620" i="2"/>
  <c r="U621" i="2"/>
  <c r="U622" i="2"/>
  <c r="U628" i="2"/>
  <c r="U630" i="2"/>
  <c r="U632" i="2"/>
  <c r="U633" i="2"/>
  <c r="U635" i="2"/>
  <c r="U636" i="2"/>
  <c r="U637" i="2"/>
  <c r="U638" i="2"/>
  <c r="U640" i="2"/>
  <c r="U646" i="2"/>
  <c r="U648" i="2"/>
  <c r="U649" i="2"/>
  <c r="U654" i="2"/>
  <c r="U655" i="2"/>
  <c r="U660" i="2"/>
  <c r="U661" i="2"/>
  <c r="U665" i="2"/>
  <c r="U667" i="2"/>
  <c r="U706" i="2"/>
  <c r="U792" i="2"/>
  <c r="U819" i="2"/>
  <c r="U832" i="2"/>
  <c r="U28" i="2"/>
  <c r="U31" i="2"/>
  <c r="U224" i="2"/>
  <c r="U241" i="2"/>
  <c r="U253" i="2"/>
  <c r="U669" i="2"/>
  <c r="U671" i="2"/>
  <c r="U673" i="2"/>
  <c r="U267" i="2"/>
  <c r="U269" i="2"/>
  <c r="U300" i="2"/>
  <c r="U302" i="2"/>
  <c r="U304" i="2"/>
  <c r="U306" i="2"/>
  <c r="U310" i="2"/>
  <c r="U314" i="2"/>
  <c r="U316" i="2"/>
  <c r="U323" i="2"/>
  <c r="U327" i="2"/>
  <c r="U426" i="2"/>
  <c r="U442" i="2"/>
  <c r="U33" i="2"/>
  <c r="U34" i="2"/>
  <c r="U37" i="2"/>
  <c r="U38" i="2"/>
  <c r="U39" i="2"/>
  <c r="U41" i="2"/>
  <c r="U44" i="2"/>
  <c r="U45" i="2"/>
  <c r="U49" i="2"/>
  <c r="U50" i="2"/>
  <c r="U51" i="2"/>
  <c r="U53" i="2"/>
  <c r="U61" i="2"/>
  <c r="U62" i="2"/>
  <c r="U64" i="2"/>
  <c r="U67" i="2"/>
  <c r="U69" i="2"/>
  <c r="U70" i="2"/>
  <c r="U71" i="2"/>
  <c r="U72" i="2"/>
  <c r="U73" i="2"/>
  <c r="U74" i="2"/>
  <c r="U76" i="2"/>
  <c r="U77" i="2"/>
  <c r="U80" i="2"/>
  <c r="U81" i="2"/>
  <c r="U92" i="2"/>
  <c r="U94" i="2"/>
  <c r="U95" i="2"/>
  <c r="U96" i="2"/>
  <c r="U103" i="2"/>
  <c r="U106" i="2"/>
  <c r="U107" i="2"/>
  <c r="U108" i="2"/>
  <c r="U115" i="2"/>
  <c r="U116" i="2"/>
  <c r="U118" i="2"/>
  <c r="U119" i="2"/>
  <c r="U121" i="2"/>
  <c r="U124" i="2"/>
  <c r="U125" i="2"/>
  <c r="U127" i="2"/>
  <c r="U130" i="2"/>
  <c r="U134" i="2"/>
  <c r="U136" i="2"/>
  <c r="U137" i="2"/>
  <c r="U141" i="2"/>
  <c r="U143" i="2"/>
  <c r="U152" i="2"/>
  <c r="U746" i="2"/>
  <c r="U758" i="2"/>
  <c r="U760" i="2"/>
  <c r="U789" i="2"/>
  <c r="U835" i="2"/>
  <c r="U168" i="2"/>
  <c r="U171" i="2"/>
  <c r="U173" i="2"/>
  <c r="U181" i="2"/>
  <c r="U183" i="2"/>
  <c r="U187" i="2"/>
  <c r="U190" i="2"/>
  <c r="U191" i="2"/>
  <c r="U203" i="2"/>
  <c r="U206" i="2"/>
  <c r="U214" i="2"/>
  <c r="U215" i="2"/>
  <c r="U286" i="2"/>
  <c r="U290" i="2"/>
  <c r="U296" i="2"/>
  <c r="U301" i="2"/>
  <c r="U313" i="2"/>
  <c r="U315" i="2"/>
  <c r="U326" i="2"/>
  <c r="U328" i="2"/>
  <c r="U440" i="2"/>
  <c r="U451" i="2"/>
  <c r="U454" i="2"/>
  <c r="U455" i="2"/>
  <c r="U458" i="2"/>
  <c r="U467" i="2"/>
  <c r="U468" i="2"/>
  <c r="U477" i="2"/>
  <c r="U478" i="2"/>
  <c r="U483" i="2"/>
  <c r="U486" i="2"/>
  <c r="U495" i="2"/>
  <c r="U501" i="2"/>
  <c r="U509" i="2"/>
  <c r="U512" i="2"/>
  <c r="U523" i="2"/>
  <c r="U535" i="2"/>
  <c r="U538" i="2"/>
  <c r="U541" i="2"/>
  <c r="U678" i="2"/>
  <c r="U680" i="2"/>
  <c r="U712" i="2"/>
  <c r="U713" i="2"/>
  <c r="U732" i="2"/>
  <c r="U764" i="2"/>
  <c r="U814" i="2"/>
  <c r="U821" i="2"/>
  <c r="U840" i="2"/>
  <c r="U855" i="2"/>
  <c r="U860" i="2"/>
  <c r="U170" i="2"/>
  <c r="U174" i="2"/>
  <c r="U180" i="2"/>
  <c r="U199" i="2"/>
  <c r="U201" i="2"/>
  <c r="U213" i="2"/>
  <c r="U218" i="2"/>
  <c r="U226" i="2"/>
  <c r="U229" i="2"/>
  <c r="U232" i="2"/>
  <c r="U233" i="2"/>
  <c r="U245" i="2"/>
  <c r="U254" i="2"/>
  <c r="U255" i="2"/>
  <c r="U505" i="2"/>
  <c r="U515" i="2"/>
  <c r="U519" i="2"/>
  <c r="U524" i="2"/>
  <c r="U546" i="2"/>
  <c r="U548" i="2"/>
  <c r="U550" i="2"/>
  <c r="U696" i="2"/>
  <c r="U698" i="2"/>
  <c r="U722" i="2"/>
  <c r="U723" i="2"/>
  <c r="U725" i="2"/>
  <c r="U733" i="2"/>
  <c r="U738" i="2"/>
  <c r="U749" i="2"/>
  <c r="U786" i="2"/>
  <c r="U803" i="2"/>
  <c r="U804" i="2"/>
  <c r="U824" i="2"/>
  <c r="U876" i="2"/>
  <c r="U877" i="2"/>
  <c r="U878" i="2"/>
  <c r="U880" i="2"/>
  <c r="U881" i="2"/>
  <c r="U882" i="2"/>
  <c r="U923" i="2"/>
  <c r="U928" i="2"/>
  <c r="U376" i="2"/>
  <c r="U383" i="2"/>
  <c r="U384" i="2"/>
  <c r="U390" i="2"/>
  <c r="U391" i="2"/>
  <c r="U392" i="2"/>
  <c r="U393" i="2"/>
  <c r="U396" i="2"/>
  <c r="U401" i="2"/>
  <c r="U408" i="2"/>
  <c r="U411" i="2"/>
  <c r="U414" i="2"/>
  <c r="U416" i="2"/>
  <c r="U533" i="2"/>
  <c r="U734" i="2"/>
  <c r="U774" i="2"/>
  <c r="U838" i="2"/>
  <c r="U844" i="2"/>
  <c r="U851" i="2"/>
  <c r="U856" i="2"/>
  <c r="U862" i="2"/>
  <c r="U871" i="2"/>
  <c r="U885" i="2"/>
  <c r="U886" i="2"/>
  <c r="U887" i="2"/>
  <c r="U895" i="2"/>
  <c r="U905" i="2"/>
  <c r="U924" i="2"/>
  <c r="U932" i="2"/>
  <c r="U933" i="2"/>
  <c r="U943" i="2"/>
  <c r="U944" i="2"/>
  <c r="U552" i="2"/>
  <c r="U553" i="2"/>
  <c r="U565" i="2"/>
  <c r="U573" i="2"/>
  <c r="U574" i="2"/>
  <c r="U577" i="2"/>
  <c r="U684" i="2"/>
  <c r="U686" i="2"/>
  <c r="U688" i="2"/>
  <c r="U744" i="2"/>
  <c r="U13" i="2"/>
  <c r="R17" i="2"/>
  <c r="T17" i="2"/>
  <c r="U17" i="2"/>
  <c r="R18" i="2"/>
  <c r="T18" i="2"/>
  <c r="U18" i="2"/>
  <c r="R1014" i="2"/>
  <c r="T1014" i="2"/>
  <c r="U1014" i="2"/>
  <c r="R1010" i="2"/>
  <c r="T1010" i="2"/>
  <c r="U1010" i="2"/>
  <c r="R1009" i="2"/>
  <c r="T1009" i="2"/>
  <c r="U1009" i="2"/>
  <c r="R1007" i="2"/>
  <c r="T1007" i="2"/>
  <c r="U1007" i="2"/>
  <c r="R1004" i="2"/>
  <c r="T1004" i="2"/>
  <c r="U1004" i="2"/>
  <c r="R1003" i="2"/>
  <c r="T1003" i="2"/>
  <c r="U1003" i="2"/>
  <c r="R1001" i="2"/>
  <c r="T1001" i="2"/>
  <c r="U1001" i="2"/>
  <c r="R999" i="2"/>
  <c r="T999" i="2"/>
  <c r="U999" i="2"/>
  <c r="R998" i="2"/>
  <c r="T998" i="2"/>
  <c r="U998" i="2"/>
  <c r="R997" i="2"/>
  <c r="T997" i="2"/>
  <c r="U997" i="2"/>
  <c r="R996" i="2"/>
  <c r="T996" i="2"/>
  <c r="U996" i="2"/>
  <c r="R995" i="2"/>
  <c r="T995" i="2"/>
  <c r="U995" i="2"/>
  <c r="R994" i="2"/>
  <c r="T994" i="2"/>
  <c r="U994" i="2"/>
  <c r="R993" i="2"/>
  <c r="T993" i="2"/>
  <c r="U993" i="2"/>
  <c r="R991" i="2"/>
  <c r="T991" i="2"/>
  <c r="U991" i="2"/>
  <c r="R990" i="2"/>
  <c r="T990" i="2"/>
  <c r="U990" i="2"/>
  <c r="R988" i="2"/>
  <c r="T988" i="2"/>
  <c r="U988" i="2"/>
  <c r="R987" i="2"/>
  <c r="T987" i="2"/>
  <c r="U987" i="2"/>
  <c r="R986" i="2"/>
  <c r="T986" i="2"/>
  <c r="U986" i="2"/>
  <c r="R983" i="2"/>
  <c r="T983" i="2"/>
  <c r="U983" i="2"/>
  <c r="R982" i="2"/>
  <c r="T982" i="2"/>
  <c r="U982" i="2"/>
  <c r="R981" i="2"/>
  <c r="T981" i="2"/>
  <c r="U981" i="2"/>
  <c r="R980" i="2"/>
  <c r="T980" i="2"/>
  <c r="U980" i="2"/>
  <c r="R979" i="2"/>
  <c r="T979" i="2"/>
  <c r="U979" i="2"/>
  <c r="R978" i="2"/>
  <c r="T978" i="2"/>
  <c r="U978" i="2"/>
  <c r="R977" i="2"/>
  <c r="T977" i="2"/>
  <c r="U977" i="2"/>
  <c r="R975" i="2"/>
  <c r="T975" i="2"/>
  <c r="U975" i="2"/>
  <c r="R974" i="2"/>
  <c r="T974" i="2"/>
  <c r="U974" i="2"/>
  <c r="R973" i="2"/>
  <c r="T973" i="2"/>
  <c r="U973" i="2"/>
  <c r="R972" i="2"/>
  <c r="T972" i="2"/>
  <c r="U972" i="2"/>
  <c r="R971" i="2"/>
  <c r="T971" i="2"/>
  <c r="U971" i="2"/>
  <c r="R969" i="2"/>
  <c r="T969" i="2"/>
  <c r="U969" i="2"/>
  <c r="R968" i="2"/>
  <c r="T968" i="2"/>
  <c r="U968" i="2"/>
  <c r="R967" i="2"/>
  <c r="T967" i="2"/>
  <c r="U967" i="2"/>
  <c r="R966" i="2"/>
  <c r="T966" i="2"/>
  <c r="U966" i="2"/>
  <c r="R965" i="2"/>
  <c r="T965" i="2"/>
  <c r="U965" i="2"/>
  <c r="R964" i="2"/>
  <c r="T964" i="2"/>
  <c r="U964" i="2"/>
  <c r="R963" i="2"/>
  <c r="T963" i="2"/>
  <c r="U963" i="2"/>
  <c r="R962" i="2"/>
  <c r="T962" i="2"/>
  <c r="U962" i="2"/>
  <c r="R961" i="2"/>
  <c r="T961" i="2"/>
  <c r="U961" i="2"/>
  <c r="R959" i="2"/>
  <c r="T959" i="2"/>
  <c r="U959" i="2"/>
  <c r="R958" i="2"/>
  <c r="T958" i="2"/>
  <c r="U958" i="2"/>
  <c r="R954" i="2"/>
  <c r="T954" i="2"/>
  <c r="U954" i="2"/>
  <c r="R952" i="2"/>
  <c r="T952" i="2"/>
  <c r="U952" i="2"/>
  <c r="R949" i="2"/>
  <c r="T949" i="2"/>
  <c r="U949" i="2"/>
  <c r="R947" i="2"/>
  <c r="T947" i="2"/>
  <c r="U947" i="2"/>
  <c r="R945" i="2"/>
  <c r="T945" i="2"/>
  <c r="U945" i="2"/>
  <c r="R942" i="2"/>
  <c r="T942" i="2"/>
  <c r="U942" i="2"/>
  <c r="R941" i="2"/>
  <c r="T941" i="2"/>
  <c r="U941" i="2"/>
  <c r="R940" i="2"/>
  <c r="T940" i="2"/>
  <c r="U940" i="2"/>
  <c r="R939" i="2"/>
  <c r="T939" i="2"/>
  <c r="U939" i="2"/>
  <c r="R938" i="2"/>
  <c r="T938" i="2"/>
  <c r="U938" i="2"/>
  <c r="R936" i="2"/>
  <c r="T936" i="2"/>
  <c r="U936" i="2"/>
  <c r="R935" i="2"/>
  <c r="T935" i="2"/>
  <c r="U935" i="2"/>
  <c r="R934" i="2"/>
  <c r="T934" i="2"/>
  <c r="U934" i="2"/>
  <c r="R931" i="2"/>
  <c r="T931" i="2"/>
  <c r="U931" i="2"/>
  <c r="R930" i="2"/>
  <c r="T930" i="2"/>
  <c r="U930" i="2"/>
  <c r="R929" i="2"/>
  <c r="T929" i="2"/>
  <c r="U929" i="2"/>
  <c r="R927" i="2"/>
  <c r="T927" i="2"/>
  <c r="U927" i="2"/>
  <c r="R926" i="2"/>
  <c r="T926" i="2"/>
  <c r="U926" i="2"/>
  <c r="R925" i="2"/>
  <c r="T925" i="2"/>
  <c r="U925" i="2"/>
  <c r="R921" i="2"/>
  <c r="T921" i="2"/>
  <c r="U921" i="2"/>
  <c r="R920" i="2"/>
  <c r="T920" i="2"/>
  <c r="U920" i="2"/>
  <c r="R919" i="2"/>
  <c r="T919" i="2"/>
  <c r="U919" i="2"/>
  <c r="R918" i="2"/>
  <c r="T918" i="2"/>
  <c r="U918" i="2"/>
  <c r="R912" i="2"/>
  <c r="T912" i="2"/>
  <c r="U912" i="2"/>
  <c r="R911" i="2"/>
  <c r="T911" i="2"/>
  <c r="U911" i="2"/>
  <c r="R910" i="2"/>
  <c r="T910" i="2"/>
  <c r="U910" i="2"/>
  <c r="R904" i="2"/>
  <c r="T904" i="2"/>
  <c r="U904" i="2"/>
  <c r="R903" i="2"/>
  <c r="T903" i="2"/>
  <c r="U903" i="2"/>
  <c r="R902" i="2"/>
  <c r="T902" i="2"/>
  <c r="U902" i="2"/>
  <c r="R901" i="2"/>
  <c r="T901" i="2"/>
  <c r="U901" i="2"/>
  <c r="R899" i="2"/>
  <c r="T899" i="2"/>
  <c r="U899" i="2"/>
  <c r="R898" i="2"/>
  <c r="T898" i="2"/>
  <c r="U898" i="2"/>
  <c r="R897" i="2"/>
  <c r="T897" i="2"/>
  <c r="U897" i="2"/>
  <c r="R896" i="2"/>
  <c r="T896" i="2"/>
  <c r="U896" i="2"/>
  <c r="R894" i="2"/>
  <c r="T894" i="2"/>
  <c r="U894" i="2"/>
  <c r="R893" i="2"/>
  <c r="T893" i="2"/>
  <c r="U893" i="2"/>
  <c r="R891" i="2"/>
  <c r="T891" i="2"/>
  <c r="U891" i="2"/>
  <c r="R889" i="2"/>
  <c r="T889" i="2"/>
  <c r="U889" i="2"/>
  <c r="R888" i="2"/>
  <c r="T888" i="2"/>
  <c r="U888" i="2"/>
  <c r="R884" i="2"/>
  <c r="T884" i="2"/>
  <c r="U884" i="2"/>
  <c r="R883" i="2"/>
  <c r="T883" i="2"/>
  <c r="U883" i="2"/>
  <c r="R879" i="2"/>
  <c r="T879" i="2"/>
  <c r="U879" i="2"/>
  <c r="R875" i="2"/>
  <c r="T875" i="2"/>
  <c r="U875" i="2"/>
  <c r="R873" i="2"/>
  <c r="T873" i="2"/>
  <c r="U873" i="2"/>
  <c r="R872" i="2"/>
  <c r="T872" i="2"/>
  <c r="U872" i="2"/>
  <c r="R870" i="2"/>
  <c r="T870" i="2"/>
  <c r="U870" i="2"/>
  <c r="R867" i="2"/>
  <c r="T867" i="2"/>
  <c r="U867" i="2"/>
  <c r="R866" i="2"/>
  <c r="T866" i="2"/>
  <c r="U866" i="2"/>
  <c r="R865" i="2"/>
  <c r="T865" i="2"/>
  <c r="U865" i="2"/>
  <c r="R861" i="2"/>
  <c r="T861" i="2"/>
  <c r="U861" i="2"/>
  <c r="R859" i="2"/>
  <c r="T859" i="2"/>
  <c r="U859" i="2"/>
  <c r="R858" i="2"/>
  <c r="T858" i="2"/>
  <c r="U858" i="2"/>
  <c r="R857" i="2"/>
  <c r="T857" i="2"/>
  <c r="U857" i="2"/>
  <c r="R852" i="2"/>
  <c r="T852" i="2"/>
  <c r="U852" i="2"/>
  <c r="R850" i="2"/>
  <c r="T850" i="2"/>
  <c r="U850" i="2"/>
  <c r="R849" i="2"/>
  <c r="T849" i="2"/>
  <c r="U849" i="2"/>
  <c r="R847" i="2"/>
  <c r="T847" i="2"/>
  <c r="U847" i="2"/>
  <c r="R846" i="2"/>
  <c r="T846" i="2"/>
  <c r="U846" i="2"/>
  <c r="R845" i="2"/>
  <c r="T845" i="2"/>
  <c r="U845" i="2"/>
  <c r="R843" i="2"/>
  <c r="T843" i="2"/>
  <c r="U843" i="2"/>
  <c r="R842" i="2"/>
  <c r="T842" i="2"/>
  <c r="U842" i="2"/>
  <c r="R841" i="2"/>
  <c r="T841" i="2"/>
  <c r="U841" i="2"/>
  <c r="R839" i="2"/>
  <c r="T839" i="2"/>
  <c r="U839" i="2"/>
  <c r="R837" i="2"/>
  <c r="T837" i="2"/>
  <c r="U837" i="2"/>
  <c r="R836" i="2"/>
  <c r="T836" i="2"/>
  <c r="U836" i="2"/>
  <c r="R834" i="2"/>
  <c r="T834" i="2"/>
  <c r="U834" i="2"/>
  <c r="R833" i="2"/>
  <c r="T833" i="2"/>
  <c r="U833" i="2"/>
  <c r="R831" i="2"/>
  <c r="T831" i="2"/>
  <c r="U831" i="2"/>
  <c r="R828" i="2"/>
  <c r="T828" i="2"/>
  <c r="U828" i="2"/>
  <c r="R827" i="2"/>
  <c r="T827" i="2"/>
  <c r="U827" i="2"/>
  <c r="R826" i="2"/>
  <c r="T826" i="2"/>
  <c r="U826" i="2"/>
  <c r="R825" i="2"/>
  <c r="T825" i="2"/>
  <c r="U825" i="2"/>
  <c r="R823" i="2"/>
  <c r="T823" i="2"/>
  <c r="U823" i="2"/>
  <c r="R822" i="2"/>
  <c r="T822" i="2"/>
  <c r="U822" i="2"/>
  <c r="R816" i="2"/>
  <c r="T816" i="2"/>
  <c r="U816" i="2"/>
  <c r="R812" i="2"/>
  <c r="T812" i="2"/>
  <c r="U812" i="2"/>
  <c r="R808" i="2"/>
  <c r="T808" i="2"/>
  <c r="U808" i="2"/>
  <c r="R800" i="2"/>
  <c r="T800" i="2"/>
  <c r="U800" i="2"/>
  <c r="R796" i="2"/>
  <c r="T796" i="2"/>
  <c r="U796" i="2"/>
  <c r="R788" i="2"/>
  <c r="T788" i="2"/>
  <c r="U788" i="2"/>
  <c r="R784" i="2"/>
  <c r="T784" i="2"/>
  <c r="U784" i="2"/>
  <c r="R780" i="2"/>
  <c r="T780" i="2"/>
  <c r="U780" i="2"/>
  <c r="R772" i="2"/>
  <c r="T772" i="2"/>
  <c r="U772" i="2"/>
  <c r="R768" i="2"/>
  <c r="T768" i="2"/>
  <c r="U768" i="2"/>
  <c r="R756" i="2"/>
  <c r="T756" i="2"/>
  <c r="U756" i="2"/>
  <c r="R752" i="2"/>
  <c r="T752" i="2"/>
  <c r="U752" i="2"/>
  <c r="R748" i="2"/>
  <c r="T748" i="2"/>
  <c r="U748" i="2"/>
  <c r="R740" i="2"/>
  <c r="T740" i="2"/>
  <c r="U740" i="2"/>
  <c r="R736" i="2"/>
  <c r="T736" i="2"/>
  <c r="U736" i="2"/>
  <c r="R728" i="2"/>
  <c r="T728" i="2"/>
  <c r="U728" i="2"/>
  <c r="R724" i="2"/>
  <c r="T724" i="2"/>
  <c r="U724" i="2"/>
  <c r="R719" i="2"/>
  <c r="T719" i="2"/>
  <c r="U719" i="2"/>
  <c r="R715" i="2"/>
  <c r="T715" i="2"/>
  <c r="U715" i="2"/>
  <c r="R711" i="2"/>
  <c r="T711" i="2"/>
  <c r="U711" i="2"/>
  <c r="R707" i="2"/>
  <c r="T707" i="2"/>
  <c r="U707" i="2"/>
  <c r="R704" i="2"/>
  <c r="T704" i="2"/>
  <c r="U704" i="2"/>
  <c r="R702" i="2"/>
  <c r="T702" i="2"/>
  <c r="U702" i="2"/>
  <c r="R701" i="2"/>
  <c r="T701" i="2"/>
  <c r="U701" i="2"/>
  <c r="R700" i="2"/>
  <c r="T700" i="2"/>
  <c r="U700" i="2"/>
  <c r="R699" i="2"/>
  <c r="T699" i="2"/>
  <c r="U699" i="2"/>
  <c r="R697" i="2"/>
  <c r="T697" i="2"/>
  <c r="U697" i="2"/>
  <c r="R695" i="2"/>
  <c r="T695" i="2"/>
  <c r="U695" i="2"/>
  <c r="R694" i="2"/>
  <c r="T694" i="2"/>
  <c r="U694" i="2"/>
  <c r="R693" i="2"/>
  <c r="T693" i="2"/>
  <c r="U693" i="2"/>
  <c r="R692" i="2"/>
  <c r="T692" i="2"/>
  <c r="U692" i="2"/>
  <c r="R691" i="2"/>
  <c r="T691" i="2"/>
  <c r="U691" i="2"/>
  <c r="R690" i="2"/>
  <c r="T690" i="2"/>
  <c r="U690" i="2"/>
  <c r="R689" i="2"/>
  <c r="T689" i="2"/>
  <c r="U689" i="2"/>
  <c r="R687" i="2"/>
  <c r="T687" i="2"/>
  <c r="U687" i="2"/>
  <c r="R685" i="2"/>
  <c r="T685" i="2"/>
  <c r="U685" i="2"/>
  <c r="R683" i="2"/>
  <c r="T683" i="2"/>
  <c r="U683" i="2"/>
  <c r="R682" i="2"/>
  <c r="T682" i="2"/>
  <c r="U682" i="2"/>
  <c r="R681" i="2"/>
  <c r="T681" i="2"/>
  <c r="U681" i="2"/>
  <c r="R679" i="2"/>
  <c r="T679" i="2"/>
  <c r="U679" i="2"/>
  <c r="R677" i="2"/>
  <c r="T677" i="2"/>
  <c r="U677" i="2"/>
  <c r="R676" i="2"/>
  <c r="T676" i="2"/>
  <c r="U676" i="2"/>
  <c r="R200" i="2"/>
  <c r="T200" i="2"/>
  <c r="U200" i="2"/>
  <c r="R195" i="2"/>
  <c r="T195" i="2"/>
  <c r="U195" i="2"/>
  <c r="R193" i="2"/>
  <c r="T193" i="2"/>
  <c r="U193" i="2"/>
  <c r="R179" i="2"/>
  <c r="T179" i="2"/>
  <c r="U179" i="2"/>
  <c r="R177" i="2"/>
  <c r="T177" i="2"/>
  <c r="U177" i="2"/>
  <c r="R169" i="2"/>
  <c r="T169" i="2"/>
  <c r="U169" i="2"/>
  <c r="R165" i="2"/>
  <c r="T165" i="2"/>
  <c r="U165" i="2"/>
  <c r="R802" i="2"/>
  <c r="T802" i="2"/>
  <c r="U802" i="2"/>
  <c r="R770" i="2"/>
  <c r="T770" i="2"/>
  <c r="U770" i="2"/>
  <c r="R762" i="2"/>
  <c r="T762" i="2"/>
  <c r="U762" i="2"/>
  <c r="R750" i="2"/>
  <c r="T750" i="2"/>
  <c r="U750" i="2"/>
  <c r="R717" i="2"/>
  <c r="T717" i="2"/>
  <c r="U717" i="2"/>
  <c r="R705" i="2"/>
  <c r="T705" i="2"/>
  <c r="U705" i="2"/>
  <c r="R544" i="2"/>
  <c r="T544" i="2"/>
  <c r="U544" i="2"/>
  <c r="R527" i="2"/>
  <c r="T527" i="2"/>
  <c r="U527" i="2"/>
  <c r="R163" i="2"/>
  <c r="T163" i="2"/>
  <c r="U163" i="2"/>
  <c r="R161" i="2"/>
  <c r="T161" i="2"/>
  <c r="U161" i="2"/>
  <c r="R158" i="2"/>
  <c r="T158" i="2"/>
  <c r="U158" i="2"/>
  <c r="R155" i="2"/>
  <c r="T155" i="2"/>
  <c r="U155" i="2"/>
  <c r="R147" i="2"/>
  <c r="T147" i="2"/>
  <c r="U147" i="2"/>
  <c r="R139" i="2"/>
  <c r="T139" i="2"/>
  <c r="U139" i="2"/>
  <c r="R128" i="2"/>
  <c r="T128" i="2"/>
  <c r="U128" i="2"/>
  <c r="R122" i="2"/>
  <c r="T122" i="2"/>
  <c r="U122" i="2"/>
  <c r="R120" i="2"/>
  <c r="T120" i="2"/>
  <c r="U120" i="2"/>
  <c r="R99" i="2"/>
  <c r="T99" i="2"/>
  <c r="U99" i="2"/>
  <c r="R85" i="2"/>
  <c r="T85" i="2"/>
  <c r="U85" i="2"/>
  <c r="R79" i="2"/>
  <c r="T79" i="2"/>
  <c r="U79" i="2"/>
  <c r="R59" i="2"/>
  <c r="T59" i="2"/>
  <c r="U59" i="2"/>
  <c r="R54" i="2"/>
  <c r="T54" i="2"/>
  <c r="U54" i="2"/>
  <c r="R48" i="2"/>
  <c r="T48" i="2"/>
  <c r="U48" i="2"/>
  <c r="R29" i="2"/>
  <c r="T29" i="2"/>
  <c r="U29" i="2"/>
  <c r="R675" i="2"/>
  <c r="T675" i="2"/>
  <c r="U675" i="2"/>
  <c r="R674" i="2"/>
  <c r="T674" i="2"/>
  <c r="U674" i="2"/>
  <c r="R672" i="2"/>
  <c r="T672" i="2"/>
  <c r="U672" i="2"/>
  <c r="R670" i="2"/>
  <c r="T670" i="2"/>
  <c r="U670" i="2"/>
  <c r="R668" i="2"/>
  <c r="T668" i="2"/>
  <c r="U668" i="2"/>
  <c r="R666" i="2"/>
  <c r="T666" i="2"/>
  <c r="U666" i="2"/>
  <c r="R664" i="2"/>
  <c r="T664" i="2"/>
  <c r="U664" i="2"/>
  <c r="R663" i="2"/>
  <c r="T663" i="2"/>
  <c r="U663" i="2"/>
  <c r="R662" i="2"/>
  <c r="T662" i="2"/>
  <c r="U662" i="2"/>
  <c r="R659" i="2"/>
  <c r="T659" i="2"/>
  <c r="U659" i="2"/>
  <c r="R658" i="2"/>
  <c r="T658" i="2"/>
  <c r="U658" i="2"/>
  <c r="R657" i="2"/>
  <c r="T657" i="2"/>
  <c r="U657" i="2"/>
  <c r="R656" i="2"/>
  <c r="T656" i="2"/>
  <c r="U656" i="2"/>
  <c r="R653" i="2"/>
  <c r="T653" i="2"/>
  <c r="U653" i="2"/>
  <c r="R652" i="2"/>
  <c r="T652" i="2"/>
  <c r="U652" i="2"/>
  <c r="R651" i="2"/>
  <c r="T651" i="2"/>
  <c r="U651" i="2"/>
  <c r="R650" i="2"/>
  <c r="T650" i="2"/>
  <c r="U650" i="2"/>
  <c r="R647" i="2"/>
  <c r="T647" i="2"/>
  <c r="U647" i="2"/>
  <c r="R645" i="2"/>
  <c r="T645" i="2"/>
  <c r="U645" i="2"/>
  <c r="R644" i="2"/>
  <c r="T644" i="2"/>
  <c r="U644" i="2"/>
  <c r="R643" i="2"/>
  <c r="T643" i="2"/>
  <c r="U643" i="2"/>
  <c r="R642" i="2"/>
  <c r="T642" i="2"/>
  <c r="U642" i="2"/>
  <c r="R641" i="2"/>
  <c r="T641" i="2"/>
  <c r="U641" i="2"/>
  <c r="R639" i="2"/>
  <c r="T639" i="2"/>
  <c r="U639" i="2"/>
  <c r="R634" i="2"/>
  <c r="T634" i="2"/>
  <c r="U634" i="2"/>
  <c r="R631" i="2"/>
  <c r="T631" i="2"/>
  <c r="U631" i="2"/>
  <c r="R629" i="2"/>
  <c r="T629" i="2"/>
  <c r="U629" i="2"/>
  <c r="R627" i="2"/>
  <c r="T627" i="2"/>
  <c r="U627" i="2"/>
  <c r="R626" i="2"/>
  <c r="T626" i="2"/>
  <c r="U626" i="2"/>
  <c r="R625" i="2"/>
  <c r="T625" i="2"/>
  <c r="U625" i="2"/>
  <c r="R624" i="2"/>
  <c r="T624" i="2"/>
  <c r="U624" i="2"/>
  <c r="R623" i="2"/>
  <c r="T623" i="2"/>
  <c r="U623" i="2"/>
  <c r="R618" i="2"/>
  <c r="T618" i="2"/>
  <c r="U618" i="2"/>
  <c r="R617" i="2"/>
  <c r="T617" i="2"/>
  <c r="U617" i="2"/>
  <c r="R614" i="2"/>
  <c r="T614" i="2"/>
  <c r="U614" i="2"/>
  <c r="R612" i="2"/>
  <c r="T612" i="2"/>
  <c r="U612" i="2"/>
  <c r="R611" i="2"/>
  <c r="T611" i="2"/>
  <c r="U611" i="2"/>
  <c r="R609" i="2"/>
  <c r="T609" i="2"/>
  <c r="U609" i="2"/>
  <c r="R607" i="2"/>
  <c r="T607" i="2"/>
  <c r="U607" i="2"/>
  <c r="R605" i="2"/>
  <c r="T605" i="2"/>
  <c r="U605" i="2"/>
  <c r="R602" i="2"/>
  <c r="T602" i="2"/>
  <c r="U602" i="2"/>
  <c r="R600" i="2"/>
  <c r="T600" i="2"/>
  <c r="U600" i="2"/>
  <c r="R599" i="2"/>
  <c r="T599" i="2"/>
  <c r="U599" i="2"/>
  <c r="R598" i="2"/>
  <c r="T598" i="2"/>
  <c r="U598" i="2"/>
  <c r="R597" i="2"/>
  <c r="T597" i="2"/>
  <c r="U597" i="2"/>
  <c r="R596" i="2"/>
  <c r="T596" i="2"/>
  <c r="U596" i="2"/>
  <c r="R594" i="2"/>
  <c r="T594" i="2"/>
  <c r="U594" i="2"/>
  <c r="R593" i="2"/>
  <c r="T593" i="2"/>
  <c r="U593" i="2"/>
  <c r="R592" i="2"/>
  <c r="T592" i="2"/>
  <c r="U592" i="2"/>
  <c r="R591" i="2"/>
  <c r="T591" i="2"/>
  <c r="U591" i="2"/>
  <c r="R590" i="2"/>
  <c r="T590" i="2"/>
  <c r="U590" i="2"/>
  <c r="R589" i="2"/>
  <c r="T589" i="2"/>
  <c r="U589" i="2"/>
  <c r="R588" i="2"/>
  <c r="T588" i="2"/>
  <c r="U588" i="2"/>
  <c r="R585" i="2"/>
  <c r="T585" i="2"/>
  <c r="U585" i="2"/>
  <c r="R584" i="2"/>
  <c r="T584" i="2"/>
  <c r="U584" i="2"/>
  <c r="R583" i="2"/>
  <c r="T583" i="2"/>
  <c r="U583" i="2"/>
  <c r="R582" i="2"/>
  <c r="T582" i="2"/>
  <c r="U582" i="2"/>
  <c r="R581" i="2"/>
  <c r="T581" i="2"/>
  <c r="U581" i="2"/>
  <c r="R580" i="2"/>
  <c r="T580" i="2"/>
  <c r="U580" i="2"/>
  <c r="R579" i="2"/>
  <c r="T579" i="2"/>
  <c r="U579" i="2"/>
  <c r="R578" i="2"/>
  <c r="T578" i="2"/>
  <c r="U578" i="2"/>
  <c r="R576" i="2"/>
  <c r="T576" i="2"/>
  <c r="U576" i="2"/>
  <c r="R575" i="2"/>
  <c r="T575" i="2"/>
  <c r="U575" i="2"/>
  <c r="R572" i="2"/>
  <c r="T572" i="2"/>
  <c r="U572" i="2"/>
  <c r="R571" i="2"/>
  <c r="T571" i="2"/>
  <c r="U571" i="2"/>
  <c r="R570" i="2"/>
  <c r="T570" i="2"/>
  <c r="U570" i="2"/>
  <c r="R569" i="2"/>
  <c r="T569" i="2"/>
  <c r="U569" i="2"/>
  <c r="R568" i="2"/>
  <c r="T568" i="2"/>
  <c r="U568" i="2"/>
  <c r="R567" i="2"/>
  <c r="T567" i="2"/>
  <c r="U567" i="2"/>
  <c r="R566" i="2"/>
  <c r="T566" i="2"/>
  <c r="U566" i="2"/>
  <c r="R564" i="2"/>
  <c r="T564" i="2"/>
  <c r="U564" i="2"/>
  <c r="R563" i="2"/>
  <c r="T563" i="2"/>
  <c r="U563" i="2"/>
  <c r="R562" i="2"/>
  <c r="T562" i="2"/>
  <c r="U562" i="2"/>
  <c r="R561" i="2"/>
  <c r="T561" i="2"/>
  <c r="U561" i="2"/>
  <c r="R820" i="2"/>
  <c r="T820" i="2"/>
  <c r="U820" i="2"/>
  <c r="R817" i="2"/>
  <c r="T817" i="2"/>
  <c r="U817" i="2"/>
  <c r="R805" i="2"/>
  <c r="T805" i="2"/>
  <c r="U805" i="2"/>
  <c r="R801" i="2"/>
  <c r="T801" i="2"/>
  <c r="U801" i="2"/>
  <c r="R793" i="2"/>
  <c r="T793" i="2"/>
  <c r="U793" i="2"/>
  <c r="R790" i="2"/>
  <c r="T790" i="2"/>
  <c r="U790" i="2"/>
  <c r="R782" i="2"/>
  <c r="T782" i="2"/>
  <c r="U782" i="2"/>
  <c r="R765" i="2"/>
  <c r="T765" i="2"/>
  <c r="U765" i="2"/>
  <c r="R761" i="2"/>
  <c r="T761" i="2"/>
  <c r="U761" i="2"/>
  <c r="R759" i="2"/>
  <c r="T759" i="2"/>
  <c r="U759" i="2"/>
  <c r="R751" i="2"/>
  <c r="T751" i="2"/>
  <c r="U751" i="2"/>
  <c r="R747" i="2"/>
  <c r="T747" i="2"/>
  <c r="U747" i="2"/>
  <c r="R739" i="2"/>
  <c r="T739" i="2"/>
  <c r="U739" i="2"/>
  <c r="R735" i="2"/>
  <c r="T735" i="2"/>
  <c r="U735" i="2"/>
  <c r="R731" i="2"/>
  <c r="T731" i="2"/>
  <c r="U731" i="2"/>
  <c r="R727" i="2"/>
  <c r="T727" i="2"/>
  <c r="U727" i="2"/>
  <c r="R716" i="2"/>
  <c r="T716" i="2"/>
  <c r="U716" i="2"/>
  <c r="R703" i="2"/>
  <c r="T703" i="2"/>
  <c r="U703" i="2"/>
  <c r="R558" i="2"/>
  <c r="T558" i="2"/>
  <c r="U558" i="2"/>
  <c r="R555" i="2"/>
  <c r="T555" i="2"/>
  <c r="U555" i="2"/>
  <c r="R551" i="2"/>
  <c r="T551" i="2"/>
  <c r="U551" i="2"/>
  <c r="R545" i="2"/>
  <c r="T545" i="2"/>
  <c r="U545" i="2"/>
  <c r="R539" i="2"/>
  <c r="T539" i="2"/>
  <c r="U539" i="2"/>
  <c r="R537" i="2"/>
  <c r="T537" i="2"/>
  <c r="U537" i="2"/>
  <c r="R534" i="2"/>
  <c r="T534" i="2"/>
  <c r="U534" i="2"/>
  <c r="R531" i="2"/>
  <c r="T531" i="2"/>
  <c r="U531" i="2"/>
  <c r="R526" i="2"/>
  <c r="T526" i="2"/>
  <c r="U526" i="2"/>
  <c r="R525" i="2"/>
  <c r="T525" i="2"/>
  <c r="U525" i="2"/>
  <c r="R521" i="2"/>
  <c r="T521" i="2"/>
  <c r="U521" i="2"/>
  <c r="R516" i="2"/>
  <c r="T516" i="2"/>
  <c r="U516" i="2"/>
  <c r="R510" i="2"/>
  <c r="T510" i="2"/>
  <c r="U510" i="2"/>
  <c r="R508" i="2"/>
  <c r="T508" i="2"/>
  <c r="U508" i="2"/>
  <c r="R506" i="2"/>
  <c r="T506" i="2"/>
  <c r="U506" i="2"/>
  <c r="R504" i="2"/>
  <c r="T504" i="2"/>
  <c r="U504" i="2"/>
  <c r="R502" i="2"/>
  <c r="T502" i="2"/>
  <c r="U502" i="2"/>
  <c r="R500" i="2"/>
  <c r="T500" i="2"/>
  <c r="U500" i="2"/>
  <c r="R498" i="2"/>
  <c r="T498" i="2"/>
  <c r="U498" i="2"/>
  <c r="R496" i="2"/>
  <c r="T496" i="2"/>
  <c r="U496" i="2"/>
  <c r="R493" i="2"/>
  <c r="T493" i="2"/>
  <c r="U493" i="2"/>
  <c r="R490" i="2"/>
  <c r="T490" i="2"/>
  <c r="U490" i="2"/>
  <c r="R484" i="2"/>
  <c r="T484" i="2"/>
  <c r="U484" i="2"/>
  <c r="R479" i="2"/>
  <c r="T479" i="2"/>
  <c r="U479" i="2"/>
  <c r="R475" i="2"/>
  <c r="T475" i="2"/>
  <c r="U475" i="2"/>
  <c r="R473" i="2"/>
  <c r="T473" i="2"/>
  <c r="U473" i="2"/>
  <c r="R471" i="2"/>
  <c r="T471" i="2"/>
  <c r="U471" i="2"/>
  <c r="R469" i="2"/>
  <c r="T469" i="2"/>
  <c r="U469" i="2"/>
  <c r="R463" i="2"/>
  <c r="T463" i="2"/>
  <c r="U463" i="2"/>
  <c r="R461" i="2"/>
  <c r="T461" i="2"/>
  <c r="U461" i="2"/>
  <c r="R459" i="2"/>
  <c r="T459" i="2"/>
  <c r="U459" i="2"/>
  <c r="R457" i="2"/>
  <c r="T457" i="2"/>
  <c r="U457" i="2"/>
  <c r="R449" i="2"/>
  <c r="T449" i="2"/>
  <c r="U449" i="2"/>
  <c r="R447" i="2"/>
  <c r="T447" i="2"/>
  <c r="U447" i="2"/>
  <c r="R445" i="2"/>
  <c r="T445" i="2"/>
  <c r="U445" i="2"/>
  <c r="R443" i="2"/>
  <c r="T443" i="2"/>
  <c r="U443" i="2"/>
  <c r="R441" i="2"/>
  <c r="T441" i="2"/>
  <c r="U441" i="2"/>
  <c r="R439" i="2"/>
  <c r="T439" i="2"/>
  <c r="U439" i="2"/>
  <c r="R437" i="2"/>
  <c r="T437" i="2"/>
  <c r="U437" i="2"/>
  <c r="R434" i="2"/>
  <c r="T434" i="2"/>
  <c r="U434" i="2"/>
  <c r="R432" i="2"/>
  <c r="T432" i="2"/>
  <c r="U432" i="2"/>
  <c r="R430" i="2"/>
  <c r="T430" i="2"/>
  <c r="U430" i="2"/>
  <c r="R428" i="2"/>
  <c r="T428" i="2"/>
  <c r="U428" i="2"/>
  <c r="R424" i="2"/>
  <c r="T424" i="2"/>
  <c r="U424" i="2"/>
  <c r="R422" i="2"/>
  <c r="T422" i="2"/>
  <c r="U422" i="2"/>
  <c r="R420" i="2"/>
  <c r="T420" i="2"/>
  <c r="U420" i="2"/>
  <c r="R418" i="2"/>
  <c r="T418" i="2"/>
  <c r="U418" i="2"/>
  <c r="R415" i="2"/>
  <c r="T415" i="2"/>
  <c r="U415" i="2"/>
  <c r="R413" i="2"/>
  <c r="T413" i="2"/>
  <c r="U413" i="2"/>
  <c r="R412" i="2"/>
  <c r="T412" i="2"/>
  <c r="U412" i="2"/>
  <c r="R410" i="2"/>
  <c r="T410" i="2"/>
  <c r="U410" i="2"/>
  <c r="R409" i="2"/>
  <c r="T409" i="2"/>
  <c r="U409" i="2"/>
  <c r="R407" i="2"/>
  <c r="T407" i="2"/>
  <c r="U407" i="2"/>
  <c r="R406" i="2"/>
  <c r="T406" i="2"/>
  <c r="U406" i="2"/>
  <c r="R405" i="2"/>
  <c r="T405" i="2"/>
  <c r="U405" i="2"/>
  <c r="R404" i="2"/>
  <c r="T404" i="2"/>
  <c r="U404" i="2"/>
  <c r="R403" i="2"/>
  <c r="T403" i="2"/>
  <c r="U403" i="2"/>
  <c r="R402" i="2"/>
  <c r="T402" i="2"/>
  <c r="U402" i="2"/>
  <c r="R400" i="2"/>
  <c r="T400" i="2"/>
  <c r="U400" i="2"/>
  <c r="R399" i="2"/>
  <c r="T399" i="2"/>
  <c r="U399" i="2"/>
  <c r="R398" i="2"/>
  <c r="T398" i="2"/>
  <c r="U398" i="2"/>
  <c r="R397" i="2"/>
  <c r="T397" i="2"/>
  <c r="U397" i="2"/>
  <c r="R395" i="2"/>
  <c r="T395" i="2"/>
  <c r="U395" i="2"/>
  <c r="R394" i="2"/>
  <c r="T394" i="2"/>
  <c r="U394" i="2"/>
  <c r="R389" i="2"/>
  <c r="T389" i="2"/>
  <c r="U389" i="2"/>
  <c r="R388" i="2"/>
  <c r="T388" i="2"/>
  <c r="U388" i="2"/>
  <c r="R387" i="2"/>
  <c r="T387" i="2"/>
  <c r="U387" i="2"/>
  <c r="R386" i="2"/>
  <c r="T386" i="2"/>
  <c r="U386" i="2"/>
  <c r="R385" i="2"/>
  <c r="T385" i="2"/>
  <c r="U385" i="2"/>
  <c r="R382" i="2"/>
  <c r="T382" i="2"/>
  <c r="U382" i="2"/>
  <c r="R381" i="2"/>
  <c r="T381" i="2"/>
  <c r="U381" i="2"/>
  <c r="R380" i="2"/>
  <c r="T380" i="2"/>
  <c r="U380" i="2"/>
  <c r="R379" i="2"/>
  <c r="T379" i="2"/>
  <c r="U379" i="2"/>
  <c r="R378" i="2"/>
  <c r="T378" i="2"/>
  <c r="U378" i="2"/>
  <c r="R377" i="2"/>
  <c r="T377" i="2"/>
  <c r="U377" i="2"/>
  <c r="R211" i="2"/>
  <c r="T211" i="2"/>
  <c r="U211" i="2"/>
  <c r="R209" i="2"/>
  <c r="T209" i="2"/>
  <c r="U209" i="2"/>
  <c r="R207" i="2"/>
  <c r="T207" i="2"/>
  <c r="U207" i="2"/>
  <c r="R205" i="2"/>
  <c r="T205" i="2"/>
  <c r="U205" i="2"/>
  <c r="R196" i="2"/>
  <c r="T196" i="2"/>
  <c r="U196" i="2"/>
  <c r="R194" i="2"/>
  <c r="T194" i="2"/>
  <c r="U194" i="2"/>
  <c r="R192" i="2"/>
  <c r="T192" i="2"/>
  <c r="U192" i="2"/>
  <c r="R186" i="2"/>
  <c r="T186" i="2"/>
  <c r="U186" i="2"/>
  <c r="R184" i="2"/>
  <c r="T184" i="2"/>
  <c r="U184" i="2"/>
  <c r="R178" i="2"/>
  <c r="T178" i="2"/>
  <c r="U178" i="2"/>
  <c r="R175" i="2"/>
  <c r="T175" i="2"/>
  <c r="U175" i="2"/>
  <c r="R172" i="2"/>
  <c r="T172" i="2"/>
  <c r="U172" i="2"/>
  <c r="R167" i="2"/>
  <c r="T167" i="2"/>
  <c r="U167" i="2"/>
  <c r="R164" i="2"/>
  <c r="T164" i="2"/>
  <c r="U164" i="2"/>
  <c r="R818" i="2"/>
  <c r="T818" i="2"/>
  <c r="U818" i="2"/>
  <c r="R806" i="2"/>
  <c r="T806" i="2"/>
  <c r="U806" i="2"/>
  <c r="R798" i="2"/>
  <c r="T798" i="2"/>
  <c r="U798" i="2"/>
  <c r="R785" i="2"/>
  <c r="T785" i="2"/>
  <c r="U785" i="2"/>
  <c r="R778" i="2"/>
  <c r="T778" i="2"/>
  <c r="U778" i="2"/>
  <c r="R766" i="2"/>
  <c r="T766" i="2"/>
  <c r="U766" i="2"/>
  <c r="R754" i="2"/>
  <c r="T754" i="2"/>
  <c r="U754" i="2"/>
  <c r="R709" i="2"/>
  <c r="T709" i="2"/>
  <c r="U709" i="2"/>
  <c r="R559" i="2"/>
  <c r="T559" i="2"/>
  <c r="U559" i="2"/>
  <c r="R162" i="2"/>
  <c r="T162" i="2"/>
  <c r="U162" i="2"/>
  <c r="R160" i="2"/>
  <c r="T160" i="2"/>
  <c r="U160" i="2"/>
  <c r="R157" i="2"/>
  <c r="T157" i="2"/>
  <c r="U157" i="2"/>
  <c r="R154" i="2"/>
  <c r="T154" i="2"/>
  <c r="U154" i="2"/>
  <c r="R149" i="2"/>
  <c r="T149" i="2"/>
  <c r="U149" i="2"/>
  <c r="R144" i="2"/>
  <c r="T144" i="2"/>
  <c r="U144" i="2"/>
  <c r="R135" i="2"/>
  <c r="T135" i="2"/>
  <c r="U135" i="2"/>
  <c r="R131" i="2"/>
  <c r="T131" i="2"/>
  <c r="U131" i="2"/>
  <c r="R126" i="2"/>
  <c r="T126" i="2"/>
  <c r="U126" i="2"/>
  <c r="R109" i="2"/>
  <c r="T109" i="2"/>
  <c r="U109" i="2"/>
  <c r="R88" i="2"/>
  <c r="T88" i="2"/>
  <c r="U88" i="2"/>
  <c r="R66" i="2"/>
  <c r="T66" i="2"/>
  <c r="U66" i="2"/>
  <c r="R42" i="2"/>
  <c r="T42" i="2"/>
  <c r="U42" i="2"/>
  <c r="R24" i="2"/>
  <c r="T24" i="2"/>
  <c r="U24" i="2"/>
  <c r="R19" i="2"/>
  <c r="T19" i="2"/>
  <c r="U19" i="2"/>
  <c r="R374" i="2"/>
  <c r="T374" i="2"/>
  <c r="U374" i="2"/>
  <c r="R373" i="2"/>
  <c r="T373" i="2"/>
  <c r="U373" i="2"/>
  <c r="R370" i="2"/>
  <c r="T370" i="2"/>
  <c r="U370" i="2"/>
  <c r="R368" i="2"/>
  <c r="T368" i="2"/>
  <c r="U368" i="2"/>
  <c r="R365" i="2"/>
  <c r="T365" i="2"/>
  <c r="U365" i="2"/>
  <c r="R363" i="2"/>
  <c r="T363" i="2"/>
  <c r="U363" i="2"/>
  <c r="R361" i="2"/>
  <c r="T361" i="2"/>
  <c r="U361" i="2"/>
  <c r="R360" i="2"/>
  <c r="T360" i="2"/>
  <c r="U360" i="2"/>
  <c r="R359" i="2"/>
  <c r="T359" i="2"/>
  <c r="U359" i="2"/>
  <c r="R358" i="2"/>
  <c r="T358" i="2"/>
  <c r="U358" i="2"/>
  <c r="R357" i="2"/>
  <c r="T357" i="2"/>
  <c r="U357" i="2"/>
  <c r="R356" i="2"/>
  <c r="T356" i="2"/>
  <c r="U356" i="2"/>
  <c r="R355" i="2"/>
  <c r="T355" i="2"/>
  <c r="U355" i="2"/>
  <c r="R354" i="2"/>
  <c r="T354" i="2"/>
  <c r="U354" i="2"/>
  <c r="R353" i="2"/>
  <c r="T353" i="2"/>
  <c r="U353" i="2"/>
  <c r="R352" i="2"/>
  <c r="T352" i="2"/>
  <c r="U352" i="2"/>
  <c r="R351" i="2"/>
  <c r="T351" i="2"/>
  <c r="U351" i="2"/>
  <c r="R350" i="2"/>
  <c r="T350" i="2"/>
  <c r="U350" i="2"/>
  <c r="R349" i="2"/>
  <c r="T349" i="2"/>
  <c r="U349" i="2"/>
  <c r="R348" i="2"/>
  <c r="T348" i="2"/>
  <c r="U348" i="2"/>
  <c r="R346" i="2"/>
  <c r="T346" i="2"/>
  <c r="U346" i="2"/>
  <c r="R345" i="2"/>
  <c r="T345" i="2"/>
  <c r="U345" i="2"/>
  <c r="R344" i="2"/>
  <c r="T344" i="2"/>
  <c r="U344" i="2"/>
  <c r="R343" i="2"/>
  <c r="T343" i="2"/>
  <c r="U343" i="2"/>
  <c r="R340" i="2"/>
  <c r="T340" i="2"/>
  <c r="U340" i="2"/>
  <c r="R337" i="2"/>
  <c r="T337" i="2"/>
  <c r="U337" i="2"/>
  <c r="R334" i="2"/>
  <c r="T334" i="2"/>
  <c r="U334" i="2"/>
  <c r="R333" i="2"/>
  <c r="T333" i="2"/>
  <c r="U333" i="2"/>
  <c r="R332" i="2"/>
  <c r="T332" i="2"/>
  <c r="U332" i="2"/>
  <c r="R331" i="2"/>
  <c r="T331" i="2"/>
  <c r="U331" i="2"/>
  <c r="R330" i="2"/>
  <c r="T330" i="2"/>
  <c r="U330" i="2"/>
  <c r="R329" i="2"/>
  <c r="T329" i="2"/>
  <c r="U329" i="2"/>
  <c r="R325" i="2"/>
  <c r="T325" i="2"/>
  <c r="U325" i="2"/>
  <c r="R324" i="2"/>
  <c r="T324" i="2"/>
  <c r="U324" i="2"/>
  <c r="R322" i="2"/>
  <c r="T322" i="2"/>
  <c r="U322" i="2"/>
  <c r="R321" i="2"/>
  <c r="T321" i="2"/>
  <c r="U321" i="2"/>
  <c r="R320" i="2"/>
  <c r="T320" i="2"/>
  <c r="U320" i="2"/>
  <c r="R319" i="2"/>
  <c r="T319" i="2"/>
  <c r="U319" i="2"/>
  <c r="R318" i="2"/>
  <c r="T318" i="2"/>
  <c r="U318" i="2"/>
  <c r="R317" i="2"/>
  <c r="T317" i="2"/>
  <c r="U317" i="2"/>
  <c r="R312" i="2"/>
  <c r="T312" i="2"/>
  <c r="U312" i="2"/>
  <c r="R311" i="2"/>
  <c r="T311" i="2"/>
  <c r="U311" i="2"/>
  <c r="R309" i="2"/>
  <c r="T309" i="2"/>
  <c r="U309" i="2"/>
  <c r="R308" i="2"/>
  <c r="T308" i="2"/>
  <c r="U308" i="2"/>
  <c r="R307" i="2"/>
  <c r="T307" i="2"/>
  <c r="U307" i="2"/>
  <c r="R305" i="2"/>
  <c r="T305" i="2"/>
  <c r="U305" i="2"/>
  <c r="R303" i="2"/>
  <c r="T303" i="2"/>
  <c r="U303" i="2"/>
  <c r="R299" i="2"/>
  <c r="T299" i="2"/>
  <c r="U299" i="2"/>
  <c r="R811" i="2"/>
  <c r="T811" i="2"/>
  <c r="U811" i="2"/>
  <c r="R799" i="2"/>
  <c r="T799" i="2"/>
  <c r="U799" i="2"/>
  <c r="R787" i="2"/>
  <c r="T787" i="2"/>
  <c r="U787" i="2"/>
  <c r="R783" i="2"/>
  <c r="T783" i="2"/>
  <c r="U783" i="2"/>
  <c r="R771" i="2"/>
  <c r="T771" i="2"/>
  <c r="U771" i="2"/>
  <c r="R767" i="2"/>
  <c r="T767" i="2"/>
  <c r="U767" i="2"/>
  <c r="R763" i="2"/>
  <c r="T763" i="2"/>
  <c r="U763" i="2"/>
  <c r="R757" i="2"/>
  <c r="T757" i="2"/>
  <c r="U757" i="2"/>
  <c r="R753" i="2"/>
  <c r="T753" i="2"/>
  <c r="U753" i="2"/>
  <c r="R741" i="2"/>
  <c r="T741" i="2"/>
  <c r="U741" i="2"/>
  <c r="R737" i="2"/>
  <c r="T737" i="2"/>
  <c r="U737" i="2"/>
  <c r="R729" i="2"/>
  <c r="T729" i="2"/>
  <c r="U729" i="2"/>
  <c r="R726" i="2"/>
  <c r="T726" i="2"/>
  <c r="U726" i="2"/>
  <c r="R718" i="2"/>
  <c r="T718" i="2"/>
  <c r="U718" i="2"/>
  <c r="R714" i="2"/>
  <c r="T714" i="2"/>
  <c r="U714" i="2"/>
  <c r="R710" i="2"/>
  <c r="T710" i="2"/>
  <c r="U710" i="2"/>
  <c r="R560" i="2"/>
  <c r="T560" i="2"/>
  <c r="U560" i="2"/>
  <c r="R557" i="2"/>
  <c r="T557" i="2"/>
  <c r="U557" i="2"/>
  <c r="R554" i="2"/>
  <c r="T554" i="2"/>
  <c r="U554" i="2"/>
  <c r="R543" i="2"/>
  <c r="T543" i="2"/>
  <c r="U543" i="2"/>
  <c r="R540" i="2"/>
  <c r="T540" i="2"/>
  <c r="U540" i="2"/>
  <c r="R532" i="2"/>
  <c r="T532" i="2"/>
  <c r="U532" i="2"/>
  <c r="R528" i="2"/>
  <c r="T528" i="2"/>
  <c r="U528" i="2"/>
  <c r="R520" i="2"/>
  <c r="T520" i="2"/>
  <c r="U520" i="2"/>
  <c r="R518" i="2"/>
  <c r="T518" i="2"/>
  <c r="U518" i="2"/>
  <c r="R517" i="2"/>
  <c r="T517" i="2"/>
  <c r="U517" i="2"/>
  <c r="R513" i="2"/>
  <c r="T513" i="2"/>
  <c r="U513" i="2"/>
  <c r="R511" i="2"/>
  <c r="T511" i="2"/>
  <c r="U511" i="2"/>
  <c r="R503" i="2"/>
  <c r="T503" i="2"/>
  <c r="U503" i="2"/>
  <c r="R499" i="2"/>
  <c r="T499" i="2"/>
  <c r="U499" i="2"/>
  <c r="R497" i="2"/>
  <c r="T497" i="2"/>
  <c r="U497" i="2"/>
  <c r="R494" i="2"/>
  <c r="T494" i="2"/>
  <c r="U494" i="2"/>
  <c r="R492" i="2"/>
  <c r="T492" i="2"/>
  <c r="U492" i="2"/>
  <c r="R485" i="2"/>
  <c r="T485" i="2"/>
  <c r="U485" i="2"/>
  <c r="R481" i="2"/>
  <c r="T481" i="2"/>
  <c r="U481" i="2"/>
  <c r="R480" i="2"/>
  <c r="T480" i="2"/>
  <c r="U480" i="2"/>
  <c r="R476" i="2"/>
  <c r="T476" i="2"/>
  <c r="U476" i="2"/>
  <c r="R474" i="2"/>
  <c r="T474" i="2"/>
  <c r="U474" i="2"/>
  <c r="R472" i="2"/>
  <c r="T472" i="2"/>
  <c r="U472" i="2"/>
  <c r="R470" i="2"/>
  <c r="T470" i="2"/>
  <c r="U470" i="2"/>
  <c r="R466" i="2"/>
  <c r="T466" i="2"/>
  <c r="U466" i="2"/>
  <c r="R464" i="2"/>
  <c r="T464" i="2"/>
  <c r="U464" i="2"/>
  <c r="R462" i="2"/>
  <c r="T462" i="2"/>
  <c r="U462" i="2"/>
  <c r="R460" i="2"/>
  <c r="T460" i="2"/>
  <c r="U460" i="2"/>
  <c r="R456" i="2"/>
  <c r="T456" i="2"/>
  <c r="U456" i="2"/>
  <c r="R452" i="2"/>
  <c r="T452" i="2"/>
  <c r="U452" i="2"/>
  <c r="R448" i="2"/>
  <c r="T448" i="2"/>
  <c r="U448" i="2"/>
  <c r="R446" i="2"/>
  <c r="T446" i="2"/>
  <c r="U446" i="2"/>
  <c r="R438" i="2"/>
  <c r="T438" i="2"/>
  <c r="U438" i="2"/>
  <c r="R436" i="2"/>
  <c r="T436" i="2"/>
  <c r="U436" i="2"/>
  <c r="R435" i="2"/>
  <c r="T435" i="2"/>
  <c r="U435" i="2"/>
  <c r="R433" i="2"/>
  <c r="T433" i="2"/>
  <c r="U433" i="2"/>
  <c r="R429" i="2"/>
  <c r="T429" i="2"/>
  <c r="U429" i="2"/>
  <c r="R423" i="2"/>
  <c r="T423" i="2"/>
  <c r="U423" i="2"/>
  <c r="R421" i="2"/>
  <c r="T421" i="2"/>
  <c r="U421" i="2"/>
  <c r="R298" i="2"/>
  <c r="T298" i="2"/>
  <c r="U298" i="2"/>
  <c r="R297" i="2"/>
  <c r="T297" i="2"/>
  <c r="U297" i="2"/>
  <c r="R295" i="2"/>
  <c r="T295" i="2"/>
  <c r="U295" i="2"/>
  <c r="R294" i="2"/>
  <c r="T294" i="2"/>
  <c r="U294" i="2"/>
  <c r="R293" i="2"/>
  <c r="T293" i="2"/>
  <c r="U293" i="2"/>
  <c r="R292" i="2"/>
  <c r="T292" i="2"/>
  <c r="U292" i="2"/>
  <c r="R291" i="2"/>
  <c r="T291" i="2"/>
  <c r="U291" i="2"/>
  <c r="R289" i="2"/>
  <c r="T289" i="2"/>
  <c r="U289" i="2"/>
  <c r="R288" i="2"/>
  <c r="T288" i="2"/>
  <c r="U288" i="2"/>
  <c r="R285" i="2"/>
  <c r="T285" i="2"/>
  <c r="U285" i="2"/>
  <c r="R284" i="2"/>
  <c r="T284" i="2"/>
  <c r="U284" i="2"/>
  <c r="R283" i="2"/>
  <c r="T283" i="2"/>
  <c r="U283" i="2"/>
  <c r="R282" i="2"/>
  <c r="T282" i="2"/>
  <c r="U282" i="2"/>
  <c r="R281" i="2"/>
  <c r="T281" i="2"/>
  <c r="U281" i="2"/>
  <c r="R280" i="2"/>
  <c r="T280" i="2"/>
  <c r="U280" i="2"/>
  <c r="R278" i="2"/>
  <c r="T278" i="2"/>
  <c r="U278" i="2"/>
  <c r="R277" i="2"/>
  <c r="T277" i="2"/>
  <c r="U277" i="2"/>
  <c r="R276" i="2"/>
  <c r="T276" i="2"/>
  <c r="U276" i="2"/>
  <c r="R273" i="2"/>
  <c r="T273" i="2"/>
  <c r="U273" i="2"/>
  <c r="R272" i="2"/>
  <c r="T272" i="2"/>
  <c r="U272" i="2"/>
  <c r="R271" i="2"/>
  <c r="T271" i="2"/>
  <c r="U271" i="2"/>
  <c r="R270" i="2"/>
  <c r="T270" i="2"/>
  <c r="U270" i="2"/>
  <c r="R268" i="2"/>
  <c r="T268" i="2"/>
  <c r="U268" i="2"/>
  <c r="R266" i="2"/>
  <c r="T266" i="2"/>
  <c r="U266" i="2"/>
  <c r="R265" i="2"/>
  <c r="T265" i="2"/>
  <c r="U265" i="2"/>
  <c r="R264" i="2"/>
  <c r="T264" i="2"/>
  <c r="U264" i="2"/>
  <c r="R263" i="2"/>
  <c r="T263" i="2"/>
  <c r="U263" i="2"/>
  <c r="R262" i="2"/>
  <c r="T262" i="2"/>
  <c r="U262" i="2"/>
  <c r="R261" i="2"/>
  <c r="T261" i="2"/>
  <c r="U261" i="2"/>
  <c r="R260" i="2"/>
  <c r="T260" i="2"/>
  <c r="U260" i="2"/>
  <c r="R259" i="2"/>
  <c r="T259" i="2"/>
  <c r="U259" i="2"/>
  <c r="R256" i="2"/>
  <c r="T256" i="2"/>
  <c r="U256" i="2"/>
  <c r="R252" i="2"/>
  <c r="T252" i="2"/>
  <c r="U252" i="2"/>
  <c r="R251" i="2"/>
  <c r="T251" i="2"/>
  <c r="U251" i="2"/>
  <c r="R250" i="2"/>
  <c r="T250" i="2"/>
  <c r="U250" i="2"/>
  <c r="R249" i="2"/>
  <c r="T249" i="2"/>
  <c r="U249" i="2"/>
  <c r="R248" i="2"/>
  <c r="T248" i="2"/>
  <c r="U248" i="2"/>
  <c r="R247" i="2"/>
  <c r="T247" i="2"/>
  <c r="U247" i="2"/>
  <c r="R246" i="2"/>
  <c r="T246" i="2"/>
  <c r="U246" i="2"/>
  <c r="R244" i="2"/>
  <c r="T244" i="2"/>
  <c r="U244" i="2"/>
  <c r="R243" i="2"/>
  <c r="T243" i="2"/>
  <c r="U243" i="2"/>
  <c r="R242" i="2"/>
  <c r="T242" i="2"/>
  <c r="U242" i="2"/>
  <c r="R240" i="2"/>
  <c r="T240" i="2"/>
  <c r="U240" i="2"/>
  <c r="R239" i="2"/>
  <c r="T239" i="2"/>
  <c r="U239" i="2"/>
  <c r="R238" i="2"/>
  <c r="T238" i="2"/>
  <c r="U238" i="2"/>
  <c r="R237" i="2"/>
  <c r="T237" i="2"/>
  <c r="U237" i="2"/>
  <c r="R236" i="2"/>
  <c r="T236" i="2"/>
  <c r="U236" i="2"/>
  <c r="R235" i="2"/>
  <c r="T235" i="2"/>
  <c r="U235" i="2"/>
  <c r="R234" i="2"/>
  <c r="T234" i="2"/>
  <c r="U234" i="2"/>
  <c r="R231" i="2"/>
  <c r="T231" i="2"/>
  <c r="U231" i="2"/>
  <c r="R230" i="2"/>
  <c r="T230" i="2"/>
  <c r="U230" i="2"/>
  <c r="R228" i="2"/>
  <c r="T228" i="2"/>
  <c r="U228" i="2"/>
  <c r="R227" i="2"/>
  <c r="T227" i="2"/>
  <c r="U227" i="2"/>
  <c r="R225" i="2"/>
  <c r="T225" i="2"/>
  <c r="U225" i="2"/>
  <c r="R223" i="2"/>
  <c r="T223" i="2"/>
  <c r="U223" i="2"/>
  <c r="R222" i="2"/>
  <c r="T222" i="2"/>
  <c r="U222" i="2"/>
  <c r="R221" i="2"/>
  <c r="T221" i="2"/>
  <c r="U221" i="2"/>
  <c r="R220" i="2"/>
  <c r="T220" i="2"/>
  <c r="U220" i="2"/>
  <c r="R219" i="2"/>
  <c r="T219" i="2"/>
  <c r="U219" i="2"/>
  <c r="R217" i="2"/>
  <c r="T217" i="2"/>
  <c r="U217" i="2"/>
  <c r="R216" i="2"/>
  <c r="T216" i="2"/>
  <c r="U216" i="2"/>
  <c r="R212" i="2"/>
  <c r="T212" i="2"/>
  <c r="U212" i="2"/>
  <c r="R210" i="2"/>
  <c r="T210" i="2"/>
  <c r="U210" i="2"/>
  <c r="R208" i="2"/>
  <c r="T208" i="2"/>
  <c r="U208" i="2"/>
  <c r="R204" i="2"/>
  <c r="T204" i="2"/>
  <c r="U204" i="2"/>
  <c r="R202" i="2"/>
  <c r="T202" i="2"/>
  <c r="U202" i="2"/>
  <c r="R198" i="2"/>
  <c r="T198" i="2"/>
  <c r="U198" i="2"/>
  <c r="R197" i="2"/>
  <c r="T197" i="2"/>
  <c r="U197" i="2"/>
  <c r="R189" i="2"/>
  <c r="T189" i="2"/>
  <c r="U189" i="2"/>
  <c r="R188" i="2"/>
  <c r="T188" i="2"/>
  <c r="U188" i="2"/>
  <c r="R185" i="2"/>
  <c r="T185" i="2"/>
  <c r="U185" i="2"/>
  <c r="R182" i="2"/>
  <c r="T182" i="2"/>
  <c r="U182" i="2"/>
  <c r="R176" i="2"/>
  <c r="T176" i="2"/>
  <c r="U176" i="2"/>
  <c r="R166" i="2"/>
  <c r="T166" i="2"/>
  <c r="U166" i="2"/>
  <c r="R810" i="2"/>
  <c r="T810" i="2"/>
  <c r="U810" i="2"/>
  <c r="R794" i="2"/>
  <c r="T794" i="2"/>
  <c r="U794" i="2"/>
  <c r="R781" i="2"/>
  <c r="T781" i="2"/>
  <c r="U781" i="2"/>
  <c r="R742" i="2"/>
  <c r="T742" i="2"/>
  <c r="U742" i="2"/>
  <c r="R730" i="2"/>
  <c r="T730" i="2"/>
  <c r="U730" i="2"/>
  <c r="R721" i="2"/>
  <c r="T721" i="2"/>
  <c r="U721" i="2"/>
  <c r="R556" i="2"/>
  <c r="T556" i="2"/>
  <c r="U556" i="2"/>
  <c r="R547" i="2"/>
  <c r="T547" i="2"/>
  <c r="U547" i="2"/>
  <c r="R530" i="2"/>
  <c r="T530" i="2"/>
  <c r="U530" i="2"/>
  <c r="R159" i="2"/>
  <c r="T159" i="2"/>
  <c r="U159" i="2"/>
  <c r="R156" i="2"/>
  <c r="T156" i="2"/>
  <c r="U156" i="2"/>
  <c r="R153" i="2"/>
  <c r="T153" i="2"/>
  <c r="U153" i="2"/>
  <c r="R150" i="2"/>
  <c r="T150" i="2"/>
  <c r="U150" i="2"/>
  <c r="R145" i="2"/>
  <c r="T145" i="2"/>
  <c r="U145" i="2"/>
  <c r="R142" i="2"/>
  <c r="T142" i="2"/>
  <c r="U142" i="2"/>
  <c r="R123" i="2"/>
  <c r="T123" i="2"/>
  <c r="U123" i="2"/>
  <c r="R112" i="2"/>
  <c r="T112" i="2"/>
  <c r="U112" i="2"/>
  <c r="R105" i="2"/>
  <c r="T105" i="2"/>
  <c r="U105" i="2"/>
  <c r="R102" i="2"/>
  <c r="T102" i="2"/>
  <c r="U102" i="2"/>
  <c r="R97" i="2"/>
  <c r="T97" i="2"/>
  <c r="U97" i="2"/>
  <c r="R91" i="2"/>
  <c r="T91" i="2"/>
  <c r="U91" i="2"/>
  <c r="R86" i="2"/>
  <c r="T86" i="2"/>
  <c r="U86" i="2"/>
  <c r="R82" i="2"/>
  <c r="T82" i="2"/>
  <c r="U82" i="2"/>
  <c r="R55" i="2"/>
  <c r="T55" i="2"/>
  <c r="U55" i="2"/>
  <c r="R35" i="2"/>
  <c r="T35" i="2"/>
  <c r="U35" i="2"/>
  <c r="R32" i="2"/>
  <c r="T32" i="2"/>
  <c r="U32" i="2"/>
  <c r="R27" i="2"/>
  <c r="T27" i="2"/>
  <c r="U27" i="2"/>
  <c r="R22" i="2"/>
  <c r="T22" i="2"/>
  <c r="U22" i="2"/>
  <c r="R146" i="2"/>
  <c r="T146" i="2"/>
  <c r="U146" i="2"/>
  <c r="R133" i="2"/>
  <c r="T133" i="2"/>
  <c r="U133" i="2"/>
  <c r="R114" i="2"/>
  <c r="T114" i="2"/>
  <c r="U114" i="2"/>
  <c r="R110" i="2"/>
  <c r="T110" i="2"/>
  <c r="U110" i="2"/>
  <c r="R104" i="2"/>
  <c r="T104" i="2"/>
  <c r="U104" i="2"/>
  <c r="R101" i="2"/>
  <c r="T101" i="2"/>
  <c r="U101" i="2"/>
  <c r="R87" i="2"/>
  <c r="T87" i="2"/>
  <c r="U87" i="2"/>
  <c r="R57" i="2"/>
  <c r="T57" i="2"/>
  <c r="U57" i="2"/>
  <c r="R36" i="2"/>
  <c r="T36" i="2"/>
  <c r="U36" i="2"/>
  <c r="R23" i="2"/>
  <c r="T23" i="2"/>
  <c r="U23" i="2"/>
  <c r="R151" i="2"/>
  <c r="T151" i="2"/>
  <c r="U151" i="2"/>
  <c r="R138" i="2"/>
  <c r="T138" i="2"/>
  <c r="U138" i="2"/>
  <c r="R132" i="2"/>
  <c r="T132" i="2"/>
  <c r="U132" i="2"/>
  <c r="R111" i="2"/>
  <c r="T111" i="2"/>
  <c r="U111" i="2"/>
  <c r="R100" i="2"/>
  <c r="T100" i="2"/>
  <c r="U100" i="2"/>
  <c r="R90" i="2"/>
  <c r="T90" i="2"/>
  <c r="U90" i="2"/>
  <c r="R84" i="2"/>
  <c r="T84" i="2"/>
  <c r="U84" i="2"/>
  <c r="R68" i="2"/>
  <c r="T68" i="2"/>
  <c r="U68" i="2"/>
  <c r="R65" i="2"/>
  <c r="T65" i="2"/>
  <c r="U65" i="2"/>
  <c r="R60" i="2"/>
  <c r="T60" i="2"/>
  <c r="U60" i="2"/>
  <c r="R56" i="2"/>
  <c r="T56" i="2"/>
  <c r="U56" i="2"/>
  <c r="R46" i="2"/>
  <c r="T46" i="2"/>
  <c r="U46" i="2"/>
  <c r="R40" i="2"/>
  <c r="T40" i="2"/>
  <c r="U40" i="2"/>
  <c r="R30" i="2"/>
  <c r="T30" i="2"/>
  <c r="U30" i="2"/>
  <c r="R20" i="2"/>
  <c r="T20" i="2"/>
  <c r="U20" i="2"/>
  <c r="R148" i="2"/>
  <c r="T148" i="2"/>
  <c r="U148" i="2"/>
  <c r="R140" i="2"/>
  <c r="T140" i="2"/>
  <c r="U140" i="2"/>
  <c r="R129" i="2"/>
  <c r="T129" i="2"/>
  <c r="U129" i="2"/>
  <c r="R117" i="2"/>
  <c r="T117" i="2"/>
  <c r="U117" i="2"/>
  <c r="R113" i="2"/>
  <c r="T113" i="2"/>
  <c r="U113" i="2"/>
  <c r="R98" i="2"/>
  <c r="T98" i="2"/>
  <c r="U98" i="2"/>
  <c r="R93" i="2"/>
  <c r="T93" i="2"/>
  <c r="U93" i="2"/>
  <c r="R89" i="2"/>
  <c r="T89" i="2"/>
  <c r="U89" i="2"/>
  <c r="R83" i="2"/>
  <c r="T83" i="2"/>
  <c r="U83" i="2"/>
  <c r="R78" i="2"/>
  <c r="T78" i="2"/>
  <c r="U78" i="2"/>
  <c r="R75" i="2"/>
  <c r="T75" i="2"/>
  <c r="U75" i="2"/>
  <c r="R63" i="2"/>
  <c r="T63" i="2"/>
  <c r="U63" i="2"/>
  <c r="R58" i="2"/>
  <c r="T58" i="2"/>
  <c r="U58" i="2"/>
  <c r="R52" i="2"/>
  <c r="T52" i="2"/>
  <c r="U52" i="2"/>
  <c r="R47" i="2"/>
  <c r="T47" i="2"/>
  <c r="U47" i="2"/>
  <c r="R43" i="2"/>
  <c r="T43" i="2"/>
  <c r="U43" i="2"/>
  <c r="R26" i="2"/>
  <c r="T26" i="2"/>
  <c r="U26" i="2"/>
  <c r="R21" i="2"/>
  <c r="T21" i="2"/>
  <c r="U21" i="2"/>
  <c r="H13" i="2"/>
  <c r="H14" i="2"/>
  <c r="H15" i="2"/>
  <c r="H16" i="2"/>
  <c r="H17" i="2"/>
  <c r="H18" i="2"/>
  <c r="H12" i="2"/>
  <c r="H20" i="2"/>
  <c r="I26" i="2"/>
  <c r="J26" i="2"/>
  <c r="I25" i="2"/>
  <c r="J25" i="2"/>
  <c r="I27" i="2"/>
  <c r="J27" i="2"/>
  <c r="J13" i="2"/>
  <c r="K13" i="2"/>
  <c r="J14" i="2"/>
  <c r="K14" i="2"/>
  <c r="J15" i="2"/>
  <c r="K15" i="2"/>
  <c r="J16" i="2"/>
  <c r="K16" i="2"/>
  <c r="L16" i="2"/>
  <c r="M16" i="2"/>
  <c r="J17" i="2"/>
  <c r="K17" i="2"/>
  <c r="L17" i="2"/>
  <c r="M17" i="2"/>
  <c r="J18" i="2"/>
  <c r="K18" i="2"/>
  <c r="L18" i="2"/>
  <c r="M18" i="2"/>
  <c r="J12" i="2"/>
  <c r="K12" i="2"/>
  <c r="H22" i="2"/>
  <c r="K26" i="2"/>
  <c r="L12" i="2"/>
  <c r="M12" i="2"/>
  <c r="N12" i="2"/>
  <c r="N17" i="2"/>
  <c r="L15" i="2"/>
  <c r="M15" i="2"/>
  <c r="N15" i="2"/>
  <c r="L14" i="2"/>
  <c r="M14" i="2"/>
  <c r="N14" i="2"/>
  <c r="L13" i="2"/>
  <c r="M13" i="2"/>
  <c r="N13" i="2"/>
  <c r="N18" i="2"/>
  <c r="N16" i="2"/>
  <c r="E28" i="2"/>
  <c r="E18" i="2"/>
  <c r="B22" i="2"/>
  <c r="V25" i="2"/>
  <c r="W25" i="2"/>
  <c r="V26" i="2"/>
  <c r="W26" i="2"/>
  <c r="V27" i="2"/>
  <c r="W27" i="2"/>
  <c r="V29" i="2"/>
  <c r="W29" i="2"/>
  <c r="V30" i="2"/>
  <c r="W30" i="2"/>
  <c r="V32" i="2"/>
  <c r="W32" i="2"/>
  <c r="V33" i="2"/>
  <c r="W33" i="2"/>
  <c r="V34" i="2"/>
  <c r="W34" i="2"/>
  <c r="V35" i="2"/>
  <c r="W35" i="2"/>
  <c r="V36" i="2"/>
  <c r="W36" i="2"/>
  <c r="V37" i="2"/>
  <c r="W37" i="2"/>
  <c r="V40" i="2"/>
  <c r="W40" i="2"/>
  <c r="V42" i="2"/>
  <c r="W42" i="2"/>
  <c r="V45" i="2"/>
  <c r="W45" i="2"/>
  <c r="V48" i="2"/>
  <c r="W48" i="2"/>
  <c r="V54" i="2"/>
  <c r="W54" i="2"/>
  <c r="V56" i="2"/>
  <c r="W56" i="2"/>
  <c r="V66" i="2"/>
  <c r="W66" i="2"/>
  <c r="V75" i="2"/>
  <c r="W75" i="2"/>
  <c r="V79" i="2"/>
  <c r="W79" i="2"/>
  <c r="V83" i="2"/>
  <c r="W83" i="2"/>
  <c r="V87" i="2"/>
  <c r="W87" i="2"/>
  <c r="V97" i="2"/>
  <c r="W97" i="2"/>
  <c r="V116" i="2"/>
  <c r="W116" i="2"/>
  <c r="V120" i="2"/>
  <c r="W120" i="2"/>
  <c r="V134" i="2"/>
  <c r="W134" i="2"/>
  <c r="V157" i="2"/>
  <c r="W157" i="2"/>
  <c r="V760" i="2"/>
  <c r="W760" i="2"/>
  <c r="V789" i="2"/>
  <c r="W789" i="2"/>
  <c r="V816" i="2"/>
  <c r="W816" i="2"/>
  <c r="V171" i="2"/>
  <c r="W171" i="2"/>
  <c r="V181" i="2"/>
  <c r="W181" i="2"/>
  <c r="V205" i="2"/>
  <c r="W205" i="2"/>
  <c r="V219" i="2"/>
  <c r="W219" i="2"/>
  <c r="V237" i="2"/>
  <c r="W237" i="2"/>
  <c r="V265" i="2"/>
  <c r="W265" i="2"/>
  <c r="V294" i="2"/>
  <c r="W294" i="2"/>
  <c r="V747" i="2"/>
  <c r="W747" i="2"/>
  <c r="V781" i="2"/>
  <c r="W781" i="2"/>
  <c r="V765" i="2"/>
  <c r="W765" i="2"/>
  <c r="V777" i="2"/>
  <c r="W777" i="2"/>
  <c r="V831" i="2"/>
  <c r="W831" i="2"/>
  <c r="V895" i="2"/>
  <c r="W895" i="2"/>
  <c r="V593" i="2"/>
  <c r="W593" i="2"/>
  <c r="V608" i="2"/>
  <c r="W608" i="2"/>
  <c r="V613" i="2"/>
  <c r="W613" i="2"/>
  <c r="V619" i="2"/>
  <c r="W619" i="2"/>
  <c r="V258" i="2"/>
  <c r="W258" i="2"/>
  <c r="V263" i="2"/>
  <c r="W263" i="2"/>
  <c r="V276" i="2"/>
  <c r="W276" i="2"/>
  <c r="V278" i="2"/>
  <c r="W278" i="2"/>
  <c r="V280" i="2"/>
  <c r="W280" i="2"/>
  <c r="V286" i="2"/>
  <c r="W286" i="2"/>
  <c r="V296" i="2"/>
  <c r="W296" i="2"/>
  <c r="V298" i="2"/>
  <c r="W298" i="2"/>
  <c r="V309" i="2"/>
  <c r="W309" i="2"/>
  <c r="V512" i="2"/>
  <c r="W512" i="2"/>
  <c r="V516" i="2"/>
  <c r="W516" i="2"/>
  <c r="V526" i="2"/>
  <c r="W526" i="2"/>
  <c r="V531" i="2"/>
  <c r="W531" i="2"/>
  <c r="V532" i="2"/>
  <c r="W532" i="2"/>
  <c r="V728" i="2"/>
  <c r="W728" i="2"/>
  <c r="V732" i="2"/>
  <c r="W732" i="2"/>
  <c r="V782" i="2"/>
  <c r="W782" i="2"/>
  <c r="V791" i="2"/>
  <c r="W791" i="2"/>
  <c r="V794" i="2"/>
  <c r="W794" i="2"/>
  <c r="V802" i="2"/>
  <c r="W802" i="2"/>
  <c r="V807" i="2"/>
  <c r="W807" i="2"/>
  <c r="V812" i="2"/>
  <c r="W812" i="2"/>
  <c r="V813" i="2"/>
  <c r="W813" i="2"/>
  <c r="V821" i="2"/>
  <c r="W821" i="2"/>
  <c r="V907" i="2"/>
  <c r="W907" i="2"/>
  <c r="V908" i="2"/>
  <c r="W908" i="2"/>
  <c r="V218" i="2"/>
  <c r="W218" i="2"/>
  <c r="V233" i="2"/>
  <c r="W233" i="2"/>
  <c r="V742" i="2"/>
  <c r="W742" i="2"/>
  <c r="V804" i="2"/>
  <c r="W804" i="2"/>
  <c r="V756" i="2"/>
  <c r="W756" i="2"/>
  <c r="V793" i="2"/>
  <c r="W793" i="2"/>
  <c r="V838" i="2"/>
  <c r="W838" i="2"/>
  <c r="V896" i="2"/>
  <c r="W896" i="2"/>
  <c r="V586" i="2"/>
  <c r="W586" i="2"/>
  <c r="V596" i="2"/>
  <c r="W596" i="2"/>
  <c r="V603" i="2"/>
  <c r="W603" i="2"/>
  <c r="V610" i="2"/>
  <c r="W610" i="2"/>
  <c r="V617" i="2"/>
  <c r="W617" i="2"/>
  <c r="V824" i="2"/>
  <c r="W824" i="2"/>
  <c r="V827" i="2"/>
  <c r="W827" i="2"/>
  <c r="V876" i="2"/>
  <c r="W876" i="2"/>
  <c r="V878" i="2"/>
  <c r="W878" i="2"/>
  <c r="V977" i="2"/>
  <c r="W977" i="2"/>
  <c r="V19" i="2"/>
  <c r="W19" i="2"/>
  <c r="V329" i="2"/>
  <c r="W329" i="2"/>
  <c r="V357" i="2"/>
  <c r="W357" i="2"/>
  <c r="V359" i="2"/>
  <c r="W359" i="2"/>
  <c r="V360" i="2"/>
  <c r="W360" i="2"/>
  <c r="V361" i="2"/>
  <c r="W361" i="2"/>
  <c r="V363" i="2"/>
  <c r="W363" i="2"/>
  <c r="V377" i="2"/>
  <c r="W377" i="2"/>
  <c r="V378" i="2"/>
  <c r="W378" i="2"/>
  <c r="V397" i="2"/>
  <c r="W397" i="2"/>
  <c r="V398" i="2"/>
  <c r="W398" i="2"/>
  <c r="V499" i="2"/>
  <c r="W499" i="2"/>
  <c r="V510" i="2"/>
  <c r="W510" i="2"/>
  <c r="V514" i="2"/>
  <c r="W514" i="2"/>
  <c r="V736" i="2"/>
  <c r="W736" i="2"/>
  <c r="V775" i="2"/>
  <c r="W775" i="2"/>
  <c r="V836" i="2"/>
  <c r="W836" i="2"/>
  <c r="V583" i="2"/>
  <c r="W583" i="2"/>
  <c r="V597" i="2"/>
  <c r="W597" i="2"/>
  <c r="V604" i="2"/>
  <c r="W604" i="2"/>
  <c r="V611" i="2"/>
  <c r="W611" i="2"/>
  <c r="V618" i="2"/>
  <c r="W618" i="2"/>
  <c r="V621" i="2"/>
  <c r="W621" i="2"/>
  <c r="V622" i="2"/>
  <c r="W622" i="2"/>
  <c r="V623" i="2"/>
  <c r="W623" i="2"/>
  <c r="V624" i="2"/>
  <c r="W624" i="2"/>
  <c r="V625" i="2"/>
  <c r="W625" i="2"/>
  <c r="V626" i="2"/>
  <c r="W626" i="2"/>
  <c r="V627" i="2"/>
  <c r="W627" i="2"/>
  <c r="V628" i="2"/>
  <c r="W628" i="2"/>
  <c r="V629" i="2"/>
  <c r="W629" i="2"/>
  <c r="V630" i="2"/>
  <c r="W630" i="2"/>
  <c r="V631" i="2"/>
  <c r="W631" i="2"/>
  <c r="V632" i="2"/>
  <c r="W632" i="2"/>
  <c r="V633" i="2"/>
  <c r="W633" i="2"/>
  <c r="V634" i="2"/>
  <c r="W634" i="2"/>
  <c r="V635" i="2"/>
  <c r="W635" i="2"/>
  <c r="V636" i="2"/>
  <c r="W636" i="2"/>
  <c r="V637" i="2"/>
  <c r="W637" i="2"/>
  <c r="V638" i="2"/>
  <c r="W638" i="2"/>
  <c r="V639" i="2"/>
  <c r="W639" i="2"/>
  <c r="V640" i="2"/>
  <c r="W640" i="2"/>
  <c r="V641" i="2"/>
  <c r="W641" i="2"/>
  <c r="V642" i="2"/>
  <c r="W642" i="2"/>
  <c r="V643" i="2"/>
  <c r="W643" i="2"/>
  <c r="V644" i="2"/>
  <c r="W644" i="2"/>
  <c r="V645" i="2"/>
  <c r="W645" i="2"/>
  <c r="V646" i="2"/>
  <c r="W646" i="2"/>
  <c r="V647" i="2"/>
  <c r="W647" i="2"/>
  <c r="V648" i="2"/>
  <c r="W648" i="2"/>
  <c r="V649" i="2"/>
  <c r="W649" i="2"/>
  <c r="V650" i="2"/>
  <c r="W650" i="2"/>
  <c r="V654" i="2"/>
  <c r="W654" i="2"/>
  <c r="V761" i="2"/>
  <c r="W761" i="2"/>
  <c r="V773" i="2"/>
  <c r="W773" i="2"/>
  <c r="V787" i="2"/>
  <c r="W787" i="2"/>
  <c r="V806" i="2"/>
  <c r="W806" i="2"/>
  <c r="V808" i="2"/>
  <c r="W808" i="2"/>
  <c r="V817" i="2"/>
  <c r="W817" i="2"/>
  <c r="V818" i="2"/>
  <c r="W818" i="2"/>
  <c r="V834" i="2"/>
  <c r="W834" i="2"/>
  <c r="V869" i="2"/>
  <c r="W869" i="2"/>
  <c r="V870" i="2"/>
  <c r="W870" i="2"/>
  <c r="V897" i="2"/>
  <c r="W897" i="2"/>
  <c r="V898" i="2"/>
  <c r="W898" i="2"/>
  <c r="V21" i="2"/>
  <c r="W21" i="2"/>
  <c r="V20" i="2"/>
  <c r="W20" i="2"/>
  <c r="V38" i="2"/>
  <c r="W38" i="2"/>
  <c r="V67" i="2"/>
  <c r="W67" i="2"/>
  <c r="V93" i="2"/>
  <c r="W93" i="2"/>
  <c r="V841" i="2"/>
  <c r="W841" i="2"/>
  <c r="V311" i="2"/>
  <c r="W311" i="2"/>
  <c r="V651" i="2"/>
  <c r="W651" i="2"/>
  <c r="V652" i="2"/>
  <c r="W652" i="2"/>
  <c r="V653" i="2"/>
  <c r="W653" i="2"/>
  <c r="V758" i="2"/>
  <c r="W758" i="2"/>
  <c r="V873" i="2"/>
  <c r="W873" i="2"/>
  <c r="V785" i="2"/>
  <c r="W785" i="2"/>
  <c r="V43" i="2"/>
  <c r="W43" i="2"/>
  <c r="V46" i="2"/>
  <c r="W46" i="2"/>
  <c r="V49" i="2"/>
  <c r="W49" i="2"/>
  <c r="V89" i="2"/>
  <c r="W89" i="2"/>
  <c r="V39" i="2"/>
  <c r="W39" i="2"/>
  <c r="V41" i="2"/>
  <c r="W41" i="2"/>
  <c r="V50" i="2"/>
  <c r="W50" i="2"/>
  <c r="V52" i="2"/>
  <c r="W52" i="2"/>
  <c r="V57" i="2"/>
  <c r="W57" i="2"/>
  <c r="V70" i="2"/>
  <c r="W70" i="2"/>
  <c r="V74" i="2"/>
  <c r="W74" i="2"/>
  <c r="V80" i="2"/>
  <c r="W80" i="2"/>
  <c r="V82" i="2"/>
  <c r="W82" i="2"/>
  <c r="V84" i="2"/>
  <c r="W84" i="2"/>
  <c r="V86" i="2"/>
  <c r="W86" i="2"/>
  <c r="V125" i="2"/>
  <c r="W125" i="2"/>
  <c r="V179" i="2"/>
  <c r="W179" i="2"/>
  <c r="V169" i="2"/>
  <c r="W169" i="2"/>
  <c r="V227" i="2"/>
  <c r="W227" i="2"/>
  <c r="V783" i="2"/>
  <c r="W783" i="2"/>
  <c r="V820" i="2"/>
  <c r="W820" i="2"/>
  <c r="V911" i="2"/>
  <c r="W911" i="2"/>
  <c r="V912" i="2"/>
  <c r="W912" i="2"/>
  <c r="V737" i="2"/>
  <c r="W737" i="2"/>
  <c r="V31" i="2"/>
  <c r="W31" i="2"/>
  <c r="V44" i="2"/>
  <c r="W44" i="2"/>
  <c r="V47" i="2"/>
  <c r="W47" i="2"/>
  <c r="V68" i="2"/>
  <c r="W68" i="2"/>
  <c r="V77" i="2"/>
  <c r="W77" i="2"/>
  <c r="V99" i="2"/>
  <c r="W99" i="2"/>
  <c r="V108" i="2"/>
  <c r="W108" i="2"/>
  <c r="V192" i="2"/>
  <c r="W192" i="2"/>
  <c r="V281" i="2"/>
  <c r="W281" i="2"/>
  <c r="V176" i="2"/>
  <c r="W176" i="2"/>
  <c r="V195" i="2"/>
  <c r="W195" i="2"/>
  <c r="V196" i="2"/>
  <c r="W196" i="2"/>
  <c r="V199" i="2"/>
  <c r="W199" i="2"/>
  <c r="V214" i="2"/>
  <c r="W214" i="2"/>
  <c r="V436" i="2"/>
  <c r="W436" i="2"/>
  <c r="V744" i="2"/>
  <c r="W744" i="2"/>
  <c r="V319" i="2"/>
  <c r="W319" i="2"/>
  <c r="V326" i="2"/>
  <c r="W326" i="2"/>
  <c r="V333" i="2"/>
  <c r="W333" i="2"/>
  <c r="V548" i="2"/>
  <c r="W548" i="2"/>
  <c r="V740" i="2"/>
  <c r="W740" i="2"/>
  <c r="V815" i="2"/>
  <c r="W815" i="2"/>
  <c r="V913" i="2"/>
  <c r="W913" i="2"/>
  <c r="V916" i="2"/>
  <c r="W916" i="2"/>
  <c r="V918" i="2"/>
  <c r="W918" i="2"/>
  <c r="V920" i="2"/>
  <c r="W920" i="2"/>
  <c r="V921" i="2"/>
  <c r="W921" i="2"/>
  <c r="V922" i="2"/>
  <c r="W922" i="2"/>
  <c r="V923" i="2"/>
  <c r="W923" i="2"/>
  <c r="V928" i="2"/>
  <c r="W928" i="2"/>
  <c r="V929" i="2"/>
  <c r="W929" i="2"/>
  <c r="V930" i="2"/>
  <c r="W930" i="2"/>
  <c r="V931" i="2"/>
  <c r="W931" i="2"/>
  <c r="V121" i="2"/>
  <c r="W121" i="2"/>
  <c r="V114" i="2"/>
  <c r="W114" i="2"/>
  <c r="V132" i="2"/>
  <c r="W132" i="2"/>
  <c r="V766" i="2"/>
  <c r="W766" i="2"/>
  <c r="V805" i="2"/>
  <c r="W805" i="2"/>
  <c r="V605" i="2"/>
  <c r="W605" i="2"/>
  <c r="V616" i="2"/>
  <c r="W616" i="2"/>
  <c r="V823" i="2"/>
  <c r="W823" i="2"/>
  <c r="V290" i="2"/>
  <c r="W290" i="2"/>
  <c r="V322" i="2"/>
  <c r="W322" i="2"/>
  <c r="V826" i="2"/>
  <c r="W826" i="2"/>
  <c r="V828" i="2"/>
  <c r="W828" i="2"/>
  <c r="V61" i="2"/>
  <c r="W61" i="2"/>
  <c r="V65" i="2"/>
  <c r="W65" i="2"/>
  <c r="V260" i="2"/>
  <c r="W260" i="2"/>
  <c r="V291" i="2"/>
  <c r="W291" i="2"/>
  <c r="V315" i="2"/>
  <c r="W315" i="2"/>
  <c r="V461" i="2"/>
  <c r="W461" i="2"/>
  <c r="V464" i="2"/>
  <c r="W464" i="2"/>
  <c r="V492" i="2"/>
  <c r="W492" i="2"/>
  <c r="V259" i="2"/>
  <c r="W259" i="2"/>
  <c r="V517" i="2"/>
  <c r="W517" i="2"/>
  <c r="V458" i="2"/>
  <c r="W458" i="2"/>
  <c r="V506" i="2"/>
  <c r="W506" i="2"/>
  <c r="V520" i="2"/>
  <c r="W520" i="2"/>
  <c r="V58" i="2"/>
  <c r="W58" i="2"/>
  <c r="V59" i="2"/>
  <c r="W59" i="2"/>
  <c r="V60" i="2"/>
  <c r="W60" i="2"/>
  <c r="V62" i="2"/>
  <c r="W62" i="2"/>
  <c r="V73" i="2"/>
  <c r="W73" i="2"/>
  <c r="V90" i="2"/>
  <c r="W90" i="2"/>
  <c r="V98" i="2"/>
  <c r="W98" i="2"/>
  <c r="V102" i="2"/>
  <c r="W102" i="2"/>
  <c r="V104" i="2"/>
  <c r="W104" i="2"/>
  <c r="V112" i="2"/>
  <c r="W112" i="2"/>
  <c r="V135" i="2"/>
  <c r="W135" i="2"/>
  <c r="V136" i="2"/>
  <c r="W136" i="2"/>
  <c r="V137" i="2"/>
  <c r="W137" i="2"/>
  <c r="V138" i="2"/>
  <c r="W138" i="2"/>
  <c r="V139" i="2"/>
  <c r="W139" i="2"/>
  <c r="V141" i="2"/>
  <c r="W141" i="2"/>
  <c r="V142" i="2"/>
  <c r="W142" i="2"/>
  <c r="V143" i="2"/>
  <c r="W143" i="2"/>
  <c r="V150" i="2"/>
  <c r="W150" i="2"/>
  <c r="V151" i="2"/>
  <c r="W151" i="2"/>
  <c r="V154" i="2"/>
  <c r="W154" i="2"/>
  <c r="V710" i="2"/>
  <c r="W710" i="2"/>
  <c r="V282" i="2"/>
  <c r="W282" i="2"/>
  <c r="V285" i="2"/>
  <c r="W285" i="2"/>
  <c r="V293" i="2"/>
  <c r="W293" i="2"/>
  <c r="V334" i="2"/>
  <c r="W334" i="2"/>
  <c r="V468" i="2"/>
  <c r="W468" i="2"/>
  <c r="V477" i="2"/>
  <c r="W477" i="2"/>
  <c r="V503" i="2"/>
  <c r="W503" i="2"/>
  <c r="V707" i="2"/>
  <c r="W707" i="2"/>
  <c r="V274" i="2"/>
  <c r="W274" i="2"/>
  <c r="V295" i="2"/>
  <c r="W295" i="2"/>
  <c r="V301" i="2"/>
  <c r="W301" i="2"/>
  <c r="V467" i="2"/>
  <c r="W467" i="2"/>
  <c r="V469" i="2"/>
  <c r="W469" i="2"/>
  <c r="V486" i="2"/>
  <c r="W486" i="2"/>
  <c r="V727" i="2"/>
  <c r="W727" i="2"/>
  <c r="V667" i="2"/>
  <c r="W667" i="2"/>
  <c r="V668" i="2"/>
  <c r="W668" i="2"/>
  <c r="V669" i="2"/>
  <c r="W669" i="2"/>
  <c r="V670" i="2"/>
  <c r="W670" i="2"/>
  <c r="V671" i="2"/>
  <c r="W671" i="2"/>
  <c r="V672" i="2"/>
  <c r="W672" i="2"/>
  <c r="V673" i="2"/>
  <c r="W673" i="2"/>
  <c r="V674" i="2"/>
  <c r="W674" i="2"/>
  <c r="V676" i="2"/>
  <c r="W676" i="2"/>
  <c r="V677" i="2"/>
  <c r="W677" i="2"/>
  <c r="V678" i="2"/>
  <c r="W678" i="2"/>
  <c r="V681" i="2"/>
  <c r="W681" i="2"/>
  <c r="V682" i="2"/>
  <c r="W682" i="2"/>
  <c r="V210" i="2"/>
  <c r="W210" i="2"/>
  <c r="V236" i="2"/>
  <c r="W236" i="2"/>
  <c r="V267" i="2"/>
  <c r="W267" i="2"/>
  <c r="V303" i="2"/>
  <c r="W303" i="2"/>
  <c r="V487" i="2"/>
  <c r="W487" i="2"/>
  <c r="V497" i="2"/>
  <c r="W497" i="2"/>
  <c r="V534" i="2"/>
  <c r="W534" i="2"/>
  <c r="V739" i="2"/>
  <c r="W739" i="2"/>
  <c r="V749" i="2"/>
  <c r="W749" i="2"/>
  <c r="V803" i="2"/>
  <c r="W803" i="2"/>
  <c r="V755" i="2"/>
  <c r="W755" i="2"/>
  <c r="V778" i="2"/>
  <c r="W778" i="2"/>
  <c r="V830" i="2"/>
  <c r="W830" i="2"/>
  <c r="V885" i="2"/>
  <c r="W885" i="2"/>
  <c r="V599" i="2"/>
  <c r="W599" i="2"/>
  <c r="V606" i="2"/>
  <c r="W606" i="2"/>
  <c r="V612" i="2"/>
  <c r="W612" i="2"/>
  <c r="V72" i="2"/>
  <c r="W72" i="2"/>
  <c r="V81" i="2"/>
  <c r="W81" i="2"/>
  <c r="V94" i="2"/>
  <c r="W94" i="2"/>
  <c r="V100" i="2"/>
  <c r="W100" i="2"/>
  <c r="V105" i="2"/>
  <c r="W105" i="2"/>
  <c r="V123" i="2"/>
  <c r="W123" i="2"/>
  <c r="V127" i="2"/>
  <c r="W127" i="2"/>
  <c r="V131" i="2"/>
  <c r="W131" i="2"/>
  <c r="V753" i="2"/>
  <c r="W753" i="2"/>
  <c r="V769" i="2"/>
  <c r="W769" i="2"/>
  <c r="V790" i="2"/>
  <c r="W790" i="2"/>
  <c r="V811" i="2"/>
  <c r="W811" i="2"/>
  <c r="V899" i="2"/>
  <c r="W899" i="2"/>
  <c r="V904" i="2"/>
  <c r="W904" i="2"/>
  <c r="V168" i="2"/>
  <c r="W168" i="2"/>
  <c r="V178" i="2"/>
  <c r="W178" i="2"/>
  <c r="V187" i="2"/>
  <c r="W187" i="2"/>
  <c r="V208" i="2"/>
  <c r="W208" i="2"/>
  <c r="V241" i="2"/>
  <c r="W241" i="2"/>
  <c r="V246" i="2"/>
  <c r="W246" i="2"/>
  <c r="V253" i="2"/>
  <c r="W253" i="2"/>
  <c r="V164" i="2"/>
  <c r="W164" i="2"/>
  <c r="V188" i="2"/>
  <c r="W188" i="2"/>
  <c r="V212" i="2"/>
  <c r="W212" i="2"/>
  <c r="V222" i="2"/>
  <c r="W222" i="2"/>
  <c r="V232" i="2"/>
  <c r="W232" i="2"/>
  <c r="V269" i="2"/>
  <c r="W269" i="2"/>
  <c r="V289" i="2"/>
  <c r="W289" i="2"/>
  <c r="V485" i="2"/>
  <c r="W485" i="2"/>
  <c r="V738" i="2"/>
  <c r="W738" i="2"/>
  <c r="V748" i="2"/>
  <c r="W748" i="2"/>
  <c r="V798" i="2"/>
  <c r="W798" i="2"/>
  <c r="V810" i="2"/>
  <c r="W810" i="2"/>
  <c r="V776" i="2"/>
  <c r="W776" i="2"/>
  <c r="V598" i="2"/>
  <c r="W598" i="2"/>
  <c r="V607" i="2"/>
  <c r="W607" i="2"/>
  <c r="V614" i="2"/>
  <c r="W614" i="2"/>
  <c r="V620" i="2"/>
  <c r="W620" i="2"/>
  <c r="V875" i="2"/>
  <c r="W875" i="2"/>
  <c r="V877" i="2"/>
  <c r="W877" i="2"/>
  <c r="V879" i="2"/>
  <c r="W879" i="2"/>
  <c r="V880" i="2"/>
  <c r="W880" i="2"/>
  <c r="V881" i="2"/>
  <c r="W881" i="2"/>
  <c r="V882" i="2"/>
  <c r="W882" i="2"/>
  <c r="V891" i="2"/>
  <c r="W891" i="2"/>
  <c r="V51" i="2"/>
  <c r="W51" i="2"/>
  <c r="V63" i="2"/>
  <c r="W63" i="2"/>
  <c r="V69" i="2"/>
  <c r="W69" i="2"/>
  <c r="V76" i="2"/>
  <c r="W76" i="2"/>
  <c r="V85" i="2"/>
  <c r="W85" i="2"/>
  <c r="V88" i="2"/>
  <c r="W88" i="2"/>
  <c r="V92" i="2"/>
  <c r="W92" i="2"/>
  <c r="V103" i="2"/>
  <c r="W103" i="2"/>
  <c r="V107" i="2"/>
  <c r="W107" i="2"/>
  <c r="V113" i="2"/>
  <c r="W113" i="2"/>
  <c r="V118" i="2"/>
  <c r="W118" i="2"/>
  <c r="V129" i="2"/>
  <c r="W129" i="2"/>
  <c r="V160" i="2"/>
  <c r="W160" i="2"/>
  <c r="V759" i="2"/>
  <c r="W759" i="2"/>
  <c r="V770" i="2"/>
  <c r="W770" i="2"/>
  <c r="V799" i="2"/>
  <c r="W799" i="2"/>
  <c r="V835" i="2"/>
  <c r="W835" i="2"/>
  <c r="V883" i="2"/>
  <c r="W883" i="2"/>
  <c r="V985" i="2"/>
  <c r="W985" i="2"/>
  <c r="V166" i="2"/>
  <c r="W166" i="2"/>
  <c r="V172" i="2"/>
  <c r="W172" i="2"/>
  <c r="V185" i="2"/>
  <c r="W185" i="2"/>
  <c r="V191" i="2"/>
  <c r="W191" i="2"/>
  <c r="V198" i="2"/>
  <c r="W198" i="2"/>
  <c r="V206" i="2"/>
  <c r="W206" i="2"/>
  <c r="V224" i="2"/>
  <c r="W224" i="2"/>
  <c r="V239" i="2"/>
  <c r="W239" i="2"/>
  <c r="V244" i="2"/>
  <c r="W244" i="2"/>
  <c r="V251" i="2"/>
  <c r="W251" i="2"/>
  <c r="V175" i="2"/>
  <c r="W175" i="2"/>
  <c r="V201" i="2"/>
  <c r="W201" i="2"/>
  <c r="V216" i="2"/>
  <c r="W216" i="2"/>
  <c r="V283" i="2"/>
  <c r="W283" i="2"/>
  <c r="V439" i="2"/>
  <c r="W439" i="2"/>
  <c r="V508" i="2"/>
  <c r="W508" i="2"/>
  <c r="V741" i="2"/>
  <c r="W741" i="2"/>
  <c r="V786" i="2"/>
  <c r="W786" i="2"/>
  <c r="V754" i="2"/>
  <c r="W754" i="2"/>
  <c r="V797" i="2"/>
  <c r="W797" i="2"/>
  <c r="V893" i="2"/>
  <c r="W893" i="2"/>
  <c r="V609" i="2"/>
  <c r="W609" i="2"/>
  <c r="V615" i="2"/>
  <c r="W615" i="2"/>
  <c r="V889" i="2"/>
  <c r="W889" i="2"/>
  <c r="V890" i="2"/>
  <c r="W890" i="2"/>
  <c r="V900" i="2"/>
  <c r="W900" i="2"/>
  <c r="V901" i="2"/>
  <c r="W901" i="2"/>
  <c r="V902" i="2"/>
  <c r="W902" i="2"/>
  <c r="V903" i="2"/>
  <c r="W903" i="2"/>
  <c r="V909" i="2"/>
  <c r="W909" i="2"/>
  <c r="V914" i="2"/>
  <c r="W914" i="2"/>
  <c r="V915" i="2"/>
  <c r="W915" i="2"/>
  <c r="V917" i="2"/>
  <c r="W917" i="2"/>
  <c r="V941" i="2"/>
  <c r="W941" i="2"/>
  <c r="V955" i="2"/>
  <c r="W955" i="2"/>
  <c r="V956" i="2"/>
  <c r="W956" i="2"/>
  <c r="V957" i="2"/>
  <c r="W957" i="2"/>
  <c r="V961" i="2"/>
  <c r="W961" i="2"/>
  <c r="V990" i="2"/>
  <c r="W990" i="2"/>
  <c r="V991" i="2"/>
  <c r="W991" i="2"/>
  <c r="V992" i="2"/>
  <c r="W992" i="2"/>
  <c r="V993" i="2"/>
  <c r="W993" i="2"/>
  <c r="V994" i="2"/>
  <c r="W994" i="2"/>
  <c r="V1012" i="2"/>
  <c r="W1012" i="2"/>
  <c r="V1013" i="2"/>
  <c r="W1013" i="2"/>
  <c r="V1014" i="2"/>
  <c r="W1014" i="2"/>
  <c r="V165" i="2"/>
  <c r="W165" i="2"/>
  <c r="V167" i="2"/>
  <c r="W167" i="2"/>
  <c r="V173" i="2"/>
  <c r="W173" i="2"/>
  <c r="V177" i="2"/>
  <c r="W177" i="2"/>
  <c r="V182" i="2"/>
  <c r="W182" i="2"/>
  <c r="V183" i="2"/>
  <c r="W183" i="2"/>
  <c r="V186" i="2"/>
  <c r="W186" i="2"/>
  <c r="V190" i="2"/>
  <c r="W190" i="2"/>
  <c r="V194" i="2"/>
  <c r="W194" i="2"/>
  <c r="V200" i="2"/>
  <c r="W200" i="2"/>
  <c r="V203" i="2"/>
  <c r="W203" i="2"/>
  <c r="V204" i="2"/>
  <c r="W204" i="2"/>
  <c r="V207" i="2"/>
  <c r="W207" i="2"/>
  <c r="V209" i="2"/>
  <c r="W209" i="2"/>
  <c r="V211" i="2"/>
  <c r="W211" i="2"/>
  <c r="V215" i="2"/>
  <c r="W215" i="2"/>
  <c r="V217" i="2"/>
  <c r="W217" i="2"/>
  <c r="V220" i="2"/>
  <c r="W220" i="2"/>
  <c r="V223" i="2"/>
  <c r="W223" i="2"/>
  <c r="V231" i="2"/>
  <c r="W231" i="2"/>
  <c r="V234" i="2"/>
  <c r="W234" i="2"/>
  <c r="V235" i="2"/>
  <c r="W235" i="2"/>
  <c r="V242" i="2"/>
  <c r="W242" i="2"/>
  <c r="V248" i="2"/>
  <c r="W248" i="2"/>
  <c r="V250" i="2"/>
  <c r="W250" i="2"/>
  <c r="V257" i="2"/>
  <c r="W257" i="2"/>
  <c r="V264" i="2"/>
  <c r="W264" i="2"/>
  <c r="V273" i="2"/>
  <c r="W273" i="2"/>
  <c r="V313" i="2"/>
  <c r="W313" i="2"/>
  <c r="V317" i="2"/>
  <c r="W317" i="2"/>
  <c r="V324" i="2"/>
  <c r="W324" i="2"/>
  <c r="V328" i="2"/>
  <c r="W328" i="2"/>
  <c r="V428" i="2"/>
  <c r="W428" i="2"/>
  <c r="V429" i="2"/>
  <c r="W429" i="2"/>
  <c r="V432" i="2"/>
  <c r="W432" i="2"/>
  <c r="V433" i="2"/>
  <c r="W433" i="2"/>
  <c r="V437" i="2"/>
  <c r="W437" i="2"/>
  <c r="V440" i="2"/>
  <c r="W440" i="2"/>
  <c r="V445" i="2"/>
  <c r="W445" i="2"/>
  <c r="V448" i="2"/>
  <c r="W448" i="2"/>
  <c r="V451" i="2"/>
  <c r="W451" i="2"/>
  <c r="V454" i="2"/>
  <c r="W454" i="2"/>
  <c r="V455" i="2"/>
  <c r="W455" i="2"/>
  <c r="V473" i="2"/>
  <c r="W473" i="2"/>
  <c r="V478" i="2"/>
  <c r="W478" i="2"/>
  <c r="V483" i="2"/>
  <c r="W483" i="2"/>
  <c r="V495" i="2"/>
  <c r="W495" i="2"/>
  <c r="V498" i="2"/>
  <c r="W498" i="2"/>
  <c r="V501" i="2"/>
  <c r="W501" i="2"/>
  <c r="V502" i="2"/>
  <c r="W502" i="2"/>
  <c r="V509" i="2"/>
  <c r="W509" i="2"/>
  <c r="V513" i="2"/>
  <c r="W513" i="2"/>
  <c r="V523" i="2"/>
  <c r="W523" i="2"/>
  <c r="V535" i="2"/>
  <c r="W535" i="2"/>
  <c r="V538" i="2"/>
  <c r="W538" i="2"/>
  <c r="V541" i="2"/>
  <c r="W541" i="2"/>
  <c r="V544" i="2"/>
  <c r="W544" i="2"/>
  <c r="V545" i="2"/>
  <c r="W545" i="2"/>
  <c r="V551" i="2"/>
  <c r="W551" i="2"/>
  <c r="V675" i="2"/>
  <c r="W675" i="2"/>
  <c r="V679" i="2"/>
  <c r="W679" i="2"/>
  <c r="V680" i="2"/>
  <c r="W680" i="2"/>
  <c r="V700" i="2"/>
  <c r="W700" i="2"/>
  <c r="V711" i="2"/>
  <c r="W711" i="2"/>
  <c r="V712" i="2"/>
  <c r="W712" i="2"/>
  <c r="V713" i="2"/>
  <c r="W713" i="2"/>
  <c r="V714" i="2"/>
  <c r="W714" i="2"/>
  <c r="V715" i="2"/>
  <c r="W715" i="2"/>
  <c r="V716" i="2"/>
  <c r="W716" i="2"/>
  <c r="V726" i="2"/>
  <c r="W726" i="2"/>
  <c r="V729" i="2"/>
  <c r="W729" i="2"/>
  <c r="V730" i="2"/>
  <c r="W730" i="2"/>
  <c r="V731" i="2"/>
  <c r="W731" i="2"/>
  <c r="V757" i="2"/>
  <c r="W757" i="2"/>
  <c r="V763" i="2"/>
  <c r="W763" i="2"/>
  <c r="V764" i="2"/>
  <c r="W764" i="2"/>
  <c r="V768" i="2"/>
  <c r="W768" i="2"/>
  <c r="V795" i="2"/>
  <c r="W795" i="2"/>
  <c r="V796" i="2"/>
  <c r="W796" i="2"/>
  <c r="V801" i="2"/>
  <c r="W801" i="2"/>
  <c r="V814" i="2"/>
  <c r="W814" i="2"/>
  <c r="V825" i="2"/>
  <c r="W825" i="2"/>
  <c r="V840" i="2"/>
  <c r="W840" i="2"/>
  <c r="V850" i="2"/>
  <c r="W850" i="2"/>
  <c r="V855" i="2"/>
  <c r="W855" i="2"/>
  <c r="V860" i="2"/>
  <c r="W860" i="2"/>
  <c r="V906" i="2"/>
  <c r="W906" i="2"/>
  <c r="V927" i="2"/>
  <c r="W927" i="2"/>
  <c r="V936" i="2"/>
  <c r="W936" i="2"/>
  <c r="V937" i="2"/>
  <c r="W937" i="2"/>
  <c r="V938" i="2"/>
  <c r="W938" i="2"/>
  <c r="V947" i="2"/>
  <c r="W947" i="2"/>
  <c r="V948" i="2"/>
  <c r="W948" i="2"/>
  <c r="V949" i="2"/>
  <c r="W949" i="2"/>
  <c r="V950" i="2"/>
  <c r="W950" i="2"/>
  <c r="V964" i="2"/>
  <c r="W964" i="2"/>
  <c r="V969" i="2"/>
  <c r="W969" i="2"/>
  <c r="V970" i="2"/>
  <c r="W970" i="2"/>
  <c r="V971" i="2"/>
  <c r="W971" i="2"/>
  <c r="V986" i="2"/>
  <c r="W986" i="2"/>
  <c r="V988" i="2"/>
  <c r="W988" i="2"/>
  <c r="V989" i="2"/>
  <c r="W989" i="2"/>
  <c r="V996" i="2"/>
  <c r="W996" i="2"/>
  <c r="V997" i="2"/>
  <c r="W997" i="2"/>
  <c r="V998" i="2"/>
  <c r="W998" i="2"/>
  <c r="V1001" i="2"/>
  <c r="W1001" i="2"/>
  <c r="V1010" i="2"/>
  <c r="W1010" i="2"/>
  <c r="V1011" i="2"/>
  <c r="W1011" i="2"/>
  <c r="V170" i="2"/>
  <c r="W170" i="2"/>
  <c r="V174" i="2"/>
  <c r="W174" i="2"/>
  <c r="V180" i="2"/>
  <c r="W180" i="2"/>
  <c r="V184" i="2"/>
  <c r="W184" i="2"/>
  <c r="V189" i="2"/>
  <c r="W189" i="2"/>
  <c r="V193" i="2"/>
  <c r="W193" i="2"/>
  <c r="V197" i="2"/>
  <c r="W197" i="2"/>
  <c r="V202" i="2"/>
  <c r="W202" i="2"/>
  <c r="V213" i="2"/>
  <c r="W213" i="2"/>
  <c r="V221" i="2"/>
  <c r="W221" i="2"/>
  <c r="V225" i="2"/>
  <c r="W225" i="2"/>
  <c r="V226" i="2"/>
  <c r="W226" i="2"/>
  <c r="V228" i="2"/>
  <c r="W228" i="2"/>
  <c r="V229" i="2"/>
  <c r="W229" i="2"/>
  <c r="V230" i="2"/>
  <c r="W230" i="2"/>
  <c r="V238" i="2"/>
  <c r="W238" i="2"/>
  <c r="V240" i="2"/>
  <c r="W240" i="2"/>
  <c r="V243" i="2"/>
  <c r="W243" i="2"/>
  <c r="V245" i="2"/>
  <c r="W245" i="2"/>
  <c r="V247" i="2"/>
  <c r="W247" i="2"/>
  <c r="V249" i="2"/>
  <c r="W249" i="2"/>
  <c r="V252" i="2"/>
  <c r="W252" i="2"/>
  <c r="V254" i="2"/>
  <c r="W254" i="2"/>
  <c r="V255" i="2"/>
  <c r="W255" i="2"/>
  <c r="V256" i="2"/>
  <c r="W256" i="2"/>
  <c r="V261" i="2"/>
  <c r="W261" i="2"/>
  <c r="V262" i="2"/>
  <c r="W262" i="2"/>
  <c r="V266" i="2"/>
  <c r="W266" i="2"/>
  <c r="V268" i="2"/>
  <c r="W268" i="2"/>
  <c r="V270" i="2"/>
  <c r="W270" i="2"/>
  <c r="V271" i="2"/>
  <c r="W271" i="2"/>
  <c r="V272" i="2"/>
  <c r="W272" i="2"/>
  <c r="V275" i="2"/>
  <c r="W275" i="2"/>
  <c r="V277" i="2"/>
  <c r="W277" i="2"/>
  <c r="V279" i="2"/>
  <c r="W279" i="2"/>
  <c r="V284" i="2"/>
  <c r="W284" i="2"/>
  <c r="V287" i="2"/>
  <c r="W287" i="2"/>
  <c r="V288" i="2"/>
  <c r="W288" i="2"/>
  <c r="V292" i="2"/>
  <c r="W292" i="2"/>
  <c r="V297" i="2"/>
  <c r="W297" i="2"/>
  <c r="V299" i="2"/>
  <c r="W299" i="2"/>
  <c r="V300" i="2"/>
  <c r="W300" i="2"/>
  <c r="V302" i="2"/>
  <c r="W302" i="2"/>
  <c r="V304" i="2"/>
  <c r="W304" i="2"/>
  <c r="V305" i="2"/>
  <c r="W305" i="2"/>
  <c r="V306" i="2"/>
  <c r="W306" i="2"/>
  <c r="V307" i="2"/>
  <c r="W307" i="2"/>
  <c r="V308" i="2"/>
  <c r="W308" i="2"/>
  <c r="V310" i="2"/>
  <c r="W310" i="2"/>
  <c r="V312" i="2"/>
  <c r="W312" i="2"/>
  <c r="V314" i="2"/>
  <c r="W314" i="2"/>
  <c r="V316" i="2"/>
  <c r="W316" i="2"/>
  <c r="V318" i="2"/>
  <c r="W318" i="2"/>
  <c r="V320" i="2"/>
  <c r="W320" i="2"/>
  <c r="V321" i="2"/>
  <c r="W321" i="2"/>
  <c r="V323" i="2"/>
  <c r="W323" i="2"/>
  <c r="V325" i="2"/>
  <c r="W325" i="2"/>
  <c r="V327" i="2"/>
  <c r="W327" i="2"/>
  <c r="V425" i="2"/>
  <c r="W425" i="2"/>
  <c r="V426" i="2"/>
  <c r="W426" i="2"/>
  <c r="V431" i="2"/>
  <c r="W431" i="2"/>
  <c r="V434" i="2"/>
  <c r="W434" i="2"/>
  <c r="V438" i="2"/>
  <c r="W438" i="2"/>
  <c r="V442" i="2"/>
  <c r="W442" i="2"/>
  <c r="V443" i="2"/>
  <c r="W443" i="2"/>
  <c r="V446" i="2"/>
  <c r="W446" i="2"/>
  <c r="V449" i="2"/>
  <c r="W449" i="2"/>
  <c r="V452" i="2"/>
  <c r="W452" i="2"/>
  <c r="V453" i="2"/>
  <c r="W453" i="2"/>
  <c r="V456" i="2"/>
  <c r="W456" i="2"/>
  <c r="V457" i="2"/>
  <c r="W457" i="2"/>
  <c r="V460" i="2"/>
  <c r="W460" i="2"/>
  <c r="V463" i="2"/>
  <c r="W463" i="2"/>
  <c r="V466" i="2"/>
  <c r="W466" i="2"/>
  <c r="V471" i="2"/>
  <c r="W471" i="2"/>
  <c r="V476" i="2"/>
  <c r="W476" i="2"/>
  <c r="V479" i="2"/>
  <c r="W479" i="2"/>
  <c r="V482" i="2"/>
  <c r="W482" i="2"/>
  <c r="V488" i="2"/>
  <c r="W488" i="2"/>
  <c r="V493" i="2"/>
  <c r="W493" i="2"/>
  <c r="V494" i="2"/>
  <c r="W494" i="2"/>
  <c r="V504" i="2"/>
  <c r="W504" i="2"/>
  <c r="V505" i="2"/>
  <c r="W505" i="2"/>
  <c r="V515" i="2"/>
  <c r="W515" i="2"/>
  <c r="V518" i="2"/>
  <c r="W518" i="2"/>
  <c r="V519" i="2"/>
  <c r="W519" i="2"/>
  <c r="V524" i="2"/>
  <c r="W524" i="2"/>
  <c r="V527" i="2"/>
  <c r="W527" i="2"/>
  <c r="V537" i="2"/>
  <c r="W537" i="2"/>
  <c r="V540" i="2"/>
  <c r="W540" i="2"/>
  <c r="V543" i="2"/>
  <c r="W543" i="2"/>
  <c r="V546" i="2"/>
  <c r="W546" i="2"/>
  <c r="V550" i="2"/>
  <c r="W550" i="2"/>
  <c r="V689" i="2"/>
  <c r="W689" i="2"/>
  <c r="V690" i="2"/>
  <c r="W690" i="2"/>
  <c r="V691" i="2"/>
  <c r="W691" i="2"/>
  <c r="V692" i="2"/>
  <c r="W692" i="2"/>
  <c r="V693" i="2"/>
  <c r="W693" i="2"/>
  <c r="V694" i="2"/>
  <c r="W694" i="2"/>
  <c r="V695" i="2"/>
  <c r="W695" i="2"/>
  <c r="V696" i="2"/>
  <c r="W696" i="2"/>
  <c r="V697" i="2"/>
  <c r="W697" i="2"/>
  <c r="V698" i="2"/>
  <c r="W698" i="2"/>
  <c r="V699" i="2"/>
  <c r="W699" i="2"/>
  <c r="V722" i="2"/>
  <c r="W722" i="2"/>
  <c r="V723" i="2"/>
  <c r="W723" i="2"/>
  <c r="V724" i="2"/>
  <c r="W724" i="2"/>
  <c r="V725" i="2"/>
  <c r="W725" i="2"/>
  <c r="V733" i="2"/>
  <c r="W733" i="2"/>
  <c r="V750" i="2"/>
  <c r="W750" i="2"/>
  <c r="V767" i="2"/>
  <c r="W767" i="2"/>
  <c r="V919" i="2"/>
  <c r="W919" i="2"/>
  <c r="V926" i="2"/>
  <c r="W926" i="2"/>
  <c r="V942" i="2"/>
  <c r="W942" i="2"/>
  <c r="V858" i="2"/>
  <c r="W858" i="2"/>
  <c r="V859" i="2"/>
  <c r="W859" i="2"/>
  <c r="V934" i="2"/>
  <c r="W934" i="2"/>
  <c r="V935" i="2"/>
  <c r="W935" i="2"/>
  <c r="V951" i="2"/>
  <c r="W951" i="2"/>
  <c r="V952" i="2"/>
  <c r="W952" i="2"/>
  <c r="V953" i="2"/>
  <c r="W953" i="2"/>
  <c r="V954" i="2"/>
  <c r="W954" i="2"/>
  <c r="V958" i="2"/>
  <c r="W958" i="2"/>
  <c r="V959" i="2"/>
  <c r="W959" i="2"/>
  <c r="V960" i="2"/>
  <c r="W960" i="2"/>
  <c r="V965" i="2"/>
  <c r="W965" i="2"/>
  <c r="V966" i="2"/>
  <c r="W966" i="2"/>
  <c r="V975" i="2"/>
  <c r="W975" i="2"/>
  <c r="V976" i="2"/>
  <c r="W976" i="2"/>
  <c r="V978" i="2"/>
  <c r="W978" i="2"/>
  <c r="V979" i="2"/>
  <c r="W979" i="2"/>
  <c r="V1002" i="2"/>
  <c r="W1002" i="2"/>
  <c r="V1007" i="2"/>
  <c r="W1007" i="2"/>
  <c r="V1008" i="2"/>
  <c r="W1008" i="2"/>
  <c r="V1009" i="2"/>
  <c r="W1009" i="2"/>
  <c r="V18" i="2"/>
  <c r="W18" i="2"/>
  <c r="V330" i="2"/>
  <c r="W330" i="2"/>
  <c r="V331" i="2"/>
  <c r="W331" i="2"/>
  <c r="V332" i="2"/>
  <c r="W332" i="2"/>
  <c r="V335" i="2"/>
  <c r="W335" i="2"/>
  <c r="V336" i="2"/>
  <c r="W336" i="2"/>
  <c r="V337" i="2"/>
  <c r="W337" i="2"/>
  <c r="V338" i="2"/>
  <c r="W338" i="2"/>
  <c r="V339" i="2"/>
  <c r="W339" i="2"/>
  <c r="V340" i="2"/>
  <c r="W340" i="2"/>
  <c r="V341" i="2"/>
  <c r="W341" i="2"/>
  <c r="V342" i="2"/>
  <c r="W342" i="2"/>
  <c r="V343" i="2"/>
  <c r="W343" i="2"/>
  <c r="V344" i="2"/>
  <c r="W344" i="2"/>
  <c r="V345" i="2"/>
  <c r="W345" i="2"/>
  <c r="V346" i="2"/>
  <c r="W346" i="2"/>
  <c r="V347" i="2"/>
  <c r="W347" i="2"/>
  <c r="V348" i="2"/>
  <c r="W348" i="2"/>
  <c r="V349" i="2"/>
  <c r="W349" i="2"/>
  <c r="V350" i="2"/>
  <c r="W350" i="2"/>
  <c r="V351" i="2"/>
  <c r="W351" i="2"/>
  <c r="V352" i="2"/>
  <c r="W352" i="2"/>
  <c r="V353" i="2"/>
  <c r="W353" i="2"/>
  <c r="V354" i="2"/>
  <c r="W354" i="2"/>
  <c r="V355" i="2"/>
  <c r="W355" i="2"/>
  <c r="V356" i="2"/>
  <c r="W356" i="2"/>
  <c r="V358" i="2"/>
  <c r="W358" i="2"/>
  <c r="V362" i="2"/>
  <c r="W362" i="2"/>
  <c r="V364" i="2"/>
  <c r="W364" i="2"/>
  <c r="V365" i="2"/>
  <c r="W365" i="2"/>
  <c r="V366" i="2"/>
  <c r="W366" i="2"/>
  <c r="V367" i="2"/>
  <c r="W367" i="2"/>
  <c r="V368" i="2"/>
  <c r="W368" i="2"/>
  <c r="V369" i="2"/>
  <c r="W369" i="2"/>
  <c r="V370" i="2"/>
  <c r="W370" i="2"/>
  <c r="V371" i="2"/>
  <c r="W371" i="2"/>
  <c r="V372" i="2"/>
  <c r="W372" i="2"/>
  <c r="V373" i="2"/>
  <c r="W373" i="2"/>
  <c r="V374" i="2"/>
  <c r="W374" i="2"/>
  <c r="V375" i="2"/>
  <c r="W375" i="2"/>
  <c r="V376" i="2"/>
  <c r="W376" i="2"/>
  <c r="V379" i="2"/>
  <c r="W379" i="2"/>
  <c r="V380" i="2"/>
  <c r="W380" i="2"/>
  <c r="V381" i="2"/>
  <c r="W381" i="2"/>
  <c r="V382" i="2"/>
  <c r="W382" i="2"/>
  <c r="V383" i="2"/>
  <c r="W383" i="2"/>
  <c r="V384" i="2"/>
  <c r="W384" i="2"/>
  <c r="V385" i="2"/>
  <c r="W385" i="2"/>
  <c r="V386" i="2"/>
  <c r="W386" i="2"/>
  <c r="V387" i="2"/>
  <c r="W387" i="2"/>
  <c r="V388" i="2"/>
  <c r="W388" i="2"/>
  <c r="V389" i="2"/>
  <c r="W389" i="2"/>
  <c r="V390" i="2"/>
  <c r="W390" i="2"/>
  <c r="V391" i="2"/>
  <c r="W391" i="2"/>
  <c r="V392" i="2"/>
  <c r="W392" i="2"/>
  <c r="V393" i="2"/>
  <c r="W393" i="2"/>
  <c r="V394" i="2"/>
  <c r="W394" i="2"/>
  <c r="V395" i="2"/>
  <c r="W395" i="2"/>
  <c r="V396" i="2"/>
  <c r="W396" i="2"/>
  <c r="V399" i="2"/>
  <c r="W399" i="2"/>
  <c r="V400" i="2"/>
  <c r="W400" i="2"/>
  <c r="V401" i="2"/>
  <c r="W401" i="2"/>
  <c r="V402" i="2"/>
  <c r="W402" i="2"/>
  <c r="V403" i="2"/>
  <c r="W403" i="2"/>
  <c r="V404" i="2"/>
  <c r="W404" i="2"/>
  <c r="V405" i="2"/>
  <c r="W405" i="2"/>
  <c r="V406" i="2"/>
  <c r="W406" i="2"/>
  <c r="V407" i="2"/>
  <c r="W407" i="2"/>
  <c r="V408" i="2"/>
  <c r="W408" i="2"/>
  <c r="V887" i="2"/>
  <c r="W887" i="2"/>
  <c r="V894" i="2"/>
  <c r="W894" i="2"/>
  <c r="V910" i="2"/>
  <c r="W910" i="2"/>
  <c r="V925" i="2"/>
  <c r="W925" i="2"/>
  <c r="V933" i="2"/>
  <c r="W933" i="2"/>
  <c r="V864" i="2"/>
  <c r="W864" i="2"/>
  <c r="V409" i="2"/>
  <c r="W409" i="2"/>
  <c r="V410" i="2"/>
  <c r="W410" i="2"/>
  <c r="V411" i="2"/>
  <c r="W411" i="2"/>
  <c r="V412" i="2"/>
  <c r="W412" i="2"/>
  <c r="V413" i="2"/>
  <c r="W413" i="2"/>
  <c r="V414" i="2"/>
  <c r="W414" i="2"/>
  <c r="V415" i="2"/>
  <c r="W415" i="2"/>
  <c r="V416" i="2"/>
  <c r="W416" i="2"/>
  <c r="V417" i="2"/>
  <c r="W417" i="2"/>
  <c r="V418" i="2"/>
  <c r="W418" i="2"/>
  <c r="V419" i="2"/>
  <c r="W419" i="2"/>
  <c r="V420" i="2"/>
  <c r="W420" i="2"/>
  <c r="V421" i="2"/>
  <c r="W421" i="2"/>
  <c r="V422" i="2"/>
  <c r="W422" i="2"/>
  <c r="V423" i="2"/>
  <c r="W423" i="2"/>
  <c r="V424" i="2"/>
  <c r="W424" i="2"/>
  <c r="V427" i="2"/>
  <c r="W427" i="2"/>
  <c r="V430" i="2"/>
  <c r="W430" i="2"/>
  <c r="V435" i="2"/>
  <c r="W435" i="2"/>
  <c r="V441" i="2"/>
  <c r="W441" i="2"/>
  <c r="V444" i="2"/>
  <c r="W444" i="2"/>
  <c r="V447" i="2"/>
  <c r="W447" i="2"/>
  <c r="V450" i="2"/>
  <c r="W450" i="2"/>
  <c r="V459" i="2"/>
  <c r="W459" i="2"/>
  <c r="V462" i="2"/>
  <c r="W462" i="2"/>
  <c r="V465" i="2"/>
  <c r="W465" i="2"/>
  <c r="V470" i="2"/>
  <c r="W470" i="2"/>
  <c r="V472" i="2"/>
  <c r="W472" i="2"/>
  <c r="V474" i="2"/>
  <c r="W474" i="2"/>
  <c r="V475" i="2"/>
  <c r="W475" i="2"/>
  <c r="V480" i="2"/>
  <c r="W480" i="2"/>
  <c r="V481" i="2"/>
  <c r="W481" i="2"/>
  <c r="V484" i="2"/>
  <c r="W484" i="2"/>
  <c r="V489" i="2"/>
  <c r="W489" i="2"/>
  <c r="V490" i="2"/>
  <c r="W490" i="2"/>
  <c r="V491" i="2"/>
  <c r="W491" i="2"/>
  <c r="V496" i="2"/>
  <c r="W496" i="2"/>
  <c r="V500" i="2"/>
  <c r="W500" i="2"/>
  <c r="V507" i="2"/>
  <c r="W507" i="2"/>
  <c r="V511" i="2"/>
  <c r="W511" i="2"/>
  <c r="V521" i="2"/>
  <c r="W521" i="2"/>
  <c r="V522" i="2"/>
  <c r="W522" i="2"/>
  <c r="V525" i="2"/>
  <c r="W525" i="2"/>
  <c r="V528" i="2"/>
  <c r="W528" i="2"/>
  <c r="V529" i="2"/>
  <c r="W529" i="2"/>
  <c r="V530" i="2"/>
  <c r="W530" i="2"/>
  <c r="V533" i="2"/>
  <c r="W533" i="2"/>
  <c r="V536" i="2"/>
  <c r="W536" i="2"/>
  <c r="V539" i="2"/>
  <c r="W539" i="2"/>
  <c r="V542" i="2"/>
  <c r="W542" i="2"/>
  <c r="V547" i="2"/>
  <c r="W547" i="2"/>
  <c r="V549" i="2"/>
  <c r="W549" i="2"/>
  <c r="V701" i="2"/>
  <c r="W701" i="2"/>
  <c r="V702" i="2"/>
  <c r="W702" i="2"/>
  <c r="V703" i="2"/>
  <c r="W703" i="2"/>
  <c r="V704" i="2"/>
  <c r="W704" i="2"/>
  <c r="V705" i="2"/>
  <c r="W705" i="2"/>
  <c r="V734" i="2"/>
  <c r="W734" i="2"/>
  <c r="V735" i="2"/>
  <c r="W735" i="2"/>
  <c r="V774" i="2"/>
  <c r="W774" i="2"/>
  <c r="V779" i="2"/>
  <c r="W779" i="2"/>
  <c r="V780" i="2"/>
  <c r="W780" i="2"/>
  <c r="V822" i="2"/>
  <c r="W822" i="2"/>
  <c r="V829" i="2"/>
  <c r="W829" i="2"/>
  <c r="V837" i="2"/>
  <c r="W837" i="2"/>
  <c r="V839" i="2"/>
  <c r="W839" i="2"/>
  <c r="V844" i="2"/>
  <c r="W844" i="2"/>
  <c r="V845" i="2"/>
  <c r="W845" i="2"/>
  <c r="V846" i="2"/>
  <c r="W846" i="2"/>
  <c r="V851" i="2"/>
  <c r="W851" i="2"/>
  <c r="V856" i="2"/>
  <c r="W856" i="2"/>
  <c r="V861" i="2"/>
  <c r="W861" i="2"/>
  <c r="V862" i="2"/>
  <c r="W862" i="2"/>
  <c r="V871" i="2"/>
  <c r="W871" i="2"/>
  <c r="V872" i="2"/>
  <c r="W872" i="2"/>
  <c r="V884" i="2"/>
  <c r="W884" i="2"/>
  <c r="V886" i="2"/>
  <c r="W886" i="2"/>
  <c r="V888" i="2"/>
  <c r="W888" i="2"/>
  <c r="V905" i="2"/>
  <c r="W905" i="2"/>
  <c r="V924" i="2"/>
  <c r="W924" i="2"/>
  <c r="V932" i="2"/>
  <c r="W932" i="2"/>
  <c r="V943" i="2"/>
  <c r="W943" i="2"/>
  <c r="V865" i="2"/>
  <c r="W865" i="2"/>
  <c r="V944" i="2"/>
  <c r="W944" i="2"/>
  <c r="V962" i="2"/>
  <c r="W962" i="2"/>
  <c r="V963" i="2"/>
  <c r="W963" i="2"/>
  <c r="V968" i="2"/>
  <c r="W968" i="2"/>
  <c r="V980" i="2"/>
  <c r="W980" i="2"/>
  <c r="V981" i="2"/>
  <c r="W981" i="2"/>
  <c r="V982" i="2"/>
  <c r="W982" i="2"/>
  <c r="V987" i="2"/>
  <c r="W987" i="2"/>
  <c r="V999" i="2"/>
  <c r="W999" i="2"/>
  <c r="V1000" i="2"/>
  <c r="W1000" i="2"/>
  <c r="V552" i="2"/>
  <c r="W552" i="2"/>
  <c r="V553" i="2"/>
  <c r="W553" i="2"/>
  <c r="V554" i="2"/>
  <c r="W554" i="2"/>
  <c r="V555" i="2"/>
  <c r="W555" i="2"/>
  <c r="V556" i="2"/>
  <c r="W556" i="2"/>
  <c r="V557" i="2"/>
  <c r="W557" i="2"/>
  <c r="V558" i="2"/>
  <c r="W558" i="2"/>
  <c r="V559" i="2"/>
  <c r="W559" i="2"/>
  <c r="V560" i="2"/>
  <c r="W560" i="2"/>
  <c r="V561" i="2"/>
  <c r="W561" i="2"/>
  <c r="V562" i="2"/>
  <c r="W562" i="2"/>
  <c r="V563" i="2"/>
  <c r="W563" i="2"/>
  <c r="V564" i="2"/>
  <c r="W564" i="2"/>
  <c r="V565" i="2"/>
  <c r="W565" i="2"/>
  <c r="V566" i="2"/>
  <c r="W566" i="2"/>
  <c r="V567" i="2"/>
  <c r="W567" i="2"/>
  <c r="V568" i="2"/>
  <c r="W568" i="2"/>
  <c r="V569" i="2"/>
  <c r="W569" i="2"/>
  <c r="V570" i="2"/>
  <c r="W570" i="2"/>
  <c r="V571" i="2"/>
  <c r="W571" i="2"/>
  <c r="V572" i="2"/>
  <c r="W572" i="2"/>
  <c r="V573" i="2"/>
  <c r="W573" i="2"/>
  <c r="V574" i="2"/>
  <c r="W574" i="2"/>
  <c r="V575" i="2"/>
  <c r="W575" i="2"/>
  <c r="V576" i="2"/>
  <c r="W576" i="2"/>
  <c r="V577" i="2"/>
  <c r="W577" i="2"/>
  <c r="V578" i="2"/>
  <c r="W578" i="2"/>
  <c r="V579" i="2"/>
  <c r="W579" i="2"/>
  <c r="V580" i="2"/>
  <c r="W580" i="2"/>
  <c r="V581" i="2"/>
  <c r="W581" i="2"/>
  <c r="V582" i="2"/>
  <c r="W582" i="2"/>
  <c r="V584" i="2"/>
  <c r="W584" i="2"/>
  <c r="V585" i="2"/>
  <c r="W585" i="2"/>
  <c r="V587" i="2"/>
  <c r="W587" i="2"/>
  <c r="V588" i="2"/>
  <c r="W588" i="2"/>
  <c r="V589" i="2"/>
  <c r="W589" i="2"/>
  <c r="V590" i="2"/>
  <c r="W590" i="2"/>
  <c r="V591" i="2"/>
  <c r="W591" i="2"/>
  <c r="V592" i="2"/>
  <c r="W592" i="2"/>
  <c r="V594" i="2"/>
  <c r="W594" i="2"/>
  <c r="V595" i="2"/>
  <c r="W595" i="2"/>
  <c r="V600" i="2"/>
  <c r="W600" i="2"/>
  <c r="V601" i="2"/>
  <c r="W601" i="2"/>
  <c r="V602" i="2"/>
  <c r="W602" i="2"/>
  <c r="V655" i="2"/>
  <c r="W655" i="2"/>
  <c r="V656" i="2"/>
  <c r="W656" i="2"/>
  <c r="V657" i="2"/>
  <c r="W657" i="2"/>
  <c r="V658" i="2"/>
  <c r="W658" i="2"/>
  <c r="V659" i="2"/>
  <c r="W659" i="2"/>
  <c r="V660" i="2"/>
  <c r="W660" i="2"/>
  <c r="V661" i="2"/>
  <c r="W661" i="2"/>
  <c r="V662" i="2"/>
  <c r="W662" i="2"/>
  <c r="V663" i="2"/>
  <c r="W663" i="2"/>
  <c r="V664" i="2"/>
  <c r="W664" i="2"/>
  <c r="V665" i="2"/>
  <c r="W665" i="2"/>
  <c r="V666" i="2"/>
  <c r="W666" i="2"/>
  <c r="V683" i="2"/>
  <c r="W683" i="2"/>
  <c r="V684" i="2"/>
  <c r="W684" i="2"/>
  <c r="V685" i="2"/>
  <c r="W685" i="2"/>
  <c r="V686" i="2"/>
  <c r="W686" i="2"/>
  <c r="V24" i="2"/>
  <c r="W24" i="2"/>
  <c r="V53" i="2"/>
  <c r="W53" i="2"/>
  <c r="V64" i="2"/>
  <c r="W64" i="2"/>
  <c r="V78" i="2"/>
  <c r="W78" i="2"/>
  <c r="V95" i="2"/>
  <c r="W95" i="2"/>
  <c r="V101" i="2"/>
  <c r="W101" i="2"/>
  <c r="V109" i="2"/>
  <c r="W109" i="2"/>
  <c r="V111" i="2"/>
  <c r="W111" i="2"/>
  <c r="V117" i="2"/>
  <c r="W117" i="2"/>
  <c r="V122" i="2"/>
  <c r="W122" i="2"/>
  <c r="V126" i="2"/>
  <c r="W126" i="2"/>
  <c r="V130" i="2"/>
  <c r="W130" i="2"/>
  <c r="V140" i="2"/>
  <c r="W140" i="2"/>
  <c r="V145" i="2"/>
  <c r="W145" i="2"/>
  <c r="V147" i="2"/>
  <c r="W147" i="2"/>
  <c r="V149" i="2"/>
  <c r="W149" i="2"/>
  <c r="V153" i="2"/>
  <c r="W153" i="2"/>
  <c r="V156" i="2"/>
  <c r="W156" i="2"/>
  <c r="V159" i="2"/>
  <c r="W159" i="2"/>
  <c r="V162" i="2"/>
  <c r="W162" i="2"/>
  <c r="V745" i="2"/>
  <c r="W745" i="2"/>
  <c r="V751" i="2"/>
  <c r="W751" i="2"/>
  <c r="V771" i="2"/>
  <c r="W771" i="2"/>
  <c r="V800" i="2"/>
  <c r="W800" i="2"/>
  <c r="V852" i="2"/>
  <c r="W852" i="2"/>
  <c r="V863" i="2"/>
  <c r="W863" i="2"/>
  <c r="V874" i="2"/>
  <c r="W874" i="2"/>
  <c r="V687" i="2"/>
  <c r="W687" i="2"/>
  <c r="V688" i="2"/>
  <c r="W688" i="2"/>
  <c r="V706" i="2"/>
  <c r="W706" i="2"/>
  <c r="V708" i="2"/>
  <c r="W708" i="2"/>
  <c r="V709" i="2"/>
  <c r="W709" i="2"/>
  <c r="V717" i="2"/>
  <c r="W717" i="2"/>
  <c r="V718" i="2"/>
  <c r="W718" i="2"/>
  <c r="V719" i="2"/>
  <c r="W719" i="2"/>
  <c r="V720" i="2"/>
  <c r="W720" i="2"/>
  <c r="V721" i="2"/>
  <c r="W721" i="2"/>
  <c r="V743" i="2"/>
  <c r="W743" i="2"/>
  <c r="V762" i="2"/>
  <c r="W762" i="2"/>
  <c r="V772" i="2"/>
  <c r="W772" i="2"/>
  <c r="V788" i="2"/>
  <c r="W788" i="2"/>
  <c r="V792" i="2"/>
  <c r="W792" i="2"/>
  <c r="V809" i="2"/>
  <c r="W809" i="2"/>
  <c r="V819" i="2"/>
  <c r="W819" i="2"/>
  <c r="V832" i="2"/>
  <c r="W832" i="2"/>
  <c r="V833" i="2"/>
  <c r="W833" i="2"/>
  <c r="V842" i="2"/>
  <c r="W842" i="2"/>
  <c r="V843" i="2"/>
  <c r="W843" i="2"/>
  <c r="V848" i="2"/>
  <c r="W848" i="2"/>
  <c r="V849" i="2"/>
  <c r="W849" i="2"/>
  <c r="V857" i="2"/>
  <c r="W857" i="2"/>
  <c r="V866" i="2"/>
  <c r="W866" i="2"/>
  <c r="V867" i="2"/>
  <c r="W867" i="2"/>
  <c r="V868" i="2"/>
  <c r="W868" i="2"/>
  <c r="V892" i="2"/>
  <c r="W892" i="2"/>
  <c r="V939" i="2"/>
  <c r="W939" i="2"/>
  <c r="V940" i="2"/>
  <c r="W940" i="2"/>
  <c r="V945" i="2"/>
  <c r="W945" i="2"/>
  <c r="V946" i="2"/>
  <c r="W946" i="2"/>
  <c r="V967" i="2"/>
  <c r="W967" i="2"/>
  <c r="V972" i="2"/>
  <c r="W972" i="2"/>
  <c r="V973" i="2"/>
  <c r="W973" i="2"/>
  <c r="V974" i="2"/>
  <c r="W974" i="2"/>
  <c r="V983" i="2"/>
  <c r="W983" i="2"/>
  <c r="V984" i="2"/>
  <c r="W984" i="2"/>
  <c r="V995" i="2"/>
  <c r="W995" i="2"/>
  <c r="V1003" i="2"/>
  <c r="W1003" i="2"/>
  <c r="V1004" i="2"/>
  <c r="W1004" i="2"/>
  <c r="V1005" i="2"/>
  <c r="W1005" i="2"/>
  <c r="V1006" i="2"/>
  <c r="W1006" i="2"/>
  <c r="V1015" i="2"/>
  <c r="W1015" i="2"/>
  <c r="V22" i="2"/>
  <c r="W22" i="2"/>
  <c r="V23" i="2"/>
  <c r="W23" i="2"/>
  <c r="V28" i="2"/>
  <c r="W28" i="2"/>
  <c r="V55" i="2"/>
  <c r="W55" i="2"/>
  <c r="V71" i="2"/>
  <c r="W71" i="2"/>
  <c r="V91" i="2"/>
  <c r="W91" i="2"/>
  <c r="V96" i="2"/>
  <c r="W96" i="2"/>
  <c r="V106" i="2"/>
  <c r="W106" i="2"/>
  <c r="V110" i="2"/>
  <c r="W110" i="2"/>
  <c r="V115" i="2"/>
  <c r="W115" i="2"/>
  <c r="V119" i="2"/>
  <c r="W119" i="2"/>
  <c r="V124" i="2"/>
  <c r="W124" i="2"/>
  <c r="V128" i="2"/>
  <c r="W128" i="2"/>
  <c r="V133" i="2"/>
  <c r="W133" i="2"/>
  <c r="V144" i="2"/>
  <c r="W144" i="2"/>
  <c r="V146" i="2"/>
  <c r="W146" i="2"/>
  <c r="V148" i="2"/>
  <c r="W148" i="2"/>
  <c r="V152" i="2"/>
  <c r="W152" i="2"/>
  <c r="V155" i="2"/>
  <c r="W155" i="2"/>
  <c r="V158" i="2"/>
  <c r="W158" i="2"/>
  <c r="V161" i="2"/>
  <c r="W161" i="2"/>
  <c r="V163" i="2"/>
  <c r="W163" i="2"/>
  <c r="V746" i="2"/>
  <c r="W746" i="2"/>
  <c r="V752" i="2"/>
  <c r="W752" i="2"/>
  <c r="V784" i="2"/>
  <c r="W784" i="2"/>
  <c r="V847" i="2"/>
  <c r="W847" i="2"/>
  <c r="V853" i="2"/>
  <c r="W853" i="2"/>
  <c r="V854" i="2"/>
  <c r="W854" i="2"/>
  <c r="V17" i="2"/>
  <c r="K25" i="2"/>
  <c r="L25" i="2"/>
  <c r="N25" i="2"/>
  <c r="K27" i="2"/>
  <c r="L27" i="2"/>
  <c r="M27" i="2"/>
  <c r="L26" i="2"/>
  <c r="M26" i="2"/>
  <c r="H43" i="2"/>
  <c r="H41" i="2"/>
  <c r="B23" i="2"/>
  <c r="B26" i="2"/>
  <c r="B27" i="2"/>
  <c r="E29" i="2"/>
  <c r="E31" i="2"/>
  <c r="E7" i="2"/>
  <c r="B13" i="2"/>
  <c r="D100" i="4"/>
  <c r="C11" i="4"/>
  <c r="D97" i="4"/>
  <c r="Z12" i="2"/>
  <c r="Z11" i="2"/>
  <c r="Z10" i="2"/>
  <c r="Z9" i="2"/>
  <c r="Z8" i="2"/>
  <c r="Z7" i="2"/>
  <c r="C12" i="4"/>
  <c r="Z6" i="2"/>
  <c r="C10" i="4"/>
  <c r="D96" i="4"/>
  <c r="W17" i="2"/>
  <c r="L30" i="2"/>
  <c r="N30" i="2"/>
  <c r="H44" i="2"/>
  <c r="I43" i="2"/>
  <c r="I34" i="2"/>
  <c r="N26" i="2"/>
  <c r="L29" i="2"/>
  <c r="N29" i="2"/>
  <c r="L31" i="2"/>
  <c r="M31" i="2"/>
  <c r="N27" i="2"/>
  <c r="M25" i="2"/>
  <c r="E30" i="2"/>
  <c r="E32" i="2"/>
  <c r="E33" i="2"/>
  <c r="E10" i="2"/>
  <c r="E8" i="2"/>
  <c r="B24" i="2"/>
  <c r="E19" i="2"/>
  <c r="E21" i="2"/>
  <c r="C96" i="4"/>
  <c r="D98" i="4"/>
  <c r="M30" i="2"/>
  <c r="M29" i="2"/>
  <c r="N31" i="2"/>
  <c r="E13" i="2"/>
  <c r="E12" i="2"/>
  <c r="E20" i="2"/>
  <c r="D99" i="4"/>
  <c r="D101" i="4"/>
  <c r="E22" i="2"/>
  <c r="E23" i="2"/>
</calcChain>
</file>

<file path=xl/sharedStrings.xml><?xml version="1.0" encoding="utf-8"?>
<sst xmlns="http://schemas.openxmlformats.org/spreadsheetml/2006/main" count="213" uniqueCount="174">
  <si>
    <t>Acceptance Ratio</t>
  </si>
  <si>
    <t>No. of Shares Buyback</t>
  </si>
  <si>
    <t>Buyback Profit</t>
  </si>
  <si>
    <t>CMP</t>
  </si>
  <si>
    <t>FV</t>
  </si>
  <si>
    <t>Buyback no. of shares (in cr.)</t>
  </si>
  <si>
    <t>Retailers No. of shares</t>
  </si>
  <si>
    <t>SHP upto 2 lac</t>
  </si>
  <si>
    <t>More than 2lac</t>
  </si>
  <si>
    <t>Eligible Qty</t>
  </si>
  <si>
    <t>Ex promoter</t>
  </si>
  <si>
    <t>Metrics (in Cr)</t>
  </si>
  <si>
    <t>CMP (as on May 8, 2026)</t>
  </si>
  <si>
    <t>Buyback Price (in Rs)</t>
  </si>
  <si>
    <t>% of Issued Capital</t>
  </si>
  <si>
    <t>Total Buyback Size(in Rs Cr)</t>
  </si>
  <si>
    <t xml:space="preserve">Buyback shares whithout retail </t>
  </si>
  <si>
    <t>Total HNI (incl promoter*)</t>
  </si>
  <si>
    <t>Promoter holding</t>
  </si>
  <si>
    <t>Buyback shares for retail</t>
  </si>
  <si>
    <t>% for retailers**</t>
  </si>
  <si>
    <t>Acceptance ratio %</t>
  </si>
  <si>
    <t xml:space="preserve">Total Equity Capital </t>
  </si>
  <si>
    <t xml:space="preserve">Total No of shares </t>
  </si>
  <si>
    <t>Buyback Price</t>
  </si>
  <si>
    <t>Quantity</t>
  </si>
  <si>
    <t>Buyback Profit %</t>
  </si>
  <si>
    <t>Retail Investors</t>
  </si>
  <si>
    <t>Investment Amount</t>
  </si>
  <si>
    <t>No. of Share Buyback</t>
  </si>
  <si>
    <t>Inv. Am. Of Buyback shares</t>
  </si>
  <si>
    <t>Buyback Profit as % Inv. Am.</t>
  </si>
  <si>
    <t>HNI Investors inc. Promoters</t>
  </si>
  <si>
    <t>HNI Investors exc. Promoters</t>
  </si>
  <si>
    <t>Amount Invested</t>
  </si>
  <si>
    <t>Entitled Share</t>
  </si>
  <si>
    <t>Profit</t>
  </si>
  <si>
    <t>Absolute Return (Before Tax)</t>
  </si>
  <si>
    <t>Absolute Return (After tax)</t>
  </si>
  <si>
    <t>STCG</t>
  </si>
  <si>
    <t>Cess</t>
  </si>
  <si>
    <t>Profit After tax</t>
  </si>
  <si>
    <t>Base Case</t>
  </si>
  <si>
    <t>Worst Case</t>
  </si>
  <si>
    <t>Bull Case</t>
  </si>
  <si>
    <t>MP at sell of shares</t>
  </si>
  <si>
    <t>No. of shares sold</t>
  </si>
  <si>
    <t>Profit/Loss</t>
  </si>
  <si>
    <t>Net Profit/Loss</t>
  </si>
  <si>
    <t>Return before tax</t>
  </si>
  <si>
    <t>Return after tax (Short Term)</t>
  </si>
  <si>
    <t>Return after tax (Long Term)</t>
  </si>
  <si>
    <t>LTCG</t>
  </si>
  <si>
    <t>Annualised Return</t>
  </si>
  <si>
    <t>Total No. of days</t>
  </si>
  <si>
    <t>Inv. Duration</t>
  </si>
  <si>
    <t>Equity Shares Data as on March 31, 2026</t>
  </si>
  <si>
    <t>Profit from Buyback shares</t>
  </si>
  <si>
    <t>Sensitivity Analysis</t>
  </si>
  <si>
    <t>Return Before Tax</t>
  </si>
  <si>
    <t>Annualised Return Before Tax</t>
  </si>
  <si>
    <t>Total Profit</t>
  </si>
  <si>
    <t>Return as % of Inv. Amount</t>
  </si>
  <si>
    <t>Sensitivity Analysis Input</t>
  </si>
  <si>
    <t>DATE</t>
  </si>
  <si>
    <t>CLOSE</t>
  </si>
  <si>
    <t>Daily Returns</t>
  </si>
  <si>
    <t>Standard Deviation</t>
  </si>
  <si>
    <t>Monte Carlo Simulation</t>
  </si>
  <si>
    <t>Daily Standard Deviation</t>
  </si>
  <si>
    <t>Holding Period</t>
  </si>
  <si>
    <t>Mean Price</t>
  </si>
  <si>
    <t>Holding Period St. Dev.</t>
  </si>
  <si>
    <t>Price St. Dev.</t>
  </si>
  <si>
    <t>Probability</t>
  </si>
  <si>
    <t>Simulation Table</t>
  </si>
  <si>
    <t>Trial</t>
  </si>
  <si>
    <t>AR</t>
  </si>
  <si>
    <t>Exit Price</t>
  </si>
  <si>
    <t>Cumulative</t>
  </si>
  <si>
    <t>Profit from Buyback Shares</t>
  </si>
  <si>
    <t>Results</t>
  </si>
  <si>
    <t>Probability of Loss</t>
  </si>
  <si>
    <t>Worst Outcome</t>
  </si>
  <si>
    <t>Best Outcome</t>
  </si>
  <si>
    <t>Total Trials</t>
  </si>
  <si>
    <t>5th Percentile</t>
  </si>
  <si>
    <t>95th Percentile</t>
  </si>
  <si>
    <t>Manual Workbook Calculation is "On", Press F9 to update the numbers or recalculated the workbook.</t>
  </si>
  <si>
    <t>Average Return</t>
  </si>
  <si>
    <t>Max Exit Price</t>
  </si>
  <si>
    <t>Min Exit Price</t>
  </si>
  <si>
    <t>Average Exit Price</t>
  </si>
  <si>
    <t>Median</t>
  </si>
  <si>
    <t>Inputs</t>
  </si>
  <si>
    <t>Qty</t>
  </si>
  <si>
    <t>Investment</t>
  </si>
  <si>
    <t>Holding days</t>
  </si>
  <si>
    <t>Daily SD</t>
  </si>
  <si>
    <t>Mean MC Return</t>
  </si>
  <si>
    <t>SD MC Return</t>
  </si>
  <si>
    <t>Loss Probability</t>
  </si>
  <si>
    <t xml:space="preserve">Risk Free Rate </t>
  </si>
  <si>
    <t>Break-even Exit Price</t>
  </si>
  <si>
    <t>Buyback Premium</t>
  </si>
  <si>
    <t>Accetance Ratio</t>
  </si>
  <si>
    <t>Buyback Shares</t>
  </si>
  <si>
    <t>Remaining Shares</t>
  </si>
  <si>
    <t>Buffer from CMP</t>
  </si>
  <si>
    <t>Price Change%</t>
  </si>
  <si>
    <t>Return Decomposition</t>
  </si>
  <si>
    <t>Buyback Gain</t>
  </si>
  <si>
    <t>Market Exposure</t>
  </si>
  <si>
    <t>B.G. as % of Investment</t>
  </si>
  <si>
    <t>Worst</t>
  </si>
  <si>
    <t>Base</t>
  </si>
  <si>
    <t>Bull</t>
  </si>
  <si>
    <t xml:space="preserve">Total </t>
  </si>
  <si>
    <t>Worst -
Exit Price=170</t>
  </si>
  <si>
    <t>Base -
Exit Price=190</t>
  </si>
  <si>
    <t>Bull -
Exit Price=210</t>
  </si>
  <si>
    <t>Market Exposure Ratio</t>
  </si>
  <si>
    <t>Fundamental Value Accretion Model</t>
  </si>
  <si>
    <t>Shares Outstanding</t>
  </si>
  <si>
    <t>PAT (Cr)</t>
  </si>
  <si>
    <t>EPS (Rs)</t>
  </si>
  <si>
    <t>EPS Accretion</t>
  </si>
  <si>
    <t>Pre-Buyback</t>
  </si>
  <si>
    <t>Post-Buyback</t>
  </si>
  <si>
    <t>Change</t>
  </si>
  <si>
    <t>Theoritical Price Impact</t>
  </si>
  <si>
    <t>P/E</t>
  </si>
  <si>
    <t>New EPS</t>
  </si>
  <si>
    <t>Theoritical New Price</t>
  </si>
  <si>
    <t>Price Uplift</t>
  </si>
  <si>
    <t>Price Uplift %</t>
  </si>
  <si>
    <t>Return on Equity and Buyback Yield</t>
  </si>
  <si>
    <t>Metric</t>
  </si>
  <si>
    <t>Value</t>
  </si>
  <si>
    <t>Buyback Yield</t>
  </si>
  <si>
    <t>Book Value Per Share</t>
  </si>
  <si>
    <t>Price-to-Book</t>
  </si>
  <si>
    <t>Buyback vs Book Value</t>
  </si>
  <si>
    <t>Market Cap</t>
  </si>
  <si>
    <t>The Buyback is dilutive to book value per share for remaining shareholders</t>
  </si>
  <si>
    <t>Subscription/Oversubscription Model</t>
  </si>
  <si>
    <t>Participation Rate</t>
  </si>
  <si>
    <t>Shares Tendered (in Cr.)</t>
  </si>
  <si>
    <t>Implied AR</t>
  </si>
  <si>
    <t>Subscription</t>
  </si>
  <si>
    <t>Historical Calibration</t>
  </si>
  <si>
    <t>Buyback Year</t>
  </si>
  <si>
    <t>Announced AR</t>
  </si>
  <si>
    <t>Implied Participation Rate</t>
  </si>
  <si>
    <t>AGM Allocation Sensitivity</t>
  </si>
  <si>
    <t>Retail Allocation %</t>
  </si>
  <si>
    <t>Retial Buyback Shares</t>
  </si>
  <si>
    <t>AR at 100% Participation</t>
  </si>
  <si>
    <t>Risk-Adjusted Return</t>
  </si>
  <si>
    <t>Annual</t>
  </si>
  <si>
    <t>45 Day Conversion</t>
  </si>
  <si>
    <t>Risk-Free Rate</t>
  </si>
  <si>
    <t>MC Mean Return</t>
  </si>
  <si>
    <t>MC Standard Deviation</t>
  </si>
  <si>
    <t>Excess Return</t>
  </si>
  <si>
    <t>Trade Sharpre Ratio</t>
  </si>
  <si>
    <t>Downside Deviation</t>
  </si>
  <si>
    <t>Sortino Ratio</t>
  </si>
  <si>
    <t>Break-Even Chart</t>
  </si>
  <si>
    <t>Return Decomposition Waterfall</t>
  </si>
  <si>
    <t>Category</t>
  </si>
  <si>
    <t>Worst (170)</t>
  </si>
  <si>
    <t>Base (190)</t>
  </si>
  <si>
    <t>Bull (210)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</si>
</sst>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%"/>
    <numFmt numFmtId="165" formatCode="_(* #,##0.0_);_(* \(#,##0.0\);_(* &quot;-&quot;??_);_(@_)"/>
    <numFmt numFmtId="166" formatCode="&quot;₹&quot;\ #,##0.00"/>
    <numFmt numFmtId="167" formatCode="[$₹-4009]\ #,##0"/>
    <numFmt numFmtId="168" formatCode="[$₹-4009]\ #,##0.00"/>
    <numFmt numFmtId="169" formatCode="0.0"/>
  </numFmts>
  <fonts count="15" x14ac:knownFonts="1"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rgb="FF000000"/>
      <name val="Helvetica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rgb="FF000000"/>
      <name val="Helvetica"/>
    </font>
    <font>
      <sz val="10"/>
      <color theme="1"/>
      <name val="Calibri"/>
      <family val="2"/>
      <scheme val="minor"/>
    </font>
    <font>
      <sz val="10"/>
      <color theme="8" tint="-0.249977111117893"/>
      <name val="Calibri"/>
      <family val="2"/>
      <scheme val="minor"/>
    </font>
    <font>
      <sz val="8"/>
      <color theme="8" tint="-0.249977111117893"/>
      <name val="Helvetica"/>
    </font>
    <font>
      <sz val="10"/>
      <color theme="8" tint="0.39997558519241921"/>
      <name val="Calibri"/>
      <family val="2"/>
      <scheme val="minor"/>
    </font>
    <font>
      <sz val="10"/>
      <color theme="8" tint="0.7999816888943144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5" tint="-0.249977111117893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82">
    <xf numFmtId="0" fontId="0" fillId="0" borderId="0" xfId="0"/>
    <xf numFmtId="0" fontId="4" fillId="0" borderId="0" xfId="0" applyFont="1"/>
    <xf numFmtId="0" fontId="3" fillId="0" borderId="1" xfId="0" applyFont="1" applyBorder="1"/>
    <xf numFmtId="0" fontId="0" fillId="0" borderId="2" xfId="0" applyBorder="1"/>
    <xf numFmtId="0" fontId="1" fillId="0" borderId="3" xfId="0" applyFont="1" applyBorder="1"/>
    <xf numFmtId="167" fontId="8" fillId="0" borderId="4" xfId="0" applyNumberFormat="1" applyFont="1" applyBorder="1"/>
    <xf numFmtId="165" fontId="9" fillId="0" borderId="4" xfId="1" applyNumberFormat="1" applyFont="1" applyBorder="1"/>
    <xf numFmtId="0" fontId="8" fillId="0" borderId="4" xfId="0" applyFont="1" applyBorder="1"/>
    <xf numFmtId="3" fontId="8" fillId="0" borderId="4" xfId="0" applyNumberFormat="1" applyFont="1" applyBorder="1"/>
    <xf numFmtId="10" fontId="0" fillId="0" borderId="4" xfId="0" applyNumberFormat="1" applyBorder="1"/>
    <xf numFmtId="0" fontId="3" fillId="0" borderId="3" xfId="0" applyFont="1" applyBorder="1"/>
    <xf numFmtId="0" fontId="0" fillId="0" borderId="4" xfId="0" applyBorder="1"/>
    <xf numFmtId="2" fontId="9" fillId="0" borderId="4" xfId="0" applyNumberFormat="1" applyFont="1" applyBorder="1"/>
    <xf numFmtId="1" fontId="2" fillId="0" borderId="4" xfId="0" applyNumberFormat="1" applyFont="1" applyBorder="1"/>
    <xf numFmtId="9" fontId="9" fillId="0" borderId="4" xfId="0" applyNumberFormat="1" applyFont="1" applyBorder="1"/>
    <xf numFmtId="164" fontId="6" fillId="0" borderId="4" xfId="0" applyNumberFormat="1" applyFont="1" applyBorder="1"/>
    <xf numFmtId="9" fontId="2" fillId="0" borderId="4" xfId="0" applyNumberFormat="1" applyFont="1" applyBorder="1"/>
    <xf numFmtId="1" fontId="0" fillId="0" borderId="4" xfId="0" applyNumberFormat="1" applyBorder="1"/>
    <xf numFmtId="2" fontId="0" fillId="0" borderId="4" xfId="0" applyNumberFormat="1" applyBorder="1"/>
    <xf numFmtId="9" fontId="5" fillId="0" borderId="4" xfId="0" applyNumberFormat="1" applyFont="1" applyBorder="1"/>
    <xf numFmtId="0" fontId="3" fillId="0" borderId="5" xfId="0" applyFont="1" applyBorder="1"/>
    <xf numFmtId="9" fontId="5" fillId="0" borderId="6" xfId="0" applyNumberFormat="1" applyFont="1" applyBorder="1"/>
    <xf numFmtId="0" fontId="5" fillId="0" borderId="1" xfId="0" applyFont="1" applyBorder="1"/>
    <xf numFmtId="0" fontId="0" fillId="0" borderId="3" xfId="0" applyBorder="1"/>
    <xf numFmtId="167" fontId="0" fillId="0" borderId="4" xfId="0" applyNumberFormat="1" applyBorder="1"/>
    <xf numFmtId="10" fontId="5" fillId="0" borderId="4" xfId="0" applyNumberFormat="1" applyFont="1" applyBorder="1"/>
    <xf numFmtId="0" fontId="0" fillId="0" borderId="5" xfId="0" applyBorder="1"/>
    <xf numFmtId="10" fontId="5" fillId="0" borderId="6" xfId="0" applyNumberFormat="1" applyFont="1" applyBorder="1"/>
    <xf numFmtId="0" fontId="0" fillId="0" borderId="6" xfId="0" applyBorder="1"/>
    <xf numFmtId="0" fontId="5" fillId="0" borderId="3" xfId="0" applyFont="1" applyBorder="1"/>
    <xf numFmtId="0" fontId="5" fillId="0" borderId="7" xfId="0" applyFont="1" applyBorder="1"/>
    <xf numFmtId="0" fontId="0" fillId="0" borderId="7" xfId="0" applyBorder="1"/>
    <xf numFmtId="10" fontId="8" fillId="0" borderId="3" xfId="0" applyNumberFormat="1" applyFont="1" applyBorder="1"/>
    <xf numFmtId="9" fontId="8" fillId="0" borderId="0" xfId="0" applyNumberFormat="1" applyFont="1"/>
    <xf numFmtId="0" fontId="5" fillId="0" borderId="0" xfId="0" applyFont="1"/>
    <xf numFmtId="0" fontId="5" fillId="0" borderId="4" xfId="0" applyFont="1" applyBorder="1"/>
    <xf numFmtId="167" fontId="0" fillId="0" borderId="3" xfId="0" applyNumberFormat="1" applyBorder="1"/>
    <xf numFmtId="10" fontId="8" fillId="0" borderId="0" xfId="0" applyNumberFormat="1" applyFont="1"/>
    <xf numFmtId="167" fontId="0" fillId="0" borderId="0" xfId="0" applyNumberFormat="1"/>
    <xf numFmtId="10" fontId="0" fillId="0" borderId="0" xfId="0" applyNumberFormat="1"/>
    <xf numFmtId="167" fontId="0" fillId="0" borderId="5" xfId="0" applyNumberFormat="1" applyBorder="1"/>
    <xf numFmtId="9" fontId="8" fillId="0" borderId="8" xfId="0" applyNumberFormat="1" applyFont="1" applyBorder="1"/>
    <xf numFmtId="0" fontId="0" fillId="0" borderId="8" xfId="0" applyBorder="1"/>
    <xf numFmtId="167" fontId="0" fillId="0" borderId="8" xfId="0" applyNumberFormat="1" applyBorder="1"/>
    <xf numFmtId="10" fontId="0" fillId="0" borderId="8" xfId="0" applyNumberFormat="1" applyBorder="1"/>
    <xf numFmtId="167" fontId="0" fillId="0" borderId="6" xfId="0" applyNumberFormat="1" applyBorder="1"/>
    <xf numFmtId="164" fontId="0" fillId="0" borderId="0" xfId="0" applyNumberFormat="1"/>
    <xf numFmtId="0" fontId="8" fillId="0" borderId="0" xfId="0" applyFont="1"/>
    <xf numFmtId="9" fontId="0" fillId="0" borderId="0" xfId="0" applyNumberFormat="1"/>
    <xf numFmtId="9" fontId="0" fillId="0" borderId="4" xfId="0" applyNumberFormat="1" applyBorder="1"/>
    <xf numFmtId="10" fontId="10" fillId="0" borderId="0" xfId="0" applyNumberFormat="1" applyFont="1"/>
    <xf numFmtId="166" fontId="0" fillId="0" borderId="0" xfId="0" applyNumberFormat="1"/>
    <xf numFmtId="10" fontId="0" fillId="2" borderId="0" xfId="0" applyNumberFormat="1" applyFill="1"/>
    <xf numFmtId="10" fontId="0" fillId="2" borderId="4" xfId="0" applyNumberFormat="1" applyFill="1" applyBorder="1"/>
    <xf numFmtId="164" fontId="8" fillId="0" borderId="0" xfId="0" applyNumberFormat="1" applyFont="1"/>
    <xf numFmtId="10" fontId="0" fillId="2" borderId="8" xfId="0" applyNumberFormat="1" applyFill="1" applyBorder="1"/>
    <xf numFmtId="10" fontId="0" fillId="2" borderId="6" xfId="0" applyNumberFormat="1" applyFill="1" applyBorder="1"/>
    <xf numFmtId="1" fontId="11" fillId="0" borderId="0" xfId="0" applyNumberFormat="1" applyFont="1"/>
    <xf numFmtId="15" fontId="0" fillId="0" borderId="0" xfId="0" applyNumberFormat="1"/>
    <xf numFmtId="10" fontId="5" fillId="0" borderId="0" xfId="0" applyNumberFormat="1" applyFont="1"/>
    <xf numFmtId="0" fontId="12" fillId="0" borderId="0" xfId="0" applyFont="1"/>
    <xf numFmtId="168" fontId="0" fillId="0" borderId="0" xfId="0" applyNumberFormat="1"/>
    <xf numFmtId="0" fontId="0" fillId="0" borderId="6" xfId="0" applyBorder="1" applyAlignment="1">
      <alignment horizontal="center" vertical="center" wrapText="1"/>
    </xf>
    <xf numFmtId="9" fontId="0" fillId="0" borderId="7" xfId="0" applyNumberFormat="1" applyBorder="1"/>
    <xf numFmtId="0" fontId="5" fillId="0" borderId="0" xfId="0" applyFont="1" applyAlignment="1">
      <alignment wrapText="1"/>
    </xf>
    <xf numFmtId="1" fontId="0" fillId="0" borderId="0" xfId="0" applyNumberFormat="1"/>
    <xf numFmtId="0" fontId="3" fillId="0" borderId="0" xfId="0" applyFont="1"/>
    <xf numFmtId="0" fontId="13" fillId="0" borderId="0" xfId="0" applyFont="1"/>
    <xf numFmtId="10" fontId="14" fillId="0" borderId="0" xfId="2" applyNumberFormat="1"/>
    <xf numFmtId="169" fontId="0" fillId="0" borderId="0" xfId="0" applyNumberFormat="1"/>
    <xf numFmtId="2" fontId="0" fillId="0" borderId="0" xfId="0" applyNumberFormat="1"/>
    <xf numFmtId="0" fontId="0" fillId="0" borderId="0" xfId="0" applyFont="1"/>
    <xf numFmtId="4" fontId="0" fillId="0" borderId="0" xfId="0" applyNumberFormat="1"/>
    <xf numFmtId="2" fontId="5" fillId="0" borderId="0" xfId="0" applyNumberFormat="1" applyFont="1"/>
    <xf numFmtId="9" fontId="5" fillId="0" borderId="0" xfId="0" applyNumberFormat="1" applyFont="1"/>
    <xf numFmtId="164" fontId="5" fillId="0" borderId="0" xfId="0" applyNumberFormat="1" applyFont="1"/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35A548"/>
      <color rgb="FFF93D2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 /><Relationship Id="rId1" Type="http://schemas.microsoft.com/office/2011/relationships/chartStyle" Target="style5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Break</a:t>
            </a:r>
            <a:r>
              <a:rPr lang="en-IN" baseline="0"/>
              <a:t>-Even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'Advanced Analysis'!$C$104</c:f>
              <c:strCache>
                <c:ptCount val="1"/>
                <c:pt idx="0">
                  <c:v>15%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'Advanced Analysis'!$B$105:$B$117</c:f>
              <c:numCache>
                <c:formatCode>General</c:formatCode>
                <c:ptCount val="13"/>
                <c:pt idx="0">
                  <c:v>170</c:v>
                </c:pt>
                <c:pt idx="1">
                  <c:v>175</c:v>
                </c:pt>
                <c:pt idx="2">
                  <c:v>180</c:v>
                </c:pt>
                <c:pt idx="3">
                  <c:v>185</c:v>
                </c:pt>
                <c:pt idx="4">
                  <c:v>190</c:v>
                </c:pt>
                <c:pt idx="5">
                  <c:v>195</c:v>
                </c:pt>
                <c:pt idx="6">
                  <c:v>200</c:v>
                </c:pt>
                <c:pt idx="7">
                  <c:v>205</c:v>
                </c:pt>
                <c:pt idx="8">
                  <c:v>210</c:v>
                </c:pt>
                <c:pt idx="9">
                  <c:v>215</c:v>
                </c:pt>
                <c:pt idx="10">
                  <c:v>220</c:v>
                </c:pt>
                <c:pt idx="11">
                  <c:v>225</c:v>
                </c:pt>
                <c:pt idx="12">
                  <c:v>230</c:v>
                </c:pt>
              </c:numCache>
            </c:numRef>
          </c:cat>
          <c:val>
            <c:numRef>
              <c:f>'Advanced Analysis'!$C$105:$C$117</c:f>
              <c:numCache>
                <c:formatCode>0.00%</c:formatCode>
                <c:ptCount val="13"/>
                <c:pt idx="0">
                  <c:v>-4.2105263157894736E-2</c:v>
                </c:pt>
                <c:pt idx="1">
                  <c:v>-1.9736842105263157E-2</c:v>
                </c:pt>
                <c:pt idx="2">
                  <c:v>2.631578947368421E-3</c:v>
                </c:pt>
                <c:pt idx="3">
                  <c:v>2.5000000000000001E-2</c:v>
                </c:pt>
                <c:pt idx="4">
                  <c:v>4.736842105263158E-2</c:v>
                </c:pt>
                <c:pt idx="5">
                  <c:v>6.9736842105263153E-2</c:v>
                </c:pt>
                <c:pt idx="6">
                  <c:v>9.2105263157894732E-2</c:v>
                </c:pt>
                <c:pt idx="7">
                  <c:v>0.11447368421052631</c:v>
                </c:pt>
                <c:pt idx="8">
                  <c:v>0.1368421052631579</c:v>
                </c:pt>
                <c:pt idx="9">
                  <c:v>0.15921052631578947</c:v>
                </c:pt>
                <c:pt idx="10">
                  <c:v>0.18157894736842106</c:v>
                </c:pt>
                <c:pt idx="11">
                  <c:v>0.20394736842105263</c:v>
                </c:pt>
                <c:pt idx="12">
                  <c:v>0.22631578947368422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9C-4022-ADB4-6A2506407763}"/>
            </c:ext>
          </c:extLst>
        </c:ser>
        <c:ser>
          <c:idx val="1"/>
          <c:order val="1"/>
          <c:tx>
            <c:strRef>
              <c:f>'Advanced Analysis'!$D$104</c:f>
              <c:strCache>
                <c:ptCount val="1"/>
                <c:pt idx="0">
                  <c:v>21.7%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'Advanced Analysis'!$B$105:$B$117</c:f>
              <c:numCache>
                <c:formatCode>General</c:formatCode>
                <c:ptCount val="13"/>
                <c:pt idx="0">
                  <c:v>170</c:v>
                </c:pt>
                <c:pt idx="1">
                  <c:v>175</c:v>
                </c:pt>
                <c:pt idx="2">
                  <c:v>180</c:v>
                </c:pt>
                <c:pt idx="3">
                  <c:v>185</c:v>
                </c:pt>
                <c:pt idx="4">
                  <c:v>190</c:v>
                </c:pt>
                <c:pt idx="5">
                  <c:v>195</c:v>
                </c:pt>
                <c:pt idx="6">
                  <c:v>200</c:v>
                </c:pt>
                <c:pt idx="7">
                  <c:v>205</c:v>
                </c:pt>
                <c:pt idx="8">
                  <c:v>210</c:v>
                </c:pt>
                <c:pt idx="9">
                  <c:v>215</c:v>
                </c:pt>
                <c:pt idx="10">
                  <c:v>220</c:v>
                </c:pt>
                <c:pt idx="11">
                  <c:v>225</c:v>
                </c:pt>
                <c:pt idx="12">
                  <c:v>230</c:v>
                </c:pt>
              </c:numCache>
            </c:numRef>
          </c:cat>
          <c:val>
            <c:numRef>
              <c:f>'Advanced Analysis'!$D$105:$D$117</c:f>
              <c:numCache>
                <c:formatCode>0.00%</c:formatCode>
                <c:ptCount val="13"/>
                <c:pt idx="0">
                  <c:v>-1.3870488048467666E-2</c:v>
                </c:pt>
                <c:pt idx="1">
                  <c:v>6.7332595598247136E-3</c:v>
                </c:pt>
                <c:pt idx="2">
                  <c:v>2.7337007168117104E-2</c:v>
                </c:pt>
                <c:pt idx="3">
                  <c:v>4.7940754776409487E-2</c:v>
                </c:pt>
                <c:pt idx="4">
                  <c:v>6.8544502384701875E-2</c:v>
                </c:pt>
                <c:pt idx="5">
                  <c:v>8.9148249992994255E-2</c:v>
                </c:pt>
                <c:pt idx="6">
                  <c:v>0.10975199760128664</c:v>
                </c:pt>
                <c:pt idx="7">
                  <c:v>0.13035574520957904</c:v>
                </c:pt>
                <c:pt idx="8">
                  <c:v>0.15095949281787141</c:v>
                </c:pt>
                <c:pt idx="9">
                  <c:v>0.17156324042616383</c:v>
                </c:pt>
                <c:pt idx="10">
                  <c:v>0.1921669880344562</c:v>
                </c:pt>
                <c:pt idx="11">
                  <c:v>0.21277073564274859</c:v>
                </c:pt>
                <c:pt idx="12">
                  <c:v>0.23337448325104096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9C-4022-ADB4-6A2506407763}"/>
            </c:ext>
          </c:extLst>
        </c:ser>
        <c:ser>
          <c:idx val="2"/>
          <c:order val="2"/>
          <c:tx>
            <c:strRef>
              <c:f>'Advanced Analysis'!$E$104</c:f>
              <c:strCache>
                <c:ptCount val="1"/>
                <c:pt idx="0">
                  <c:v>30%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'Advanced Analysis'!$B$105:$B$117</c:f>
              <c:numCache>
                <c:formatCode>General</c:formatCode>
                <c:ptCount val="13"/>
                <c:pt idx="0">
                  <c:v>170</c:v>
                </c:pt>
                <c:pt idx="1">
                  <c:v>175</c:v>
                </c:pt>
                <c:pt idx="2">
                  <c:v>180</c:v>
                </c:pt>
                <c:pt idx="3">
                  <c:v>185</c:v>
                </c:pt>
                <c:pt idx="4">
                  <c:v>190</c:v>
                </c:pt>
                <c:pt idx="5">
                  <c:v>195</c:v>
                </c:pt>
                <c:pt idx="6">
                  <c:v>200</c:v>
                </c:pt>
                <c:pt idx="7">
                  <c:v>205</c:v>
                </c:pt>
                <c:pt idx="8">
                  <c:v>210</c:v>
                </c:pt>
                <c:pt idx="9">
                  <c:v>215</c:v>
                </c:pt>
                <c:pt idx="10">
                  <c:v>220</c:v>
                </c:pt>
                <c:pt idx="11">
                  <c:v>225</c:v>
                </c:pt>
                <c:pt idx="12">
                  <c:v>230</c:v>
                </c:pt>
              </c:numCache>
            </c:numRef>
          </c:cat>
          <c:val>
            <c:numRef>
              <c:f>'Advanced Analysis'!$E$105:$E$117</c:f>
              <c:numCache>
                <c:formatCode>0.00%</c:formatCode>
                <c:ptCount val="13"/>
                <c:pt idx="0">
                  <c:v>2.1052631578947368E-2</c:v>
                </c:pt>
                <c:pt idx="1">
                  <c:v>3.9473684210526314E-2</c:v>
                </c:pt>
                <c:pt idx="2">
                  <c:v>5.7894736842105263E-2</c:v>
                </c:pt>
                <c:pt idx="3">
                  <c:v>7.6315789473684212E-2</c:v>
                </c:pt>
                <c:pt idx="4">
                  <c:v>9.4736842105263161E-2</c:v>
                </c:pt>
                <c:pt idx="5">
                  <c:v>0.11315789473684211</c:v>
                </c:pt>
                <c:pt idx="6">
                  <c:v>0.13157894736842105</c:v>
                </c:pt>
                <c:pt idx="7">
                  <c:v>0.15</c:v>
                </c:pt>
                <c:pt idx="8">
                  <c:v>0.16842105263157894</c:v>
                </c:pt>
                <c:pt idx="9">
                  <c:v>0.18684210526315789</c:v>
                </c:pt>
                <c:pt idx="10">
                  <c:v>0.20526315789473684</c:v>
                </c:pt>
                <c:pt idx="11">
                  <c:v>0.22368421052631579</c:v>
                </c:pt>
                <c:pt idx="12">
                  <c:v>0.24210526315789474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9C-4022-ADB4-6A2506407763}"/>
            </c:ext>
          </c:extLst>
        </c:ser>
        <c:ser>
          <c:idx val="3"/>
          <c:order val="3"/>
          <c:tx>
            <c:strRef>
              <c:f>'Advanced Analysis'!$F$104</c:f>
              <c:strCache>
                <c:ptCount val="1"/>
                <c:pt idx="0">
                  <c:v>35%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'Advanced Analysis'!$B$105:$B$117</c:f>
              <c:numCache>
                <c:formatCode>General</c:formatCode>
                <c:ptCount val="13"/>
                <c:pt idx="0">
                  <c:v>170</c:v>
                </c:pt>
                <c:pt idx="1">
                  <c:v>175</c:v>
                </c:pt>
                <c:pt idx="2">
                  <c:v>180</c:v>
                </c:pt>
                <c:pt idx="3">
                  <c:v>185</c:v>
                </c:pt>
                <c:pt idx="4">
                  <c:v>190</c:v>
                </c:pt>
                <c:pt idx="5">
                  <c:v>195</c:v>
                </c:pt>
                <c:pt idx="6">
                  <c:v>200</c:v>
                </c:pt>
                <c:pt idx="7">
                  <c:v>205</c:v>
                </c:pt>
                <c:pt idx="8">
                  <c:v>210</c:v>
                </c:pt>
                <c:pt idx="9">
                  <c:v>215</c:v>
                </c:pt>
                <c:pt idx="10">
                  <c:v>220</c:v>
                </c:pt>
                <c:pt idx="11">
                  <c:v>225</c:v>
                </c:pt>
                <c:pt idx="12">
                  <c:v>230</c:v>
                </c:pt>
              </c:numCache>
            </c:numRef>
          </c:cat>
          <c:val>
            <c:numRef>
              <c:f>'Advanced Analysis'!$F$105:$F$117</c:f>
              <c:numCache>
                <c:formatCode>0.00%</c:formatCode>
                <c:ptCount val="13"/>
                <c:pt idx="0">
                  <c:v>4.2105263157894736E-2</c:v>
                </c:pt>
                <c:pt idx="1">
                  <c:v>5.921052631578947E-2</c:v>
                </c:pt>
                <c:pt idx="2">
                  <c:v>7.6315789473684212E-2</c:v>
                </c:pt>
                <c:pt idx="3">
                  <c:v>9.3421052631578946E-2</c:v>
                </c:pt>
                <c:pt idx="4">
                  <c:v>0.11052631578947368</c:v>
                </c:pt>
                <c:pt idx="5">
                  <c:v>0.12763157894736843</c:v>
                </c:pt>
                <c:pt idx="6">
                  <c:v>0.14473684210526316</c:v>
                </c:pt>
                <c:pt idx="7">
                  <c:v>0.1618421052631579</c:v>
                </c:pt>
                <c:pt idx="8">
                  <c:v>0.17894736842105263</c:v>
                </c:pt>
                <c:pt idx="9">
                  <c:v>0.19605263157894737</c:v>
                </c:pt>
                <c:pt idx="10">
                  <c:v>0.2131578947368421</c:v>
                </c:pt>
                <c:pt idx="11">
                  <c:v>0.23026315789473684</c:v>
                </c:pt>
                <c:pt idx="12">
                  <c:v>0.24736842105263157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9C-4022-ADB4-6A2506407763}"/>
            </c:ext>
          </c:extLst>
        </c:ser>
        <c:ser>
          <c:idx val="4"/>
          <c:order val="4"/>
          <c:tx>
            <c:strRef>
              <c:f>'Advanced Analysis'!$G$104</c:f>
              <c:strCache>
                <c:ptCount val="1"/>
                <c:pt idx="0">
                  <c:v>40%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'Advanced Analysis'!$B$105:$B$117</c:f>
              <c:numCache>
                <c:formatCode>General</c:formatCode>
                <c:ptCount val="13"/>
                <c:pt idx="0">
                  <c:v>170</c:v>
                </c:pt>
                <c:pt idx="1">
                  <c:v>175</c:v>
                </c:pt>
                <c:pt idx="2">
                  <c:v>180</c:v>
                </c:pt>
                <c:pt idx="3">
                  <c:v>185</c:v>
                </c:pt>
                <c:pt idx="4">
                  <c:v>190</c:v>
                </c:pt>
                <c:pt idx="5">
                  <c:v>195</c:v>
                </c:pt>
                <c:pt idx="6">
                  <c:v>200</c:v>
                </c:pt>
                <c:pt idx="7">
                  <c:v>205</c:v>
                </c:pt>
                <c:pt idx="8">
                  <c:v>210</c:v>
                </c:pt>
                <c:pt idx="9">
                  <c:v>215</c:v>
                </c:pt>
                <c:pt idx="10">
                  <c:v>220</c:v>
                </c:pt>
                <c:pt idx="11">
                  <c:v>225</c:v>
                </c:pt>
                <c:pt idx="12">
                  <c:v>230</c:v>
                </c:pt>
              </c:numCache>
            </c:numRef>
          </c:cat>
          <c:val>
            <c:numRef>
              <c:f>'Advanced Analysis'!$G$105:$G$117</c:f>
              <c:numCache>
                <c:formatCode>0.00%</c:formatCode>
                <c:ptCount val="13"/>
                <c:pt idx="0">
                  <c:v>6.3157894736842107E-2</c:v>
                </c:pt>
                <c:pt idx="1">
                  <c:v>7.8947368421052627E-2</c:v>
                </c:pt>
                <c:pt idx="2">
                  <c:v>9.4736842105263161E-2</c:v>
                </c:pt>
                <c:pt idx="3">
                  <c:v>0.11052631578947368</c:v>
                </c:pt>
                <c:pt idx="4">
                  <c:v>0.12631578947368421</c:v>
                </c:pt>
                <c:pt idx="5">
                  <c:v>0.14210526315789473</c:v>
                </c:pt>
                <c:pt idx="6">
                  <c:v>0.15789473684210525</c:v>
                </c:pt>
                <c:pt idx="7">
                  <c:v>0.1736842105263158</c:v>
                </c:pt>
                <c:pt idx="8">
                  <c:v>0.18947368421052632</c:v>
                </c:pt>
                <c:pt idx="9">
                  <c:v>0.20526315789473684</c:v>
                </c:pt>
                <c:pt idx="10">
                  <c:v>0.22105263157894736</c:v>
                </c:pt>
                <c:pt idx="11">
                  <c:v>0.23684210526315788</c:v>
                </c:pt>
                <c:pt idx="12">
                  <c:v>0.25263157894736843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C9C-4022-ADB4-6A2506407763}"/>
            </c:ext>
          </c:extLst>
        </c:ser>
        <c:ser>
          <c:idx val="5"/>
          <c:order val="5"/>
          <c:tx>
            <c:strRef>
              <c:f>'Advanced Analysis'!$H$104</c:f>
              <c:strCache>
                <c:ptCount val="1"/>
                <c:pt idx="0">
                  <c:v>45%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'Advanced Analysis'!$B$105:$B$117</c:f>
              <c:numCache>
                <c:formatCode>General</c:formatCode>
                <c:ptCount val="13"/>
                <c:pt idx="0">
                  <c:v>170</c:v>
                </c:pt>
                <c:pt idx="1">
                  <c:v>175</c:v>
                </c:pt>
                <c:pt idx="2">
                  <c:v>180</c:v>
                </c:pt>
                <c:pt idx="3">
                  <c:v>185</c:v>
                </c:pt>
                <c:pt idx="4">
                  <c:v>190</c:v>
                </c:pt>
                <c:pt idx="5">
                  <c:v>195</c:v>
                </c:pt>
                <c:pt idx="6">
                  <c:v>200</c:v>
                </c:pt>
                <c:pt idx="7">
                  <c:v>205</c:v>
                </c:pt>
                <c:pt idx="8">
                  <c:v>210</c:v>
                </c:pt>
                <c:pt idx="9">
                  <c:v>215</c:v>
                </c:pt>
                <c:pt idx="10">
                  <c:v>220</c:v>
                </c:pt>
                <c:pt idx="11">
                  <c:v>225</c:v>
                </c:pt>
                <c:pt idx="12">
                  <c:v>230</c:v>
                </c:pt>
              </c:numCache>
            </c:numRef>
          </c:cat>
          <c:val>
            <c:numRef>
              <c:f>'Advanced Analysis'!$H$105:$H$117</c:f>
              <c:numCache>
                <c:formatCode>0.00%</c:formatCode>
                <c:ptCount val="13"/>
                <c:pt idx="0">
                  <c:v>8.4210526315789458E-2</c:v>
                </c:pt>
                <c:pt idx="1">
                  <c:v>9.8684210526315791E-2</c:v>
                </c:pt>
                <c:pt idx="2">
                  <c:v>0.11315789473684211</c:v>
                </c:pt>
                <c:pt idx="3">
                  <c:v>0.12763157894736843</c:v>
                </c:pt>
                <c:pt idx="4">
                  <c:v>0.14210526315789473</c:v>
                </c:pt>
                <c:pt idx="5">
                  <c:v>0.15657894736842104</c:v>
                </c:pt>
                <c:pt idx="6">
                  <c:v>0.17105263157894737</c:v>
                </c:pt>
                <c:pt idx="7">
                  <c:v>0.18552631578947368</c:v>
                </c:pt>
                <c:pt idx="8">
                  <c:v>0.2</c:v>
                </c:pt>
                <c:pt idx="9">
                  <c:v>0.21447368421052632</c:v>
                </c:pt>
                <c:pt idx="10">
                  <c:v>0.22894736842105262</c:v>
                </c:pt>
                <c:pt idx="11">
                  <c:v>0.24342105263157895</c:v>
                </c:pt>
                <c:pt idx="12">
                  <c:v>0.25789473684210529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C9C-4022-ADB4-6A2506407763}"/>
            </c:ext>
          </c:extLst>
        </c:ser>
        <c:ser>
          <c:idx val="6"/>
          <c:order val="6"/>
          <c:tx>
            <c:strRef>
              <c:f>'Advanced Analysis'!$I$104</c:f>
              <c:strCache>
                <c:ptCount val="1"/>
                <c:pt idx="0">
                  <c:v>50%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'Advanced Analysis'!$B$105:$B$117</c:f>
              <c:numCache>
                <c:formatCode>General</c:formatCode>
                <c:ptCount val="13"/>
                <c:pt idx="0">
                  <c:v>170</c:v>
                </c:pt>
                <c:pt idx="1">
                  <c:v>175</c:v>
                </c:pt>
                <c:pt idx="2">
                  <c:v>180</c:v>
                </c:pt>
                <c:pt idx="3">
                  <c:v>185</c:v>
                </c:pt>
                <c:pt idx="4">
                  <c:v>190</c:v>
                </c:pt>
                <c:pt idx="5">
                  <c:v>195</c:v>
                </c:pt>
                <c:pt idx="6">
                  <c:v>200</c:v>
                </c:pt>
                <c:pt idx="7">
                  <c:v>205</c:v>
                </c:pt>
                <c:pt idx="8">
                  <c:v>210</c:v>
                </c:pt>
                <c:pt idx="9">
                  <c:v>215</c:v>
                </c:pt>
                <c:pt idx="10">
                  <c:v>220</c:v>
                </c:pt>
                <c:pt idx="11">
                  <c:v>225</c:v>
                </c:pt>
                <c:pt idx="12">
                  <c:v>230</c:v>
                </c:pt>
              </c:numCache>
            </c:numRef>
          </c:cat>
          <c:val>
            <c:numRef>
              <c:f>'Advanced Analysis'!$I$105:$I$117</c:f>
              <c:numCache>
                <c:formatCode>0.00%</c:formatCode>
                <c:ptCount val="13"/>
                <c:pt idx="0">
                  <c:v>0.10526315789473684</c:v>
                </c:pt>
                <c:pt idx="1">
                  <c:v>0.11842105263157894</c:v>
                </c:pt>
                <c:pt idx="2">
                  <c:v>0.13157894736842105</c:v>
                </c:pt>
                <c:pt idx="3">
                  <c:v>0.14473684210526316</c:v>
                </c:pt>
                <c:pt idx="4">
                  <c:v>0.15789473684210525</c:v>
                </c:pt>
                <c:pt idx="5">
                  <c:v>0.17105263157894737</c:v>
                </c:pt>
                <c:pt idx="6">
                  <c:v>0.18421052631578946</c:v>
                </c:pt>
                <c:pt idx="7">
                  <c:v>0.19736842105263158</c:v>
                </c:pt>
                <c:pt idx="8">
                  <c:v>0.21052631578947367</c:v>
                </c:pt>
                <c:pt idx="9">
                  <c:v>0.22368421052631579</c:v>
                </c:pt>
                <c:pt idx="10">
                  <c:v>0.23684210526315788</c:v>
                </c:pt>
                <c:pt idx="11">
                  <c:v>0.25</c:v>
                </c:pt>
                <c:pt idx="12">
                  <c:v>0.26315789473684209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C9C-4022-ADB4-6A2506407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9696752"/>
        <c:axId val="1784959312"/>
      </c:lineChart>
      <c:catAx>
        <c:axId val="190969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959312"/>
        <c:crosses val="autoZero"/>
        <c:auto val="1"/>
        <c:lblAlgn val="ctr"/>
        <c:lblOffset val="100"/>
        <c:noMultiLvlLbl val="0"/>
      </c:catAx>
      <c:valAx>
        <c:axId val="178495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69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F06044BA-E241-4CD7-BC44-2444C5F65775}" formatIdx="0">
          <cx:tx>
            <cx:txData>
              <cx:f>_xlchart.v1.0</cx:f>
              <cx:v>Return Before Tax</cx:v>
            </cx:txData>
          </cx:tx>
          <cx:dataId val="0"/>
          <cx:layoutPr>
            <cx:binning intervalClosed="r">
              <cx:binSize val="0.025999999999999999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_xlchart.v1.4</cx:f>
      </cx:numDim>
    </cx:data>
  </cx:chartData>
  <cx:chart>
    <cx:title pos="t" align="ctr" overlay="0">
      <cx:tx>
        <cx:txData>
          <cx:v>Worst Case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Worst Case</a:t>
          </a:r>
        </a:p>
      </cx:txPr>
    </cx:title>
    <cx:plotArea>
      <cx:plotAreaRegion>
        <cx:series layoutId="waterfall" uniqueId="{1F55579B-A053-44E1-91B4-8AE5A6392F2C}">
          <cx:tx>
            <cx:txData>
              <cx:f>_xlchart.v1.3</cx:f>
              <cx:v>Worst (170)</cx:v>
            </cx:txData>
          </cx:tx>
          <cx:dataPt idx="0">
            <cx:spPr>
              <a:solidFill>
                <a:srgbClr val="35A548"/>
              </a:solidFill>
            </cx:spPr>
          </cx:dataPt>
          <cx:dataPt idx="1">
            <cx:spPr>
              <a:solidFill>
                <a:srgbClr val="F93D2F"/>
              </a:solidFill>
            </cx:spPr>
          </cx:dataPt>
          <cx:dataPt idx="2">
            <cx:spPr>
              <a:solidFill>
                <a:srgbClr val="F93D2F"/>
              </a:solidFill>
            </cx:spPr>
          </cx:dataPt>
          <cx:dataLabels pos="outEnd"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_xlchart.v1.7</cx:f>
      </cx:numDim>
    </cx:data>
  </cx:chartData>
  <cx:chart>
    <cx:title pos="t" align="ctr" overlay="0">
      <cx:tx>
        <cx:txData>
          <cx:v>Base Case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Base Case</a:t>
          </a:r>
        </a:p>
      </cx:txPr>
    </cx:title>
    <cx:plotArea>
      <cx:plotAreaRegion>
        <cx:series layoutId="waterfall" uniqueId="{90529ABC-6290-4CFF-B6FB-82D4D7F6B16A}">
          <cx:tx>
            <cx:txData>
              <cx:f>_xlchart.v1.6</cx:f>
              <cx:v>Base (190)</cx:v>
            </cx:txData>
          </cx:tx>
          <cx:spPr>
            <a:solidFill>
              <a:srgbClr val="F93D2F"/>
            </a:solidFill>
          </cx:spPr>
          <cx:dataPt idx="0">
            <cx:spPr>
              <a:solidFill>
                <a:srgbClr val="35A548"/>
              </a:solidFill>
            </cx:spPr>
          </cx:dataPt>
          <cx:dataPt idx="1">
            <cx:spPr>
              <a:solidFill>
                <a:srgbClr val="35A548"/>
              </a:solidFill>
            </cx:spPr>
          </cx:dataPt>
          <cx:dataPt idx="2">
            <cx:spPr>
              <a:solidFill>
                <a:srgbClr val="35A548"/>
              </a:solidFill>
            </cx:spPr>
          </cx:dataPt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val">
        <cx:f>_xlchart.v1.10</cx:f>
      </cx:numDim>
    </cx:data>
  </cx:chartData>
  <cx:chart>
    <cx:title pos="t" align="ctr" overlay="0">
      <cx:tx>
        <cx:txData>
          <cx:v>Best Case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Best Case</a:t>
          </a:r>
        </a:p>
      </cx:txPr>
    </cx:title>
    <cx:plotArea>
      <cx:plotAreaRegion>
        <cx:series layoutId="waterfall" uniqueId="{8C239322-1648-41C0-AF29-8DD8A6B52DEB}">
          <cx:tx>
            <cx:txData>
              <cx:f>_xlchart.v1.9</cx:f>
              <cx:v>Bull (210)</cx:v>
            </cx:txData>
          </cx:tx>
          <cx:spPr>
            <a:solidFill>
              <a:srgbClr val="35A548"/>
            </a:solidFill>
          </cx:spPr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Drop" dropLines="7" dropStyle="combo" dx="16" fmlaLink="$I$21" fmlaRange="$I$12:$I$18" sel="1" val="0"/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 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3.xml" /><Relationship Id="rId2" Type="http://schemas.microsoft.com/office/2014/relationships/chartEx" Target="../charts/chartEx2.xml" /><Relationship Id="rId1" Type="http://schemas.openxmlformats.org/officeDocument/2006/relationships/chart" Target="../charts/chart1.xml" /><Relationship Id="rId4" Type="http://schemas.microsoft.com/office/2014/relationships/chartEx" Target="../charts/chartEx4.xml" 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20</xdr:row>
          <xdr:rowOff>0</xdr:rowOff>
        </xdr:from>
        <xdr:to>
          <xdr:col>8</xdr:col>
          <xdr:colOff>0</xdr:colOff>
          <xdr:row>21</xdr:row>
          <xdr:rowOff>0</xdr:rowOff>
        </xdr:to>
        <xdr:sp macro="" textlink="">
          <xdr:nvSpPr>
            <xdr:cNvPr id="1028" name="Drop Dow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26</xdr:col>
      <xdr:colOff>188148</xdr:colOff>
      <xdr:row>1</xdr:row>
      <xdr:rowOff>47038</xdr:rowOff>
    </xdr:from>
    <xdr:to>
      <xdr:col>34</xdr:col>
      <xdr:colOff>263098</xdr:colOff>
      <xdr:row>14</xdr:row>
      <xdr:rowOff>46281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F812A17-22F9-41A9-A042-2344B76269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595657</xdr:colOff>
      <xdr:row>117</xdr:row>
      <xdr:rowOff>70954</xdr:rowOff>
    </xdr:from>
    <xdr:to>
      <xdr:col>7</xdr:col>
      <xdr:colOff>287820</xdr:colOff>
      <xdr:row>133</xdr:row>
      <xdr:rowOff>163719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A56CC5-B055-6943-8151-DB8480C050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105603</xdr:colOff>
      <xdr:row>141</xdr:row>
      <xdr:rowOff>70955</xdr:rowOff>
    </xdr:from>
    <xdr:to>
      <xdr:col>4</xdr:col>
      <xdr:colOff>27608</xdr:colOff>
      <xdr:row>155</xdr:row>
      <xdr:rowOff>6902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0CB74CA-6D27-8075-70BA-3CF5AADC95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117337</xdr:colOff>
      <xdr:row>141</xdr:row>
      <xdr:rowOff>48315</xdr:rowOff>
    </xdr:from>
    <xdr:to>
      <xdr:col>8</xdr:col>
      <xdr:colOff>391353</xdr:colOff>
      <xdr:row>154</xdr:row>
      <xdr:rowOff>149915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986949DA-FE04-4202-A874-F6C8657055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524566</xdr:colOff>
      <xdr:row>141</xdr:row>
      <xdr:rowOff>48315</xdr:rowOff>
    </xdr:from>
    <xdr:to>
      <xdr:col>13</xdr:col>
      <xdr:colOff>294724</xdr:colOff>
      <xdr:row>154</xdr:row>
      <xdr:rowOff>149915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D12C8A18-3217-43F6-A6BD-772F33D43D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Relationship Id="rId4" Type="http://schemas.openxmlformats.org/officeDocument/2006/relationships/ctrlProp" Target="../ctrlProps/ctrlProp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hyperlink" Target="https://www.ccilindia.com/tenorwise-indicative-yields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016"/>
  <sheetViews>
    <sheetView showGridLines="0" topLeftCell="K1" zoomScale="32" zoomScaleNormal="100" workbookViewId="0">
      <selection activeCell="Q9" sqref="Q9"/>
    </sheetView>
  </sheetViews>
  <sheetFormatPr defaultRowHeight="14.25" x14ac:dyDescent="0.2"/>
  <cols>
    <col min="1" max="1" width="30.33203125" bestFit="1" customWidth="1"/>
    <col min="2" max="2" width="14.6484375" bestFit="1" customWidth="1"/>
    <col min="4" max="4" width="23.67578125" bestFit="1" customWidth="1"/>
    <col min="5" max="5" width="12.4296875" bestFit="1" customWidth="1"/>
    <col min="6" max="6" width="9.765625" customWidth="1"/>
    <col min="7" max="7" width="31.37109375" bestFit="1" customWidth="1"/>
    <col min="8" max="8" width="16.12890625" bestFit="1" customWidth="1"/>
    <col min="9" max="9" width="14.9453125" bestFit="1" customWidth="1"/>
    <col min="10" max="10" width="11.984375" bestFit="1" customWidth="1"/>
    <col min="11" max="11" width="13.01953125" bestFit="1" customWidth="1"/>
    <col min="12" max="12" width="24.265625" bestFit="1" customWidth="1"/>
    <col min="13" max="14" width="24.5625" bestFit="1" customWidth="1"/>
    <col min="16" max="16" width="34.1796875" bestFit="1" customWidth="1"/>
    <col min="17" max="17" width="8.875" bestFit="1" customWidth="1"/>
    <col min="18" max="18" width="9.765625" customWidth="1"/>
    <col min="19" max="19" width="10.65234375" customWidth="1"/>
    <col min="20" max="20" width="13.46484375" bestFit="1" customWidth="1"/>
    <col min="21" max="21" width="11.8359375" bestFit="1" customWidth="1"/>
    <col min="22" max="22" width="10.20703125" customWidth="1"/>
    <col min="23" max="23" width="8.875" bestFit="1" customWidth="1"/>
  </cols>
  <sheetData>
    <row r="1" spans="1:26" ht="15" x14ac:dyDescent="0.2">
      <c r="A1" s="1" t="s">
        <v>56</v>
      </c>
    </row>
    <row r="2" spans="1:26" x14ac:dyDescent="0.2">
      <c r="G2" s="67" t="s">
        <v>88</v>
      </c>
    </row>
    <row r="3" spans="1:26" ht="21" x14ac:dyDescent="0.3">
      <c r="A3" s="2" t="s">
        <v>11</v>
      </c>
      <c r="B3" s="3"/>
      <c r="D3" s="22" t="s">
        <v>27</v>
      </c>
      <c r="E3" s="3"/>
      <c r="P3" s="60" t="s">
        <v>68</v>
      </c>
    </row>
    <row r="4" spans="1:26" ht="15" x14ac:dyDescent="0.2">
      <c r="A4" s="4" t="s">
        <v>22</v>
      </c>
      <c r="B4" s="5">
        <v>2098</v>
      </c>
      <c r="D4" s="23" t="s">
        <v>28</v>
      </c>
      <c r="E4" s="24">
        <f>E6*B7</f>
        <v>152000</v>
      </c>
      <c r="S4" s="34" t="s">
        <v>0</v>
      </c>
    </row>
    <row r="5" spans="1:26" ht="25.5" x14ac:dyDescent="0.2">
      <c r="A5" s="4" t="s">
        <v>23</v>
      </c>
      <c r="B5" s="6">
        <v>1048.8412458</v>
      </c>
      <c r="D5" s="23" t="s">
        <v>24</v>
      </c>
      <c r="E5" s="5">
        <v>250</v>
      </c>
      <c r="P5" t="s">
        <v>3</v>
      </c>
      <c r="Q5" s="38">
        <f>B7</f>
        <v>190</v>
      </c>
      <c r="S5" s="62" t="s">
        <v>0</v>
      </c>
      <c r="T5" s="62" t="s">
        <v>74</v>
      </c>
      <c r="U5" s="26" t="s">
        <v>79</v>
      </c>
      <c r="W5" s="66" t="s">
        <v>81</v>
      </c>
    </row>
    <row r="6" spans="1:26" ht="15" x14ac:dyDescent="0.2">
      <c r="A6" s="4" t="s">
        <v>4</v>
      </c>
      <c r="B6" s="7">
        <v>2</v>
      </c>
      <c r="D6" s="23" t="s">
        <v>25</v>
      </c>
      <c r="E6" s="7">
        <v>800</v>
      </c>
      <c r="P6" t="s">
        <v>69</v>
      </c>
      <c r="Q6" s="39">
        <f>'Price Data'!F4</f>
        <v>1.4619814637892362E-2</v>
      </c>
      <c r="S6" s="48">
        <v>0.15</v>
      </c>
      <c r="T6" s="48">
        <v>0.03</v>
      </c>
      <c r="U6" s="48">
        <v>0</v>
      </c>
      <c r="W6" s="34" t="s">
        <v>89</v>
      </c>
      <c r="Z6" s="39">
        <f ca="1">AVERAGE(V17:V5016)</f>
        <v>0.10997183025330085</v>
      </c>
    </row>
    <row r="7" spans="1:26" ht="15" x14ac:dyDescent="0.2">
      <c r="A7" s="4" t="s">
        <v>12</v>
      </c>
      <c r="B7" s="5">
        <v>190</v>
      </c>
      <c r="D7" s="23" t="s">
        <v>1</v>
      </c>
      <c r="E7" s="11">
        <f>E6*B18</f>
        <v>173.64607270791143</v>
      </c>
      <c r="H7" s="22" t="s">
        <v>52</v>
      </c>
      <c r="I7" s="30" t="s">
        <v>39</v>
      </c>
      <c r="J7" s="30" t="s">
        <v>40</v>
      </c>
      <c r="K7" s="31"/>
      <c r="L7" s="31"/>
      <c r="M7" s="31"/>
      <c r="N7" s="3"/>
      <c r="P7" t="s">
        <v>70</v>
      </c>
      <c r="Q7">
        <f>J30</f>
        <v>45</v>
      </c>
      <c r="S7" s="39">
        <v>0.217</v>
      </c>
      <c r="T7" s="48">
        <v>0.1</v>
      </c>
      <c r="U7" s="48">
        <f>U6+T6</f>
        <v>0.03</v>
      </c>
      <c r="W7" s="34" t="s">
        <v>82</v>
      </c>
      <c r="Z7" s="39">
        <f ca="1">COUNTIF(V17:V5016,"&lt;0")/Q11</f>
        <v>6.3600000000000004E-2</v>
      </c>
    </row>
    <row r="8" spans="1:26" ht="15" x14ac:dyDescent="0.2">
      <c r="A8" s="4" t="s">
        <v>13</v>
      </c>
      <c r="B8" s="5">
        <v>250</v>
      </c>
      <c r="D8" s="23" t="s">
        <v>30</v>
      </c>
      <c r="E8" s="24">
        <f>E7*B7</f>
        <v>32992.753814503172</v>
      </c>
      <c r="H8" s="32">
        <v>0.125</v>
      </c>
      <c r="I8" s="33">
        <v>0.2</v>
      </c>
      <c r="J8" s="33">
        <v>0.04</v>
      </c>
      <c r="N8" s="11"/>
      <c r="P8" t="s">
        <v>71</v>
      </c>
      <c r="Q8">
        <v>190</v>
      </c>
      <c r="S8" s="48">
        <v>0.3</v>
      </c>
      <c r="T8" s="48">
        <v>0.25</v>
      </c>
      <c r="U8" s="48">
        <f t="shared" ref="U8:U13" si="0">U7+T7</f>
        <v>0.13</v>
      </c>
      <c r="W8" s="34" t="s">
        <v>83</v>
      </c>
      <c r="Z8" s="39">
        <f ca="1">MIN(V17:V5016)</f>
        <v>-0.18209060455670936</v>
      </c>
    </row>
    <row r="9" spans="1:26" ht="15" x14ac:dyDescent="0.2">
      <c r="A9" s="4"/>
      <c r="B9" s="5"/>
      <c r="D9" s="23"/>
      <c r="E9" s="24"/>
      <c r="H9" s="32"/>
      <c r="I9" s="33"/>
      <c r="J9" s="33"/>
      <c r="N9" s="11"/>
      <c r="P9" t="s">
        <v>72</v>
      </c>
      <c r="Q9" s="39">
        <f>Q6*SQRT(Q7)</f>
        <v>9.8072698046321391E-2</v>
      </c>
      <c r="S9" s="48">
        <v>0.35</v>
      </c>
      <c r="T9" s="48">
        <v>0.22</v>
      </c>
      <c r="U9" s="48">
        <f t="shared" si="0"/>
        <v>0.38</v>
      </c>
      <c r="W9" s="34" t="s">
        <v>84</v>
      </c>
      <c r="Z9" s="39">
        <f ca="1">MAX(V17:V5016)</f>
        <v>0.33154369469046974</v>
      </c>
    </row>
    <row r="10" spans="1:26" ht="15" x14ac:dyDescent="0.2">
      <c r="A10" s="4" t="s">
        <v>15</v>
      </c>
      <c r="B10" s="5">
        <v>15000</v>
      </c>
      <c r="D10" s="23" t="s">
        <v>2</v>
      </c>
      <c r="E10" s="24">
        <f>(B8-B7)*E7</f>
        <v>10418.764362474685</v>
      </c>
      <c r="H10" s="29" t="s">
        <v>34</v>
      </c>
      <c r="I10" s="34" t="s">
        <v>0</v>
      </c>
      <c r="J10" s="34" t="s">
        <v>35</v>
      </c>
      <c r="K10" s="34" t="s">
        <v>36</v>
      </c>
      <c r="L10" s="34" t="s">
        <v>37</v>
      </c>
      <c r="M10" s="34" t="s">
        <v>38</v>
      </c>
      <c r="N10" s="35" t="s">
        <v>41</v>
      </c>
      <c r="P10" t="s">
        <v>73</v>
      </c>
      <c r="Q10" s="61">
        <f>Q5*Q9</f>
        <v>18.633812628801063</v>
      </c>
      <c r="S10" s="48">
        <v>0.4</v>
      </c>
      <c r="T10" s="48">
        <v>0.2</v>
      </c>
      <c r="U10" s="48">
        <f t="shared" si="0"/>
        <v>0.6</v>
      </c>
      <c r="W10" s="34" t="s">
        <v>86</v>
      </c>
      <c r="Z10" s="39">
        <f ca="1">_xlfn.PERCENTILE.INC(V17:V5016,5%)</f>
        <v>-1.1749844335955693E-2</v>
      </c>
    </row>
    <row r="11" spans="1:26" ht="15" x14ac:dyDescent="0.2">
      <c r="A11" s="4"/>
      <c r="B11" s="5"/>
      <c r="D11" s="23"/>
      <c r="E11" s="24"/>
      <c r="H11" s="29"/>
      <c r="I11" s="34"/>
      <c r="J11" s="34"/>
      <c r="K11" s="34"/>
      <c r="L11" s="34"/>
      <c r="M11" s="34"/>
      <c r="N11" s="35"/>
      <c r="P11" t="s">
        <v>85</v>
      </c>
      <c r="Q11" s="65">
        <v>5000</v>
      </c>
      <c r="S11" s="48">
        <v>0.45</v>
      </c>
      <c r="T11" s="48">
        <v>0.15</v>
      </c>
      <c r="U11" s="48">
        <f t="shared" si="0"/>
        <v>0.8</v>
      </c>
      <c r="W11" s="34" t="s">
        <v>87</v>
      </c>
      <c r="Z11" s="39">
        <f ca="1">_xlfn.PERCENTILE.INC(V17:V5016,95%)</f>
        <v>0.21901449063835751</v>
      </c>
    </row>
    <row r="12" spans="1:26" ht="15" x14ac:dyDescent="0.2">
      <c r="A12" s="4" t="s">
        <v>5</v>
      </c>
      <c r="B12" s="8">
        <v>60</v>
      </c>
      <c r="D12" s="23" t="s">
        <v>26</v>
      </c>
      <c r="E12" s="25">
        <f>E10/E8</f>
        <v>0.31578947368421051</v>
      </c>
      <c r="H12" s="36">
        <f>$E$6*$B$7</f>
        <v>152000</v>
      </c>
      <c r="I12" s="37">
        <v>0.217</v>
      </c>
      <c r="J12">
        <f>$E$6*I12</f>
        <v>173.6</v>
      </c>
      <c r="K12" s="38">
        <f>J12*($B$8-$B$7)</f>
        <v>10416</v>
      </c>
      <c r="L12" s="39">
        <f>K12/H12</f>
        <v>6.8526315789473685E-2</v>
      </c>
      <c r="M12" s="39">
        <f>L12-(L12*$I$8)-(L12*$I$8*$J$8)</f>
        <v>5.4272842105263161E-2</v>
      </c>
      <c r="N12" s="24">
        <f>H12*M12</f>
        <v>8249.4719999999998</v>
      </c>
      <c r="S12" s="48">
        <v>0.5</v>
      </c>
      <c r="T12" s="48">
        <v>0.05</v>
      </c>
      <c r="U12" s="48">
        <f t="shared" si="0"/>
        <v>0.95000000000000007</v>
      </c>
      <c r="W12" s="34" t="s">
        <v>93</v>
      </c>
      <c r="Z12" s="39">
        <f ca="1">MEDIAN(V17:V5016)</f>
        <v>0.11195041857669297</v>
      </c>
    </row>
    <row r="13" spans="1:26" ht="15" x14ac:dyDescent="0.2">
      <c r="A13" s="4" t="s">
        <v>14</v>
      </c>
      <c r="B13" s="9">
        <f>B12/B5</f>
        <v>5.7205988265874509E-2</v>
      </c>
      <c r="D13" s="26" t="s">
        <v>31</v>
      </c>
      <c r="E13" s="27">
        <f>E10/E4</f>
        <v>6.8544502384701875E-2</v>
      </c>
      <c r="H13" s="36">
        <f t="shared" ref="H13:H18" si="1">$E$6*$B$7</f>
        <v>152000</v>
      </c>
      <c r="I13" s="33">
        <v>0.3</v>
      </c>
      <c r="J13">
        <f t="shared" ref="J13:J18" si="2">$E$6*I13</f>
        <v>240</v>
      </c>
      <c r="K13" s="38">
        <f t="shared" ref="K13:K18" si="3">J13*($B$8-$B$7)</f>
        <v>14400</v>
      </c>
      <c r="L13" s="39">
        <f t="shared" ref="L13:L18" si="4">K13/H13</f>
        <v>9.4736842105263161E-2</v>
      </c>
      <c r="M13" s="39">
        <f t="shared" ref="M13:M18" si="5">L13-(L13*$I$8)-(L13*$I$8*$J$8)</f>
        <v>7.5031578947368421E-2</v>
      </c>
      <c r="N13" s="24">
        <f t="shared" ref="N13:N18" si="6">H13*M13</f>
        <v>11404.8</v>
      </c>
      <c r="T13" s="63">
        <f>SUM(T6:T12)</f>
        <v>1</v>
      </c>
      <c r="U13" s="48">
        <f t="shared" si="0"/>
        <v>1</v>
      </c>
    </row>
    <row r="14" spans="1:26" ht="15" x14ac:dyDescent="0.2">
      <c r="A14" s="10" t="s">
        <v>6</v>
      </c>
      <c r="B14" s="11"/>
      <c r="H14" s="36">
        <f t="shared" si="1"/>
        <v>152000</v>
      </c>
      <c r="I14" s="33">
        <v>0.4</v>
      </c>
      <c r="J14">
        <f t="shared" si="2"/>
        <v>320</v>
      </c>
      <c r="K14" s="38">
        <f t="shared" si="3"/>
        <v>19200</v>
      </c>
      <c r="L14" s="39">
        <f t="shared" si="4"/>
        <v>0.12631578947368421</v>
      </c>
      <c r="M14" s="39">
        <f t="shared" si="5"/>
        <v>0.10004210526315789</v>
      </c>
      <c r="N14" s="24">
        <f t="shared" si="6"/>
        <v>15206.4</v>
      </c>
    </row>
    <row r="15" spans="1:26" ht="15" x14ac:dyDescent="0.2">
      <c r="A15" s="4" t="s">
        <v>7</v>
      </c>
      <c r="B15" s="12">
        <v>41.463650100000002</v>
      </c>
      <c r="D15" s="22" t="s">
        <v>32</v>
      </c>
      <c r="E15" s="3"/>
      <c r="H15" s="36">
        <f t="shared" si="1"/>
        <v>152000</v>
      </c>
      <c r="I15" s="33">
        <v>0.5</v>
      </c>
      <c r="J15">
        <f t="shared" si="2"/>
        <v>400</v>
      </c>
      <c r="K15" s="38">
        <f t="shared" si="3"/>
        <v>24000</v>
      </c>
      <c r="L15" s="39">
        <f t="shared" si="4"/>
        <v>0.15789473684210525</v>
      </c>
      <c r="M15" s="39">
        <f t="shared" si="5"/>
        <v>0.12505263157894736</v>
      </c>
      <c r="N15" s="24">
        <f t="shared" si="6"/>
        <v>19008</v>
      </c>
      <c r="Q15" s="34" t="s">
        <v>75</v>
      </c>
    </row>
    <row r="16" spans="1:26" ht="37.5" x14ac:dyDescent="0.2">
      <c r="A16" s="4" t="s">
        <v>19</v>
      </c>
      <c r="B16" s="13">
        <f>B12*B17</f>
        <v>9</v>
      </c>
      <c r="D16" s="23" t="s">
        <v>28</v>
      </c>
      <c r="E16" s="5">
        <v>1000000</v>
      </c>
      <c r="H16" s="36">
        <f t="shared" si="1"/>
        <v>152000</v>
      </c>
      <c r="I16" s="33">
        <v>0.6</v>
      </c>
      <c r="J16">
        <f t="shared" si="2"/>
        <v>480</v>
      </c>
      <c r="K16" s="38">
        <f t="shared" si="3"/>
        <v>28800</v>
      </c>
      <c r="L16" s="39">
        <f t="shared" si="4"/>
        <v>0.18947368421052632</v>
      </c>
      <c r="M16" s="39">
        <f t="shared" si="5"/>
        <v>0.15006315789473684</v>
      </c>
      <c r="N16" s="24">
        <f t="shared" si="6"/>
        <v>22809.599999999999</v>
      </c>
      <c r="Q16" s="64" t="s">
        <v>76</v>
      </c>
      <c r="R16" s="64" t="s">
        <v>77</v>
      </c>
      <c r="S16" s="64" t="s">
        <v>78</v>
      </c>
      <c r="T16" s="64" t="s">
        <v>80</v>
      </c>
      <c r="U16" s="64" t="s">
        <v>61</v>
      </c>
      <c r="V16" s="64" t="s">
        <v>59</v>
      </c>
      <c r="W16" s="64" t="s">
        <v>53</v>
      </c>
    </row>
    <row r="17" spans="1:27" ht="15" x14ac:dyDescent="0.2">
      <c r="A17" s="4" t="s">
        <v>20</v>
      </c>
      <c r="B17" s="14">
        <v>0.15</v>
      </c>
      <c r="D17" s="23" t="s">
        <v>24</v>
      </c>
      <c r="E17" s="5">
        <v>250</v>
      </c>
      <c r="H17" s="36">
        <f t="shared" si="1"/>
        <v>152000</v>
      </c>
      <c r="I17" s="33">
        <v>0.7</v>
      </c>
      <c r="J17">
        <f t="shared" si="2"/>
        <v>560</v>
      </c>
      <c r="K17" s="38">
        <f t="shared" si="3"/>
        <v>33600</v>
      </c>
      <c r="L17" s="39">
        <f t="shared" si="4"/>
        <v>0.22105263157894736</v>
      </c>
      <c r="M17" s="39">
        <f t="shared" si="5"/>
        <v>0.1750736842105263</v>
      </c>
      <c r="N17" s="24">
        <f t="shared" si="6"/>
        <v>26611.199999999997</v>
      </c>
      <c r="Q17">
        <v>1</v>
      </c>
      <c r="R17" s="48">
        <f ca="1">LOOKUP(RAND(),$U$6:$U$12,$S$6:$S$12)</f>
        <v>0.4</v>
      </c>
      <c r="S17">
        <f ca="1">_xlfn.NORM.INV(RAND(),$Q$5,$Q$10)</f>
        <v>170.49776404600289</v>
      </c>
      <c r="T17" s="61">
        <f ca="1">($B$8-$B$7)*($E$6*R17)</f>
        <v>19200</v>
      </c>
      <c r="U17" s="61">
        <f ca="1">T17+((S17-$B$7)*($E$6*(1-R17)))</f>
        <v>9838.9267420813849</v>
      </c>
      <c r="V17" s="39">
        <f ca="1">U17/$E$4</f>
        <v>6.4729781197903846E-2</v>
      </c>
      <c r="W17" s="48">
        <f ca="1">(1+V17)^($J$29/$J$30)-1</f>
        <v>0.66318980472724864</v>
      </c>
      <c r="Z17">
        <f ca="1">MAX(S17:S5016)</f>
        <v>254.22448235429636</v>
      </c>
      <c r="AA17" t="s">
        <v>90</v>
      </c>
    </row>
    <row r="18" spans="1:27" ht="15" x14ac:dyDescent="0.2">
      <c r="A18" s="10" t="s">
        <v>21</v>
      </c>
      <c r="B18" s="15">
        <f>B16/B15</f>
        <v>0.2170575908848893</v>
      </c>
      <c r="D18" s="23" t="s">
        <v>25</v>
      </c>
      <c r="E18" s="11">
        <f>E16/B7</f>
        <v>5263.1578947368425</v>
      </c>
      <c r="H18" s="40">
        <f t="shared" si="1"/>
        <v>152000</v>
      </c>
      <c r="I18" s="41">
        <v>1</v>
      </c>
      <c r="J18" s="42">
        <f t="shared" si="2"/>
        <v>800</v>
      </c>
      <c r="K18" s="43">
        <f t="shared" si="3"/>
        <v>48000</v>
      </c>
      <c r="L18" s="44">
        <f t="shared" si="4"/>
        <v>0.31578947368421051</v>
      </c>
      <c r="M18" s="44">
        <f t="shared" si="5"/>
        <v>0.25010526315789472</v>
      </c>
      <c r="N18" s="45">
        <f t="shared" si="6"/>
        <v>38016</v>
      </c>
      <c r="Q18">
        <f>Q17+1</f>
        <v>2</v>
      </c>
      <c r="R18" s="48">
        <f ca="1">LOOKUP(RAND(),$U$6:$U$12,$S$6:$S$12)</f>
        <v>0.3</v>
      </c>
      <c r="S18">
        <f ca="1">_xlfn.NORM.INV(RAND(),$Q$5,$Q$10)</f>
        <v>170.46047751608091</v>
      </c>
      <c r="T18" s="61">
        <f ca="1">($B$8-$B$7)*($E$6*R18)</f>
        <v>14400</v>
      </c>
      <c r="U18" s="61">
        <f ca="1">T18+((S18-$B$7)*($E$6*(1-R18)))</f>
        <v>3457.8674090053119</v>
      </c>
      <c r="V18" s="39">
        <f ca="1">U18/$E$4</f>
        <v>2.2749127690824419E-2</v>
      </c>
      <c r="W18" s="48">
        <f ca="1">(1+V18)^($J$29/$J$30)-1</f>
        <v>0.20015793147427452</v>
      </c>
      <c r="Z18">
        <f ca="1">MIN(S17:S5016)</f>
        <v>119.99180715786038</v>
      </c>
      <c r="AA18" t="s">
        <v>91</v>
      </c>
    </row>
    <row r="19" spans="1:27" ht="15" x14ac:dyDescent="0.2">
      <c r="A19" s="4"/>
      <c r="B19" s="16"/>
      <c r="D19" s="23" t="s">
        <v>29</v>
      </c>
      <c r="E19" s="11">
        <f>E18*B24</f>
        <v>266.45525349912145</v>
      </c>
      <c r="Q19">
        <f t="shared" ref="Q19:Q82" si="7">Q18+1</f>
        <v>3</v>
      </c>
      <c r="R19" s="48">
        <f t="shared" ref="R19:R82" ca="1" si="8">LOOKUP(RAND(),$U$6:$U$12,$S$6:$S$12)</f>
        <v>0.4</v>
      </c>
      <c r="S19">
        <f t="shared" ref="S19:S82" ca="1" si="9">_xlfn.NORM.INV(RAND(),$Q$5,$Q$10)</f>
        <v>201.31748997032085</v>
      </c>
      <c r="T19" s="61">
        <f t="shared" ref="T19:T82" ca="1" si="10">($B$8-$B$7)*($E$6*R19)</f>
        <v>19200</v>
      </c>
      <c r="U19" s="61">
        <f t="shared" ref="U19:U82" ca="1" si="11">T19+((S19-$B$7)*($E$6*(1-R19)))</f>
        <v>24632.395185754009</v>
      </c>
      <c r="V19" s="39">
        <f t="shared" ref="V19:V82" ca="1" si="12">U19/$E$4</f>
        <v>0.16205523148522374</v>
      </c>
      <c r="W19" s="48">
        <f t="shared" ref="W19:W82" ca="1" si="13">(1+V19)^($J$29/$J$30)-1</f>
        <v>2.38112775217592</v>
      </c>
      <c r="Z19">
        <f ca="1">AVERAGE(S17:S5016)</f>
        <v>189.81565479192093</v>
      </c>
      <c r="AA19" t="s">
        <v>92</v>
      </c>
    </row>
    <row r="20" spans="1:27" ht="15" x14ac:dyDescent="0.2">
      <c r="A20" s="10" t="s">
        <v>9</v>
      </c>
      <c r="B20" s="11"/>
      <c r="D20" s="23" t="s">
        <v>30</v>
      </c>
      <c r="E20" s="24">
        <f>E19*B7</f>
        <v>50626.498164833079</v>
      </c>
      <c r="G20" s="22" t="s">
        <v>3</v>
      </c>
      <c r="H20" s="30">
        <f>B7</f>
        <v>190</v>
      </c>
      <c r="I20" s="31"/>
      <c r="J20" s="31"/>
      <c r="K20" s="31"/>
      <c r="L20" s="31"/>
      <c r="M20" s="31"/>
      <c r="N20" s="3"/>
      <c r="Q20">
        <f t="shared" si="7"/>
        <v>4</v>
      </c>
      <c r="R20" s="48">
        <f t="shared" ca="1" si="8"/>
        <v>0.4</v>
      </c>
      <c r="S20">
        <f t="shared" ca="1" si="9"/>
        <v>187.92832368052254</v>
      </c>
      <c r="T20" s="61">
        <f t="shared" ca="1" si="10"/>
        <v>19200</v>
      </c>
      <c r="U20" s="61">
        <f t="shared" ca="1" si="11"/>
        <v>18205.595366650818</v>
      </c>
      <c r="V20" s="39">
        <f t="shared" ca="1" si="12"/>
        <v>0.1197736537279659</v>
      </c>
      <c r="W20" s="48">
        <f t="shared" ca="1" si="13"/>
        <v>1.5032307031747263</v>
      </c>
    </row>
    <row r="21" spans="1:27" ht="15" x14ac:dyDescent="0.2">
      <c r="A21" s="4" t="s">
        <v>8</v>
      </c>
      <c r="B21" s="12">
        <v>27.806492200000001</v>
      </c>
      <c r="D21" s="23" t="s">
        <v>2</v>
      </c>
      <c r="E21" s="24">
        <f>($B$8-$B$7)*E19</f>
        <v>15987.315209947286</v>
      </c>
      <c r="G21" s="29" t="s">
        <v>0</v>
      </c>
      <c r="H21" s="46">
        <f>INDEX(I12:I18,I21)</f>
        <v>0.217</v>
      </c>
      <c r="I21" s="57">
        <v>1</v>
      </c>
      <c r="N21" s="11"/>
      <c r="Q21">
        <f t="shared" si="7"/>
        <v>5</v>
      </c>
      <c r="R21" s="48">
        <f t="shared" ca="1" si="8"/>
        <v>0.3</v>
      </c>
      <c r="S21">
        <f t="shared" ca="1" si="9"/>
        <v>191.0310085453732</v>
      </c>
      <c r="T21" s="61">
        <f t="shared" ca="1" si="10"/>
        <v>14400</v>
      </c>
      <c r="U21" s="61">
        <f t="shared" ca="1" si="11"/>
        <v>14977.36478540899</v>
      </c>
      <c r="V21" s="39">
        <f t="shared" ca="1" si="12"/>
        <v>9.853529464084862E-2</v>
      </c>
      <c r="W21" s="48">
        <f t="shared" ca="1" si="13"/>
        <v>1.1431225665547169</v>
      </c>
    </row>
    <row r="22" spans="1:27" ht="15" x14ac:dyDescent="0.2">
      <c r="A22" s="4" t="s">
        <v>16</v>
      </c>
      <c r="B22" s="17">
        <f>B12*85%</f>
        <v>51</v>
      </c>
      <c r="D22" s="23" t="s">
        <v>26</v>
      </c>
      <c r="E22" s="25">
        <f>E21/E20</f>
        <v>0.31578947368421051</v>
      </c>
      <c r="G22" s="29" t="s">
        <v>57</v>
      </c>
      <c r="H22" s="38">
        <f>INDEX(K12:K18,I21)</f>
        <v>10416</v>
      </c>
      <c r="N22" s="11"/>
      <c r="Q22">
        <f t="shared" si="7"/>
        <v>6</v>
      </c>
      <c r="R22" s="48">
        <f t="shared" ca="1" si="8"/>
        <v>0.35</v>
      </c>
      <c r="S22">
        <f t="shared" ca="1" si="9"/>
        <v>185.14059056440431</v>
      </c>
      <c r="T22" s="61">
        <f t="shared" ca="1" si="10"/>
        <v>16800</v>
      </c>
      <c r="U22" s="61">
        <f t="shared" ca="1" si="11"/>
        <v>14273.107093490238</v>
      </c>
      <c r="V22" s="39">
        <f t="shared" ca="1" si="12"/>
        <v>9.3902020351909463E-2</v>
      </c>
      <c r="W22" s="48">
        <f t="shared" ca="1" si="13"/>
        <v>1.0708962018276358</v>
      </c>
    </row>
    <row r="23" spans="1:27" ht="15" x14ac:dyDescent="0.2">
      <c r="A23" s="4" t="s">
        <v>17</v>
      </c>
      <c r="B23" s="18">
        <f>B5-B15</f>
        <v>1007.3775957</v>
      </c>
      <c r="D23" s="26" t="s">
        <v>31</v>
      </c>
      <c r="E23" s="27">
        <f>E21/E16</f>
        <v>1.5987315209947287E-2</v>
      </c>
      <c r="G23" s="23"/>
      <c r="M23" s="79" t="s">
        <v>50</v>
      </c>
      <c r="N23" s="80" t="s">
        <v>51</v>
      </c>
      <c r="Q23">
        <f t="shared" si="7"/>
        <v>7</v>
      </c>
      <c r="R23" s="48">
        <f t="shared" ca="1" si="8"/>
        <v>0.3</v>
      </c>
      <c r="S23">
        <f t="shared" ca="1" si="9"/>
        <v>165.59682300311007</v>
      </c>
      <c r="T23" s="61">
        <f t="shared" ca="1" si="10"/>
        <v>14400</v>
      </c>
      <c r="U23" s="61">
        <f t="shared" ca="1" si="11"/>
        <v>734.22088174164128</v>
      </c>
      <c r="V23" s="39">
        <f t="shared" ca="1" si="12"/>
        <v>4.8304005377739559E-3</v>
      </c>
      <c r="W23" s="48">
        <f t="shared" ca="1" si="13"/>
        <v>3.9859483240732629E-2</v>
      </c>
    </row>
    <row r="24" spans="1:27" ht="15" x14ac:dyDescent="0.2">
      <c r="A24" s="10" t="s">
        <v>21</v>
      </c>
      <c r="B24" s="19">
        <f>B22/B23</f>
        <v>5.062649816483307E-2</v>
      </c>
      <c r="G24" s="23"/>
      <c r="H24" s="34" t="s">
        <v>45</v>
      </c>
      <c r="I24" s="34" t="s">
        <v>46</v>
      </c>
      <c r="J24" s="34" t="s">
        <v>47</v>
      </c>
      <c r="K24" s="34" t="s">
        <v>48</v>
      </c>
      <c r="L24" s="34" t="s">
        <v>49</v>
      </c>
      <c r="M24" s="79"/>
      <c r="N24" s="80"/>
      <c r="Q24">
        <f t="shared" si="7"/>
        <v>8</v>
      </c>
      <c r="R24" s="48">
        <f t="shared" ca="1" si="8"/>
        <v>0.3</v>
      </c>
      <c r="S24">
        <f t="shared" ca="1" si="9"/>
        <v>182.63168413518352</v>
      </c>
      <c r="T24" s="61">
        <f t="shared" ca="1" si="10"/>
        <v>14400</v>
      </c>
      <c r="U24" s="61">
        <f t="shared" ca="1" si="11"/>
        <v>10273.743115702771</v>
      </c>
      <c r="V24" s="39">
        <f t="shared" ca="1" si="12"/>
        <v>6.7590415234886653E-2</v>
      </c>
      <c r="W24" s="48">
        <f t="shared" ca="1" si="13"/>
        <v>0.69978269110705926</v>
      </c>
    </row>
    <row r="25" spans="1:27" ht="15" x14ac:dyDescent="0.2">
      <c r="A25" s="4" t="s">
        <v>18</v>
      </c>
      <c r="B25" s="12">
        <v>761.68408980000004</v>
      </c>
      <c r="D25" s="22" t="s">
        <v>33</v>
      </c>
      <c r="E25" s="3"/>
      <c r="G25" s="29" t="s">
        <v>43</v>
      </c>
      <c r="H25" s="47">
        <v>170</v>
      </c>
      <c r="I25">
        <f>$E$6-($H$21*$E$6)</f>
        <v>626.4</v>
      </c>
      <c r="J25" s="38">
        <f>(I25*H25)-(I25*$H$20)</f>
        <v>-12528</v>
      </c>
      <c r="K25" s="38">
        <f>J25+$H$22</f>
        <v>-2112</v>
      </c>
      <c r="L25" s="39">
        <f>K25/$E$4</f>
        <v>-1.3894736842105264E-2</v>
      </c>
      <c r="M25" s="39">
        <f>IF($L25&gt;0,$L25-($L25*$I$8)-($L25*$I$8*$J$8),$L25)</f>
        <v>-1.3894736842105264E-2</v>
      </c>
      <c r="N25" s="9">
        <f>IF($L25&gt;0,$L25-($L25*$H$8)-($L25*$H$8*$J$8),$L25)</f>
        <v>-1.3894736842105264E-2</v>
      </c>
      <c r="Q25">
        <f t="shared" si="7"/>
        <v>9</v>
      </c>
      <c r="R25" s="48">
        <f t="shared" ca="1" si="8"/>
        <v>0.217</v>
      </c>
      <c r="S25">
        <f t="shared" ca="1" si="9"/>
        <v>183.16376105551626</v>
      </c>
      <c r="T25" s="61">
        <f t="shared" ca="1" si="10"/>
        <v>10416</v>
      </c>
      <c r="U25" s="61">
        <f t="shared" ca="1" si="11"/>
        <v>6133.7799251753859</v>
      </c>
      <c r="V25" s="39">
        <f t="shared" ca="1" si="12"/>
        <v>4.0353815297206483E-2</v>
      </c>
      <c r="W25" s="48">
        <f t="shared" ca="1" si="13"/>
        <v>0.37834368473939728</v>
      </c>
    </row>
    <row r="26" spans="1:27" ht="15" x14ac:dyDescent="0.2">
      <c r="A26" s="4" t="s">
        <v>10</v>
      </c>
      <c r="B26" s="18">
        <f>B23-B25</f>
        <v>245.69350589999999</v>
      </c>
      <c r="D26" s="23" t="s">
        <v>28</v>
      </c>
      <c r="E26" s="5">
        <v>1000000</v>
      </c>
      <c r="G26" s="29" t="s">
        <v>42</v>
      </c>
      <c r="H26" s="47">
        <v>200</v>
      </c>
      <c r="I26">
        <f>$E$6-($H$21*$E$6)</f>
        <v>626.4</v>
      </c>
      <c r="J26" s="38">
        <f>(I26*H26)-(I26*$H$20)</f>
        <v>6264</v>
      </c>
      <c r="K26" s="38">
        <f t="shared" ref="K26:K27" si="14">J26+$H$22</f>
        <v>16680</v>
      </c>
      <c r="L26" s="39">
        <f t="shared" ref="L26:L27" si="15">K26/$E$4</f>
        <v>0.10973684210526316</v>
      </c>
      <c r="M26" s="39">
        <f t="shared" ref="M26:M27" si="16">IF($L26&gt;0,$L26-($L26*$I$8)-($L26*$I$8*$J$8),$L26)</f>
        <v>8.6911578947368423E-2</v>
      </c>
      <c r="N26" s="9">
        <f t="shared" ref="N26:N27" si="17">IF($L26&gt;0,$L26-($L26*$H$8)-($L26*$H$8*$J$8),$L26)</f>
        <v>9.5471052631578956E-2</v>
      </c>
      <c r="Q26">
        <f t="shared" si="7"/>
        <v>10</v>
      </c>
      <c r="R26" s="48">
        <f t="shared" ca="1" si="8"/>
        <v>0.45</v>
      </c>
      <c r="S26">
        <f t="shared" ca="1" si="9"/>
        <v>204.14480471132362</v>
      </c>
      <c r="T26" s="61">
        <f t="shared" ca="1" si="10"/>
        <v>21600</v>
      </c>
      <c r="U26" s="61">
        <f t="shared" ca="1" si="11"/>
        <v>27823.714072982391</v>
      </c>
      <c r="V26" s="39">
        <f t="shared" ca="1" si="12"/>
        <v>0.18305075048014732</v>
      </c>
      <c r="W26" s="48">
        <f t="shared" ca="1" si="13"/>
        <v>2.9096554824929228</v>
      </c>
    </row>
    <row r="27" spans="1:27" ht="15" x14ac:dyDescent="0.2">
      <c r="A27" s="20" t="s">
        <v>21</v>
      </c>
      <c r="B27" s="21">
        <f>B22/B26</f>
        <v>0.2075756940061638</v>
      </c>
      <c r="D27" s="23" t="s">
        <v>24</v>
      </c>
      <c r="E27" s="5">
        <v>250</v>
      </c>
      <c r="G27" s="29" t="s">
        <v>44</v>
      </c>
      <c r="H27" s="47">
        <v>220</v>
      </c>
      <c r="I27">
        <f>$E$6-($H$21*$E$6)</f>
        <v>626.4</v>
      </c>
      <c r="J27" s="38">
        <f>(I27*H27)-(I27*$H$20)</f>
        <v>18792</v>
      </c>
      <c r="K27" s="38">
        <f t="shared" si="14"/>
        <v>29208</v>
      </c>
      <c r="L27" s="39">
        <f t="shared" si="15"/>
        <v>0.19215789473684211</v>
      </c>
      <c r="M27" s="39">
        <f t="shared" si="16"/>
        <v>0.15218905263157895</v>
      </c>
      <c r="N27" s="9">
        <f t="shared" si="17"/>
        <v>0.16717736842105263</v>
      </c>
      <c r="Q27">
        <f t="shared" si="7"/>
        <v>11</v>
      </c>
      <c r="R27" s="48">
        <f t="shared" ca="1" si="8"/>
        <v>0.45</v>
      </c>
      <c r="S27">
        <f t="shared" ca="1" si="9"/>
        <v>215.04760014145944</v>
      </c>
      <c r="T27" s="61">
        <f t="shared" ca="1" si="10"/>
        <v>21600</v>
      </c>
      <c r="U27" s="61">
        <f t="shared" ca="1" si="11"/>
        <v>32620.944062242153</v>
      </c>
      <c r="V27" s="39">
        <f t="shared" ca="1" si="12"/>
        <v>0.21461147409369838</v>
      </c>
      <c r="W27" s="48">
        <f t="shared" ca="1" si="13"/>
        <v>3.8403968179385828</v>
      </c>
    </row>
    <row r="28" spans="1:27" x14ac:dyDescent="0.2">
      <c r="D28" s="23" t="s">
        <v>25</v>
      </c>
      <c r="E28" s="11">
        <f>E26/B7</f>
        <v>5263.1578947368425</v>
      </c>
      <c r="G28" s="23"/>
      <c r="L28" s="76" t="s">
        <v>53</v>
      </c>
      <c r="M28" s="76"/>
      <c r="N28" s="77"/>
      <c r="Q28">
        <f t="shared" si="7"/>
        <v>12</v>
      </c>
      <c r="R28" s="48">
        <f t="shared" ca="1" si="8"/>
        <v>0.35</v>
      </c>
      <c r="S28">
        <f t="shared" ca="1" si="9"/>
        <v>184.9752365996616</v>
      </c>
      <c r="T28" s="61">
        <f t="shared" ca="1" si="10"/>
        <v>16800</v>
      </c>
      <c r="U28" s="61">
        <f t="shared" ca="1" si="11"/>
        <v>14187.12303182403</v>
      </c>
      <c r="V28" s="39">
        <f t="shared" ca="1" si="12"/>
        <v>9.3336335735684409E-2</v>
      </c>
      <c r="W28" s="48">
        <f t="shared" ca="1" si="13"/>
        <v>1.0622258602024184</v>
      </c>
    </row>
    <row r="29" spans="1:27" x14ac:dyDescent="0.2">
      <c r="D29" s="23" t="s">
        <v>29</v>
      </c>
      <c r="E29" s="11">
        <f>E28*B27</f>
        <v>1092.5036526640201</v>
      </c>
      <c r="G29" s="23"/>
      <c r="I29" s="34" t="s">
        <v>54</v>
      </c>
      <c r="J29" s="47">
        <v>365</v>
      </c>
      <c r="L29" s="52">
        <f>((1+L25)^($J$29/$J$30))-1</f>
        <v>-0.10728871932888362</v>
      </c>
      <c r="M29" s="52">
        <f>IF($L29&gt;0,$L29-($L29*$I$8)-($L29*$I$8*$J$8),$L29)</f>
        <v>-0.10728871932888362</v>
      </c>
      <c r="N29" s="53">
        <f>IF($L29&gt;0,$L29-($L29*$H$8)-($L29*$H$8*$J$8),$L29)</f>
        <v>-0.10728871932888362</v>
      </c>
      <c r="Q29">
        <f t="shared" si="7"/>
        <v>13</v>
      </c>
      <c r="R29" s="48">
        <f t="shared" ca="1" si="8"/>
        <v>0.35</v>
      </c>
      <c r="S29">
        <f t="shared" ca="1" si="9"/>
        <v>181.21388254486118</v>
      </c>
      <c r="T29" s="61">
        <f t="shared" ca="1" si="10"/>
        <v>16800</v>
      </c>
      <c r="U29" s="61">
        <f t="shared" ca="1" si="11"/>
        <v>12231.218923327813</v>
      </c>
      <c r="V29" s="39">
        <f t="shared" ca="1" si="12"/>
        <v>8.04685455482093E-2</v>
      </c>
      <c r="W29" s="48">
        <f t="shared" ca="1" si="13"/>
        <v>0.87340513879766668</v>
      </c>
    </row>
    <row r="30" spans="1:27" x14ac:dyDescent="0.2">
      <c r="D30" s="23" t="s">
        <v>30</v>
      </c>
      <c r="E30" s="24">
        <f>E29*B7</f>
        <v>207575.69400616383</v>
      </c>
      <c r="G30" s="23"/>
      <c r="I30" s="34" t="s">
        <v>55</v>
      </c>
      <c r="J30" s="47">
        <v>45</v>
      </c>
      <c r="L30" s="52">
        <f t="shared" ref="L30" si="18">((1+L26)^($J$29/$J$30))-1</f>
        <v>1.3269362223185621</v>
      </c>
      <c r="M30" s="52">
        <f t="shared" ref="M30:M31" si="19">IF($L30&gt;0,$L30-($L30*$I$8)-($L30*$I$8*$J$8),$L30)</f>
        <v>1.0509334880763013</v>
      </c>
      <c r="N30" s="53">
        <f t="shared" ref="N30:N31" si="20">IF($L30&gt;0,$L30-($L30*$H$8)-($L30*$H$8*$J$8),$L30)</f>
        <v>1.1544345134171492</v>
      </c>
      <c r="Q30">
        <f t="shared" si="7"/>
        <v>14</v>
      </c>
      <c r="R30" s="48">
        <f t="shared" ca="1" si="8"/>
        <v>0.4</v>
      </c>
      <c r="S30">
        <f t="shared" ca="1" si="9"/>
        <v>173.1910529012097</v>
      </c>
      <c r="T30" s="61">
        <f t="shared" ca="1" si="10"/>
        <v>19200</v>
      </c>
      <c r="U30" s="61">
        <f t="shared" ca="1" si="11"/>
        <v>11131.705392580658</v>
      </c>
      <c r="V30" s="39">
        <f t="shared" ca="1" si="12"/>
        <v>7.3234903898556955E-2</v>
      </c>
      <c r="W30" s="48">
        <f t="shared" ca="1" si="13"/>
        <v>0.77406218739627275</v>
      </c>
    </row>
    <row r="31" spans="1:27" x14ac:dyDescent="0.2">
      <c r="D31" s="23" t="s">
        <v>2</v>
      </c>
      <c r="E31" s="24">
        <f>($B$8-$B$7)*E29</f>
        <v>65550.219159841203</v>
      </c>
      <c r="G31" s="26"/>
      <c r="H31" s="42"/>
      <c r="I31" s="42"/>
      <c r="J31" s="42"/>
      <c r="K31" s="42"/>
      <c r="L31" s="55">
        <f t="shared" ref="L31" si="21">((1+L27)^($J$29/$J$30))-1</f>
        <v>3.1605597564690022</v>
      </c>
      <c r="M31" s="55">
        <f t="shared" si="19"/>
        <v>2.5031633271234499</v>
      </c>
      <c r="N31" s="56">
        <f t="shared" si="20"/>
        <v>2.7496869881280319</v>
      </c>
      <c r="Q31">
        <f t="shared" si="7"/>
        <v>15</v>
      </c>
      <c r="R31" s="48">
        <f t="shared" ca="1" si="8"/>
        <v>0.35</v>
      </c>
      <c r="S31">
        <f t="shared" ca="1" si="9"/>
        <v>207.69242087075111</v>
      </c>
      <c r="T31" s="61">
        <f t="shared" ca="1" si="10"/>
        <v>16800</v>
      </c>
      <c r="U31" s="61">
        <f t="shared" ca="1" si="11"/>
        <v>26000.058852790575</v>
      </c>
      <c r="V31" s="39">
        <f t="shared" ca="1" si="12"/>
        <v>0.17105301876835904</v>
      </c>
      <c r="W31" s="48">
        <f t="shared" ca="1" si="13"/>
        <v>2.5994163179777452</v>
      </c>
    </row>
    <row r="32" spans="1:27" x14ac:dyDescent="0.2">
      <c r="D32" s="23" t="s">
        <v>26</v>
      </c>
      <c r="E32" s="25">
        <f>E31/E30</f>
        <v>0.31578947368421051</v>
      </c>
      <c r="G32" s="51"/>
      <c r="Q32">
        <f t="shared" si="7"/>
        <v>16</v>
      </c>
      <c r="R32" s="48">
        <f t="shared" ca="1" si="8"/>
        <v>0.35</v>
      </c>
      <c r="S32">
        <f t="shared" ca="1" si="9"/>
        <v>188.73227796189104</v>
      </c>
      <c r="T32" s="61">
        <f t="shared" ca="1" si="10"/>
        <v>16800</v>
      </c>
      <c r="U32" s="61">
        <f t="shared" ca="1" si="11"/>
        <v>16140.784540183342</v>
      </c>
      <c r="V32" s="39">
        <f t="shared" ca="1" si="12"/>
        <v>0.10618937197489041</v>
      </c>
      <c r="W32" s="48">
        <f t="shared" ca="1" si="13"/>
        <v>1.2672833291929457</v>
      </c>
    </row>
    <row r="33" spans="4:23" x14ac:dyDescent="0.2">
      <c r="D33" s="23" t="s">
        <v>31</v>
      </c>
      <c r="E33" s="25">
        <f>E31/E26</f>
        <v>6.5550219159841203E-2</v>
      </c>
      <c r="G33" s="22" t="s">
        <v>58</v>
      </c>
      <c r="H33" s="31"/>
      <c r="I33" s="31"/>
      <c r="J33" s="30" t="s">
        <v>59</v>
      </c>
      <c r="K33" s="31"/>
      <c r="L33" s="31"/>
      <c r="M33" s="31"/>
      <c r="N33" s="3"/>
      <c r="Q33">
        <f t="shared" si="7"/>
        <v>17</v>
      </c>
      <c r="R33" s="48">
        <f t="shared" ca="1" si="8"/>
        <v>0.35</v>
      </c>
      <c r="S33">
        <f t="shared" ca="1" si="9"/>
        <v>178.39515161134739</v>
      </c>
      <c r="T33" s="61">
        <f t="shared" ca="1" si="10"/>
        <v>16800</v>
      </c>
      <c r="U33" s="61">
        <f t="shared" ca="1" si="11"/>
        <v>10765.478837900642</v>
      </c>
      <c r="V33" s="39">
        <f t="shared" ca="1" si="12"/>
        <v>7.0825518670398963E-2</v>
      </c>
      <c r="W33" s="48">
        <f t="shared" ca="1" si="13"/>
        <v>0.74201454587115467</v>
      </c>
    </row>
    <row r="34" spans="4:23" x14ac:dyDescent="0.2">
      <c r="D34" s="26"/>
      <c r="E34" s="28"/>
      <c r="G34" s="23"/>
      <c r="I34" s="50">
        <f>H43</f>
        <v>0.10973684210526316</v>
      </c>
      <c r="J34" s="48">
        <v>0.15</v>
      </c>
      <c r="K34" s="39">
        <v>0.217</v>
      </c>
      <c r="L34" s="48">
        <v>0.3</v>
      </c>
      <c r="M34" s="48">
        <v>0.4</v>
      </c>
      <c r="N34" s="49">
        <v>0.5</v>
      </c>
      <c r="Q34">
        <f t="shared" si="7"/>
        <v>18</v>
      </c>
      <c r="R34" s="48">
        <f t="shared" ca="1" si="8"/>
        <v>0.35</v>
      </c>
      <c r="S34">
        <f t="shared" ca="1" si="9"/>
        <v>192.85777333784478</v>
      </c>
      <c r="T34" s="61">
        <f t="shared" ca="1" si="10"/>
        <v>16800</v>
      </c>
      <c r="U34" s="61">
        <f t="shared" ca="1" si="11"/>
        <v>18286.042135679283</v>
      </c>
      <c r="V34" s="39">
        <f t="shared" ca="1" si="12"/>
        <v>0.1203029087873637</v>
      </c>
      <c r="W34" s="48">
        <f t="shared" ca="1" si="13"/>
        <v>1.5128434151190389</v>
      </c>
    </row>
    <row r="35" spans="4:23" x14ac:dyDescent="0.2">
      <c r="G35" s="23"/>
      <c r="I35">
        <v>170</v>
      </c>
      <c r="J35" s="39">
        <f t="dataTable" ref="J35:N40" dt2D="1" dtr="1" r1="H39" r2="H26" ca="1"/>
        <v>-4.2105263157894736E-2</v>
      </c>
      <c r="K35" s="39">
        <v>-1.3894736842105264E-2</v>
      </c>
      <c r="L35" s="39">
        <v>2.1052631578947368E-2</v>
      </c>
      <c r="M35" s="39">
        <v>6.3157894736842107E-2</v>
      </c>
      <c r="N35" s="9">
        <v>0.10526315789473684</v>
      </c>
      <c r="Q35">
        <f t="shared" si="7"/>
        <v>19</v>
      </c>
      <c r="R35" s="48">
        <f t="shared" ca="1" si="8"/>
        <v>0.4</v>
      </c>
      <c r="S35">
        <f t="shared" ca="1" si="9"/>
        <v>160.10175344460231</v>
      </c>
      <c r="T35" s="61">
        <f t="shared" ca="1" si="10"/>
        <v>19200</v>
      </c>
      <c r="U35" s="61">
        <f t="shared" ca="1" si="11"/>
        <v>4848.8416534091084</v>
      </c>
      <c r="V35" s="39">
        <f t="shared" ca="1" si="12"/>
        <v>3.1900274035586242E-2</v>
      </c>
      <c r="W35" s="48">
        <f t="shared" ca="1" si="13"/>
        <v>0.29008143453689716</v>
      </c>
    </row>
    <row r="36" spans="4:23" x14ac:dyDescent="0.2">
      <c r="G36" s="23"/>
      <c r="I36">
        <v>180</v>
      </c>
      <c r="J36" s="39">
        <v>2.631578947368421E-3</v>
      </c>
      <c r="K36" s="39">
        <v>2.731578947368421E-2</v>
      </c>
      <c r="L36" s="39">
        <v>5.7894736842105263E-2</v>
      </c>
      <c r="M36" s="39">
        <v>9.4736842105263161E-2</v>
      </c>
      <c r="N36" s="9">
        <v>0.13157894736842105</v>
      </c>
      <c r="Q36">
        <f t="shared" si="7"/>
        <v>20</v>
      </c>
      <c r="R36" s="48">
        <f t="shared" ca="1" si="8"/>
        <v>0.15</v>
      </c>
      <c r="S36">
        <f t="shared" ca="1" si="9"/>
        <v>221.1943466281046</v>
      </c>
      <c r="T36" s="61">
        <f t="shared" ca="1" si="10"/>
        <v>7200</v>
      </c>
      <c r="U36" s="61">
        <f t="shared" ca="1" si="11"/>
        <v>28412.155707111127</v>
      </c>
      <c r="V36" s="39">
        <f t="shared" ca="1" si="12"/>
        <v>0.18692207702046795</v>
      </c>
      <c r="W36" s="48">
        <f t="shared" ca="1" si="13"/>
        <v>3.014641755971474</v>
      </c>
    </row>
    <row r="37" spans="4:23" x14ac:dyDescent="0.2">
      <c r="G37" s="78" t="s">
        <v>63</v>
      </c>
      <c r="H37" s="76"/>
      <c r="I37">
        <v>190</v>
      </c>
      <c r="J37" s="39">
        <v>4.736842105263158E-2</v>
      </c>
      <c r="K37" s="39">
        <v>6.8526315789473685E-2</v>
      </c>
      <c r="L37" s="39">
        <v>9.4736842105263161E-2</v>
      </c>
      <c r="M37" s="39">
        <v>0.12631578947368421</v>
      </c>
      <c r="N37" s="9">
        <v>0.15789473684210525</v>
      </c>
      <c r="Q37">
        <f t="shared" si="7"/>
        <v>21</v>
      </c>
      <c r="R37" s="48">
        <f t="shared" ca="1" si="8"/>
        <v>0.217</v>
      </c>
      <c r="S37">
        <f t="shared" ca="1" si="9"/>
        <v>204.59390287789134</v>
      </c>
      <c r="T37" s="61">
        <f t="shared" ca="1" si="10"/>
        <v>10416</v>
      </c>
      <c r="U37" s="61">
        <f t="shared" ca="1" si="11"/>
        <v>19557.620762711136</v>
      </c>
      <c r="V37" s="39">
        <f t="shared" ca="1" si="12"/>
        <v>0.12866855764941537</v>
      </c>
      <c r="W37" s="48">
        <f t="shared" ca="1" si="13"/>
        <v>1.669144755470191</v>
      </c>
    </row>
    <row r="38" spans="4:23" x14ac:dyDescent="0.2">
      <c r="G38" s="23" t="s">
        <v>3</v>
      </c>
      <c r="H38" s="38">
        <f>B7</f>
        <v>190</v>
      </c>
      <c r="I38">
        <v>200</v>
      </c>
      <c r="J38" s="39">
        <v>9.2105263157894732E-2</v>
      </c>
      <c r="K38" s="39">
        <v>0.10973684210526316</v>
      </c>
      <c r="L38" s="39">
        <v>0.13157894736842105</v>
      </c>
      <c r="M38" s="39">
        <v>0.15789473684210525</v>
      </c>
      <c r="N38" s="9">
        <v>0.18421052631578946</v>
      </c>
      <c r="Q38">
        <f t="shared" si="7"/>
        <v>22</v>
      </c>
      <c r="R38" s="48">
        <f t="shared" ca="1" si="8"/>
        <v>0.35</v>
      </c>
      <c r="S38">
        <f t="shared" ca="1" si="9"/>
        <v>195.15502515253397</v>
      </c>
      <c r="T38" s="61">
        <f t="shared" ca="1" si="10"/>
        <v>16800</v>
      </c>
      <c r="U38" s="61">
        <f t="shared" ca="1" si="11"/>
        <v>19480.613079317664</v>
      </c>
      <c r="V38" s="39">
        <f t="shared" ca="1" si="12"/>
        <v>0.12816192815340569</v>
      </c>
      <c r="W38" s="48">
        <f t="shared" ca="1" si="13"/>
        <v>1.6594422594950493</v>
      </c>
    </row>
    <row r="39" spans="4:23" x14ac:dyDescent="0.2">
      <c r="G39" s="23" t="s">
        <v>0</v>
      </c>
      <c r="H39" s="54">
        <v>0.217</v>
      </c>
      <c r="I39">
        <v>210</v>
      </c>
      <c r="J39" s="39">
        <v>0.1368421052631579</v>
      </c>
      <c r="K39" s="39">
        <v>0.15094736842105264</v>
      </c>
      <c r="L39" s="39">
        <v>0.16842105263157894</v>
      </c>
      <c r="M39" s="39">
        <v>0.18947368421052632</v>
      </c>
      <c r="N39" s="9">
        <v>0.21052631578947367</v>
      </c>
      <c r="Q39">
        <f t="shared" si="7"/>
        <v>23</v>
      </c>
      <c r="R39" s="48">
        <f t="shared" ca="1" si="8"/>
        <v>0.3</v>
      </c>
      <c r="S39">
        <f t="shared" ca="1" si="9"/>
        <v>198.40030932606368</v>
      </c>
      <c r="T39" s="61">
        <f t="shared" ca="1" si="10"/>
        <v>14400</v>
      </c>
      <c r="U39" s="61">
        <f t="shared" ca="1" si="11"/>
        <v>19104.173222595658</v>
      </c>
      <c r="V39" s="39">
        <f t="shared" ca="1" si="12"/>
        <v>0.12568535014865564</v>
      </c>
      <c r="W39" s="48">
        <f t="shared" ca="1" si="13"/>
        <v>1.6124567827532759</v>
      </c>
    </row>
    <row r="40" spans="4:23" x14ac:dyDescent="0.2">
      <c r="G40" s="23" t="s">
        <v>57</v>
      </c>
      <c r="H40">
        <f>(B8-B7)*(E6*H39)</f>
        <v>10416</v>
      </c>
      <c r="I40">
        <v>220</v>
      </c>
      <c r="J40" s="39">
        <v>0.18157894736842106</v>
      </c>
      <c r="K40" s="39">
        <v>0.19215789473684211</v>
      </c>
      <c r="L40" s="39">
        <v>0.20526315789473684</v>
      </c>
      <c r="M40" s="39">
        <v>0.22105263157894736</v>
      </c>
      <c r="N40" s="9">
        <v>0.23684210526315788</v>
      </c>
      <c r="Q40">
        <f t="shared" si="7"/>
        <v>24</v>
      </c>
      <c r="R40" s="48">
        <f t="shared" ca="1" si="8"/>
        <v>0.35</v>
      </c>
      <c r="S40">
        <f t="shared" ca="1" si="9"/>
        <v>180.17847703765818</v>
      </c>
      <c r="T40" s="61">
        <f t="shared" ca="1" si="10"/>
        <v>16800</v>
      </c>
      <c r="U40" s="61">
        <f t="shared" ca="1" si="11"/>
        <v>11692.808059582256</v>
      </c>
      <c r="V40" s="39">
        <f t="shared" ca="1" si="12"/>
        <v>7.6926368813041157E-2</v>
      </c>
      <c r="W40" s="48">
        <f t="shared" ca="1" si="13"/>
        <v>0.82416580612076284</v>
      </c>
    </row>
    <row r="41" spans="4:23" x14ac:dyDescent="0.2">
      <c r="G41" s="23" t="s">
        <v>62</v>
      </c>
      <c r="H41" s="39">
        <f>H40/E4</f>
        <v>6.8526315789473685E-2</v>
      </c>
      <c r="N41" s="11"/>
      <c r="Q41">
        <f t="shared" si="7"/>
        <v>25</v>
      </c>
      <c r="R41" s="48">
        <f t="shared" ca="1" si="8"/>
        <v>0.5</v>
      </c>
      <c r="S41">
        <f t="shared" ca="1" si="9"/>
        <v>174.90197587604769</v>
      </c>
      <c r="T41" s="61">
        <f t="shared" ca="1" si="10"/>
        <v>24000</v>
      </c>
      <c r="U41" s="61">
        <f t="shared" ca="1" si="11"/>
        <v>17960.790350419076</v>
      </c>
      <c r="V41" s="39">
        <f t="shared" ca="1" si="12"/>
        <v>0.11816309441065181</v>
      </c>
      <c r="W41" s="48">
        <f t="shared" ca="1" si="13"/>
        <v>1.474176592270358</v>
      </c>
    </row>
    <row r="42" spans="4:23" x14ac:dyDescent="0.2">
      <c r="G42" s="23" t="s">
        <v>61</v>
      </c>
      <c r="H42">
        <f>H40+((H26-B7)*E6*(1-H39))</f>
        <v>16680</v>
      </c>
      <c r="I42" s="34"/>
      <c r="J42" s="34" t="s">
        <v>60</v>
      </c>
      <c r="N42" s="11"/>
      <c r="Q42">
        <f t="shared" si="7"/>
        <v>26</v>
      </c>
      <c r="R42" s="48">
        <f t="shared" ca="1" si="8"/>
        <v>0.45</v>
      </c>
      <c r="S42">
        <f t="shared" ca="1" si="9"/>
        <v>198.59972693695875</v>
      </c>
      <c r="T42" s="61">
        <f t="shared" ca="1" si="10"/>
        <v>21600</v>
      </c>
      <c r="U42" s="61">
        <f t="shared" ca="1" si="11"/>
        <v>25383.879852261849</v>
      </c>
      <c r="V42" s="39">
        <f t="shared" ca="1" si="12"/>
        <v>0.16699920955435427</v>
      </c>
      <c r="W42" s="48">
        <f t="shared" ca="1" si="13"/>
        <v>2.4995868803236081</v>
      </c>
    </row>
    <row r="43" spans="4:23" x14ac:dyDescent="0.2">
      <c r="G43" s="23" t="s">
        <v>59</v>
      </c>
      <c r="H43" s="39">
        <f>H42/E4</f>
        <v>0.10973684210526316</v>
      </c>
      <c r="I43" s="50">
        <f>H44</f>
        <v>1.3269362223185621</v>
      </c>
      <c r="J43" s="48">
        <v>0.15</v>
      </c>
      <c r="K43" s="39">
        <v>0.217</v>
      </c>
      <c r="L43" s="48">
        <v>0.3</v>
      </c>
      <c r="M43" s="48">
        <v>0.4</v>
      </c>
      <c r="N43" s="49">
        <v>0.5</v>
      </c>
      <c r="Q43">
        <f t="shared" si="7"/>
        <v>27</v>
      </c>
      <c r="R43" s="48">
        <f t="shared" ca="1" si="8"/>
        <v>0.3</v>
      </c>
      <c r="S43">
        <f t="shared" ca="1" si="9"/>
        <v>202.05206197847752</v>
      </c>
      <c r="T43" s="61">
        <f t="shared" ca="1" si="10"/>
        <v>14400</v>
      </c>
      <c r="U43" s="61">
        <f t="shared" ca="1" si="11"/>
        <v>21149.154707947415</v>
      </c>
      <c r="V43" s="39">
        <f t="shared" ca="1" si="12"/>
        <v>0.13913917571018036</v>
      </c>
      <c r="W43" s="48">
        <f t="shared" ca="1" si="13"/>
        <v>1.8767399991112135</v>
      </c>
    </row>
    <row r="44" spans="4:23" x14ac:dyDescent="0.2">
      <c r="G44" s="23" t="s">
        <v>60</v>
      </c>
      <c r="H44" s="48">
        <f>(1+H43)^(J29/J30)-1</f>
        <v>1.3269362223185621</v>
      </c>
      <c r="I44">
        <v>170</v>
      </c>
      <c r="J44" s="39">
        <f t="dataTable" ref="J44:N49" dt2D="1" dtr="1" r1="H39" r2="H26" ca="1"/>
        <v>-0.29454958251477781</v>
      </c>
      <c r="K44" s="39">
        <v>-0.10728871932888362</v>
      </c>
      <c r="L44" s="39">
        <v>0.18410544854534039</v>
      </c>
      <c r="M44" s="39">
        <v>0.64337795009098708</v>
      </c>
      <c r="N44" s="9">
        <v>1.2519309602839046</v>
      </c>
      <c r="Q44">
        <f t="shared" si="7"/>
        <v>28</v>
      </c>
      <c r="R44" s="48">
        <f t="shared" ca="1" si="8"/>
        <v>0.4</v>
      </c>
      <c r="S44">
        <f t="shared" ca="1" si="9"/>
        <v>169.44914276484985</v>
      </c>
      <c r="T44" s="61">
        <f t="shared" ca="1" si="10"/>
        <v>19200</v>
      </c>
      <c r="U44" s="61">
        <f t="shared" ca="1" si="11"/>
        <v>9335.5885271279294</v>
      </c>
      <c r="V44" s="39">
        <f t="shared" ca="1" si="12"/>
        <v>6.1418345573210062E-2</v>
      </c>
      <c r="W44" s="48">
        <f t="shared" ca="1" si="13"/>
        <v>0.62169435677138063</v>
      </c>
    </row>
    <row r="45" spans="4:23" x14ac:dyDescent="0.2">
      <c r="G45" s="23"/>
      <c r="I45">
        <v>180</v>
      </c>
      <c r="J45" s="39">
        <v>2.1545823040928891E-2</v>
      </c>
      <c r="K45" s="39">
        <v>0.24432018238634923</v>
      </c>
      <c r="L45" s="39">
        <v>0.57853959619638862</v>
      </c>
      <c r="M45" s="39">
        <v>1.0837500358254344</v>
      </c>
      <c r="N45" s="9">
        <v>1.7254853755828625</v>
      </c>
      <c r="Q45">
        <f t="shared" si="7"/>
        <v>29</v>
      </c>
      <c r="R45" s="48">
        <f t="shared" ca="1" si="8"/>
        <v>0.5</v>
      </c>
      <c r="S45">
        <f t="shared" ca="1" si="9"/>
        <v>203.20136289255211</v>
      </c>
      <c r="T45" s="61">
        <f t="shared" ca="1" si="10"/>
        <v>24000</v>
      </c>
      <c r="U45" s="61">
        <f t="shared" ca="1" si="11"/>
        <v>29280.545157020846</v>
      </c>
      <c r="V45" s="39">
        <f t="shared" ca="1" si="12"/>
        <v>0.19263516550671608</v>
      </c>
      <c r="W45" s="48">
        <f t="shared" ca="1" si="13"/>
        <v>3.1740892465319224</v>
      </c>
    </row>
    <row r="46" spans="4:23" x14ac:dyDescent="0.2">
      <c r="G46" s="23"/>
      <c r="I46">
        <v>190</v>
      </c>
      <c r="J46" s="39">
        <v>0.45555653584578182</v>
      </c>
      <c r="K46" s="39">
        <v>0.71190688244262357</v>
      </c>
      <c r="L46" s="39">
        <v>1.0837500358254344</v>
      </c>
      <c r="M46" s="39">
        <v>1.6243478456661018</v>
      </c>
      <c r="N46" s="9">
        <v>2.2841802205368418</v>
      </c>
      <c r="Q46">
        <f t="shared" si="7"/>
        <v>30</v>
      </c>
      <c r="R46" s="48">
        <f t="shared" ca="1" si="8"/>
        <v>0.3</v>
      </c>
      <c r="S46">
        <f t="shared" ca="1" si="9"/>
        <v>180.13239737892269</v>
      </c>
      <c r="T46" s="61">
        <f t="shared" ca="1" si="10"/>
        <v>14400</v>
      </c>
      <c r="U46" s="61">
        <f t="shared" ca="1" si="11"/>
        <v>8874.1425321967072</v>
      </c>
      <c r="V46" s="39">
        <f t="shared" ca="1" si="12"/>
        <v>5.8382516659188866E-2</v>
      </c>
      <c r="W46" s="48">
        <f t="shared" ca="1" si="13"/>
        <v>0.58445288751109992</v>
      </c>
    </row>
    <row r="47" spans="4:23" x14ac:dyDescent="0.2">
      <c r="G47" s="23"/>
      <c r="I47">
        <v>200</v>
      </c>
      <c r="J47" s="39">
        <v>1.0434669210092462</v>
      </c>
      <c r="K47" s="39">
        <v>1.3269362223185621</v>
      </c>
      <c r="L47" s="39">
        <v>1.7254853755828625</v>
      </c>
      <c r="M47" s="39">
        <v>2.2841802205368418</v>
      </c>
      <c r="N47" s="9">
        <v>2.940851825254216</v>
      </c>
      <c r="Q47">
        <f t="shared" si="7"/>
        <v>31</v>
      </c>
      <c r="R47" s="48">
        <f t="shared" ca="1" si="8"/>
        <v>0.5</v>
      </c>
      <c r="S47">
        <f t="shared" ca="1" si="9"/>
        <v>228.56210027822914</v>
      </c>
      <c r="T47" s="61">
        <f t="shared" ca="1" si="10"/>
        <v>24000</v>
      </c>
      <c r="U47" s="61">
        <f t="shared" ca="1" si="11"/>
        <v>39424.840111291654</v>
      </c>
      <c r="V47" s="39">
        <f t="shared" ca="1" si="12"/>
        <v>0.25937394810060299</v>
      </c>
      <c r="W47" s="48">
        <f t="shared" ca="1" si="13"/>
        <v>5.4918121016205985</v>
      </c>
    </row>
    <row r="48" spans="4:23" x14ac:dyDescent="0.2">
      <c r="G48" s="23"/>
      <c r="I48">
        <v>210</v>
      </c>
      <c r="J48" s="39">
        <v>1.8300239256544963</v>
      </c>
      <c r="K48" s="39">
        <v>2.127718469068768</v>
      </c>
      <c r="L48" s="39">
        <v>2.5343213117041685</v>
      </c>
      <c r="M48" s="39">
        <v>3.0851825238536827</v>
      </c>
      <c r="N48" s="9">
        <v>3.7099168490452712</v>
      </c>
      <c r="Q48">
        <f t="shared" si="7"/>
        <v>32</v>
      </c>
      <c r="R48" s="48">
        <f t="shared" ca="1" si="8"/>
        <v>0.4</v>
      </c>
      <c r="S48">
        <f t="shared" ca="1" si="9"/>
        <v>209.032116110391</v>
      </c>
      <c r="T48" s="61">
        <f t="shared" ca="1" si="10"/>
        <v>19200</v>
      </c>
      <c r="U48" s="61">
        <f t="shared" ca="1" si="11"/>
        <v>28335.41573298768</v>
      </c>
      <c r="V48" s="39">
        <f t="shared" ca="1" si="12"/>
        <v>0.18641720876965578</v>
      </c>
      <c r="W48" s="48">
        <f t="shared" ca="1" si="13"/>
        <v>3.0008116263285025</v>
      </c>
    </row>
    <row r="49" spans="7:23" x14ac:dyDescent="0.2">
      <c r="G49" s="23"/>
      <c r="I49">
        <v>220</v>
      </c>
      <c r="J49" s="39">
        <v>2.8703778995331293</v>
      </c>
      <c r="K49" s="39">
        <v>3.1605597564690022</v>
      </c>
      <c r="L49" s="39">
        <v>3.5463634232159844</v>
      </c>
      <c r="M49" s="39">
        <v>4.052568675879324</v>
      </c>
      <c r="N49" s="9">
        <v>4.6075251578547682</v>
      </c>
      <c r="Q49">
        <f t="shared" si="7"/>
        <v>33</v>
      </c>
      <c r="R49" s="48">
        <f t="shared" ca="1" si="8"/>
        <v>0.15</v>
      </c>
      <c r="S49">
        <f t="shared" ca="1" si="9"/>
        <v>204.32339753856868</v>
      </c>
      <c r="T49" s="61">
        <f t="shared" ca="1" si="10"/>
        <v>7200</v>
      </c>
      <c r="U49" s="61">
        <f t="shared" ca="1" si="11"/>
        <v>16939.910326226705</v>
      </c>
      <c r="V49" s="39">
        <f t="shared" ca="1" si="12"/>
        <v>0.1114467784620178</v>
      </c>
      <c r="W49" s="48">
        <f t="shared" ca="1" si="13"/>
        <v>1.3561780850891605</v>
      </c>
    </row>
    <row r="50" spans="7:23" x14ac:dyDescent="0.2">
      <c r="G50" s="26"/>
      <c r="H50" s="42"/>
      <c r="I50" s="42"/>
      <c r="J50" s="42"/>
      <c r="K50" s="42"/>
      <c r="L50" s="42"/>
      <c r="M50" s="42"/>
      <c r="N50" s="28"/>
      <c r="Q50">
        <f t="shared" si="7"/>
        <v>34</v>
      </c>
      <c r="R50" s="48">
        <f t="shared" ca="1" si="8"/>
        <v>0.3</v>
      </c>
      <c r="S50">
        <f t="shared" ca="1" si="9"/>
        <v>193.86046219771856</v>
      </c>
      <c r="T50" s="61">
        <f t="shared" ca="1" si="10"/>
        <v>14400</v>
      </c>
      <c r="U50" s="61">
        <f t="shared" ca="1" si="11"/>
        <v>16561.858830722394</v>
      </c>
      <c r="V50" s="39">
        <f t="shared" ca="1" si="12"/>
        <v>0.10895959757054206</v>
      </c>
      <c r="W50" s="48">
        <f t="shared" ca="1" si="13"/>
        <v>1.3137499757399511</v>
      </c>
    </row>
    <row r="51" spans="7:23" x14ac:dyDescent="0.2">
      <c r="Q51">
        <f t="shared" si="7"/>
        <v>35</v>
      </c>
      <c r="R51" s="48">
        <f t="shared" ca="1" si="8"/>
        <v>0.217</v>
      </c>
      <c r="S51">
        <f t="shared" ca="1" si="9"/>
        <v>180.32272665647878</v>
      </c>
      <c r="T51" s="61">
        <f t="shared" ca="1" si="10"/>
        <v>10416</v>
      </c>
      <c r="U51" s="61">
        <f t="shared" ca="1" si="11"/>
        <v>4354.1559776183067</v>
      </c>
      <c r="V51" s="39">
        <f t="shared" ca="1" si="12"/>
        <v>2.8645763010646755E-2</v>
      </c>
      <c r="W51" s="48">
        <f t="shared" ca="1" si="13"/>
        <v>0.25744675317786436</v>
      </c>
    </row>
    <row r="52" spans="7:23" x14ac:dyDescent="0.2">
      <c r="Q52">
        <f t="shared" si="7"/>
        <v>36</v>
      </c>
      <c r="R52" s="48">
        <f t="shared" ca="1" si="8"/>
        <v>0.4</v>
      </c>
      <c r="S52">
        <f t="shared" ca="1" si="9"/>
        <v>214.3167262243675</v>
      </c>
      <c r="T52" s="61">
        <f t="shared" ca="1" si="10"/>
        <v>19200</v>
      </c>
      <c r="U52" s="61">
        <f t="shared" ca="1" si="11"/>
        <v>30872.028587696401</v>
      </c>
      <c r="V52" s="39">
        <f t="shared" ca="1" si="12"/>
        <v>0.20310545123484475</v>
      </c>
      <c r="W52" s="48">
        <f t="shared" ca="1" si="13"/>
        <v>3.4807652269026121</v>
      </c>
    </row>
    <row r="53" spans="7:23" x14ac:dyDescent="0.2">
      <c r="J53" s="48"/>
      <c r="K53" s="48"/>
      <c r="L53" s="48"/>
      <c r="M53" s="48"/>
      <c r="N53" s="48"/>
      <c r="Q53">
        <f t="shared" si="7"/>
        <v>37</v>
      </c>
      <c r="R53" s="48">
        <f t="shared" ca="1" si="8"/>
        <v>0.35</v>
      </c>
      <c r="S53">
        <f t="shared" ca="1" si="9"/>
        <v>184.91011691054979</v>
      </c>
      <c r="T53" s="61">
        <f t="shared" ca="1" si="10"/>
        <v>16800</v>
      </c>
      <c r="U53" s="61">
        <f t="shared" ca="1" si="11"/>
        <v>14153.26079348589</v>
      </c>
      <c r="V53" s="39">
        <f t="shared" ca="1" si="12"/>
        <v>9.3113557851880857E-2</v>
      </c>
      <c r="W53" s="48">
        <f t="shared" ca="1" si="13"/>
        <v>1.0588200514964865</v>
      </c>
    </row>
    <row r="54" spans="7:23" x14ac:dyDescent="0.2">
      <c r="J54" s="48"/>
      <c r="K54" s="48"/>
      <c r="L54" s="48"/>
      <c r="M54" s="48"/>
      <c r="N54" s="48"/>
      <c r="Q54">
        <f t="shared" si="7"/>
        <v>38</v>
      </c>
      <c r="R54" s="48">
        <f t="shared" ca="1" si="8"/>
        <v>0.4</v>
      </c>
      <c r="S54">
        <f t="shared" ca="1" si="9"/>
        <v>178.97327567427828</v>
      </c>
      <c r="T54" s="61">
        <f t="shared" ca="1" si="10"/>
        <v>19200</v>
      </c>
      <c r="U54" s="61">
        <f t="shared" ca="1" si="11"/>
        <v>13907.172323653576</v>
      </c>
      <c r="V54" s="39">
        <f t="shared" ca="1" si="12"/>
        <v>9.1494554760878796E-2</v>
      </c>
      <c r="W54" s="48">
        <f t="shared" ca="1" si="13"/>
        <v>1.034216660119712</v>
      </c>
    </row>
    <row r="55" spans="7:23" x14ac:dyDescent="0.2">
      <c r="J55" s="48"/>
      <c r="K55" s="48"/>
      <c r="L55" s="48"/>
      <c r="M55" s="48"/>
      <c r="N55" s="48"/>
      <c r="Q55">
        <f t="shared" si="7"/>
        <v>39</v>
      </c>
      <c r="R55" s="48">
        <f t="shared" ca="1" si="8"/>
        <v>0.35</v>
      </c>
      <c r="S55">
        <f t="shared" ca="1" si="9"/>
        <v>208.29818096285464</v>
      </c>
      <c r="T55" s="61">
        <f t="shared" ca="1" si="10"/>
        <v>16800</v>
      </c>
      <c r="U55" s="61">
        <f t="shared" ca="1" si="11"/>
        <v>26315.054100684414</v>
      </c>
      <c r="V55" s="39">
        <f t="shared" ca="1" si="12"/>
        <v>0.17312535592555536</v>
      </c>
      <c r="W55" s="48">
        <f t="shared" ca="1" si="13"/>
        <v>2.6514075531584207</v>
      </c>
    </row>
    <row r="56" spans="7:23" x14ac:dyDescent="0.2">
      <c r="J56" s="48"/>
      <c r="K56" s="48"/>
      <c r="L56" s="48"/>
      <c r="M56" s="48"/>
      <c r="N56" s="48"/>
      <c r="Q56">
        <f t="shared" si="7"/>
        <v>40</v>
      </c>
      <c r="R56" s="48">
        <f t="shared" ca="1" si="8"/>
        <v>0.35</v>
      </c>
      <c r="S56">
        <f t="shared" ca="1" si="9"/>
        <v>189.65895277699414</v>
      </c>
      <c r="T56" s="61">
        <f t="shared" ca="1" si="10"/>
        <v>16800</v>
      </c>
      <c r="U56" s="61">
        <f t="shared" ca="1" si="11"/>
        <v>16622.655444036955</v>
      </c>
      <c r="V56" s="39">
        <f t="shared" ca="1" si="12"/>
        <v>0.10935957528971681</v>
      </c>
      <c r="W56" s="48">
        <f t="shared" ca="1" si="13"/>
        <v>1.3205275432158325</v>
      </c>
    </row>
    <row r="57" spans="7:23" x14ac:dyDescent="0.2">
      <c r="J57" s="48"/>
      <c r="K57" s="48"/>
      <c r="L57" s="48"/>
      <c r="M57" s="48"/>
      <c r="N57" s="48"/>
      <c r="Q57">
        <f t="shared" si="7"/>
        <v>41</v>
      </c>
      <c r="R57" s="48">
        <f t="shared" ca="1" si="8"/>
        <v>0.4</v>
      </c>
      <c r="S57">
        <f t="shared" ca="1" si="9"/>
        <v>217.64248423499879</v>
      </c>
      <c r="T57" s="61">
        <f t="shared" ca="1" si="10"/>
        <v>19200</v>
      </c>
      <c r="U57" s="61">
        <f t="shared" ca="1" si="11"/>
        <v>32468.392432799417</v>
      </c>
      <c r="V57" s="39">
        <f t="shared" ca="1" si="12"/>
        <v>0.21360784495262775</v>
      </c>
      <c r="W57" s="48">
        <f t="shared" ca="1" si="13"/>
        <v>3.8080507464419471</v>
      </c>
    </row>
    <row r="58" spans="7:23" x14ac:dyDescent="0.2">
      <c r="J58" s="48"/>
      <c r="K58" s="48"/>
      <c r="L58" s="48"/>
      <c r="M58" s="48"/>
      <c r="N58" s="48"/>
      <c r="Q58">
        <f t="shared" si="7"/>
        <v>42</v>
      </c>
      <c r="R58" s="48">
        <f t="shared" ca="1" si="8"/>
        <v>0.4</v>
      </c>
      <c r="S58">
        <f t="shared" ca="1" si="9"/>
        <v>204.26104566698476</v>
      </c>
      <c r="T58" s="61">
        <f t="shared" ca="1" si="10"/>
        <v>19200</v>
      </c>
      <c r="U58" s="61">
        <f t="shared" ca="1" si="11"/>
        <v>26045.301920152684</v>
      </c>
      <c r="V58" s="39">
        <f t="shared" ca="1" si="12"/>
        <v>0.17135067052732028</v>
      </c>
      <c r="W58" s="48">
        <f t="shared" ca="1" si="13"/>
        <v>2.6068437184113429</v>
      </c>
    </row>
    <row r="59" spans="7:23" x14ac:dyDescent="0.2">
      <c r="J59" s="48"/>
      <c r="K59" s="48"/>
      <c r="L59" s="48"/>
      <c r="M59" s="48"/>
      <c r="N59" s="48"/>
      <c r="Q59">
        <f t="shared" si="7"/>
        <v>43</v>
      </c>
      <c r="R59" s="48">
        <f t="shared" ca="1" si="8"/>
        <v>0.217</v>
      </c>
      <c r="S59">
        <f t="shared" ca="1" si="9"/>
        <v>162.66424282731921</v>
      </c>
      <c r="T59" s="61">
        <f t="shared" ca="1" si="10"/>
        <v>10416</v>
      </c>
      <c r="U59" s="61">
        <f t="shared" ca="1" si="11"/>
        <v>-6707.1182929672432</v>
      </c>
      <c r="V59" s="39">
        <f t="shared" ca="1" si="12"/>
        <v>-4.412577824320555E-2</v>
      </c>
      <c r="W59" s="48">
        <f t="shared" ca="1" si="13"/>
        <v>-0.30652900290171581</v>
      </c>
    </row>
    <row r="60" spans="7:23" x14ac:dyDescent="0.2">
      <c r="J60" s="48"/>
      <c r="K60" s="48"/>
      <c r="L60" s="48"/>
      <c r="M60" s="48"/>
      <c r="N60" s="48"/>
      <c r="Q60">
        <f t="shared" si="7"/>
        <v>44</v>
      </c>
      <c r="R60" s="48">
        <f t="shared" ca="1" si="8"/>
        <v>0.3</v>
      </c>
      <c r="S60">
        <f t="shared" ca="1" si="9"/>
        <v>189.40841374026942</v>
      </c>
      <c r="T60" s="61">
        <f t="shared" ca="1" si="10"/>
        <v>14400</v>
      </c>
      <c r="U60" s="61">
        <f t="shared" ca="1" si="11"/>
        <v>14068.711694550877</v>
      </c>
      <c r="V60" s="39">
        <f t="shared" ca="1" si="12"/>
        <v>9.2557313779939976E-2</v>
      </c>
      <c r="W60" s="48">
        <f t="shared" ca="1" si="13"/>
        <v>1.0503377599634129</v>
      </c>
    </row>
    <row r="61" spans="7:23" x14ac:dyDescent="0.2">
      <c r="Q61">
        <f t="shared" si="7"/>
        <v>45</v>
      </c>
      <c r="R61" s="48">
        <f t="shared" ca="1" si="8"/>
        <v>0.35</v>
      </c>
      <c r="S61">
        <f t="shared" ca="1" si="9"/>
        <v>158.2113511496224</v>
      </c>
      <c r="T61" s="61">
        <f t="shared" ca="1" si="10"/>
        <v>16800</v>
      </c>
      <c r="U61" s="61">
        <f t="shared" ca="1" si="11"/>
        <v>269.90259780364795</v>
      </c>
      <c r="V61" s="39">
        <f t="shared" ca="1" si="12"/>
        <v>1.7756749855503155E-3</v>
      </c>
      <c r="W61" s="48">
        <f t="shared" ca="1" si="13"/>
        <v>1.4493958349916847E-2</v>
      </c>
    </row>
    <row r="62" spans="7:23" x14ac:dyDescent="0.2">
      <c r="Q62">
        <f t="shared" si="7"/>
        <v>46</v>
      </c>
      <c r="R62" s="48">
        <f t="shared" ca="1" si="8"/>
        <v>0.35</v>
      </c>
      <c r="S62">
        <f t="shared" ca="1" si="9"/>
        <v>176.12786775409648</v>
      </c>
      <c r="T62" s="61">
        <f t="shared" ca="1" si="10"/>
        <v>16800</v>
      </c>
      <c r="U62" s="61">
        <f t="shared" ca="1" si="11"/>
        <v>9586.4912321301726</v>
      </c>
      <c r="V62" s="39">
        <f t="shared" ca="1" si="12"/>
        <v>6.3069021264014299E-2</v>
      </c>
      <c r="W62" s="48">
        <f t="shared" ca="1" si="13"/>
        <v>0.64226400673011019</v>
      </c>
    </row>
    <row r="63" spans="7:23" x14ac:dyDescent="0.2">
      <c r="Q63">
        <f t="shared" si="7"/>
        <v>47</v>
      </c>
      <c r="R63" s="48">
        <f t="shared" ca="1" si="8"/>
        <v>0.3</v>
      </c>
      <c r="S63">
        <f t="shared" ca="1" si="9"/>
        <v>192.9436490390724</v>
      </c>
      <c r="T63" s="61">
        <f t="shared" ca="1" si="10"/>
        <v>14400</v>
      </c>
      <c r="U63" s="61">
        <f t="shared" ca="1" si="11"/>
        <v>16048.443461880543</v>
      </c>
      <c r="V63" s="39">
        <f t="shared" ca="1" si="12"/>
        <v>0.10558186488079305</v>
      </c>
      <c r="W63" s="48">
        <f t="shared" ca="1" si="13"/>
        <v>1.2572033391357231</v>
      </c>
    </row>
    <row r="64" spans="7:23" x14ac:dyDescent="0.2">
      <c r="Q64">
        <f t="shared" si="7"/>
        <v>48</v>
      </c>
      <c r="R64" s="48">
        <f t="shared" ca="1" si="8"/>
        <v>0.4</v>
      </c>
      <c r="S64">
        <f t="shared" ca="1" si="9"/>
        <v>237.25012910502997</v>
      </c>
      <c r="T64" s="61">
        <f t="shared" ca="1" si="10"/>
        <v>19200</v>
      </c>
      <c r="U64" s="61">
        <f t="shared" ca="1" si="11"/>
        <v>41880.06197041439</v>
      </c>
      <c r="V64" s="39">
        <f t="shared" ca="1" si="12"/>
        <v>0.27552672348956836</v>
      </c>
      <c r="W64" s="48">
        <f t="shared" ca="1" si="13"/>
        <v>6.1987945637600657</v>
      </c>
    </row>
    <row r="65" spans="17:23" x14ac:dyDescent="0.2">
      <c r="Q65">
        <f t="shared" si="7"/>
        <v>49</v>
      </c>
      <c r="R65" s="48">
        <f t="shared" ca="1" si="8"/>
        <v>0.4</v>
      </c>
      <c r="S65">
        <f t="shared" ca="1" si="9"/>
        <v>203.45066671924334</v>
      </c>
      <c r="T65" s="61">
        <f t="shared" ca="1" si="10"/>
        <v>19200</v>
      </c>
      <c r="U65" s="61">
        <f t="shared" ca="1" si="11"/>
        <v>25656.320025236804</v>
      </c>
      <c r="V65" s="39">
        <f t="shared" ca="1" si="12"/>
        <v>0.16879157911340004</v>
      </c>
      <c r="W65" s="48">
        <f t="shared" ca="1" si="13"/>
        <v>2.5434224555572991</v>
      </c>
    </row>
    <row r="66" spans="17:23" x14ac:dyDescent="0.2">
      <c r="Q66">
        <f t="shared" si="7"/>
        <v>50</v>
      </c>
      <c r="R66" s="48">
        <f t="shared" ca="1" si="8"/>
        <v>0.5</v>
      </c>
      <c r="S66">
        <f t="shared" ca="1" si="9"/>
        <v>196.12363034988624</v>
      </c>
      <c r="T66" s="61">
        <f t="shared" ca="1" si="10"/>
        <v>24000</v>
      </c>
      <c r="U66" s="61">
        <f t="shared" ca="1" si="11"/>
        <v>26449.452139954497</v>
      </c>
      <c r="V66" s="39">
        <f t="shared" ca="1" si="12"/>
        <v>0.17400955355233222</v>
      </c>
      <c r="W66" s="48">
        <f t="shared" ca="1" si="13"/>
        <v>2.6737901081284976</v>
      </c>
    </row>
    <row r="67" spans="17:23" x14ac:dyDescent="0.2">
      <c r="Q67">
        <f t="shared" si="7"/>
        <v>51</v>
      </c>
      <c r="R67" s="48">
        <f t="shared" ca="1" si="8"/>
        <v>0.45</v>
      </c>
      <c r="S67">
        <f t="shared" ca="1" si="9"/>
        <v>210.49496710305311</v>
      </c>
      <c r="T67" s="61">
        <f t="shared" ca="1" si="10"/>
        <v>21600</v>
      </c>
      <c r="U67" s="61">
        <f t="shared" ca="1" si="11"/>
        <v>30617.785525343374</v>
      </c>
      <c r="V67" s="39">
        <f t="shared" ca="1" si="12"/>
        <v>0.201432799508838</v>
      </c>
      <c r="W67" s="48">
        <f t="shared" ca="1" si="13"/>
        <v>3.4304860297879811</v>
      </c>
    </row>
    <row r="68" spans="17:23" x14ac:dyDescent="0.2">
      <c r="Q68">
        <f t="shared" si="7"/>
        <v>52</v>
      </c>
      <c r="R68" s="48">
        <f t="shared" ca="1" si="8"/>
        <v>0.45</v>
      </c>
      <c r="S68">
        <f t="shared" ca="1" si="9"/>
        <v>198.78666814498644</v>
      </c>
      <c r="T68" s="61">
        <f t="shared" ca="1" si="10"/>
        <v>21600</v>
      </c>
      <c r="U68" s="61">
        <f t="shared" ca="1" si="11"/>
        <v>25466.133983794032</v>
      </c>
      <c r="V68" s="39">
        <f t="shared" ca="1" si="12"/>
        <v>0.16754035515653967</v>
      </c>
      <c r="W68" s="48">
        <f t="shared" ca="1" si="13"/>
        <v>2.5127711726780273</v>
      </c>
    </row>
    <row r="69" spans="17:23" x14ac:dyDescent="0.2">
      <c r="Q69">
        <f t="shared" si="7"/>
        <v>53</v>
      </c>
      <c r="R69" s="48">
        <f t="shared" ca="1" si="8"/>
        <v>0.35</v>
      </c>
      <c r="S69">
        <f t="shared" ca="1" si="9"/>
        <v>194.60535344778552</v>
      </c>
      <c r="T69" s="61">
        <f t="shared" ca="1" si="10"/>
        <v>16800</v>
      </c>
      <c r="U69" s="61">
        <f t="shared" ca="1" si="11"/>
        <v>19194.78379284847</v>
      </c>
      <c r="V69" s="39">
        <f t="shared" ca="1" si="12"/>
        <v>0.12628147232137152</v>
      </c>
      <c r="W69" s="48">
        <f t="shared" ca="1" si="13"/>
        <v>1.6236993519515641</v>
      </c>
    </row>
    <row r="70" spans="17:23" x14ac:dyDescent="0.2">
      <c r="Q70">
        <f t="shared" si="7"/>
        <v>54</v>
      </c>
      <c r="R70" s="48">
        <f t="shared" ca="1" si="8"/>
        <v>0.45</v>
      </c>
      <c r="S70">
        <f t="shared" ca="1" si="9"/>
        <v>214.3162003442481</v>
      </c>
      <c r="T70" s="61">
        <f t="shared" ca="1" si="10"/>
        <v>21600</v>
      </c>
      <c r="U70" s="61">
        <f t="shared" ca="1" si="11"/>
        <v>32299.128151469165</v>
      </c>
      <c r="V70" s="39">
        <f t="shared" ca="1" si="12"/>
        <v>0.2124942641544024</v>
      </c>
      <c r="W70" s="48">
        <f t="shared" ca="1" si="13"/>
        <v>3.7723829562929625</v>
      </c>
    </row>
    <row r="71" spans="17:23" x14ac:dyDescent="0.2">
      <c r="Q71">
        <f t="shared" si="7"/>
        <v>55</v>
      </c>
      <c r="R71" s="48">
        <f t="shared" ca="1" si="8"/>
        <v>0.35</v>
      </c>
      <c r="S71">
        <f t="shared" ca="1" si="9"/>
        <v>154.02797404218617</v>
      </c>
      <c r="T71" s="61">
        <f t="shared" ca="1" si="10"/>
        <v>16800</v>
      </c>
      <c r="U71" s="61">
        <f t="shared" ca="1" si="11"/>
        <v>-1905.4534980631906</v>
      </c>
      <c r="V71" s="39">
        <f t="shared" ca="1" si="12"/>
        <v>-1.2535878276731518E-2</v>
      </c>
      <c r="W71" s="48">
        <f t="shared" ca="1" si="13"/>
        <v>-9.726172036811298E-2</v>
      </c>
    </row>
    <row r="72" spans="17:23" x14ac:dyDescent="0.2">
      <c r="Q72">
        <f t="shared" si="7"/>
        <v>56</v>
      </c>
      <c r="R72" s="48">
        <f t="shared" ca="1" si="8"/>
        <v>0.3</v>
      </c>
      <c r="S72">
        <f t="shared" ca="1" si="9"/>
        <v>176.65692476898252</v>
      </c>
      <c r="T72" s="61">
        <f t="shared" ca="1" si="10"/>
        <v>14400</v>
      </c>
      <c r="U72" s="61">
        <f t="shared" ca="1" si="11"/>
        <v>6927.877870630211</v>
      </c>
      <c r="V72" s="39">
        <f t="shared" ca="1" si="12"/>
        <v>4.5578143885725071E-2</v>
      </c>
      <c r="W72" s="48">
        <f t="shared" ca="1" si="13"/>
        <v>0.43549833595996157</v>
      </c>
    </row>
    <row r="73" spans="17:23" x14ac:dyDescent="0.2">
      <c r="Q73">
        <f t="shared" si="7"/>
        <v>57</v>
      </c>
      <c r="R73" s="48">
        <f t="shared" ca="1" si="8"/>
        <v>0.3</v>
      </c>
      <c r="S73">
        <f t="shared" ca="1" si="9"/>
        <v>208.89708119582588</v>
      </c>
      <c r="T73" s="61">
        <f t="shared" ca="1" si="10"/>
        <v>14400</v>
      </c>
      <c r="U73" s="61">
        <f t="shared" ca="1" si="11"/>
        <v>24982.365469662491</v>
      </c>
      <c r="V73" s="39">
        <f t="shared" ca="1" si="12"/>
        <v>0.16435766756356901</v>
      </c>
      <c r="W73" s="48">
        <f t="shared" ca="1" si="13"/>
        <v>2.4358499868644969</v>
      </c>
    </row>
    <row r="74" spans="17:23" x14ac:dyDescent="0.2">
      <c r="Q74">
        <f t="shared" si="7"/>
        <v>58</v>
      </c>
      <c r="R74" s="48">
        <f t="shared" ca="1" si="8"/>
        <v>0.3</v>
      </c>
      <c r="S74">
        <f t="shared" ca="1" si="9"/>
        <v>165.99898128888711</v>
      </c>
      <c r="T74" s="61">
        <f t="shared" ca="1" si="10"/>
        <v>14400</v>
      </c>
      <c r="U74" s="61">
        <f t="shared" ca="1" si="11"/>
        <v>959.42952177678126</v>
      </c>
      <c r="V74" s="39">
        <f t="shared" ca="1" si="12"/>
        <v>6.3120363274788245E-3</v>
      </c>
      <c r="W74" s="48">
        <f t="shared" ca="1" si="13"/>
        <v>5.2361539581128103E-2</v>
      </c>
    </row>
    <row r="75" spans="17:23" x14ac:dyDescent="0.2">
      <c r="Q75">
        <f t="shared" si="7"/>
        <v>59</v>
      </c>
      <c r="R75" s="48">
        <f t="shared" ca="1" si="8"/>
        <v>0.35</v>
      </c>
      <c r="S75">
        <f t="shared" ca="1" si="9"/>
        <v>177.30514981884602</v>
      </c>
      <c r="T75" s="61">
        <f t="shared" ca="1" si="10"/>
        <v>16800</v>
      </c>
      <c r="U75" s="61">
        <f t="shared" ca="1" si="11"/>
        <v>10198.67790579993</v>
      </c>
      <c r="V75" s="39">
        <f t="shared" ca="1" si="12"/>
        <v>6.7096565169736389E-2</v>
      </c>
      <c r="W75" s="48">
        <f t="shared" ca="1" si="13"/>
        <v>0.69341546920403352</v>
      </c>
    </row>
    <row r="76" spans="17:23" x14ac:dyDescent="0.2">
      <c r="Q76">
        <f t="shared" si="7"/>
        <v>60</v>
      </c>
      <c r="R76" s="48">
        <f t="shared" ca="1" si="8"/>
        <v>0.3</v>
      </c>
      <c r="S76">
        <f t="shared" ca="1" si="9"/>
        <v>167.14820376525807</v>
      </c>
      <c r="T76" s="61">
        <f t="shared" ca="1" si="10"/>
        <v>14400</v>
      </c>
      <c r="U76" s="61">
        <f t="shared" ca="1" si="11"/>
        <v>1602.9941085445207</v>
      </c>
      <c r="V76" s="39">
        <f t="shared" ca="1" si="12"/>
        <v>1.0546013872003426E-2</v>
      </c>
      <c r="W76" s="48">
        <f t="shared" ca="1" si="13"/>
        <v>8.8817216062912818E-2</v>
      </c>
    </row>
    <row r="77" spans="17:23" x14ac:dyDescent="0.2">
      <c r="Q77">
        <f t="shared" si="7"/>
        <v>61</v>
      </c>
      <c r="R77" s="48">
        <f t="shared" ca="1" si="8"/>
        <v>0.5</v>
      </c>
      <c r="S77">
        <f t="shared" ca="1" si="9"/>
        <v>206.26528858627157</v>
      </c>
      <c r="T77" s="61">
        <f t="shared" ca="1" si="10"/>
        <v>24000</v>
      </c>
      <c r="U77" s="61">
        <f t="shared" ca="1" si="11"/>
        <v>30506.115434508625</v>
      </c>
      <c r="V77" s="39">
        <f t="shared" ca="1" si="12"/>
        <v>0.20069812785860938</v>
      </c>
      <c r="W77" s="48">
        <f t="shared" ca="1" si="13"/>
        <v>3.4085589184203453</v>
      </c>
    </row>
    <row r="78" spans="17:23" x14ac:dyDescent="0.2">
      <c r="Q78">
        <f t="shared" si="7"/>
        <v>62</v>
      </c>
      <c r="R78" s="48">
        <f t="shared" ca="1" si="8"/>
        <v>0.3</v>
      </c>
      <c r="S78">
        <f t="shared" ca="1" si="9"/>
        <v>138.69578447114912</v>
      </c>
      <c r="T78" s="61">
        <f t="shared" ca="1" si="10"/>
        <v>14400</v>
      </c>
      <c r="U78" s="61">
        <f t="shared" ca="1" si="11"/>
        <v>-14330.360696156491</v>
      </c>
      <c r="V78" s="39">
        <f t="shared" ca="1" si="12"/>
        <v>-9.4278688790503232E-2</v>
      </c>
      <c r="W78" s="48">
        <f t="shared" ca="1" si="13"/>
        <v>-0.55210283490170453</v>
      </c>
    </row>
    <row r="79" spans="17:23" x14ac:dyDescent="0.2">
      <c r="Q79">
        <f t="shared" si="7"/>
        <v>63</v>
      </c>
      <c r="R79" s="48">
        <f t="shared" ca="1" si="8"/>
        <v>0.3</v>
      </c>
      <c r="S79">
        <f t="shared" ca="1" si="9"/>
        <v>149.35060162431586</v>
      </c>
      <c r="T79" s="61">
        <f t="shared" ca="1" si="10"/>
        <v>14400</v>
      </c>
      <c r="U79" s="61">
        <f t="shared" ca="1" si="11"/>
        <v>-8363.663090383121</v>
      </c>
      <c r="V79" s="39">
        <f t="shared" ca="1" si="12"/>
        <v>-5.5024099278836322E-2</v>
      </c>
      <c r="W79" s="48">
        <f t="shared" ca="1" si="13"/>
        <v>-0.36811967235415588</v>
      </c>
    </row>
    <row r="80" spans="17:23" x14ac:dyDescent="0.2">
      <c r="Q80">
        <f t="shared" si="7"/>
        <v>64</v>
      </c>
      <c r="R80" s="48">
        <f t="shared" ca="1" si="8"/>
        <v>0.35</v>
      </c>
      <c r="S80">
        <f t="shared" ca="1" si="9"/>
        <v>201.09144836798615</v>
      </c>
      <c r="T80" s="61">
        <f t="shared" ca="1" si="10"/>
        <v>16800</v>
      </c>
      <c r="U80" s="61">
        <f t="shared" ca="1" si="11"/>
        <v>22567.553151352797</v>
      </c>
      <c r="V80" s="39">
        <f t="shared" ca="1" si="12"/>
        <v>0.14847074441679473</v>
      </c>
      <c r="W80" s="48">
        <f t="shared" ca="1" si="13"/>
        <v>2.0735443648452838</v>
      </c>
    </row>
    <row r="81" spans="17:23" x14ac:dyDescent="0.2">
      <c r="Q81">
        <f t="shared" si="7"/>
        <v>65</v>
      </c>
      <c r="R81" s="48">
        <f t="shared" ca="1" si="8"/>
        <v>0.217</v>
      </c>
      <c r="S81">
        <f t="shared" ca="1" si="9"/>
        <v>199.01966743142401</v>
      </c>
      <c r="T81" s="61">
        <f t="shared" ca="1" si="10"/>
        <v>10416</v>
      </c>
      <c r="U81" s="61">
        <f t="shared" ca="1" si="11"/>
        <v>16065.919679044</v>
      </c>
      <c r="V81" s="39">
        <f t="shared" ca="1" si="12"/>
        <v>0.10569683999371053</v>
      </c>
      <c r="W81" s="48">
        <f t="shared" ca="1" si="13"/>
        <v>1.2591080302796147</v>
      </c>
    </row>
    <row r="82" spans="17:23" x14ac:dyDescent="0.2">
      <c r="Q82">
        <f t="shared" si="7"/>
        <v>66</v>
      </c>
      <c r="R82" s="48">
        <f t="shared" ca="1" si="8"/>
        <v>0.3</v>
      </c>
      <c r="S82">
        <f t="shared" ca="1" si="9"/>
        <v>175.92110665438685</v>
      </c>
      <c r="T82" s="61">
        <f t="shared" ca="1" si="10"/>
        <v>14400</v>
      </c>
      <c r="U82" s="61">
        <f t="shared" ca="1" si="11"/>
        <v>6515.8197264566343</v>
      </c>
      <c r="V82" s="39">
        <f t="shared" ca="1" si="12"/>
        <v>4.2867235042477858E-2</v>
      </c>
      <c r="W82" s="48">
        <f t="shared" ca="1" si="13"/>
        <v>0.40558667228389034</v>
      </c>
    </row>
    <row r="83" spans="17:23" x14ac:dyDescent="0.2">
      <c r="Q83">
        <f t="shared" ref="Q83:Q146" si="22">Q82+1</f>
        <v>67</v>
      </c>
      <c r="R83" s="48">
        <f t="shared" ref="R83:R146" ca="1" si="23">LOOKUP(RAND(),$U$6:$U$12,$S$6:$S$12)</f>
        <v>0.3</v>
      </c>
      <c r="S83">
        <f t="shared" ref="S83:S146" ca="1" si="24">_xlfn.NORM.INV(RAND(),$Q$5,$Q$10)</f>
        <v>187.0268675123462</v>
      </c>
      <c r="T83" s="61">
        <f t="shared" ref="T83:T146" ca="1" si="25">($B$8-$B$7)*($E$6*R83)</f>
        <v>14400</v>
      </c>
      <c r="U83" s="61">
        <f t="shared" ref="U83:U146" ca="1" si="26">T83+((S83-$B$7)*($E$6*(1-R83)))</f>
        <v>12735.045806913873</v>
      </c>
      <c r="V83" s="39">
        <f t="shared" ref="V83:V146" ca="1" si="27">U83/$E$4</f>
        <v>8.3783196098117588E-2</v>
      </c>
      <c r="W83" s="48">
        <f t="shared" ref="W83:W146" ca="1" si="28">(1+V83)^($J$29/$J$30)-1</f>
        <v>0.92053309221305613</v>
      </c>
    </row>
    <row r="84" spans="17:23" x14ac:dyDescent="0.2">
      <c r="Q84">
        <f t="shared" si="22"/>
        <v>68</v>
      </c>
      <c r="R84" s="48">
        <f t="shared" ca="1" si="23"/>
        <v>0.3</v>
      </c>
      <c r="S84">
        <f t="shared" ca="1" si="24"/>
        <v>192.74803235110349</v>
      </c>
      <c r="T84" s="61">
        <f t="shared" ca="1" si="25"/>
        <v>14400</v>
      </c>
      <c r="U84" s="61">
        <f t="shared" ca="1" si="26"/>
        <v>15938.898116617955</v>
      </c>
      <c r="V84" s="39">
        <f t="shared" ca="1" si="27"/>
        <v>0.10486117181985496</v>
      </c>
      <c r="W84" s="48">
        <f t="shared" ca="1" si="28"/>
        <v>1.2452962925556785</v>
      </c>
    </row>
    <row r="85" spans="17:23" x14ac:dyDescent="0.2">
      <c r="Q85">
        <f t="shared" si="22"/>
        <v>69</v>
      </c>
      <c r="R85" s="48">
        <f t="shared" ca="1" si="23"/>
        <v>0.35</v>
      </c>
      <c r="S85">
        <f t="shared" ca="1" si="24"/>
        <v>206.67237426450805</v>
      </c>
      <c r="T85" s="61">
        <f t="shared" ca="1" si="25"/>
        <v>16800</v>
      </c>
      <c r="U85" s="61">
        <f t="shared" ca="1" si="26"/>
        <v>25469.634617544187</v>
      </c>
      <c r="V85" s="39">
        <f t="shared" ca="1" si="27"/>
        <v>0.16756338564173806</v>
      </c>
      <c r="W85" s="48">
        <f t="shared" ca="1" si="28"/>
        <v>2.5133332445568404</v>
      </c>
    </row>
    <row r="86" spans="17:23" x14ac:dyDescent="0.2">
      <c r="Q86">
        <f t="shared" si="22"/>
        <v>70</v>
      </c>
      <c r="R86" s="48">
        <f t="shared" ca="1" si="23"/>
        <v>0.3</v>
      </c>
      <c r="S86">
        <f t="shared" ca="1" si="24"/>
        <v>194.78098927600195</v>
      </c>
      <c r="T86" s="61">
        <f t="shared" ca="1" si="25"/>
        <v>14400</v>
      </c>
      <c r="U86" s="61">
        <f t="shared" ca="1" si="26"/>
        <v>17077.35399456109</v>
      </c>
      <c r="V86" s="39">
        <f t="shared" ca="1" si="27"/>
        <v>0.11235101312211243</v>
      </c>
      <c r="W86" s="48">
        <f t="shared" ca="1" si="28"/>
        <v>1.3717713651765617</v>
      </c>
    </row>
    <row r="87" spans="17:23" x14ac:dyDescent="0.2">
      <c r="Q87">
        <f t="shared" si="22"/>
        <v>71</v>
      </c>
      <c r="R87" s="48">
        <f t="shared" ca="1" si="23"/>
        <v>0.3</v>
      </c>
      <c r="S87">
        <f t="shared" ca="1" si="24"/>
        <v>201.05672899205982</v>
      </c>
      <c r="T87" s="61">
        <f t="shared" ca="1" si="25"/>
        <v>14400</v>
      </c>
      <c r="U87" s="61">
        <f t="shared" ca="1" si="26"/>
        <v>20591.7682355535</v>
      </c>
      <c r="V87" s="39">
        <f t="shared" ca="1" si="27"/>
        <v>0.13547215944443092</v>
      </c>
      <c r="W87" s="48">
        <f t="shared" ca="1" si="28"/>
        <v>1.8024807823729034</v>
      </c>
    </row>
    <row r="88" spans="17:23" x14ac:dyDescent="0.2">
      <c r="Q88">
        <f t="shared" si="22"/>
        <v>72</v>
      </c>
      <c r="R88" s="48">
        <f t="shared" ca="1" si="23"/>
        <v>0.3</v>
      </c>
      <c r="S88">
        <f t="shared" ca="1" si="24"/>
        <v>216.87345815447395</v>
      </c>
      <c r="T88" s="61">
        <f t="shared" ca="1" si="25"/>
        <v>14400</v>
      </c>
      <c r="U88" s="61">
        <f t="shared" ca="1" si="26"/>
        <v>29449.136566505411</v>
      </c>
      <c r="V88" s="39">
        <f t="shared" ca="1" si="27"/>
        <v>0.19374431951648297</v>
      </c>
      <c r="W88" s="48">
        <f t="shared" ca="1" si="28"/>
        <v>3.2056802005398239</v>
      </c>
    </row>
    <row r="89" spans="17:23" x14ac:dyDescent="0.2">
      <c r="Q89">
        <f t="shared" si="22"/>
        <v>73</v>
      </c>
      <c r="R89" s="48">
        <f t="shared" ca="1" si="23"/>
        <v>0.3</v>
      </c>
      <c r="S89">
        <f t="shared" ca="1" si="24"/>
        <v>222.33770489343939</v>
      </c>
      <c r="T89" s="61">
        <f t="shared" ca="1" si="25"/>
        <v>14400</v>
      </c>
      <c r="U89" s="61">
        <f t="shared" ca="1" si="26"/>
        <v>32509.114740326062</v>
      </c>
      <c r="V89" s="39">
        <f t="shared" ca="1" si="27"/>
        <v>0.2138757548705662</v>
      </c>
      <c r="W89" s="48">
        <f t="shared" ca="1" si="28"/>
        <v>3.8166666476320907</v>
      </c>
    </row>
    <row r="90" spans="17:23" x14ac:dyDescent="0.2">
      <c r="Q90">
        <f t="shared" si="22"/>
        <v>74</v>
      </c>
      <c r="R90" s="48">
        <f t="shared" ca="1" si="23"/>
        <v>0.35</v>
      </c>
      <c r="S90">
        <f t="shared" ca="1" si="24"/>
        <v>183.04245592982437</v>
      </c>
      <c r="T90" s="61">
        <f t="shared" ca="1" si="25"/>
        <v>16800</v>
      </c>
      <c r="U90" s="61">
        <f t="shared" ca="1" si="26"/>
        <v>13182.077083508673</v>
      </c>
      <c r="V90" s="39">
        <f t="shared" ca="1" si="27"/>
        <v>8.6724191338872852E-2</v>
      </c>
      <c r="W90" s="48">
        <f t="shared" ca="1" si="28"/>
        <v>0.96321533926234948</v>
      </c>
    </row>
    <row r="91" spans="17:23" x14ac:dyDescent="0.2">
      <c r="Q91">
        <f t="shared" si="22"/>
        <v>75</v>
      </c>
      <c r="R91" s="48">
        <f t="shared" ca="1" si="23"/>
        <v>0.35</v>
      </c>
      <c r="S91">
        <f t="shared" ca="1" si="24"/>
        <v>190.35839718680521</v>
      </c>
      <c r="T91" s="61">
        <f t="shared" ca="1" si="25"/>
        <v>16800</v>
      </c>
      <c r="U91" s="61">
        <f t="shared" ca="1" si="26"/>
        <v>16986.366537138707</v>
      </c>
      <c r="V91" s="39">
        <f t="shared" ca="1" si="27"/>
        <v>0.11175241142854413</v>
      </c>
      <c r="W91" s="48">
        <f t="shared" ca="1" si="28"/>
        <v>1.3614385562184137</v>
      </c>
    </row>
    <row r="92" spans="17:23" x14ac:dyDescent="0.2">
      <c r="Q92">
        <f t="shared" si="22"/>
        <v>76</v>
      </c>
      <c r="R92" s="48">
        <f t="shared" ca="1" si="23"/>
        <v>0.3</v>
      </c>
      <c r="S92">
        <f t="shared" ca="1" si="24"/>
        <v>181.40927966123243</v>
      </c>
      <c r="T92" s="61">
        <f t="shared" ca="1" si="25"/>
        <v>14400</v>
      </c>
      <c r="U92" s="61">
        <f t="shared" ca="1" si="26"/>
        <v>9589.1966102901624</v>
      </c>
      <c r="V92" s="39">
        <f t="shared" ca="1" si="27"/>
        <v>6.3086819804540548E-2</v>
      </c>
      <c r="W92" s="48">
        <f t="shared" ca="1" si="28"/>
        <v>0.64248704126137501</v>
      </c>
    </row>
    <row r="93" spans="17:23" x14ac:dyDescent="0.2">
      <c r="Q93">
        <f t="shared" si="22"/>
        <v>77</v>
      </c>
      <c r="R93" s="48">
        <f t="shared" ca="1" si="23"/>
        <v>0.3</v>
      </c>
      <c r="S93">
        <f t="shared" ca="1" si="24"/>
        <v>180.71083467613661</v>
      </c>
      <c r="T93" s="61">
        <f t="shared" ca="1" si="25"/>
        <v>14400</v>
      </c>
      <c r="U93" s="61">
        <f t="shared" ca="1" si="26"/>
        <v>9198.0674186365031</v>
      </c>
      <c r="V93" s="39">
        <f t="shared" ca="1" si="27"/>
        <v>6.0513601438398047E-2</v>
      </c>
      <c r="W93" s="48">
        <f t="shared" ca="1" si="28"/>
        <v>0.61051613796086368</v>
      </c>
    </row>
    <row r="94" spans="17:23" x14ac:dyDescent="0.2">
      <c r="Q94">
        <f t="shared" si="22"/>
        <v>78</v>
      </c>
      <c r="R94" s="48">
        <f t="shared" ca="1" si="23"/>
        <v>0.3</v>
      </c>
      <c r="S94">
        <f t="shared" ca="1" si="24"/>
        <v>196.66403142561293</v>
      </c>
      <c r="T94" s="61">
        <f t="shared" ca="1" si="25"/>
        <v>14400</v>
      </c>
      <c r="U94" s="61">
        <f t="shared" ca="1" si="26"/>
        <v>18131.857598343242</v>
      </c>
      <c r="V94" s="39">
        <f t="shared" ca="1" si="27"/>
        <v>0.11928853683120554</v>
      </c>
      <c r="W94" s="48">
        <f t="shared" ca="1" si="28"/>
        <v>1.4944479942990991</v>
      </c>
    </row>
    <row r="95" spans="17:23" x14ac:dyDescent="0.2">
      <c r="Q95">
        <f t="shared" si="22"/>
        <v>79</v>
      </c>
      <c r="R95" s="48">
        <f t="shared" ca="1" si="23"/>
        <v>0.3</v>
      </c>
      <c r="S95">
        <f t="shared" ca="1" si="24"/>
        <v>174.48477703409031</v>
      </c>
      <c r="T95" s="61">
        <f t="shared" ca="1" si="25"/>
        <v>14400</v>
      </c>
      <c r="U95" s="61">
        <f t="shared" ca="1" si="26"/>
        <v>5711.4751390905767</v>
      </c>
      <c r="V95" s="39">
        <f t="shared" ca="1" si="27"/>
        <v>3.7575494336122214E-2</v>
      </c>
      <c r="W95" s="48">
        <f t="shared" ca="1" si="28"/>
        <v>0.34876912196858068</v>
      </c>
    </row>
    <row r="96" spans="17:23" x14ac:dyDescent="0.2">
      <c r="Q96">
        <f t="shared" si="22"/>
        <v>80</v>
      </c>
      <c r="R96" s="48">
        <f t="shared" ca="1" si="23"/>
        <v>0.35</v>
      </c>
      <c r="S96">
        <f t="shared" ca="1" si="24"/>
        <v>173.99479447199849</v>
      </c>
      <c r="T96" s="61">
        <f t="shared" ca="1" si="25"/>
        <v>16800</v>
      </c>
      <c r="U96" s="61">
        <f t="shared" ca="1" si="26"/>
        <v>8477.2931254392133</v>
      </c>
      <c r="V96" s="39">
        <f t="shared" ca="1" si="27"/>
        <v>5.5771665298942195E-2</v>
      </c>
      <c r="W96" s="48">
        <f t="shared" ca="1" si="28"/>
        <v>0.55302664632084819</v>
      </c>
    </row>
    <row r="97" spans="17:23" x14ac:dyDescent="0.2">
      <c r="Q97">
        <f t="shared" si="22"/>
        <v>81</v>
      </c>
      <c r="R97" s="48">
        <f t="shared" ca="1" si="23"/>
        <v>0.3</v>
      </c>
      <c r="S97">
        <f t="shared" ca="1" si="24"/>
        <v>202.91347408351473</v>
      </c>
      <c r="T97" s="61">
        <f t="shared" ca="1" si="25"/>
        <v>14400</v>
      </c>
      <c r="U97" s="61">
        <f t="shared" ca="1" si="26"/>
        <v>21631.545486768249</v>
      </c>
      <c r="V97" s="39">
        <f t="shared" ca="1" si="27"/>
        <v>0.14231279925505427</v>
      </c>
      <c r="W97" s="48">
        <f t="shared" ca="1" si="28"/>
        <v>1.9423945261899944</v>
      </c>
    </row>
    <row r="98" spans="17:23" x14ac:dyDescent="0.2">
      <c r="Q98">
        <f t="shared" si="22"/>
        <v>82</v>
      </c>
      <c r="R98" s="48">
        <f t="shared" ca="1" si="23"/>
        <v>0.3</v>
      </c>
      <c r="S98">
        <f t="shared" ca="1" si="24"/>
        <v>137.28550375089992</v>
      </c>
      <c r="T98" s="61">
        <f t="shared" ca="1" si="25"/>
        <v>14400</v>
      </c>
      <c r="U98" s="61">
        <f t="shared" ca="1" si="26"/>
        <v>-15120.117899496043</v>
      </c>
      <c r="V98" s="39">
        <f t="shared" ca="1" si="27"/>
        <v>-9.9474459865105544E-2</v>
      </c>
      <c r="W98" s="48">
        <f t="shared" ca="1" si="28"/>
        <v>-0.57252346550376476</v>
      </c>
    </row>
    <row r="99" spans="17:23" x14ac:dyDescent="0.2">
      <c r="Q99">
        <f t="shared" si="22"/>
        <v>83</v>
      </c>
      <c r="R99" s="48">
        <f t="shared" ca="1" si="23"/>
        <v>0.3</v>
      </c>
      <c r="S99">
        <f t="shared" ca="1" si="24"/>
        <v>138.80425482051788</v>
      </c>
      <c r="T99" s="61">
        <f t="shared" ca="1" si="25"/>
        <v>14400</v>
      </c>
      <c r="U99" s="61">
        <f t="shared" ca="1" si="26"/>
        <v>-14269.617300509984</v>
      </c>
      <c r="V99" s="39">
        <f t="shared" ca="1" si="27"/>
        <v>-9.3879061187565685E-2</v>
      </c>
      <c r="W99" s="48">
        <f t="shared" ca="1" si="28"/>
        <v>-0.55049736948073713</v>
      </c>
    </row>
    <row r="100" spans="17:23" x14ac:dyDescent="0.2">
      <c r="Q100">
        <f t="shared" si="22"/>
        <v>84</v>
      </c>
      <c r="R100" s="48">
        <f t="shared" ca="1" si="23"/>
        <v>0.3</v>
      </c>
      <c r="S100">
        <f t="shared" ca="1" si="24"/>
        <v>173.6173512718444</v>
      </c>
      <c r="T100" s="61">
        <f t="shared" ca="1" si="25"/>
        <v>14400</v>
      </c>
      <c r="U100" s="61">
        <f t="shared" ca="1" si="26"/>
        <v>5225.7167122328628</v>
      </c>
      <c r="V100" s="39">
        <f t="shared" ca="1" si="27"/>
        <v>3.4379715212058307E-2</v>
      </c>
      <c r="W100" s="48">
        <f t="shared" ca="1" si="28"/>
        <v>0.31544008571824289</v>
      </c>
    </row>
    <row r="101" spans="17:23" x14ac:dyDescent="0.2">
      <c r="Q101">
        <f t="shared" si="22"/>
        <v>85</v>
      </c>
      <c r="R101" s="48">
        <f t="shared" ca="1" si="23"/>
        <v>0.35</v>
      </c>
      <c r="S101">
        <f t="shared" ca="1" si="24"/>
        <v>204.6764622440011</v>
      </c>
      <c r="T101" s="61">
        <f t="shared" ca="1" si="25"/>
        <v>16800</v>
      </c>
      <c r="U101" s="61">
        <f t="shared" ca="1" si="26"/>
        <v>24431.760366880571</v>
      </c>
      <c r="V101" s="39">
        <f t="shared" ca="1" si="27"/>
        <v>0.16073526557158271</v>
      </c>
      <c r="W101" s="48">
        <f t="shared" ca="1" si="28"/>
        <v>2.3501018511883696</v>
      </c>
    </row>
    <row r="102" spans="17:23" x14ac:dyDescent="0.2">
      <c r="Q102">
        <f t="shared" si="22"/>
        <v>86</v>
      </c>
      <c r="R102" s="48">
        <f t="shared" ca="1" si="23"/>
        <v>0.35</v>
      </c>
      <c r="S102">
        <f t="shared" ca="1" si="24"/>
        <v>193.00726474955599</v>
      </c>
      <c r="T102" s="61">
        <f t="shared" ca="1" si="25"/>
        <v>16800</v>
      </c>
      <c r="U102" s="61">
        <f t="shared" ca="1" si="26"/>
        <v>18363.777669769112</v>
      </c>
      <c r="V102" s="39">
        <f t="shared" ca="1" si="27"/>
        <v>0.12081432677479678</v>
      </c>
      <c r="W102" s="48">
        <f t="shared" ca="1" si="28"/>
        <v>1.5221628870357899</v>
      </c>
    </row>
    <row r="103" spans="17:23" x14ac:dyDescent="0.2">
      <c r="Q103">
        <f t="shared" si="22"/>
        <v>87</v>
      </c>
      <c r="R103" s="48">
        <f t="shared" ca="1" si="23"/>
        <v>0.45</v>
      </c>
      <c r="S103">
        <f t="shared" ca="1" si="24"/>
        <v>188.1347829388493</v>
      </c>
      <c r="T103" s="61">
        <f t="shared" ca="1" si="25"/>
        <v>21600</v>
      </c>
      <c r="U103" s="61">
        <f t="shared" ca="1" si="26"/>
        <v>20779.304493093692</v>
      </c>
      <c r="V103" s="39">
        <f t="shared" ca="1" si="27"/>
        <v>0.13670595061245849</v>
      </c>
      <c r="W103" s="48">
        <f t="shared" ca="1" si="28"/>
        <v>1.8272759185157614</v>
      </c>
    </row>
    <row r="104" spans="17:23" x14ac:dyDescent="0.2">
      <c r="Q104">
        <f t="shared" si="22"/>
        <v>88</v>
      </c>
      <c r="R104" s="48">
        <f t="shared" ca="1" si="23"/>
        <v>0.4</v>
      </c>
      <c r="S104">
        <f t="shared" ca="1" si="24"/>
        <v>211.1387574251869</v>
      </c>
      <c r="T104" s="61">
        <f t="shared" ca="1" si="25"/>
        <v>19200</v>
      </c>
      <c r="U104" s="61">
        <f t="shared" ca="1" si="26"/>
        <v>29346.60356408971</v>
      </c>
      <c r="V104" s="39">
        <f t="shared" ca="1" si="27"/>
        <v>0.19306976029006387</v>
      </c>
      <c r="W104" s="48">
        <f t="shared" ca="1" si="28"/>
        <v>3.1864425105102354</v>
      </c>
    </row>
    <row r="105" spans="17:23" x14ac:dyDescent="0.2">
      <c r="Q105">
        <f t="shared" si="22"/>
        <v>89</v>
      </c>
      <c r="R105" s="48">
        <f t="shared" ca="1" si="23"/>
        <v>0.35</v>
      </c>
      <c r="S105">
        <f t="shared" ca="1" si="24"/>
        <v>166.00817517761217</v>
      </c>
      <c r="T105" s="61">
        <f t="shared" ca="1" si="25"/>
        <v>16800</v>
      </c>
      <c r="U105" s="61">
        <f t="shared" ca="1" si="26"/>
        <v>4324.2510923583304</v>
      </c>
      <c r="V105" s="39">
        <f t="shared" ca="1" si="27"/>
        <v>2.84490203444627E-2</v>
      </c>
      <c r="W105" s="48">
        <f t="shared" ca="1" si="28"/>
        <v>0.25549732455414853</v>
      </c>
    </row>
    <row r="106" spans="17:23" x14ac:dyDescent="0.2">
      <c r="Q106">
        <f t="shared" si="22"/>
        <v>90</v>
      </c>
      <c r="R106" s="48">
        <f t="shared" ca="1" si="23"/>
        <v>0.15</v>
      </c>
      <c r="S106">
        <f t="shared" ca="1" si="24"/>
        <v>207.62652824402474</v>
      </c>
      <c r="T106" s="61">
        <f t="shared" ca="1" si="25"/>
        <v>7200</v>
      </c>
      <c r="U106" s="61">
        <f t="shared" ca="1" si="26"/>
        <v>19186.039205936824</v>
      </c>
      <c r="V106" s="39">
        <f t="shared" ca="1" si="27"/>
        <v>0.1262239421443212</v>
      </c>
      <c r="W106" s="48">
        <f t="shared" ca="1" si="28"/>
        <v>1.6226125152012849</v>
      </c>
    </row>
    <row r="107" spans="17:23" x14ac:dyDescent="0.2">
      <c r="Q107">
        <f t="shared" si="22"/>
        <v>91</v>
      </c>
      <c r="R107" s="48">
        <f t="shared" ca="1" si="23"/>
        <v>0.5</v>
      </c>
      <c r="S107">
        <f t="shared" ca="1" si="24"/>
        <v>169.51429665406951</v>
      </c>
      <c r="T107" s="61">
        <f t="shared" ca="1" si="25"/>
        <v>24000</v>
      </c>
      <c r="U107" s="61">
        <f t="shared" ca="1" si="26"/>
        <v>15805.718661627805</v>
      </c>
      <c r="V107" s="39">
        <f t="shared" ca="1" si="27"/>
        <v>0.10398499119491977</v>
      </c>
      <c r="W107" s="48">
        <f t="shared" ca="1" si="28"/>
        <v>1.2308945301243752</v>
      </c>
    </row>
    <row r="108" spans="17:23" x14ac:dyDescent="0.2">
      <c r="Q108">
        <f t="shared" si="22"/>
        <v>92</v>
      </c>
      <c r="R108" s="48">
        <f t="shared" ca="1" si="23"/>
        <v>0.45</v>
      </c>
      <c r="S108">
        <f t="shared" ca="1" si="24"/>
        <v>156.34657050239676</v>
      </c>
      <c r="T108" s="61">
        <f t="shared" ca="1" si="25"/>
        <v>21600</v>
      </c>
      <c r="U108" s="61">
        <f t="shared" ca="1" si="26"/>
        <v>6792.4910210545713</v>
      </c>
      <c r="V108" s="39">
        <f t="shared" ca="1" si="27"/>
        <v>4.4687440927990603E-2</v>
      </c>
      <c r="W108" s="48">
        <f t="shared" ca="1" si="28"/>
        <v>0.42560951983232798</v>
      </c>
    </row>
    <row r="109" spans="17:23" x14ac:dyDescent="0.2">
      <c r="Q109">
        <f t="shared" si="22"/>
        <v>93</v>
      </c>
      <c r="R109" s="48">
        <f t="shared" ca="1" si="23"/>
        <v>0.45</v>
      </c>
      <c r="S109">
        <f t="shared" ca="1" si="24"/>
        <v>187.54825088718871</v>
      </c>
      <c r="T109" s="61">
        <f t="shared" ca="1" si="25"/>
        <v>21600</v>
      </c>
      <c r="U109" s="61">
        <f t="shared" ca="1" si="26"/>
        <v>20521.230390363035</v>
      </c>
      <c r="V109" s="39">
        <f t="shared" ca="1" si="27"/>
        <v>0.13500809467344102</v>
      </c>
      <c r="W109" s="48">
        <f t="shared" ca="1" si="28"/>
        <v>1.7932040702990886</v>
      </c>
    </row>
    <row r="110" spans="17:23" x14ac:dyDescent="0.2">
      <c r="Q110">
        <f t="shared" si="22"/>
        <v>94</v>
      </c>
      <c r="R110" s="48">
        <f t="shared" ca="1" si="23"/>
        <v>0.217</v>
      </c>
      <c r="S110">
        <f t="shared" ca="1" si="24"/>
        <v>215.56414962807898</v>
      </c>
      <c r="T110" s="61">
        <f t="shared" ca="1" si="25"/>
        <v>10416</v>
      </c>
      <c r="U110" s="61">
        <f t="shared" ca="1" si="26"/>
        <v>26429.38332702867</v>
      </c>
      <c r="V110" s="39">
        <f t="shared" ca="1" si="27"/>
        <v>0.17387752188834651</v>
      </c>
      <c r="W110" s="48">
        <f t="shared" ca="1" si="28"/>
        <v>2.6704402416070767</v>
      </c>
    </row>
    <row r="111" spans="17:23" x14ac:dyDescent="0.2">
      <c r="Q111">
        <f t="shared" si="22"/>
        <v>95</v>
      </c>
      <c r="R111" s="48">
        <f t="shared" ca="1" si="23"/>
        <v>0.35</v>
      </c>
      <c r="S111">
        <f t="shared" ca="1" si="24"/>
        <v>150.60735573535891</v>
      </c>
      <c r="T111" s="61">
        <f t="shared" ca="1" si="25"/>
        <v>16800</v>
      </c>
      <c r="U111" s="61">
        <f t="shared" ca="1" si="26"/>
        <v>-3684.1750176133683</v>
      </c>
      <c r="V111" s="39">
        <f t="shared" ca="1" si="27"/>
        <v>-2.4237993536930055E-2</v>
      </c>
      <c r="W111" s="48">
        <f t="shared" ca="1" si="28"/>
        <v>-0.18046553903913964</v>
      </c>
    </row>
    <row r="112" spans="17:23" x14ac:dyDescent="0.2">
      <c r="Q112">
        <f t="shared" si="22"/>
        <v>96</v>
      </c>
      <c r="R112" s="48">
        <f t="shared" ca="1" si="23"/>
        <v>0.35</v>
      </c>
      <c r="S112">
        <f t="shared" ca="1" si="24"/>
        <v>177.07942894837487</v>
      </c>
      <c r="T112" s="61">
        <f t="shared" ca="1" si="25"/>
        <v>16800</v>
      </c>
      <c r="U112" s="61">
        <f t="shared" ca="1" si="26"/>
        <v>10081.303053154932</v>
      </c>
      <c r="V112" s="39">
        <f t="shared" ca="1" si="27"/>
        <v>6.6324362191808761E-2</v>
      </c>
      <c r="W112" s="48">
        <f t="shared" ca="1" si="28"/>
        <v>0.68350134385834971</v>
      </c>
    </row>
    <row r="113" spans="17:23" x14ac:dyDescent="0.2">
      <c r="Q113">
        <f t="shared" si="22"/>
        <v>97</v>
      </c>
      <c r="R113" s="48">
        <f t="shared" ca="1" si="23"/>
        <v>0.35</v>
      </c>
      <c r="S113">
        <f t="shared" ca="1" si="24"/>
        <v>197.04229896910562</v>
      </c>
      <c r="T113" s="61">
        <f t="shared" ca="1" si="25"/>
        <v>16800</v>
      </c>
      <c r="U113" s="61">
        <f t="shared" ca="1" si="26"/>
        <v>20461.99546393492</v>
      </c>
      <c r="V113" s="39">
        <f t="shared" ca="1" si="27"/>
        <v>0.13461839121009817</v>
      </c>
      <c r="W113" s="48">
        <f t="shared" ca="1" si="28"/>
        <v>1.7854346576887061</v>
      </c>
    </row>
    <row r="114" spans="17:23" x14ac:dyDescent="0.2">
      <c r="Q114">
        <f t="shared" si="22"/>
        <v>98</v>
      </c>
      <c r="R114" s="48">
        <f t="shared" ca="1" si="23"/>
        <v>0.4</v>
      </c>
      <c r="S114">
        <f t="shared" ca="1" si="24"/>
        <v>184.6937490457064</v>
      </c>
      <c r="T114" s="61">
        <f t="shared" ca="1" si="25"/>
        <v>19200</v>
      </c>
      <c r="U114" s="61">
        <f t="shared" ca="1" si="26"/>
        <v>16652.999541939069</v>
      </c>
      <c r="V114" s="39">
        <f t="shared" ca="1" si="27"/>
        <v>0.10955920751275704</v>
      </c>
      <c r="W114" s="48">
        <f t="shared" ca="1" si="28"/>
        <v>1.3239167906294234</v>
      </c>
    </row>
    <row r="115" spans="17:23" x14ac:dyDescent="0.2">
      <c r="Q115">
        <f t="shared" si="22"/>
        <v>99</v>
      </c>
      <c r="R115" s="48">
        <f t="shared" ca="1" si="23"/>
        <v>0.3</v>
      </c>
      <c r="S115">
        <f t="shared" ca="1" si="24"/>
        <v>195.6676922609528</v>
      </c>
      <c r="T115" s="61">
        <f t="shared" ca="1" si="25"/>
        <v>14400</v>
      </c>
      <c r="U115" s="61">
        <f t="shared" ca="1" si="26"/>
        <v>17573.907666133571</v>
      </c>
      <c r="V115" s="39">
        <f t="shared" ca="1" si="27"/>
        <v>0.11561781359298402</v>
      </c>
      <c r="W115" s="48">
        <f t="shared" ca="1" si="28"/>
        <v>1.4288629782178086</v>
      </c>
    </row>
    <row r="116" spans="17:23" x14ac:dyDescent="0.2">
      <c r="Q116">
        <f t="shared" si="22"/>
        <v>100</v>
      </c>
      <c r="R116" s="48">
        <f t="shared" ca="1" si="23"/>
        <v>0.217</v>
      </c>
      <c r="S116">
        <f t="shared" ca="1" si="24"/>
        <v>232.42191056816253</v>
      </c>
      <c r="T116" s="61">
        <f t="shared" ca="1" si="25"/>
        <v>10416</v>
      </c>
      <c r="U116" s="61">
        <f t="shared" ca="1" si="26"/>
        <v>36989.084779897006</v>
      </c>
      <c r="V116" s="39">
        <f t="shared" ca="1" si="27"/>
        <v>0.24334924197300661</v>
      </c>
      <c r="W116" s="48">
        <f t="shared" ca="1" si="28"/>
        <v>4.8513411512011562</v>
      </c>
    </row>
    <row r="117" spans="17:23" x14ac:dyDescent="0.2">
      <c r="Q117">
        <f t="shared" si="22"/>
        <v>101</v>
      </c>
      <c r="R117" s="48">
        <f t="shared" ca="1" si="23"/>
        <v>0.15</v>
      </c>
      <c r="S117">
        <f t="shared" ca="1" si="24"/>
        <v>199.99051120362321</v>
      </c>
      <c r="T117" s="61">
        <f t="shared" ca="1" si="25"/>
        <v>7200</v>
      </c>
      <c r="U117" s="61">
        <f t="shared" ca="1" si="26"/>
        <v>13993.547618463785</v>
      </c>
      <c r="V117" s="39">
        <f t="shared" ca="1" si="27"/>
        <v>9.2062813279367009E-2</v>
      </c>
      <c r="W117" s="48">
        <f t="shared" ca="1" si="28"/>
        <v>1.042822751901205</v>
      </c>
    </row>
    <row r="118" spans="17:23" x14ac:dyDescent="0.2">
      <c r="Q118">
        <f t="shared" si="22"/>
        <v>102</v>
      </c>
      <c r="R118" s="48">
        <f t="shared" ca="1" si="23"/>
        <v>0.45</v>
      </c>
      <c r="S118">
        <f t="shared" ca="1" si="24"/>
        <v>221.99028655459517</v>
      </c>
      <c r="T118" s="61">
        <f t="shared" ca="1" si="25"/>
        <v>21600</v>
      </c>
      <c r="U118" s="61">
        <f t="shared" ca="1" si="26"/>
        <v>35675.726084021881</v>
      </c>
      <c r="V118" s="39">
        <f t="shared" ca="1" si="27"/>
        <v>0.23470872423698605</v>
      </c>
      <c r="W118" s="48">
        <f t="shared" ca="1" si="28"/>
        <v>4.5295522942669431</v>
      </c>
    </row>
    <row r="119" spans="17:23" x14ac:dyDescent="0.2">
      <c r="Q119">
        <f t="shared" si="22"/>
        <v>103</v>
      </c>
      <c r="R119" s="48">
        <f t="shared" ca="1" si="23"/>
        <v>0.3</v>
      </c>
      <c r="S119">
        <f t="shared" ca="1" si="24"/>
        <v>195.7080588915955</v>
      </c>
      <c r="T119" s="61">
        <f t="shared" ca="1" si="25"/>
        <v>14400</v>
      </c>
      <c r="U119" s="61">
        <f t="shared" ca="1" si="26"/>
        <v>17596.512979293479</v>
      </c>
      <c r="V119" s="39">
        <f t="shared" ca="1" si="27"/>
        <v>0.11576653275850973</v>
      </c>
      <c r="W119" s="48">
        <f t="shared" ca="1" si="28"/>
        <v>1.4314904660838641</v>
      </c>
    </row>
    <row r="120" spans="17:23" x14ac:dyDescent="0.2">
      <c r="Q120">
        <f t="shared" si="22"/>
        <v>104</v>
      </c>
      <c r="R120" s="48">
        <f t="shared" ca="1" si="23"/>
        <v>0.4</v>
      </c>
      <c r="S120">
        <f t="shared" ca="1" si="24"/>
        <v>185.64451237087843</v>
      </c>
      <c r="T120" s="61">
        <f t="shared" ca="1" si="25"/>
        <v>19200</v>
      </c>
      <c r="U120" s="61">
        <f t="shared" ca="1" si="26"/>
        <v>17109.365938021649</v>
      </c>
      <c r="V120" s="39">
        <f t="shared" ca="1" si="27"/>
        <v>0.11256161801330032</v>
      </c>
      <c r="W120" s="48">
        <f t="shared" ca="1" si="28"/>
        <v>1.3754161521085715</v>
      </c>
    </row>
    <row r="121" spans="17:23" x14ac:dyDescent="0.2">
      <c r="Q121">
        <f t="shared" si="22"/>
        <v>105</v>
      </c>
      <c r="R121" s="48">
        <f t="shared" ca="1" si="23"/>
        <v>0.35</v>
      </c>
      <c r="S121">
        <f t="shared" ca="1" si="24"/>
        <v>181.85641036770718</v>
      </c>
      <c r="T121" s="61">
        <f t="shared" ca="1" si="25"/>
        <v>16800</v>
      </c>
      <c r="U121" s="61">
        <f t="shared" ca="1" si="26"/>
        <v>12565.333391207736</v>
      </c>
      <c r="V121" s="39">
        <f t="shared" ca="1" si="27"/>
        <v>8.2666667047419318E-2</v>
      </c>
      <c r="W121" s="48">
        <f t="shared" ca="1" si="28"/>
        <v>0.90454342697403889</v>
      </c>
    </row>
    <row r="122" spans="17:23" x14ac:dyDescent="0.2">
      <c r="Q122">
        <f t="shared" si="22"/>
        <v>106</v>
      </c>
      <c r="R122" s="48">
        <f t="shared" ca="1" si="23"/>
        <v>0.4</v>
      </c>
      <c r="S122">
        <f t="shared" ca="1" si="24"/>
        <v>188.52573107687226</v>
      </c>
      <c r="T122" s="61">
        <f t="shared" ca="1" si="25"/>
        <v>19200</v>
      </c>
      <c r="U122" s="61">
        <f t="shared" ca="1" si="26"/>
        <v>18492.350916898686</v>
      </c>
      <c r="V122" s="39">
        <f t="shared" ca="1" si="27"/>
        <v>0.12166020340064924</v>
      </c>
      <c r="W122" s="48">
        <f t="shared" ca="1" si="28"/>
        <v>1.5376436525812833</v>
      </c>
    </row>
    <row r="123" spans="17:23" x14ac:dyDescent="0.2">
      <c r="Q123">
        <f t="shared" si="22"/>
        <v>107</v>
      </c>
      <c r="R123" s="48">
        <f t="shared" ca="1" si="23"/>
        <v>0.3</v>
      </c>
      <c r="S123">
        <f t="shared" ca="1" si="24"/>
        <v>212.93653925503205</v>
      </c>
      <c r="T123" s="61">
        <f t="shared" ca="1" si="25"/>
        <v>14400</v>
      </c>
      <c r="U123" s="61">
        <f t="shared" ca="1" si="26"/>
        <v>27244.461982817946</v>
      </c>
      <c r="V123" s="39">
        <f t="shared" ca="1" si="27"/>
        <v>0.17923988146590752</v>
      </c>
      <c r="W123" s="48">
        <f t="shared" ca="1" si="28"/>
        <v>2.8086675255969973</v>
      </c>
    </row>
    <row r="124" spans="17:23" x14ac:dyDescent="0.2">
      <c r="Q124">
        <f t="shared" si="22"/>
        <v>108</v>
      </c>
      <c r="R124" s="48">
        <f t="shared" ca="1" si="23"/>
        <v>0.3</v>
      </c>
      <c r="S124">
        <f t="shared" ca="1" si="24"/>
        <v>179.53229283709646</v>
      </c>
      <c r="T124" s="61">
        <f t="shared" ca="1" si="25"/>
        <v>14400</v>
      </c>
      <c r="U124" s="61">
        <f t="shared" ca="1" si="26"/>
        <v>8538.0839887740185</v>
      </c>
      <c r="V124" s="39">
        <f t="shared" ca="1" si="27"/>
        <v>5.6171605189302753E-2</v>
      </c>
      <c r="W124" s="48">
        <f t="shared" ca="1" si="28"/>
        <v>0.55780489758409924</v>
      </c>
    </row>
    <row r="125" spans="17:23" x14ac:dyDescent="0.2">
      <c r="Q125">
        <f t="shared" si="22"/>
        <v>109</v>
      </c>
      <c r="R125" s="48">
        <f t="shared" ca="1" si="23"/>
        <v>0.45</v>
      </c>
      <c r="S125">
        <f t="shared" ca="1" si="24"/>
        <v>199.97111299028506</v>
      </c>
      <c r="T125" s="61">
        <f t="shared" ca="1" si="25"/>
        <v>21600</v>
      </c>
      <c r="U125" s="61">
        <f t="shared" ca="1" si="26"/>
        <v>25987.28971572543</v>
      </c>
      <c r="V125" s="39">
        <f t="shared" ca="1" si="27"/>
        <v>0.17096901128766731</v>
      </c>
      <c r="W125" s="48">
        <f t="shared" ca="1" si="28"/>
        <v>2.5973224800421066</v>
      </c>
    </row>
    <row r="126" spans="17:23" x14ac:dyDescent="0.2">
      <c r="Q126">
        <f t="shared" si="22"/>
        <v>110</v>
      </c>
      <c r="R126" s="48">
        <f t="shared" ca="1" si="23"/>
        <v>0.4</v>
      </c>
      <c r="S126">
        <f t="shared" ca="1" si="24"/>
        <v>184.87104950956359</v>
      </c>
      <c r="T126" s="61">
        <f t="shared" ca="1" si="25"/>
        <v>19200</v>
      </c>
      <c r="U126" s="61">
        <f t="shared" ca="1" si="26"/>
        <v>16738.103764590523</v>
      </c>
      <c r="V126" s="39">
        <f t="shared" ca="1" si="27"/>
        <v>0.11011910371441135</v>
      </c>
      <c r="W126" s="48">
        <f t="shared" ca="1" si="28"/>
        <v>1.3334455698737395</v>
      </c>
    </row>
    <row r="127" spans="17:23" x14ac:dyDescent="0.2">
      <c r="Q127">
        <f t="shared" si="22"/>
        <v>111</v>
      </c>
      <c r="R127" s="48">
        <f t="shared" ca="1" si="23"/>
        <v>0.45</v>
      </c>
      <c r="S127">
        <f t="shared" ca="1" si="24"/>
        <v>216.32858849324015</v>
      </c>
      <c r="T127" s="61">
        <f t="shared" ca="1" si="25"/>
        <v>21600</v>
      </c>
      <c r="U127" s="61">
        <f t="shared" ca="1" si="26"/>
        <v>33184.578937025668</v>
      </c>
      <c r="V127" s="39">
        <f t="shared" ca="1" si="27"/>
        <v>0.21831959826990571</v>
      </c>
      <c r="W127" s="48">
        <f t="shared" ca="1" si="28"/>
        <v>3.9615671022748664</v>
      </c>
    </row>
    <row r="128" spans="17:23" x14ac:dyDescent="0.2">
      <c r="Q128">
        <f t="shared" si="22"/>
        <v>112</v>
      </c>
      <c r="R128" s="48">
        <f t="shared" ca="1" si="23"/>
        <v>0.3</v>
      </c>
      <c r="S128">
        <f t="shared" ca="1" si="24"/>
        <v>182.21439318840646</v>
      </c>
      <c r="T128" s="61">
        <f t="shared" ca="1" si="25"/>
        <v>14400</v>
      </c>
      <c r="U128" s="61">
        <f t="shared" ca="1" si="26"/>
        <v>10040.060185507618</v>
      </c>
      <c r="V128" s="39">
        <f t="shared" ca="1" si="27"/>
        <v>6.6053027536234335E-2</v>
      </c>
      <c r="W128" s="48">
        <f t="shared" ca="1" si="28"/>
        <v>0.68002984636731734</v>
      </c>
    </row>
    <row r="129" spans="17:23" x14ac:dyDescent="0.2">
      <c r="Q129">
        <f t="shared" si="22"/>
        <v>113</v>
      </c>
      <c r="R129" s="48">
        <f t="shared" ca="1" si="23"/>
        <v>0.217</v>
      </c>
      <c r="S129">
        <f t="shared" ca="1" si="24"/>
        <v>181.09807225586914</v>
      </c>
      <c r="T129" s="61">
        <f t="shared" ca="1" si="25"/>
        <v>10416</v>
      </c>
      <c r="U129" s="61">
        <f t="shared" ca="1" si="26"/>
        <v>4839.8324610764303</v>
      </c>
      <c r="V129" s="39">
        <f t="shared" ca="1" si="27"/>
        <v>3.1841003033397569E-2</v>
      </c>
      <c r="W129" s="48">
        <f t="shared" ca="1" si="28"/>
        <v>0.28948051914836936</v>
      </c>
    </row>
    <row r="130" spans="17:23" x14ac:dyDescent="0.2">
      <c r="Q130">
        <f t="shared" si="22"/>
        <v>114</v>
      </c>
      <c r="R130" s="48">
        <f t="shared" ca="1" si="23"/>
        <v>0.35</v>
      </c>
      <c r="S130">
        <f t="shared" ca="1" si="24"/>
        <v>186.29868226148497</v>
      </c>
      <c r="T130" s="61">
        <f t="shared" ca="1" si="25"/>
        <v>16800</v>
      </c>
      <c r="U130" s="61">
        <f t="shared" ca="1" si="26"/>
        <v>14875.314775972185</v>
      </c>
      <c r="V130" s="39">
        <f t="shared" ca="1" si="27"/>
        <v>9.7863912999817004E-2</v>
      </c>
      <c r="W130" s="48">
        <f t="shared" ca="1" si="28"/>
        <v>1.1325217522434197</v>
      </c>
    </row>
    <row r="131" spans="17:23" x14ac:dyDescent="0.2">
      <c r="Q131">
        <f t="shared" si="22"/>
        <v>115</v>
      </c>
      <c r="R131" s="48">
        <f t="shared" ca="1" si="23"/>
        <v>0.3</v>
      </c>
      <c r="S131">
        <f t="shared" ca="1" si="24"/>
        <v>179.8318699899279</v>
      </c>
      <c r="T131" s="61">
        <f t="shared" ca="1" si="25"/>
        <v>14400</v>
      </c>
      <c r="U131" s="61">
        <f t="shared" ca="1" si="26"/>
        <v>8705.8471943596214</v>
      </c>
      <c r="V131" s="39">
        <f t="shared" ca="1" si="27"/>
        <v>5.7275310489208038E-2</v>
      </c>
      <c r="W131" s="48">
        <f t="shared" ca="1" si="28"/>
        <v>0.57105826221414935</v>
      </c>
    </row>
    <row r="132" spans="17:23" x14ac:dyDescent="0.2">
      <c r="Q132">
        <f t="shared" si="22"/>
        <v>116</v>
      </c>
      <c r="R132" s="48">
        <f t="shared" ca="1" si="23"/>
        <v>0.4</v>
      </c>
      <c r="S132">
        <f t="shared" ca="1" si="24"/>
        <v>186.82875957949179</v>
      </c>
      <c r="T132" s="61">
        <f t="shared" ca="1" si="25"/>
        <v>19200</v>
      </c>
      <c r="U132" s="61">
        <f t="shared" ca="1" si="26"/>
        <v>17677.804598156057</v>
      </c>
      <c r="V132" s="39">
        <f t="shared" ca="1" si="27"/>
        <v>0.11630134604050038</v>
      </c>
      <c r="W132" s="48">
        <f t="shared" ca="1" si="28"/>
        <v>1.4409598564180044</v>
      </c>
    </row>
    <row r="133" spans="17:23" x14ac:dyDescent="0.2">
      <c r="Q133">
        <f t="shared" si="22"/>
        <v>117</v>
      </c>
      <c r="R133" s="48">
        <f t="shared" ca="1" si="23"/>
        <v>0.217</v>
      </c>
      <c r="S133">
        <f t="shared" ca="1" si="24"/>
        <v>156.99813052552562</v>
      </c>
      <c r="T133" s="61">
        <f t="shared" ca="1" si="25"/>
        <v>10416</v>
      </c>
      <c r="U133" s="61">
        <f t="shared" ca="1" si="26"/>
        <v>-10256.371038810747</v>
      </c>
      <c r="V133" s="39">
        <f t="shared" ca="1" si="27"/>
        <v>-6.7476125255333863E-2</v>
      </c>
      <c r="W133" s="48">
        <f t="shared" ca="1" si="28"/>
        <v>-0.43257487651509852</v>
      </c>
    </row>
    <row r="134" spans="17:23" x14ac:dyDescent="0.2">
      <c r="Q134">
        <f t="shared" si="22"/>
        <v>118</v>
      </c>
      <c r="R134" s="48">
        <f t="shared" ca="1" si="23"/>
        <v>0.35</v>
      </c>
      <c r="S134">
        <f t="shared" ca="1" si="24"/>
        <v>188.4877044710457</v>
      </c>
      <c r="T134" s="61">
        <f t="shared" ca="1" si="25"/>
        <v>16800</v>
      </c>
      <c r="U134" s="61">
        <f t="shared" ca="1" si="26"/>
        <v>16013.606324943765</v>
      </c>
      <c r="V134" s="39">
        <f t="shared" ca="1" si="27"/>
        <v>0.10535267319041951</v>
      </c>
      <c r="W134" s="48">
        <f t="shared" ca="1" si="28"/>
        <v>1.2534107228724602</v>
      </c>
    </row>
    <row r="135" spans="17:23" x14ac:dyDescent="0.2">
      <c r="Q135">
        <f t="shared" si="22"/>
        <v>119</v>
      </c>
      <c r="R135" s="48">
        <f t="shared" ca="1" si="23"/>
        <v>0.45</v>
      </c>
      <c r="S135">
        <f t="shared" ca="1" si="24"/>
        <v>191.95964061303616</v>
      </c>
      <c r="T135" s="61">
        <f t="shared" ca="1" si="25"/>
        <v>21600</v>
      </c>
      <c r="U135" s="61">
        <f t="shared" ca="1" si="26"/>
        <v>22462.24186973591</v>
      </c>
      <c r="V135" s="39">
        <f t="shared" ca="1" si="27"/>
        <v>0.14777790703773624</v>
      </c>
      <c r="W135" s="48">
        <f t="shared" ca="1" si="28"/>
        <v>2.0585371599260647</v>
      </c>
    </row>
    <row r="136" spans="17:23" x14ac:dyDescent="0.2">
      <c r="Q136">
        <f t="shared" si="22"/>
        <v>120</v>
      </c>
      <c r="R136" s="48">
        <f t="shared" ca="1" si="23"/>
        <v>0.35</v>
      </c>
      <c r="S136">
        <f t="shared" ca="1" si="24"/>
        <v>181.99906108974324</v>
      </c>
      <c r="T136" s="61">
        <f t="shared" ca="1" si="25"/>
        <v>16800</v>
      </c>
      <c r="U136" s="61">
        <f t="shared" ca="1" si="26"/>
        <v>12639.511766666483</v>
      </c>
      <c r="V136" s="39">
        <f t="shared" ca="1" si="27"/>
        <v>8.315468267543738E-2</v>
      </c>
      <c r="W136" s="48">
        <f t="shared" ca="1" si="28"/>
        <v>0.91151781827711065</v>
      </c>
    </row>
    <row r="137" spans="17:23" x14ac:dyDescent="0.2">
      <c r="Q137">
        <f t="shared" si="22"/>
        <v>121</v>
      </c>
      <c r="R137" s="48">
        <f t="shared" ca="1" si="23"/>
        <v>0.3</v>
      </c>
      <c r="S137">
        <f t="shared" ca="1" si="24"/>
        <v>198.04282891258106</v>
      </c>
      <c r="T137" s="61">
        <f t="shared" ca="1" si="25"/>
        <v>14400</v>
      </c>
      <c r="U137" s="61">
        <f t="shared" ca="1" si="26"/>
        <v>18903.984191045391</v>
      </c>
      <c r="V137" s="39">
        <f t="shared" ca="1" si="27"/>
        <v>0.12436831704635125</v>
      </c>
      <c r="W137" s="48">
        <f t="shared" ca="1" si="28"/>
        <v>1.5877678082213409</v>
      </c>
    </row>
    <row r="138" spans="17:23" x14ac:dyDescent="0.2">
      <c r="Q138">
        <f t="shared" si="22"/>
        <v>122</v>
      </c>
      <c r="R138" s="48">
        <f t="shared" ca="1" si="23"/>
        <v>0.3</v>
      </c>
      <c r="S138">
        <f t="shared" ca="1" si="24"/>
        <v>166.94040375696861</v>
      </c>
      <c r="T138" s="61">
        <f t="shared" ca="1" si="25"/>
        <v>14400</v>
      </c>
      <c r="U138" s="61">
        <f t="shared" ca="1" si="26"/>
        <v>1486.6261039024193</v>
      </c>
      <c r="V138" s="39">
        <f t="shared" ca="1" si="27"/>
        <v>9.7804348940948634E-3</v>
      </c>
      <c r="W138" s="48">
        <f t="shared" ca="1" si="28"/>
        <v>8.2144546352304948E-2</v>
      </c>
    </row>
    <row r="139" spans="17:23" x14ac:dyDescent="0.2">
      <c r="Q139">
        <f t="shared" si="22"/>
        <v>123</v>
      </c>
      <c r="R139" s="48">
        <f t="shared" ca="1" si="23"/>
        <v>0.3</v>
      </c>
      <c r="S139">
        <f t="shared" ca="1" si="24"/>
        <v>204.07595613071209</v>
      </c>
      <c r="T139" s="61">
        <f t="shared" ca="1" si="25"/>
        <v>14400</v>
      </c>
      <c r="U139" s="61">
        <f t="shared" ca="1" si="26"/>
        <v>22282.535433198769</v>
      </c>
      <c r="V139" s="39">
        <f t="shared" ca="1" si="27"/>
        <v>0.14659562784999189</v>
      </c>
      <c r="W139" s="48">
        <f t="shared" ca="1" si="28"/>
        <v>2.0330767057365273</v>
      </c>
    </row>
    <row r="140" spans="17:23" x14ac:dyDescent="0.2">
      <c r="Q140">
        <f t="shared" si="22"/>
        <v>124</v>
      </c>
      <c r="R140" s="48">
        <f t="shared" ca="1" si="23"/>
        <v>0.35</v>
      </c>
      <c r="S140">
        <f t="shared" ca="1" si="24"/>
        <v>196.38558056296651</v>
      </c>
      <c r="T140" s="61">
        <f t="shared" ca="1" si="25"/>
        <v>16800</v>
      </c>
      <c r="U140" s="61">
        <f t="shared" ca="1" si="26"/>
        <v>20120.501892742584</v>
      </c>
      <c r="V140" s="39">
        <f t="shared" ca="1" si="27"/>
        <v>0.13237172297856964</v>
      </c>
      <c r="W140" s="48">
        <f t="shared" ca="1" si="28"/>
        <v>1.7410118070268039</v>
      </c>
    </row>
    <row r="141" spans="17:23" x14ac:dyDescent="0.2">
      <c r="Q141">
        <f t="shared" si="22"/>
        <v>125</v>
      </c>
      <c r="R141" s="48">
        <f t="shared" ca="1" si="23"/>
        <v>0.45</v>
      </c>
      <c r="S141">
        <f t="shared" ca="1" si="24"/>
        <v>169.13986488090717</v>
      </c>
      <c r="T141" s="61">
        <f t="shared" ca="1" si="25"/>
        <v>21600</v>
      </c>
      <c r="U141" s="61">
        <f t="shared" ca="1" si="26"/>
        <v>12421.540547599154</v>
      </c>
      <c r="V141" s="39">
        <f t="shared" ca="1" si="27"/>
        <v>8.1720661497362859E-2</v>
      </c>
      <c r="W141" s="48">
        <f t="shared" ca="1" si="28"/>
        <v>0.89108726487250167</v>
      </c>
    </row>
    <row r="142" spans="17:23" x14ac:dyDescent="0.2">
      <c r="Q142">
        <f t="shared" si="22"/>
        <v>126</v>
      </c>
      <c r="R142" s="48">
        <f t="shared" ca="1" si="23"/>
        <v>0.45</v>
      </c>
      <c r="S142">
        <f t="shared" ca="1" si="24"/>
        <v>184.36078243187055</v>
      </c>
      <c r="T142" s="61">
        <f t="shared" ca="1" si="25"/>
        <v>21600</v>
      </c>
      <c r="U142" s="61">
        <f t="shared" ca="1" si="26"/>
        <v>19118.744270023039</v>
      </c>
      <c r="V142" s="39">
        <f t="shared" ca="1" si="27"/>
        <v>0.12578121230278314</v>
      </c>
      <c r="W142" s="48">
        <f t="shared" ca="1" si="28"/>
        <v>1.6142618406522158</v>
      </c>
    </row>
    <row r="143" spans="17:23" x14ac:dyDescent="0.2">
      <c r="Q143">
        <f t="shared" si="22"/>
        <v>127</v>
      </c>
      <c r="R143" s="48">
        <f t="shared" ca="1" si="23"/>
        <v>0.5</v>
      </c>
      <c r="S143">
        <f t="shared" ca="1" si="24"/>
        <v>214.26073493655076</v>
      </c>
      <c r="T143" s="61">
        <f t="shared" ca="1" si="25"/>
        <v>24000</v>
      </c>
      <c r="U143" s="61">
        <f t="shared" ca="1" si="26"/>
        <v>33704.293974620305</v>
      </c>
      <c r="V143" s="39">
        <f t="shared" ca="1" si="27"/>
        <v>0.22173877614881779</v>
      </c>
      <c r="W143" s="48">
        <f t="shared" ca="1" si="28"/>
        <v>4.0756436730188552</v>
      </c>
    </row>
    <row r="144" spans="17:23" x14ac:dyDescent="0.2">
      <c r="Q144">
        <f t="shared" si="22"/>
        <v>128</v>
      </c>
      <c r="R144" s="48">
        <f t="shared" ca="1" si="23"/>
        <v>0.45</v>
      </c>
      <c r="S144">
        <f t="shared" ca="1" si="24"/>
        <v>190.44773211160083</v>
      </c>
      <c r="T144" s="61">
        <f t="shared" ca="1" si="25"/>
        <v>21600</v>
      </c>
      <c r="U144" s="61">
        <f t="shared" ca="1" si="26"/>
        <v>21797.002129104363</v>
      </c>
      <c r="V144" s="39">
        <f t="shared" ca="1" si="27"/>
        <v>0.14340132979673922</v>
      </c>
      <c r="W144" s="48">
        <f t="shared" ca="1" si="28"/>
        <v>1.9652141588869845</v>
      </c>
    </row>
    <row r="145" spans="17:23" x14ac:dyDescent="0.2">
      <c r="Q145">
        <f t="shared" si="22"/>
        <v>129</v>
      </c>
      <c r="R145" s="48">
        <f t="shared" ca="1" si="23"/>
        <v>0.217</v>
      </c>
      <c r="S145">
        <f t="shared" ca="1" si="24"/>
        <v>190.28468682310864</v>
      </c>
      <c r="T145" s="61">
        <f t="shared" ca="1" si="25"/>
        <v>10416</v>
      </c>
      <c r="U145" s="61">
        <f t="shared" ca="1" si="26"/>
        <v>10594.327825995255</v>
      </c>
      <c r="V145" s="39">
        <f t="shared" ca="1" si="27"/>
        <v>6.9699525171021418E-2</v>
      </c>
      <c r="W145" s="48">
        <f t="shared" ca="1" si="28"/>
        <v>0.72721235396757966</v>
      </c>
    </row>
    <row r="146" spans="17:23" x14ac:dyDescent="0.2">
      <c r="Q146">
        <f t="shared" si="22"/>
        <v>130</v>
      </c>
      <c r="R146" s="48">
        <f t="shared" ca="1" si="23"/>
        <v>0.35</v>
      </c>
      <c r="S146">
        <f t="shared" ca="1" si="24"/>
        <v>201.0245038704588</v>
      </c>
      <c r="T146" s="61">
        <f t="shared" ca="1" si="25"/>
        <v>16800</v>
      </c>
      <c r="U146" s="61">
        <f t="shared" ca="1" si="26"/>
        <v>22532.742012638577</v>
      </c>
      <c r="V146" s="39">
        <f t="shared" ca="1" si="27"/>
        <v>0.14824172376735906</v>
      </c>
      <c r="W146" s="48">
        <f t="shared" ca="1" si="28"/>
        <v>2.0685765359180106</v>
      </c>
    </row>
    <row r="147" spans="17:23" x14ac:dyDescent="0.2">
      <c r="Q147">
        <f t="shared" ref="Q147:Q210" si="29">Q146+1</f>
        <v>131</v>
      </c>
      <c r="R147" s="48">
        <f t="shared" ref="R147:R210" ca="1" si="30">LOOKUP(RAND(),$U$6:$U$12,$S$6:$S$12)</f>
        <v>0.35</v>
      </c>
      <c r="S147">
        <f t="shared" ref="S147:S210" ca="1" si="31">_xlfn.NORM.INV(RAND(),$Q$5,$Q$10)</f>
        <v>187.00423558770919</v>
      </c>
      <c r="T147" s="61">
        <f t="shared" ref="T147:T210" ca="1" si="32">($B$8-$B$7)*($E$6*R147)</f>
        <v>16800</v>
      </c>
      <c r="U147" s="61">
        <f t="shared" ref="U147:U210" ca="1" si="33">T147+((S147-$B$7)*($E$6*(1-R147)))</f>
        <v>15242.202505608779</v>
      </c>
      <c r="V147" s="39">
        <f t="shared" ref="V147:V210" ca="1" si="34">U147/$E$4</f>
        <v>0.10027764806321565</v>
      </c>
      <c r="W147" s="48">
        <f t="shared" ref="W147:W210" ca="1" si="35">(1+V147)^($J$29/$J$30)-1</f>
        <v>1.1708493662301183</v>
      </c>
    </row>
    <row r="148" spans="17:23" x14ac:dyDescent="0.2">
      <c r="Q148">
        <f t="shared" si="29"/>
        <v>132</v>
      </c>
      <c r="R148" s="48">
        <f t="shared" ca="1" si="30"/>
        <v>0.5</v>
      </c>
      <c r="S148">
        <f t="shared" ca="1" si="31"/>
        <v>221.4771954519552</v>
      </c>
      <c r="T148" s="61">
        <f t="shared" ca="1" si="32"/>
        <v>24000</v>
      </c>
      <c r="U148" s="61">
        <f t="shared" ca="1" si="33"/>
        <v>36590.878180782078</v>
      </c>
      <c r="V148" s="39">
        <f t="shared" ca="1" si="34"/>
        <v>0.24072946171567156</v>
      </c>
      <c r="W148" s="48">
        <f t="shared" ca="1" si="35"/>
        <v>4.7520853979349589</v>
      </c>
    </row>
    <row r="149" spans="17:23" x14ac:dyDescent="0.2">
      <c r="Q149">
        <f t="shared" si="29"/>
        <v>133</v>
      </c>
      <c r="R149" s="48">
        <f t="shared" ca="1" si="30"/>
        <v>0.3</v>
      </c>
      <c r="S149">
        <f t="shared" ca="1" si="31"/>
        <v>216.03875386254751</v>
      </c>
      <c r="T149" s="61">
        <f t="shared" ca="1" si="32"/>
        <v>14400</v>
      </c>
      <c r="U149" s="61">
        <f t="shared" ca="1" si="33"/>
        <v>28981.702163026603</v>
      </c>
      <c r="V149" s="39">
        <f t="shared" ca="1" si="34"/>
        <v>0.19066909317780659</v>
      </c>
      <c r="W149" s="48">
        <f t="shared" ca="1" si="35"/>
        <v>3.1186024706458086</v>
      </c>
    </row>
    <row r="150" spans="17:23" x14ac:dyDescent="0.2">
      <c r="Q150">
        <f t="shared" si="29"/>
        <v>134</v>
      </c>
      <c r="R150" s="48">
        <f t="shared" ca="1" si="30"/>
        <v>0.4</v>
      </c>
      <c r="S150">
        <f t="shared" ca="1" si="31"/>
        <v>187.4365676873025</v>
      </c>
      <c r="T150" s="61">
        <f t="shared" ca="1" si="32"/>
        <v>19200</v>
      </c>
      <c r="U150" s="61">
        <f t="shared" ca="1" si="33"/>
        <v>17969.5524899052</v>
      </c>
      <c r="V150" s="39">
        <f t="shared" ca="1" si="34"/>
        <v>0.11822074006516579</v>
      </c>
      <c r="W150" s="48">
        <f t="shared" ca="1" si="35"/>
        <v>1.4752113819136912</v>
      </c>
    </row>
    <row r="151" spans="17:23" x14ac:dyDescent="0.2">
      <c r="Q151">
        <f t="shared" si="29"/>
        <v>135</v>
      </c>
      <c r="R151" s="48">
        <f t="shared" ca="1" si="30"/>
        <v>0.35</v>
      </c>
      <c r="S151">
        <f t="shared" ca="1" si="31"/>
        <v>194.08721514614138</v>
      </c>
      <c r="T151" s="61">
        <f t="shared" ca="1" si="32"/>
        <v>16800</v>
      </c>
      <c r="U151" s="61">
        <f t="shared" ca="1" si="33"/>
        <v>18925.351875993514</v>
      </c>
      <c r="V151" s="39">
        <f t="shared" ca="1" si="34"/>
        <v>0.12450889392100996</v>
      </c>
      <c r="W151" s="48">
        <f t="shared" ca="1" si="35"/>
        <v>1.5903932597782386</v>
      </c>
    </row>
    <row r="152" spans="17:23" x14ac:dyDescent="0.2">
      <c r="Q152">
        <f t="shared" si="29"/>
        <v>136</v>
      </c>
      <c r="R152" s="48">
        <f t="shared" ca="1" si="30"/>
        <v>0.3</v>
      </c>
      <c r="S152">
        <f t="shared" ca="1" si="31"/>
        <v>183.19947295961188</v>
      </c>
      <c r="T152" s="61">
        <f t="shared" ca="1" si="32"/>
        <v>14400</v>
      </c>
      <c r="U152" s="61">
        <f t="shared" ca="1" si="33"/>
        <v>10591.704857382654</v>
      </c>
      <c r="V152" s="39">
        <f t="shared" ca="1" si="34"/>
        <v>6.9682268798570091E-2</v>
      </c>
      <c r="W152" s="48">
        <f t="shared" ca="1" si="35"/>
        <v>0.72698636414623019</v>
      </c>
    </row>
    <row r="153" spans="17:23" x14ac:dyDescent="0.2">
      <c r="Q153">
        <f t="shared" si="29"/>
        <v>137</v>
      </c>
      <c r="R153" s="48">
        <f t="shared" ca="1" si="30"/>
        <v>0.3</v>
      </c>
      <c r="S153">
        <f t="shared" ca="1" si="31"/>
        <v>171.07429662315263</v>
      </c>
      <c r="T153" s="61">
        <f t="shared" ca="1" si="32"/>
        <v>14400</v>
      </c>
      <c r="U153" s="61">
        <f t="shared" ca="1" si="33"/>
        <v>3801.6061089654759</v>
      </c>
      <c r="V153" s="39">
        <f t="shared" ca="1" si="34"/>
        <v>2.5010566506351816E-2</v>
      </c>
      <c r="W153" s="48">
        <f t="shared" ca="1" si="35"/>
        <v>0.22185248769296662</v>
      </c>
    </row>
    <row r="154" spans="17:23" x14ac:dyDescent="0.2">
      <c r="Q154">
        <f t="shared" si="29"/>
        <v>138</v>
      </c>
      <c r="R154" s="48">
        <f t="shared" ca="1" si="30"/>
        <v>0.217</v>
      </c>
      <c r="S154">
        <f t="shared" ca="1" si="31"/>
        <v>188.98341060494988</v>
      </c>
      <c r="T154" s="61">
        <f t="shared" ca="1" si="32"/>
        <v>10416</v>
      </c>
      <c r="U154" s="61">
        <f t="shared" ca="1" si="33"/>
        <v>9779.2084029406051</v>
      </c>
      <c r="V154" s="39">
        <f t="shared" ca="1" si="34"/>
        <v>6.4336897387767142E-2</v>
      </c>
      <c r="W154" s="48">
        <f t="shared" ca="1" si="35"/>
        <v>0.65821842246684659</v>
      </c>
    </row>
    <row r="155" spans="17:23" x14ac:dyDescent="0.2">
      <c r="Q155">
        <f t="shared" si="29"/>
        <v>139</v>
      </c>
      <c r="R155" s="48">
        <f t="shared" ca="1" si="30"/>
        <v>0.4</v>
      </c>
      <c r="S155">
        <f t="shared" ca="1" si="31"/>
        <v>200.33883058869634</v>
      </c>
      <c r="T155" s="61">
        <f t="shared" ca="1" si="32"/>
        <v>19200</v>
      </c>
      <c r="U155" s="61">
        <f t="shared" ca="1" si="33"/>
        <v>24162.638682574245</v>
      </c>
      <c r="V155" s="39">
        <f t="shared" ca="1" si="34"/>
        <v>0.15896472817483057</v>
      </c>
      <c r="W155" s="48">
        <f t="shared" ca="1" si="35"/>
        <v>2.3088773105180609</v>
      </c>
    </row>
    <row r="156" spans="17:23" x14ac:dyDescent="0.2">
      <c r="Q156">
        <f t="shared" si="29"/>
        <v>140</v>
      </c>
      <c r="R156" s="48">
        <f t="shared" ca="1" si="30"/>
        <v>0.3</v>
      </c>
      <c r="S156">
        <f t="shared" ca="1" si="31"/>
        <v>158.8516705297011</v>
      </c>
      <c r="T156" s="61">
        <f t="shared" ca="1" si="32"/>
        <v>14400</v>
      </c>
      <c r="U156" s="61">
        <f t="shared" ca="1" si="33"/>
        <v>-3043.0645033673864</v>
      </c>
      <c r="V156" s="39">
        <f t="shared" ca="1" si="34"/>
        <v>-2.0020161206364386E-2</v>
      </c>
      <c r="W156" s="48">
        <f t="shared" ca="1" si="35"/>
        <v>-0.1512862175391273</v>
      </c>
    </row>
    <row r="157" spans="17:23" x14ac:dyDescent="0.2">
      <c r="Q157">
        <f t="shared" si="29"/>
        <v>141</v>
      </c>
      <c r="R157" s="48">
        <f t="shared" ca="1" si="30"/>
        <v>0.4</v>
      </c>
      <c r="S157">
        <f t="shared" ca="1" si="31"/>
        <v>205.6089247239716</v>
      </c>
      <c r="T157" s="61">
        <f t="shared" ca="1" si="32"/>
        <v>19200</v>
      </c>
      <c r="U157" s="61">
        <f t="shared" ca="1" si="33"/>
        <v>26692.283867506369</v>
      </c>
      <c r="V157" s="39">
        <f t="shared" ca="1" si="34"/>
        <v>0.17560713070727874</v>
      </c>
      <c r="W157" s="48">
        <f t="shared" ca="1" si="35"/>
        <v>2.7145362893114964</v>
      </c>
    </row>
    <row r="158" spans="17:23" x14ac:dyDescent="0.2">
      <c r="Q158">
        <f t="shared" si="29"/>
        <v>142</v>
      </c>
      <c r="R158" s="48">
        <f t="shared" ca="1" si="30"/>
        <v>0.4</v>
      </c>
      <c r="S158">
        <f t="shared" ca="1" si="31"/>
        <v>187.585817471241</v>
      </c>
      <c r="T158" s="61">
        <f t="shared" ca="1" si="32"/>
        <v>19200</v>
      </c>
      <c r="U158" s="61">
        <f t="shared" ca="1" si="33"/>
        <v>18041.192386195682</v>
      </c>
      <c r="V158" s="39">
        <f t="shared" ca="1" si="34"/>
        <v>0.11869205517234001</v>
      </c>
      <c r="W158" s="48">
        <f t="shared" ca="1" si="35"/>
        <v>1.4836861412619746</v>
      </c>
    </row>
    <row r="159" spans="17:23" x14ac:dyDescent="0.2">
      <c r="Q159">
        <f t="shared" si="29"/>
        <v>143</v>
      </c>
      <c r="R159" s="48">
        <f t="shared" ca="1" si="30"/>
        <v>0.45</v>
      </c>
      <c r="S159">
        <f t="shared" ca="1" si="31"/>
        <v>183.134373492424</v>
      </c>
      <c r="T159" s="61">
        <f t="shared" ca="1" si="32"/>
        <v>21600</v>
      </c>
      <c r="U159" s="61">
        <f t="shared" ca="1" si="33"/>
        <v>18579.124336666562</v>
      </c>
      <c r="V159" s="39">
        <f t="shared" ca="1" si="34"/>
        <v>0.12223108116228001</v>
      </c>
      <c r="W159" s="48">
        <f t="shared" ca="1" si="35"/>
        <v>1.5481385649429504</v>
      </c>
    </row>
    <row r="160" spans="17:23" x14ac:dyDescent="0.2">
      <c r="Q160">
        <f t="shared" si="29"/>
        <v>144</v>
      </c>
      <c r="R160" s="48">
        <f t="shared" ca="1" si="30"/>
        <v>0.15</v>
      </c>
      <c r="S160">
        <f t="shared" ca="1" si="31"/>
        <v>192.38709784420564</v>
      </c>
      <c r="T160" s="61">
        <f t="shared" ca="1" si="32"/>
        <v>7200</v>
      </c>
      <c r="U160" s="61">
        <f t="shared" ca="1" si="33"/>
        <v>8823.2265340598351</v>
      </c>
      <c r="V160" s="39">
        <f t="shared" ca="1" si="34"/>
        <v>5.8047542987235759E-2</v>
      </c>
      <c r="W160" s="48">
        <f t="shared" ca="1" si="35"/>
        <v>0.58038996052043923</v>
      </c>
    </row>
    <row r="161" spans="17:23" x14ac:dyDescent="0.2">
      <c r="Q161">
        <f t="shared" si="29"/>
        <v>145</v>
      </c>
      <c r="R161" s="48">
        <f t="shared" ca="1" si="30"/>
        <v>0.3</v>
      </c>
      <c r="S161">
        <f t="shared" ca="1" si="31"/>
        <v>172.56656560491638</v>
      </c>
      <c r="T161" s="61">
        <f t="shared" ca="1" si="32"/>
        <v>14400</v>
      </c>
      <c r="U161" s="61">
        <f t="shared" ca="1" si="33"/>
        <v>4637.2767387531712</v>
      </c>
      <c r="V161" s="39">
        <f t="shared" ca="1" si="34"/>
        <v>3.0508399597060337E-2</v>
      </c>
      <c r="W161" s="48">
        <f t="shared" ca="1" si="35"/>
        <v>0.27603462460291017</v>
      </c>
    </row>
    <row r="162" spans="17:23" x14ac:dyDescent="0.2">
      <c r="Q162">
        <f t="shared" si="29"/>
        <v>146</v>
      </c>
      <c r="R162" s="48">
        <f t="shared" ca="1" si="30"/>
        <v>0.35</v>
      </c>
      <c r="S162">
        <f t="shared" ca="1" si="31"/>
        <v>220.16142872069068</v>
      </c>
      <c r="T162" s="61">
        <f t="shared" ca="1" si="32"/>
        <v>16800</v>
      </c>
      <c r="U162" s="61">
        <f t="shared" ca="1" si="33"/>
        <v>32483.942934759154</v>
      </c>
      <c r="V162" s="39">
        <f t="shared" ca="1" si="34"/>
        <v>0.21371015088657339</v>
      </c>
      <c r="W162" s="48">
        <f t="shared" ca="1" si="35"/>
        <v>3.8113392780201023</v>
      </c>
    </row>
    <row r="163" spans="17:23" x14ac:dyDescent="0.2">
      <c r="Q163">
        <f t="shared" si="29"/>
        <v>147</v>
      </c>
      <c r="R163" s="48">
        <f t="shared" ca="1" si="30"/>
        <v>0.217</v>
      </c>
      <c r="S163">
        <f t="shared" ca="1" si="31"/>
        <v>218.34122231680124</v>
      </c>
      <c r="T163" s="61">
        <f t="shared" ca="1" si="32"/>
        <v>10416</v>
      </c>
      <c r="U163" s="61">
        <f t="shared" ca="1" si="33"/>
        <v>28168.941659244294</v>
      </c>
      <c r="V163" s="39">
        <f t="shared" ca="1" si="34"/>
        <v>0.1853219846002914</v>
      </c>
      <c r="W163" s="48">
        <f t="shared" ca="1" si="35"/>
        <v>2.9709530628150764</v>
      </c>
    </row>
    <row r="164" spans="17:23" x14ac:dyDescent="0.2">
      <c r="Q164">
        <f t="shared" si="29"/>
        <v>148</v>
      </c>
      <c r="R164" s="48">
        <f t="shared" ca="1" si="30"/>
        <v>0.217</v>
      </c>
      <c r="S164">
        <f t="shared" ca="1" si="31"/>
        <v>152.12650773453836</v>
      </c>
      <c r="T164" s="61">
        <f t="shared" ca="1" si="32"/>
        <v>10416</v>
      </c>
      <c r="U164" s="61">
        <f t="shared" ca="1" si="33"/>
        <v>-13307.955555085169</v>
      </c>
      <c r="V164" s="39">
        <f t="shared" ca="1" si="34"/>
        <v>-8.7552339178191899E-2</v>
      </c>
      <c r="W164" s="48">
        <f t="shared" ca="1" si="35"/>
        <v>-0.52439943742901995</v>
      </c>
    </row>
    <row r="165" spans="17:23" x14ac:dyDescent="0.2">
      <c r="Q165">
        <f t="shared" si="29"/>
        <v>149</v>
      </c>
      <c r="R165" s="48">
        <f t="shared" ca="1" si="30"/>
        <v>0.3</v>
      </c>
      <c r="S165">
        <f t="shared" ca="1" si="31"/>
        <v>194.15122416085404</v>
      </c>
      <c r="T165" s="61">
        <f t="shared" ca="1" si="32"/>
        <v>14400</v>
      </c>
      <c r="U165" s="61">
        <f t="shared" ca="1" si="33"/>
        <v>16724.685530078263</v>
      </c>
      <c r="V165" s="39">
        <f t="shared" ca="1" si="34"/>
        <v>0.11003082585577804</v>
      </c>
      <c r="W165" s="48">
        <f t="shared" ca="1" si="35"/>
        <v>1.3319409130862203</v>
      </c>
    </row>
    <row r="166" spans="17:23" x14ac:dyDescent="0.2">
      <c r="Q166">
        <f t="shared" si="29"/>
        <v>150</v>
      </c>
      <c r="R166" s="48">
        <f t="shared" ca="1" si="30"/>
        <v>0.3</v>
      </c>
      <c r="S166">
        <f t="shared" ca="1" si="31"/>
        <v>165.48615408554772</v>
      </c>
      <c r="T166" s="61">
        <f t="shared" ca="1" si="32"/>
        <v>14400</v>
      </c>
      <c r="U166" s="61">
        <f t="shared" ca="1" si="33"/>
        <v>672.24628790672614</v>
      </c>
      <c r="V166" s="39">
        <f t="shared" ca="1" si="34"/>
        <v>4.4226729467547769E-3</v>
      </c>
      <c r="W166" s="48">
        <f t="shared" ca="1" si="35"/>
        <v>3.6442004359243718E-2</v>
      </c>
    </row>
    <row r="167" spans="17:23" x14ac:dyDescent="0.2">
      <c r="Q167">
        <f t="shared" si="29"/>
        <v>151</v>
      </c>
      <c r="R167" s="48">
        <f t="shared" ca="1" si="30"/>
        <v>0.15</v>
      </c>
      <c r="S167">
        <f t="shared" ca="1" si="31"/>
        <v>182.53085995580412</v>
      </c>
      <c r="T167" s="61">
        <f t="shared" ca="1" si="32"/>
        <v>7200</v>
      </c>
      <c r="U167" s="61">
        <f t="shared" ca="1" si="33"/>
        <v>2120.9847699468</v>
      </c>
      <c r="V167" s="39">
        <f t="shared" ca="1" si="34"/>
        <v>1.3953847170702633E-2</v>
      </c>
      <c r="W167" s="48">
        <f t="shared" ca="1" si="35"/>
        <v>0.11895903268851193</v>
      </c>
    </row>
    <row r="168" spans="17:23" x14ac:dyDescent="0.2">
      <c r="Q168">
        <f t="shared" si="29"/>
        <v>152</v>
      </c>
      <c r="R168" s="48">
        <f t="shared" ca="1" si="30"/>
        <v>0.4</v>
      </c>
      <c r="S168">
        <f t="shared" ca="1" si="31"/>
        <v>159.11403426388145</v>
      </c>
      <c r="T168" s="61">
        <f t="shared" ca="1" si="32"/>
        <v>19200</v>
      </c>
      <c r="U168" s="61">
        <f t="shared" ca="1" si="33"/>
        <v>4374.736446663097</v>
      </c>
      <c r="V168" s="39">
        <f t="shared" ca="1" si="34"/>
        <v>2.8781160833309848E-2</v>
      </c>
      <c r="W168" s="48">
        <f t="shared" ca="1" si="35"/>
        <v>0.25878988628329957</v>
      </c>
    </row>
    <row r="169" spans="17:23" x14ac:dyDescent="0.2">
      <c r="Q169">
        <f t="shared" si="29"/>
        <v>153</v>
      </c>
      <c r="R169" s="48">
        <f t="shared" ca="1" si="30"/>
        <v>0.4</v>
      </c>
      <c r="S169">
        <f t="shared" ca="1" si="31"/>
        <v>221.28540174424074</v>
      </c>
      <c r="T169" s="61">
        <f t="shared" ca="1" si="32"/>
        <v>19200</v>
      </c>
      <c r="U169" s="61">
        <f t="shared" ca="1" si="33"/>
        <v>34216.992837235557</v>
      </c>
      <c r="V169" s="39">
        <f t="shared" ca="1" si="34"/>
        <v>0.22511179498181288</v>
      </c>
      <c r="W169" s="48">
        <f t="shared" ca="1" si="35"/>
        <v>4.1904268094059631</v>
      </c>
    </row>
    <row r="170" spans="17:23" x14ac:dyDescent="0.2">
      <c r="Q170">
        <f t="shared" si="29"/>
        <v>154</v>
      </c>
      <c r="R170" s="48">
        <f t="shared" ca="1" si="30"/>
        <v>0.3</v>
      </c>
      <c r="S170">
        <f t="shared" ca="1" si="31"/>
        <v>194.40485236172023</v>
      </c>
      <c r="T170" s="61">
        <f t="shared" ca="1" si="32"/>
        <v>14400</v>
      </c>
      <c r="U170" s="61">
        <f t="shared" ca="1" si="33"/>
        <v>16866.717322563331</v>
      </c>
      <c r="V170" s="39">
        <f t="shared" ca="1" si="34"/>
        <v>0.11096524554317981</v>
      </c>
      <c r="W170" s="48">
        <f t="shared" ca="1" si="35"/>
        <v>1.3479109155470796</v>
      </c>
    </row>
    <row r="171" spans="17:23" x14ac:dyDescent="0.2">
      <c r="Q171">
        <f t="shared" si="29"/>
        <v>155</v>
      </c>
      <c r="R171" s="48">
        <f t="shared" ca="1" si="30"/>
        <v>0.3</v>
      </c>
      <c r="S171">
        <f t="shared" ca="1" si="31"/>
        <v>186.36439976906459</v>
      </c>
      <c r="T171" s="61">
        <f t="shared" ca="1" si="32"/>
        <v>14400</v>
      </c>
      <c r="U171" s="61">
        <f t="shared" ca="1" si="33"/>
        <v>12364.063870676171</v>
      </c>
      <c r="V171" s="39">
        <f t="shared" ca="1" si="34"/>
        <v>8.1342525464974808E-2</v>
      </c>
      <c r="W171" s="48">
        <f t="shared" ca="1" si="35"/>
        <v>0.88573194868173566</v>
      </c>
    </row>
    <row r="172" spans="17:23" x14ac:dyDescent="0.2">
      <c r="Q172">
        <f t="shared" si="29"/>
        <v>156</v>
      </c>
      <c r="R172" s="48">
        <f t="shared" ca="1" si="30"/>
        <v>0.3</v>
      </c>
      <c r="S172">
        <f t="shared" ca="1" si="31"/>
        <v>161.3799872489972</v>
      </c>
      <c r="T172" s="61">
        <f t="shared" ca="1" si="32"/>
        <v>14400</v>
      </c>
      <c r="U172" s="61">
        <f t="shared" ca="1" si="33"/>
        <v>-1627.2071405615698</v>
      </c>
      <c r="V172" s="39">
        <f t="shared" ca="1" si="34"/>
        <v>-1.0705310135273486E-2</v>
      </c>
      <c r="W172" s="48">
        <f t="shared" ca="1" si="35"/>
        <v>-8.3597944571047966E-2</v>
      </c>
    </row>
    <row r="173" spans="17:23" x14ac:dyDescent="0.2">
      <c r="Q173">
        <f t="shared" si="29"/>
        <v>157</v>
      </c>
      <c r="R173" s="48">
        <f t="shared" ca="1" si="30"/>
        <v>0.5</v>
      </c>
      <c r="S173">
        <f t="shared" ca="1" si="31"/>
        <v>173.36758528695947</v>
      </c>
      <c r="T173" s="61">
        <f t="shared" ca="1" si="32"/>
        <v>24000</v>
      </c>
      <c r="U173" s="61">
        <f t="shared" ca="1" si="33"/>
        <v>17347.034114783786</v>
      </c>
      <c r="V173" s="39">
        <f t="shared" ca="1" si="34"/>
        <v>0.11412522443936701</v>
      </c>
      <c r="W173" s="48">
        <f t="shared" ca="1" si="35"/>
        <v>1.4026302783560012</v>
      </c>
    </row>
    <row r="174" spans="17:23" x14ac:dyDescent="0.2">
      <c r="Q174">
        <f t="shared" si="29"/>
        <v>158</v>
      </c>
      <c r="R174" s="48">
        <f t="shared" ca="1" si="30"/>
        <v>0.217</v>
      </c>
      <c r="S174">
        <f t="shared" ca="1" si="31"/>
        <v>172.26657210264048</v>
      </c>
      <c r="T174" s="61">
        <f t="shared" ca="1" si="32"/>
        <v>10416</v>
      </c>
      <c r="U174" s="61">
        <f t="shared" ca="1" si="33"/>
        <v>-692.21923490600238</v>
      </c>
      <c r="V174" s="39">
        <f t="shared" ca="1" si="34"/>
        <v>-4.5540739138552793E-3</v>
      </c>
      <c r="W174" s="48">
        <f t="shared" ca="1" si="35"/>
        <v>-3.6345996490279142E-2</v>
      </c>
    </row>
    <row r="175" spans="17:23" x14ac:dyDescent="0.2">
      <c r="Q175">
        <f t="shared" si="29"/>
        <v>159</v>
      </c>
      <c r="R175" s="48">
        <f t="shared" ca="1" si="30"/>
        <v>0.45</v>
      </c>
      <c r="S175">
        <f t="shared" ca="1" si="31"/>
        <v>188.64097161969988</v>
      </c>
      <c r="T175" s="61">
        <f t="shared" ca="1" si="32"/>
        <v>21600</v>
      </c>
      <c r="U175" s="61">
        <f t="shared" ca="1" si="33"/>
        <v>21002.027512667948</v>
      </c>
      <c r="V175" s="39">
        <f t="shared" ca="1" si="34"/>
        <v>0.13817123363597333</v>
      </c>
      <c r="W175" s="48">
        <f t="shared" ca="1" si="35"/>
        <v>1.8569729546029476</v>
      </c>
    </row>
    <row r="176" spans="17:23" x14ac:dyDescent="0.2">
      <c r="Q176">
        <f t="shared" si="29"/>
        <v>160</v>
      </c>
      <c r="R176" s="48">
        <f t="shared" ca="1" si="30"/>
        <v>0.3</v>
      </c>
      <c r="S176">
        <f t="shared" ca="1" si="31"/>
        <v>187.13361332903153</v>
      </c>
      <c r="T176" s="61">
        <f t="shared" ca="1" si="32"/>
        <v>14400</v>
      </c>
      <c r="U176" s="61">
        <f t="shared" ca="1" si="33"/>
        <v>12794.823464257659</v>
      </c>
      <c r="V176" s="39">
        <f t="shared" ca="1" si="34"/>
        <v>8.4176470159589858E-2</v>
      </c>
      <c r="W176" s="48">
        <f t="shared" ca="1" si="35"/>
        <v>0.92619307902717352</v>
      </c>
    </row>
    <row r="177" spans="17:23" x14ac:dyDescent="0.2">
      <c r="Q177">
        <f t="shared" si="29"/>
        <v>161</v>
      </c>
      <c r="R177" s="48">
        <f t="shared" ca="1" si="30"/>
        <v>0.35</v>
      </c>
      <c r="S177">
        <f t="shared" ca="1" si="31"/>
        <v>218.58937250902551</v>
      </c>
      <c r="T177" s="61">
        <f t="shared" ca="1" si="32"/>
        <v>16800</v>
      </c>
      <c r="U177" s="61">
        <f t="shared" ca="1" si="33"/>
        <v>31666.473704693264</v>
      </c>
      <c r="V177" s="39">
        <f t="shared" ca="1" si="34"/>
        <v>0.20833206384666622</v>
      </c>
      <c r="W177" s="48">
        <f t="shared" ca="1" si="35"/>
        <v>3.6411137248369263</v>
      </c>
    </row>
    <row r="178" spans="17:23" x14ac:dyDescent="0.2">
      <c r="Q178">
        <f t="shared" si="29"/>
        <v>162</v>
      </c>
      <c r="R178" s="48">
        <f t="shared" ca="1" si="30"/>
        <v>0.4</v>
      </c>
      <c r="S178">
        <f t="shared" ca="1" si="31"/>
        <v>192.5289454117881</v>
      </c>
      <c r="T178" s="61">
        <f t="shared" ca="1" si="32"/>
        <v>19200</v>
      </c>
      <c r="U178" s="61">
        <f t="shared" ca="1" si="33"/>
        <v>20413.893797658289</v>
      </c>
      <c r="V178" s="39">
        <f t="shared" ca="1" si="34"/>
        <v>0.13430193287933084</v>
      </c>
      <c r="W178" s="48">
        <f t="shared" ca="1" si="35"/>
        <v>1.7791394597920016</v>
      </c>
    </row>
    <row r="179" spans="17:23" x14ac:dyDescent="0.2">
      <c r="Q179">
        <f t="shared" si="29"/>
        <v>163</v>
      </c>
      <c r="R179" s="48">
        <f t="shared" ca="1" si="30"/>
        <v>0.35</v>
      </c>
      <c r="S179">
        <f t="shared" ca="1" si="31"/>
        <v>174.43243861904867</v>
      </c>
      <c r="T179" s="61">
        <f t="shared" ca="1" si="32"/>
        <v>16800</v>
      </c>
      <c r="U179" s="61">
        <f t="shared" ca="1" si="33"/>
        <v>8704.8680819053079</v>
      </c>
      <c r="V179" s="39">
        <f t="shared" ca="1" si="34"/>
        <v>5.7268868959903345E-2</v>
      </c>
      <c r="W179" s="48">
        <f t="shared" ca="1" si="35"/>
        <v>0.57098062603919764</v>
      </c>
    </row>
    <row r="180" spans="17:23" x14ac:dyDescent="0.2">
      <c r="Q180">
        <f t="shared" si="29"/>
        <v>164</v>
      </c>
      <c r="R180" s="48">
        <f t="shared" ca="1" si="30"/>
        <v>0.217</v>
      </c>
      <c r="S180">
        <f t="shared" ca="1" si="31"/>
        <v>150.24955981285609</v>
      </c>
      <c r="T180" s="61">
        <f t="shared" ca="1" si="32"/>
        <v>10416</v>
      </c>
      <c r="U180" s="61">
        <f t="shared" ca="1" si="33"/>
        <v>-14483.675733226944</v>
      </c>
      <c r="V180" s="39">
        <f t="shared" ca="1" si="34"/>
        <v>-9.528734035017726E-2</v>
      </c>
      <c r="W180" s="48">
        <f t="shared" ca="1" si="35"/>
        <v>-0.55613265906191933</v>
      </c>
    </row>
    <row r="181" spans="17:23" x14ac:dyDescent="0.2">
      <c r="Q181">
        <f t="shared" si="29"/>
        <v>165</v>
      </c>
      <c r="R181" s="48">
        <f t="shared" ca="1" si="30"/>
        <v>0.35</v>
      </c>
      <c r="S181">
        <f t="shared" ca="1" si="31"/>
        <v>224.46731213010472</v>
      </c>
      <c r="T181" s="61">
        <f t="shared" ca="1" si="32"/>
        <v>16800</v>
      </c>
      <c r="U181" s="61">
        <f t="shared" ca="1" si="33"/>
        <v>34723.002307654453</v>
      </c>
      <c r="V181" s="39">
        <f t="shared" ca="1" si="34"/>
        <v>0.22844080465562139</v>
      </c>
      <c r="W181" s="48">
        <f t="shared" ca="1" si="35"/>
        <v>4.3059373612796428</v>
      </c>
    </row>
    <row r="182" spans="17:23" x14ac:dyDescent="0.2">
      <c r="Q182">
        <f t="shared" si="29"/>
        <v>166</v>
      </c>
      <c r="R182" s="48">
        <f t="shared" ca="1" si="30"/>
        <v>0.35</v>
      </c>
      <c r="S182">
        <f t="shared" ca="1" si="31"/>
        <v>169.21511783312613</v>
      </c>
      <c r="T182" s="61">
        <f t="shared" ca="1" si="32"/>
        <v>16800</v>
      </c>
      <c r="U182" s="61">
        <f t="shared" ca="1" si="33"/>
        <v>5991.8612732255879</v>
      </c>
      <c r="V182" s="39">
        <f t="shared" ca="1" si="34"/>
        <v>3.9420139955431498E-2</v>
      </c>
      <c r="W182" s="48">
        <f t="shared" ca="1" si="35"/>
        <v>0.36834213727895859</v>
      </c>
    </row>
    <row r="183" spans="17:23" x14ac:dyDescent="0.2">
      <c r="Q183">
        <f t="shared" si="29"/>
        <v>167</v>
      </c>
      <c r="R183" s="48">
        <f t="shared" ca="1" si="30"/>
        <v>0.4</v>
      </c>
      <c r="S183">
        <f t="shared" ca="1" si="31"/>
        <v>199.89263161577429</v>
      </c>
      <c r="T183" s="61">
        <f t="shared" ca="1" si="32"/>
        <v>19200</v>
      </c>
      <c r="U183" s="61">
        <f t="shared" ca="1" si="33"/>
        <v>23948.463175571662</v>
      </c>
      <c r="V183" s="39">
        <f t="shared" ca="1" si="34"/>
        <v>0.15755567878665566</v>
      </c>
      <c r="W183" s="48">
        <f t="shared" ca="1" si="35"/>
        <v>2.2763880187869954</v>
      </c>
    </row>
    <row r="184" spans="17:23" x14ac:dyDescent="0.2">
      <c r="Q184">
        <f t="shared" si="29"/>
        <v>168</v>
      </c>
      <c r="R184" s="48">
        <f t="shared" ca="1" si="30"/>
        <v>0.217</v>
      </c>
      <c r="S184">
        <f t="shared" ca="1" si="31"/>
        <v>179.93288316534947</v>
      </c>
      <c r="T184" s="61">
        <f t="shared" ca="1" si="32"/>
        <v>10416</v>
      </c>
      <c r="U184" s="61">
        <f t="shared" ca="1" si="33"/>
        <v>4109.9580147749057</v>
      </c>
      <c r="V184" s="39">
        <f t="shared" ca="1" si="34"/>
        <v>2.703919746562438E-2</v>
      </c>
      <c r="W184" s="48">
        <f t="shared" ca="1" si="35"/>
        <v>0.24160541612145869</v>
      </c>
    </row>
    <row r="185" spans="17:23" x14ac:dyDescent="0.2">
      <c r="Q185">
        <f t="shared" si="29"/>
        <v>169</v>
      </c>
      <c r="R185" s="48">
        <f t="shared" ca="1" si="30"/>
        <v>0.3</v>
      </c>
      <c r="S185">
        <f t="shared" ca="1" si="31"/>
        <v>145.5178383601118</v>
      </c>
      <c r="T185" s="61">
        <f t="shared" ca="1" si="32"/>
        <v>14400</v>
      </c>
      <c r="U185" s="61">
        <f t="shared" ca="1" si="33"/>
        <v>-10510.010518337396</v>
      </c>
      <c r="V185" s="39">
        <f t="shared" ca="1" si="34"/>
        <v>-6.9144806041693402E-2</v>
      </c>
      <c r="W185" s="48">
        <f t="shared" ca="1" si="35"/>
        <v>-0.44075840030081648</v>
      </c>
    </row>
    <row r="186" spans="17:23" x14ac:dyDescent="0.2">
      <c r="Q186">
        <f t="shared" si="29"/>
        <v>170</v>
      </c>
      <c r="R186" s="48">
        <f t="shared" ca="1" si="30"/>
        <v>0.4</v>
      </c>
      <c r="S186">
        <f t="shared" ca="1" si="31"/>
        <v>210.67600838508511</v>
      </c>
      <c r="T186" s="61">
        <f t="shared" ca="1" si="32"/>
        <v>19200</v>
      </c>
      <c r="U186" s="61">
        <f t="shared" ca="1" si="33"/>
        <v>29124.484024840855</v>
      </c>
      <c r="V186" s="39">
        <f t="shared" ca="1" si="34"/>
        <v>0.19160844753184772</v>
      </c>
      <c r="W186" s="48">
        <f t="shared" ca="1" si="35"/>
        <v>3.1450318570081803</v>
      </c>
    </row>
    <row r="187" spans="17:23" x14ac:dyDescent="0.2">
      <c r="Q187">
        <f t="shared" si="29"/>
        <v>171</v>
      </c>
      <c r="R187" s="48">
        <f t="shared" ca="1" si="30"/>
        <v>0.3</v>
      </c>
      <c r="S187">
        <f t="shared" ca="1" si="31"/>
        <v>169.39380868774228</v>
      </c>
      <c r="T187" s="61">
        <f t="shared" ca="1" si="32"/>
        <v>14400</v>
      </c>
      <c r="U187" s="61">
        <f t="shared" ca="1" si="33"/>
        <v>2860.5328651356758</v>
      </c>
      <c r="V187" s="39">
        <f t="shared" ca="1" si="34"/>
        <v>1.881929516536629E-2</v>
      </c>
      <c r="W187" s="48">
        <f t="shared" ca="1" si="35"/>
        <v>0.16326048445213082</v>
      </c>
    </row>
    <row r="188" spans="17:23" x14ac:dyDescent="0.2">
      <c r="Q188">
        <f t="shared" si="29"/>
        <v>172</v>
      </c>
      <c r="R188" s="48">
        <f t="shared" ca="1" si="30"/>
        <v>0.45</v>
      </c>
      <c r="S188">
        <f t="shared" ca="1" si="31"/>
        <v>191.2453456096747</v>
      </c>
      <c r="T188" s="61">
        <f t="shared" ca="1" si="32"/>
        <v>21600</v>
      </c>
      <c r="U188" s="61">
        <f t="shared" ca="1" si="33"/>
        <v>22147.952068256869</v>
      </c>
      <c r="V188" s="39">
        <f t="shared" ca="1" si="34"/>
        <v>0.14571021097537415</v>
      </c>
      <c r="W188" s="48">
        <f t="shared" ca="1" si="35"/>
        <v>2.0141310746441685</v>
      </c>
    </row>
    <row r="189" spans="17:23" x14ac:dyDescent="0.2">
      <c r="Q189">
        <f t="shared" si="29"/>
        <v>173</v>
      </c>
      <c r="R189" s="48">
        <f t="shared" ca="1" si="30"/>
        <v>0.35</v>
      </c>
      <c r="S189">
        <f t="shared" ca="1" si="31"/>
        <v>207.07944225295429</v>
      </c>
      <c r="T189" s="61">
        <f t="shared" ca="1" si="32"/>
        <v>16800</v>
      </c>
      <c r="U189" s="61">
        <f t="shared" ca="1" si="33"/>
        <v>25681.309971536233</v>
      </c>
      <c r="V189" s="39">
        <f t="shared" ca="1" si="34"/>
        <v>0.16895598665484363</v>
      </c>
      <c r="W189" s="48">
        <f t="shared" ca="1" si="35"/>
        <v>2.5474673310785039</v>
      </c>
    </row>
    <row r="190" spans="17:23" x14ac:dyDescent="0.2">
      <c r="Q190">
        <f t="shared" si="29"/>
        <v>174</v>
      </c>
      <c r="R190" s="48">
        <f t="shared" ca="1" si="30"/>
        <v>0.35</v>
      </c>
      <c r="S190">
        <f t="shared" ca="1" si="31"/>
        <v>190.01616393292471</v>
      </c>
      <c r="T190" s="61">
        <f t="shared" ca="1" si="32"/>
        <v>16800</v>
      </c>
      <c r="U190" s="61">
        <f t="shared" ca="1" si="33"/>
        <v>16808.405245120852</v>
      </c>
      <c r="V190" s="39">
        <f t="shared" ca="1" si="34"/>
        <v>0.11058161345474245</v>
      </c>
      <c r="W190" s="48">
        <f t="shared" ca="1" si="35"/>
        <v>1.3413427627622534</v>
      </c>
    </row>
    <row r="191" spans="17:23" x14ac:dyDescent="0.2">
      <c r="Q191">
        <f t="shared" si="29"/>
        <v>175</v>
      </c>
      <c r="R191" s="48">
        <f t="shared" ca="1" si="30"/>
        <v>0.35</v>
      </c>
      <c r="S191">
        <f t="shared" ca="1" si="31"/>
        <v>221.86251107241409</v>
      </c>
      <c r="T191" s="61">
        <f t="shared" ca="1" si="32"/>
        <v>16800</v>
      </c>
      <c r="U191" s="61">
        <f t="shared" ca="1" si="33"/>
        <v>33368.50575765533</v>
      </c>
      <c r="V191" s="39">
        <f t="shared" ca="1" si="34"/>
        <v>0.21952964314246928</v>
      </c>
      <c r="W191" s="48">
        <f t="shared" ca="1" si="35"/>
        <v>4.0016790296120517</v>
      </c>
    </row>
    <row r="192" spans="17:23" x14ac:dyDescent="0.2">
      <c r="Q192">
        <f t="shared" si="29"/>
        <v>176</v>
      </c>
      <c r="R192" s="48">
        <f t="shared" ca="1" si="30"/>
        <v>0.35</v>
      </c>
      <c r="S192">
        <f t="shared" ca="1" si="31"/>
        <v>195.28305355834311</v>
      </c>
      <c r="T192" s="61">
        <f t="shared" ca="1" si="32"/>
        <v>16800</v>
      </c>
      <c r="U192" s="61">
        <f t="shared" ca="1" si="33"/>
        <v>19547.187850338418</v>
      </c>
      <c r="V192" s="39">
        <f t="shared" ca="1" si="34"/>
        <v>0.1285999200680159</v>
      </c>
      <c r="W192" s="48">
        <f t="shared" ca="1" si="35"/>
        <v>1.6678284577775204</v>
      </c>
    </row>
    <row r="193" spans="17:23" x14ac:dyDescent="0.2">
      <c r="Q193">
        <f t="shared" si="29"/>
        <v>177</v>
      </c>
      <c r="R193" s="48">
        <f t="shared" ca="1" si="30"/>
        <v>0.4</v>
      </c>
      <c r="S193">
        <f t="shared" ca="1" si="31"/>
        <v>172.58184298640418</v>
      </c>
      <c r="T193" s="61">
        <f t="shared" ca="1" si="32"/>
        <v>19200</v>
      </c>
      <c r="U193" s="61">
        <f t="shared" ca="1" si="33"/>
        <v>10839.284633474008</v>
      </c>
      <c r="V193" s="39">
        <f t="shared" ca="1" si="34"/>
        <v>7.131108311496058E-2</v>
      </c>
      <c r="W193" s="48">
        <f t="shared" ca="1" si="35"/>
        <v>0.74843196747992136</v>
      </c>
    </row>
    <row r="194" spans="17:23" x14ac:dyDescent="0.2">
      <c r="Q194">
        <f t="shared" si="29"/>
        <v>178</v>
      </c>
      <c r="R194" s="48">
        <f t="shared" ca="1" si="30"/>
        <v>0.5</v>
      </c>
      <c r="S194">
        <f t="shared" ca="1" si="31"/>
        <v>189.27387587702401</v>
      </c>
      <c r="T194" s="61">
        <f t="shared" ca="1" si="32"/>
        <v>24000</v>
      </c>
      <c r="U194" s="61">
        <f t="shared" ca="1" si="33"/>
        <v>23709.550350809604</v>
      </c>
      <c r="V194" s="39">
        <f t="shared" ca="1" si="34"/>
        <v>0.15598388388690529</v>
      </c>
      <c r="W194" s="48">
        <f t="shared" ca="1" si="35"/>
        <v>2.2404765094034271</v>
      </c>
    </row>
    <row r="195" spans="17:23" x14ac:dyDescent="0.2">
      <c r="Q195">
        <f t="shared" si="29"/>
        <v>179</v>
      </c>
      <c r="R195" s="48">
        <f t="shared" ca="1" si="30"/>
        <v>0.3</v>
      </c>
      <c r="S195">
        <f t="shared" ca="1" si="31"/>
        <v>180.76911781300757</v>
      </c>
      <c r="T195" s="61">
        <f t="shared" ca="1" si="32"/>
        <v>14400</v>
      </c>
      <c r="U195" s="61">
        <f t="shared" ca="1" si="33"/>
        <v>9230.7059752842379</v>
      </c>
      <c r="V195" s="39">
        <f t="shared" ca="1" si="34"/>
        <v>6.0728328784764724E-2</v>
      </c>
      <c r="W195" s="48">
        <f t="shared" ca="1" si="35"/>
        <v>0.61316298726260055</v>
      </c>
    </row>
    <row r="196" spans="17:23" x14ac:dyDescent="0.2">
      <c r="Q196">
        <f t="shared" si="29"/>
        <v>180</v>
      </c>
      <c r="R196" s="48">
        <f t="shared" ca="1" si="30"/>
        <v>0.35</v>
      </c>
      <c r="S196">
        <f t="shared" ca="1" si="31"/>
        <v>172.80131745613133</v>
      </c>
      <c r="T196" s="61">
        <f t="shared" ca="1" si="32"/>
        <v>16800</v>
      </c>
      <c r="U196" s="61">
        <f t="shared" ca="1" si="33"/>
        <v>7856.685077188291</v>
      </c>
      <c r="V196" s="39">
        <f t="shared" ca="1" si="34"/>
        <v>5.1688717613080859E-2</v>
      </c>
      <c r="W196" s="48">
        <f t="shared" ca="1" si="35"/>
        <v>0.50497619963202478</v>
      </c>
    </row>
    <row r="197" spans="17:23" x14ac:dyDescent="0.2">
      <c r="Q197">
        <f t="shared" si="29"/>
        <v>181</v>
      </c>
      <c r="R197" s="48">
        <f t="shared" ca="1" si="30"/>
        <v>0.45</v>
      </c>
      <c r="S197">
        <f t="shared" ca="1" si="31"/>
        <v>206.51253235320578</v>
      </c>
      <c r="T197" s="61">
        <f t="shared" ca="1" si="32"/>
        <v>21600</v>
      </c>
      <c r="U197" s="61">
        <f t="shared" ca="1" si="33"/>
        <v>28865.514235410548</v>
      </c>
      <c r="V197" s="39">
        <f t="shared" ca="1" si="34"/>
        <v>0.18990469891717465</v>
      </c>
      <c r="W197" s="48">
        <f t="shared" ca="1" si="35"/>
        <v>3.0972048541836825</v>
      </c>
    </row>
    <row r="198" spans="17:23" x14ac:dyDescent="0.2">
      <c r="Q198">
        <f t="shared" si="29"/>
        <v>182</v>
      </c>
      <c r="R198" s="48">
        <f t="shared" ca="1" si="30"/>
        <v>0.4</v>
      </c>
      <c r="S198">
        <f t="shared" ca="1" si="31"/>
        <v>184.59225621516831</v>
      </c>
      <c r="T198" s="61">
        <f t="shared" ca="1" si="32"/>
        <v>19200</v>
      </c>
      <c r="U198" s="61">
        <f t="shared" ca="1" si="33"/>
        <v>16604.282983280787</v>
      </c>
      <c r="V198" s="39">
        <f t="shared" ca="1" si="34"/>
        <v>0.10923870383737361</v>
      </c>
      <c r="W198" s="48">
        <f t="shared" ca="1" si="35"/>
        <v>1.3184775602997285</v>
      </c>
    </row>
    <row r="199" spans="17:23" x14ac:dyDescent="0.2">
      <c r="Q199">
        <f t="shared" si="29"/>
        <v>183</v>
      </c>
      <c r="R199" s="48">
        <f t="shared" ca="1" si="30"/>
        <v>0.45</v>
      </c>
      <c r="S199">
        <f t="shared" ca="1" si="31"/>
        <v>177.46076261955346</v>
      </c>
      <c r="T199" s="61">
        <f t="shared" ca="1" si="32"/>
        <v>21600</v>
      </c>
      <c r="U199" s="61">
        <f t="shared" ca="1" si="33"/>
        <v>16082.735552603524</v>
      </c>
      <c r="V199" s="39">
        <f t="shared" ca="1" si="34"/>
        <v>0.10580747074081266</v>
      </c>
      <c r="W199" s="48">
        <f t="shared" ca="1" si="35"/>
        <v>1.2609420822250885</v>
      </c>
    </row>
    <row r="200" spans="17:23" x14ac:dyDescent="0.2">
      <c r="Q200">
        <f t="shared" si="29"/>
        <v>184</v>
      </c>
      <c r="R200" s="48">
        <f t="shared" ca="1" si="30"/>
        <v>0.15</v>
      </c>
      <c r="S200">
        <f t="shared" ca="1" si="31"/>
        <v>186.51138637092481</v>
      </c>
      <c r="T200" s="61">
        <f t="shared" ca="1" si="32"/>
        <v>7200</v>
      </c>
      <c r="U200" s="61">
        <f t="shared" ca="1" si="33"/>
        <v>4827.7427322288713</v>
      </c>
      <c r="V200" s="39">
        <f t="shared" ca="1" si="34"/>
        <v>3.1761465343610996E-2</v>
      </c>
      <c r="W200" s="48">
        <f t="shared" ca="1" si="35"/>
        <v>0.28867451681245493</v>
      </c>
    </row>
    <row r="201" spans="17:23" x14ac:dyDescent="0.2">
      <c r="Q201">
        <f t="shared" si="29"/>
        <v>185</v>
      </c>
      <c r="R201" s="48">
        <f t="shared" ca="1" si="30"/>
        <v>0.3</v>
      </c>
      <c r="S201">
        <f t="shared" ca="1" si="31"/>
        <v>185.80070000276865</v>
      </c>
      <c r="T201" s="61">
        <f t="shared" ca="1" si="32"/>
        <v>14400</v>
      </c>
      <c r="U201" s="61">
        <f t="shared" ca="1" si="33"/>
        <v>12048.392001550445</v>
      </c>
      <c r="V201" s="39">
        <f t="shared" ca="1" si="34"/>
        <v>7.9265736852305563E-2</v>
      </c>
      <c r="W201" s="48">
        <f t="shared" ca="1" si="35"/>
        <v>0.85655598926682153</v>
      </c>
    </row>
    <row r="202" spans="17:23" x14ac:dyDescent="0.2">
      <c r="Q202">
        <f t="shared" si="29"/>
        <v>186</v>
      </c>
      <c r="R202" s="48">
        <f t="shared" ca="1" si="30"/>
        <v>0.3</v>
      </c>
      <c r="S202">
        <f t="shared" ca="1" si="31"/>
        <v>196.75165231266345</v>
      </c>
      <c r="T202" s="61">
        <f t="shared" ca="1" si="32"/>
        <v>14400</v>
      </c>
      <c r="U202" s="61">
        <f t="shared" ca="1" si="33"/>
        <v>18180.925295091532</v>
      </c>
      <c r="V202" s="39">
        <f t="shared" ca="1" si="34"/>
        <v>0.11961135062560219</v>
      </c>
      <c r="W202" s="48">
        <f t="shared" ca="1" si="35"/>
        <v>1.5002893037870524</v>
      </c>
    </row>
    <row r="203" spans="17:23" x14ac:dyDescent="0.2">
      <c r="Q203">
        <f t="shared" si="29"/>
        <v>187</v>
      </c>
      <c r="R203" s="48">
        <f t="shared" ca="1" si="30"/>
        <v>0.45</v>
      </c>
      <c r="S203">
        <f t="shared" ca="1" si="31"/>
        <v>191.70678680642459</v>
      </c>
      <c r="T203" s="61">
        <f t="shared" ca="1" si="32"/>
        <v>21600</v>
      </c>
      <c r="U203" s="61">
        <f t="shared" ca="1" si="33"/>
        <v>22350.986194826819</v>
      </c>
      <c r="V203" s="39">
        <f t="shared" ca="1" si="34"/>
        <v>0.14704596180807117</v>
      </c>
      <c r="W203" s="48">
        <f t="shared" ca="1" si="35"/>
        <v>2.0427526799218287</v>
      </c>
    </row>
    <row r="204" spans="17:23" x14ac:dyDescent="0.2">
      <c r="Q204">
        <f t="shared" si="29"/>
        <v>188</v>
      </c>
      <c r="R204" s="48">
        <f t="shared" ca="1" si="30"/>
        <v>0.3</v>
      </c>
      <c r="S204">
        <f t="shared" ca="1" si="31"/>
        <v>220.28239268531416</v>
      </c>
      <c r="T204" s="61">
        <f t="shared" ca="1" si="32"/>
        <v>14400</v>
      </c>
      <c r="U204" s="61">
        <f t="shared" ca="1" si="33"/>
        <v>31358.139903775933</v>
      </c>
      <c r="V204" s="39">
        <f t="shared" ca="1" si="34"/>
        <v>0.20630355199852587</v>
      </c>
      <c r="W204" s="48">
        <f t="shared" ca="1" si="35"/>
        <v>3.5782930417347281</v>
      </c>
    </row>
    <row r="205" spans="17:23" x14ac:dyDescent="0.2">
      <c r="Q205">
        <f t="shared" si="29"/>
        <v>189</v>
      </c>
      <c r="R205" s="48">
        <f t="shared" ca="1" si="30"/>
        <v>0.217</v>
      </c>
      <c r="S205">
        <f t="shared" ca="1" si="31"/>
        <v>183.26007109798184</v>
      </c>
      <c r="T205" s="61">
        <f t="shared" ca="1" si="32"/>
        <v>10416</v>
      </c>
      <c r="U205" s="61">
        <f t="shared" ca="1" si="33"/>
        <v>6194.108535775822</v>
      </c>
      <c r="V205" s="39">
        <f t="shared" ca="1" si="34"/>
        <v>4.0750714051156725E-2</v>
      </c>
      <c r="W205" s="48">
        <f t="shared" ca="1" si="35"/>
        <v>0.38261464669468137</v>
      </c>
    </row>
    <row r="206" spans="17:23" x14ac:dyDescent="0.2">
      <c r="Q206">
        <f t="shared" si="29"/>
        <v>190</v>
      </c>
      <c r="R206" s="48">
        <f t="shared" ca="1" si="30"/>
        <v>0.35</v>
      </c>
      <c r="S206">
        <f t="shared" ca="1" si="31"/>
        <v>173.30464482833463</v>
      </c>
      <c r="T206" s="61">
        <f t="shared" ca="1" si="32"/>
        <v>16800</v>
      </c>
      <c r="U206" s="61">
        <f t="shared" ca="1" si="33"/>
        <v>8118.415310734008</v>
      </c>
      <c r="V206" s="39">
        <f t="shared" ca="1" si="34"/>
        <v>5.3410627044302682E-2</v>
      </c>
      <c r="W206" s="48">
        <f t="shared" ca="1" si="35"/>
        <v>0.52507926860640652</v>
      </c>
    </row>
    <row r="207" spans="17:23" x14ac:dyDescent="0.2">
      <c r="Q207">
        <f t="shared" si="29"/>
        <v>191</v>
      </c>
      <c r="R207" s="48">
        <f t="shared" ca="1" si="30"/>
        <v>0.45</v>
      </c>
      <c r="S207">
        <f t="shared" ca="1" si="31"/>
        <v>168.22680722948809</v>
      </c>
      <c r="T207" s="61">
        <f t="shared" ca="1" si="32"/>
        <v>21600</v>
      </c>
      <c r="U207" s="61">
        <f t="shared" ca="1" si="33"/>
        <v>12019.795180974757</v>
      </c>
      <c r="V207" s="39">
        <f t="shared" ca="1" si="34"/>
        <v>7.9077599874833926E-2</v>
      </c>
      <c r="W207" s="48">
        <f t="shared" ca="1" si="35"/>
        <v>0.85393258627293966</v>
      </c>
    </row>
    <row r="208" spans="17:23" x14ac:dyDescent="0.2">
      <c r="Q208">
        <f t="shared" si="29"/>
        <v>192</v>
      </c>
      <c r="R208" s="48">
        <f t="shared" ca="1" si="30"/>
        <v>0.35</v>
      </c>
      <c r="S208">
        <f t="shared" ca="1" si="31"/>
        <v>207.29553469313703</v>
      </c>
      <c r="T208" s="61">
        <f t="shared" ca="1" si="32"/>
        <v>16800</v>
      </c>
      <c r="U208" s="61">
        <f t="shared" ca="1" si="33"/>
        <v>25793.678040431256</v>
      </c>
      <c r="V208" s="39">
        <f t="shared" ca="1" si="34"/>
        <v>0.16969525026599511</v>
      </c>
      <c r="W208" s="48">
        <f t="shared" ca="1" si="35"/>
        <v>2.5657053067392837</v>
      </c>
    </row>
    <row r="209" spans="17:23" x14ac:dyDescent="0.2">
      <c r="Q209">
        <f t="shared" si="29"/>
        <v>193</v>
      </c>
      <c r="R209" s="48">
        <f t="shared" ca="1" si="30"/>
        <v>0.3</v>
      </c>
      <c r="S209">
        <f t="shared" ca="1" si="31"/>
        <v>158.48014239285436</v>
      </c>
      <c r="T209" s="61">
        <f t="shared" ca="1" si="32"/>
        <v>14400</v>
      </c>
      <c r="U209" s="61">
        <f t="shared" ca="1" si="33"/>
        <v>-3251.1202600015567</v>
      </c>
      <c r="V209" s="39">
        <f t="shared" ca="1" si="34"/>
        <v>-2.1388949078957609E-2</v>
      </c>
      <c r="W209" s="48">
        <f t="shared" ca="1" si="35"/>
        <v>-0.1608538523772135</v>
      </c>
    </row>
    <row r="210" spans="17:23" x14ac:dyDescent="0.2">
      <c r="Q210">
        <f t="shared" si="29"/>
        <v>194</v>
      </c>
      <c r="R210" s="48">
        <f t="shared" ca="1" si="30"/>
        <v>0.35</v>
      </c>
      <c r="S210">
        <f t="shared" ca="1" si="31"/>
        <v>170.3080203630079</v>
      </c>
      <c r="T210" s="61">
        <f t="shared" ca="1" si="32"/>
        <v>16800</v>
      </c>
      <c r="U210" s="61">
        <f t="shared" ca="1" si="33"/>
        <v>6560.1705887641074</v>
      </c>
      <c r="V210" s="39">
        <f t="shared" ca="1" si="34"/>
        <v>4.3159017031342811E-2</v>
      </c>
      <c r="W210" s="48">
        <f t="shared" ca="1" si="35"/>
        <v>0.40877967661130543</v>
      </c>
    </row>
    <row r="211" spans="17:23" x14ac:dyDescent="0.2">
      <c r="Q211">
        <f t="shared" ref="Q211:Q274" si="36">Q210+1</f>
        <v>195</v>
      </c>
      <c r="R211" s="48">
        <f t="shared" ref="R211:R274" ca="1" si="37">LOOKUP(RAND(),$U$6:$U$12,$S$6:$S$12)</f>
        <v>0.4</v>
      </c>
      <c r="S211">
        <f t="shared" ref="S211:S274" ca="1" si="38">_xlfn.NORM.INV(RAND(),$Q$5,$Q$10)</f>
        <v>174.66925703469988</v>
      </c>
      <c r="T211" s="61">
        <f t="shared" ref="T211:T274" ca="1" si="39">($B$8-$B$7)*($E$6*R211)</f>
        <v>19200</v>
      </c>
      <c r="U211" s="61">
        <f t="shared" ref="U211:U274" ca="1" si="40">T211+((S211-$B$7)*($E$6*(1-R211)))</f>
        <v>11841.243376655944</v>
      </c>
      <c r="V211" s="39">
        <f t="shared" ref="V211:V274" ca="1" si="41">U211/$E$4</f>
        <v>7.7902916951683845E-2</v>
      </c>
      <c r="W211" s="48">
        <f t="shared" ref="W211:W274" ca="1" si="42">(1+V211)^($J$29/$J$30)-1</f>
        <v>0.83762604805113972</v>
      </c>
    </row>
    <row r="212" spans="17:23" x14ac:dyDescent="0.2">
      <c r="Q212">
        <f t="shared" si="36"/>
        <v>196</v>
      </c>
      <c r="R212" s="48">
        <f t="shared" ca="1" si="37"/>
        <v>0.217</v>
      </c>
      <c r="S212">
        <f t="shared" ca="1" si="38"/>
        <v>166.25950340418279</v>
      </c>
      <c r="T212" s="61">
        <f t="shared" ca="1" si="39"/>
        <v>10416</v>
      </c>
      <c r="U212" s="61">
        <f t="shared" ca="1" si="40"/>
        <v>-4455.0470676198966</v>
      </c>
      <c r="V212" s="39">
        <f t="shared" ca="1" si="41"/>
        <v>-2.9309520181709847E-2</v>
      </c>
      <c r="W212" s="48">
        <f t="shared" ca="1" si="42"/>
        <v>-0.21438332676548078</v>
      </c>
    </row>
    <row r="213" spans="17:23" x14ac:dyDescent="0.2">
      <c r="Q213">
        <f t="shared" si="36"/>
        <v>197</v>
      </c>
      <c r="R213" s="48">
        <f t="shared" ca="1" si="37"/>
        <v>0.217</v>
      </c>
      <c r="S213">
        <f t="shared" ca="1" si="38"/>
        <v>219.4030895589357</v>
      </c>
      <c r="T213" s="61">
        <f t="shared" ca="1" si="39"/>
        <v>10416</v>
      </c>
      <c r="U213" s="61">
        <f t="shared" ca="1" si="40"/>
        <v>28834.095299717326</v>
      </c>
      <c r="V213" s="39">
        <f t="shared" ca="1" si="41"/>
        <v>0.18969799539287716</v>
      </c>
      <c r="W213" s="48">
        <f t="shared" ca="1" si="42"/>
        <v>3.0914353897457394</v>
      </c>
    </row>
    <row r="214" spans="17:23" x14ac:dyDescent="0.2">
      <c r="Q214">
        <f t="shared" si="36"/>
        <v>198</v>
      </c>
      <c r="R214" s="48">
        <f t="shared" ca="1" si="37"/>
        <v>0.217</v>
      </c>
      <c r="S214">
        <f t="shared" ca="1" si="38"/>
        <v>175.52152987638016</v>
      </c>
      <c r="T214" s="61">
        <f t="shared" ca="1" si="39"/>
        <v>10416</v>
      </c>
      <c r="U214" s="61">
        <f t="shared" ca="1" si="40"/>
        <v>1346.6863145645311</v>
      </c>
      <c r="V214" s="39">
        <f t="shared" ca="1" si="41"/>
        <v>8.8597783852929681E-3</v>
      </c>
      <c r="W214" s="48">
        <f t="shared" ca="1" si="42"/>
        <v>7.4167745208802316E-2</v>
      </c>
    </row>
    <row r="215" spans="17:23" x14ac:dyDescent="0.2">
      <c r="Q215">
        <f t="shared" si="36"/>
        <v>199</v>
      </c>
      <c r="R215" s="48">
        <f t="shared" ca="1" si="37"/>
        <v>0.35</v>
      </c>
      <c r="S215">
        <f t="shared" ca="1" si="38"/>
        <v>207.52507125707359</v>
      </c>
      <c r="T215" s="61">
        <f t="shared" ca="1" si="39"/>
        <v>16800</v>
      </c>
      <c r="U215" s="61">
        <f t="shared" ca="1" si="40"/>
        <v>25913.037053678268</v>
      </c>
      <c r="V215" s="39">
        <f t="shared" ca="1" si="41"/>
        <v>0.17048050693209388</v>
      </c>
      <c r="W215" s="48">
        <f t="shared" ca="1" si="42"/>
        <v>2.5851679369096185</v>
      </c>
    </row>
    <row r="216" spans="17:23" x14ac:dyDescent="0.2">
      <c r="Q216">
        <f t="shared" si="36"/>
        <v>200</v>
      </c>
      <c r="R216" s="48">
        <f t="shared" ca="1" si="37"/>
        <v>0.3</v>
      </c>
      <c r="S216">
        <f t="shared" ca="1" si="38"/>
        <v>218.0094257004007</v>
      </c>
      <c r="T216" s="61">
        <f t="shared" ca="1" si="39"/>
        <v>14400</v>
      </c>
      <c r="U216" s="61">
        <f t="shared" ca="1" si="40"/>
        <v>30085.278392224391</v>
      </c>
      <c r="V216" s="39">
        <f t="shared" ca="1" si="41"/>
        <v>0.19792946310673942</v>
      </c>
      <c r="W216" s="48">
        <f t="shared" ca="1" si="42"/>
        <v>3.3267774257803122</v>
      </c>
    </row>
    <row r="217" spans="17:23" x14ac:dyDescent="0.2">
      <c r="Q217">
        <f t="shared" si="36"/>
        <v>201</v>
      </c>
      <c r="R217" s="48">
        <f t="shared" ca="1" si="37"/>
        <v>0.3</v>
      </c>
      <c r="S217">
        <f t="shared" ca="1" si="38"/>
        <v>201.7784016142636</v>
      </c>
      <c r="T217" s="61">
        <f t="shared" ca="1" si="39"/>
        <v>14400</v>
      </c>
      <c r="U217" s="61">
        <f t="shared" ca="1" si="40"/>
        <v>20995.904903987615</v>
      </c>
      <c r="V217" s="39">
        <f t="shared" ca="1" si="41"/>
        <v>0.13813095331570799</v>
      </c>
      <c r="W217" s="48">
        <f t="shared" ca="1" si="42"/>
        <v>1.8561529483917956</v>
      </c>
    </row>
    <row r="218" spans="17:23" x14ac:dyDescent="0.2">
      <c r="Q218">
        <f t="shared" si="36"/>
        <v>202</v>
      </c>
      <c r="R218" s="48">
        <f t="shared" ca="1" si="37"/>
        <v>0.45</v>
      </c>
      <c r="S218">
        <f t="shared" ca="1" si="38"/>
        <v>172.95996208589304</v>
      </c>
      <c r="T218" s="61">
        <f t="shared" ca="1" si="39"/>
        <v>21600</v>
      </c>
      <c r="U218" s="61">
        <f t="shared" ca="1" si="40"/>
        <v>14102.383317792937</v>
      </c>
      <c r="V218" s="39">
        <f t="shared" ca="1" si="41"/>
        <v>9.2778837617058796E-2</v>
      </c>
      <c r="W218" s="48">
        <f t="shared" ca="1" si="42"/>
        <v>1.0537121486243111</v>
      </c>
    </row>
    <row r="219" spans="17:23" x14ac:dyDescent="0.2">
      <c r="Q219">
        <f t="shared" si="36"/>
        <v>203</v>
      </c>
      <c r="R219" s="48">
        <f t="shared" ca="1" si="37"/>
        <v>0.4</v>
      </c>
      <c r="S219">
        <f t="shared" ca="1" si="38"/>
        <v>208.08817912686473</v>
      </c>
      <c r="T219" s="61">
        <f t="shared" ca="1" si="39"/>
        <v>19200</v>
      </c>
      <c r="U219" s="61">
        <f t="shared" ca="1" si="40"/>
        <v>27882.325980895072</v>
      </c>
      <c r="V219" s="39">
        <f t="shared" ca="1" si="41"/>
        <v>0.18343635513746759</v>
      </c>
      <c r="W219" s="48">
        <f t="shared" ca="1" si="42"/>
        <v>2.9200035935747697</v>
      </c>
    </row>
    <row r="220" spans="17:23" x14ac:dyDescent="0.2">
      <c r="Q220">
        <f t="shared" si="36"/>
        <v>204</v>
      </c>
      <c r="R220" s="48">
        <f t="shared" ca="1" si="37"/>
        <v>0.3</v>
      </c>
      <c r="S220">
        <f t="shared" ca="1" si="38"/>
        <v>208.41408809947919</v>
      </c>
      <c r="T220" s="61">
        <f t="shared" ca="1" si="39"/>
        <v>14400</v>
      </c>
      <c r="U220" s="61">
        <f t="shared" ca="1" si="40"/>
        <v>24711.889335708343</v>
      </c>
      <c r="V220" s="39">
        <f t="shared" ca="1" si="41"/>
        <v>0.16257821931387068</v>
      </c>
      <c r="W220" s="48">
        <f t="shared" ca="1" si="42"/>
        <v>2.3934901233393528</v>
      </c>
    </row>
    <row r="221" spans="17:23" x14ac:dyDescent="0.2">
      <c r="Q221">
        <f t="shared" si="36"/>
        <v>205</v>
      </c>
      <c r="R221" s="48">
        <f t="shared" ca="1" si="37"/>
        <v>0.4</v>
      </c>
      <c r="S221">
        <f t="shared" ca="1" si="38"/>
        <v>205.37374543761399</v>
      </c>
      <c r="T221" s="61">
        <f t="shared" ca="1" si="39"/>
        <v>19200</v>
      </c>
      <c r="U221" s="61">
        <f t="shared" ca="1" si="40"/>
        <v>26579.397810054717</v>
      </c>
      <c r="V221" s="39">
        <f t="shared" ca="1" si="41"/>
        <v>0.17486445927667577</v>
      </c>
      <c r="W221" s="48">
        <f t="shared" ca="1" si="42"/>
        <v>2.6955454515172792</v>
      </c>
    </row>
    <row r="222" spans="17:23" x14ac:dyDescent="0.2">
      <c r="Q222">
        <f t="shared" si="36"/>
        <v>206</v>
      </c>
      <c r="R222" s="48">
        <f t="shared" ca="1" si="37"/>
        <v>0.3</v>
      </c>
      <c r="S222">
        <f t="shared" ca="1" si="38"/>
        <v>187.4234314277233</v>
      </c>
      <c r="T222" s="61">
        <f t="shared" ca="1" si="39"/>
        <v>14400</v>
      </c>
      <c r="U222" s="61">
        <f t="shared" ca="1" si="40"/>
        <v>12957.12159952505</v>
      </c>
      <c r="V222" s="39">
        <f t="shared" ca="1" si="41"/>
        <v>8.5244221049506907E-2</v>
      </c>
      <c r="W222" s="48">
        <f t="shared" ca="1" si="42"/>
        <v>0.94163393189275069</v>
      </c>
    </row>
    <row r="223" spans="17:23" x14ac:dyDescent="0.2">
      <c r="Q223">
        <f t="shared" si="36"/>
        <v>207</v>
      </c>
      <c r="R223" s="48">
        <f t="shared" ca="1" si="37"/>
        <v>0.3</v>
      </c>
      <c r="S223">
        <f t="shared" ca="1" si="38"/>
        <v>213.32348405798493</v>
      </c>
      <c r="T223" s="61">
        <f t="shared" ca="1" si="39"/>
        <v>14400</v>
      </c>
      <c r="U223" s="61">
        <f t="shared" ca="1" si="40"/>
        <v>27461.151072471559</v>
      </c>
      <c r="V223" s="39">
        <f t="shared" ca="1" si="41"/>
        <v>0.18066546758204974</v>
      </c>
      <c r="W223" s="48">
        <f t="shared" ca="1" si="42"/>
        <v>2.8461745000749108</v>
      </c>
    </row>
    <row r="224" spans="17:23" x14ac:dyDescent="0.2">
      <c r="Q224">
        <f t="shared" si="36"/>
        <v>208</v>
      </c>
      <c r="R224" s="48">
        <f t="shared" ca="1" si="37"/>
        <v>0.35</v>
      </c>
      <c r="S224">
        <f t="shared" ca="1" si="38"/>
        <v>219.33457439847803</v>
      </c>
      <c r="T224" s="61">
        <f t="shared" ca="1" si="39"/>
        <v>16800</v>
      </c>
      <c r="U224" s="61">
        <f t="shared" ca="1" si="40"/>
        <v>32053.978687208575</v>
      </c>
      <c r="V224" s="39">
        <f t="shared" ca="1" si="41"/>
        <v>0.21088143873163537</v>
      </c>
      <c r="W224" s="48">
        <f t="shared" ca="1" si="42"/>
        <v>3.72113577077541</v>
      </c>
    </row>
    <row r="225" spans="17:23" x14ac:dyDescent="0.2">
      <c r="Q225">
        <f t="shared" si="36"/>
        <v>209</v>
      </c>
      <c r="R225" s="48">
        <f t="shared" ca="1" si="37"/>
        <v>0.35</v>
      </c>
      <c r="S225">
        <f t="shared" ca="1" si="38"/>
        <v>176.5301015872447</v>
      </c>
      <c r="T225" s="61">
        <f t="shared" ca="1" si="39"/>
        <v>16800</v>
      </c>
      <c r="U225" s="61">
        <f t="shared" ca="1" si="40"/>
        <v>9795.6528253672441</v>
      </c>
      <c r="V225" s="39">
        <f t="shared" ca="1" si="41"/>
        <v>6.4445084377416084E-2</v>
      </c>
      <c r="W225" s="48">
        <f t="shared" ca="1" si="42"/>
        <v>0.65958607246279155</v>
      </c>
    </row>
    <row r="226" spans="17:23" x14ac:dyDescent="0.2">
      <c r="Q226">
        <f t="shared" si="36"/>
        <v>210</v>
      </c>
      <c r="R226" s="48">
        <f t="shared" ca="1" si="37"/>
        <v>0.35</v>
      </c>
      <c r="S226">
        <f t="shared" ca="1" si="38"/>
        <v>184.76089752829822</v>
      </c>
      <c r="T226" s="61">
        <f t="shared" ca="1" si="39"/>
        <v>16800</v>
      </c>
      <c r="U226" s="61">
        <f t="shared" ca="1" si="40"/>
        <v>14075.666714715073</v>
      </c>
      <c r="V226" s="39">
        <f t="shared" ca="1" si="41"/>
        <v>9.2603070491546535E-2</v>
      </c>
      <c r="W226" s="48">
        <f t="shared" ca="1" si="42"/>
        <v>1.0510343560144308</v>
      </c>
    </row>
    <row r="227" spans="17:23" x14ac:dyDescent="0.2">
      <c r="Q227">
        <f t="shared" si="36"/>
        <v>211</v>
      </c>
      <c r="R227" s="48">
        <f t="shared" ca="1" si="37"/>
        <v>0.35</v>
      </c>
      <c r="S227">
        <f t="shared" ca="1" si="38"/>
        <v>228.32503652585652</v>
      </c>
      <c r="T227" s="61">
        <f t="shared" ca="1" si="39"/>
        <v>16800</v>
      </c>
      <c r="U227" s="61">
        <f t="shared" ca="1" si="40"/>
        <v>36729.018993445388</v>
      </c>
      <c r="V227" s="39">
        <f t="shared" ca="1" si="41"/>
        <v>0.2416382828516144</v>
      </c>
      <c r="W227" s="48">
        <f t="shared" ca="1" si="42"/>
        <v>4.786349416250796</v>
      </c>
    </row>
    <row r="228" spans="17:23" x14ac:dyDescent="0.2">
      <c r="Q228">
        <f t="shared" si="36"/>
        <v>212</v>
      </c>
      <c r="R228" s="48">
        <f t="shared" ca="1" si="37"/>
        <v>0.3</v>
      </c>
      <c r="S228">
        <f t="shared" ca="1" si="38"/>
        <v>202.5625862194542</v>
      </c>
      <c r="T228" s="61">
        <f t="shared" ca="1" si="39"/>
        <v>14400</v>
      </c>
      <c r="U228" s="61">
        <f t="shared" ca="1" si="40"/>
        <v>21435.048282894353</v>
      </c>
      <c r="V228" s="39">
        <f t="shared" ca="1" si="41"/>
        <v>0.141020054492726</v>
      </c>
      <c r="W228" s="48">
        <f t="shared" ca="1" si="42"/>
        <v>1.9154939239565785</v>
      </c>
    </row>
    <row r="229" spans="17:23" x14ac:dyDescent="0.2">
      <c r="Q229">
        <f t="shared" si="36"/>
        <v>213</v>
      </c>
      <c r="R229" s="48">
        <f t="shared" ca="1" si="37"/>
        <v>0.4</v>
      </c>
      <c r="S229">
        <f t="shared" ca="1" si="38"/>
        <v>208.46598226714741</v>
      </c>
      <c r="T229" s="61">
        <f t="shared" ca="1" si="39"/>
        <v>19200</v>
      </c>
      <c r="U229" s="61">
        <f t="shared" ca="1" si="40"/>
        <v>28063.671488230757</v>
      </c>
      <c r="V229" s="39">
        <f t="shared" ca="1" si="41"/>
        <v>0.18462941768572866</v>
      </c>
      <c r="W229" s="48">
        <f t="shared" ca="1" si="42"/>
        <v>2.9521729406796422</v>
      </c>
    </row>
    <row r="230" spans="17:23" x14ac:dyDescent="0.2">
      <c r="Q230">
        <f t="shared" si="36"/>
        <v>214</v>
      </c>
      <c r="R230" s="48">
        <f t="shared" ca="1" si="37"/>
        <v>0.4</v>
      </c>
      <c r="S230">
        <f t="shared" ca="1" si="38"/>
        <v>190.4245830171179</v>
      </c>
      <c r="T230" s="61">
        <f t="shared" ca="1" si="39"/>
        <v>19200</v>
      </c>
      <c r="U230" s="61">
        <f t="shared" ca="1" si="40"/>
        <v>19403.799848216589</v>
      </c>
      <c r="V230" s="39">
        <f t="shared" ca="1" si="41"/>
        <v>0.12765657794879334</v>
      </c>
      <c r="W230" s="48">
        <f t="shared" ca="1" si="42"/>
        <v>1.6497950810705171</v>
      </c>
    </row>
    <row r="231" spans="17:23" x14ac:dyDescent="0.2">
      <c r="Q231">
        <f t="shared" si="36"/>
        <v>215</v>
      </c>
      <c r="R231" s="48">
        <f t="shared" ca="1" si="37"/>
        <v>0.4</v>
      </c>
      <c r="S231">
        <f t="shared" ca="1" si="38"/>
        <v>180.06028285438629</v>
      </c>
      <c r="T231" s="61">
        <f t="shared" ca="1" si="39"/>
        <v>19200</v>
      </c>
      <c r="U231" s="61">
        <f t="shared" ca="1" si="40"/>
        <v>14428.935770105418</v>
      </c>
      <c r="V231" s="39">
        <f t="shared" ca="1" si="41"/>
        <v>9.4927209013851432E-2</v>
      </c>
      <c r="W231" s="48">
        <f t="shared" ca="1" si="42"/>
        <v>1.0866909085163159</v>
      </c>
    </row>
    <row r="232" spans="17:23" x14ac:dyDescent="0.2">
      <c r="Q232">
        <f t="shared" si="36"/>
        <v>216</v>
      </c>
      <c r="R232" s="48">
        <f t="shared" ca="1" si="37"/>
        <v>0.5</v>
      </c>
      <c r="S232">
        <f t="shared" ca="1" si="38"/>
        <v>151.84548678873003</v>
      </c>
      <c r="T232" s="61">
        <f t="shared" ca="1" si="39"/>
        <v>24000</v>
      </c>
      <c r="U232" s="61">
        <f t="shared" ca="1" si="40"/>
        <v>8738.1947154920108</v>
      </c>
      <c r="V232" s="39">
        <f t="shared" ca="1" si="41"/>
        <v>5.7488123128236916E-2</v>
      </c>
      <c r="W232" s="48">
        <f t="shared" ca="1" si="42"/>
        <v>0.57362506675511304</v>
      </c>
    </row>
    <row r="233" spans="17:23" x14ac:dyDescent="0.2">
      <c r="Q233">
        <f t="shared" si="36"/>
        <v>217</v>
      </c>
      <c r="R233" s="48">
        <f t="shared" ca="1" si="37"/>
        <v>0.4</v>
      </c>
      <c r="S233">
        <f t="shared" ca="1" si="38"/>
        <v>180.24457165244112</v>
      </c>
      <c r="T233" s="61">
        <f t="shared" ca="1" si="39"/>
        <v>19200</v>
      </c>
      <c r="U233" s="61">
        <f t="shared" ca="1" si="40"/>
        <v>14517.39439317174</v>
      </c>
      <c r="V233" s="39">
        <f t="shared" ca="1" si="41"/>
        <v>9.5509173639287764E-2</v>
      </c>
      <c r="W233" s="48">
        <f t="shared" ca="1" si="42"/>
        <v>1.0957039353010707</v>
      </c>
    </row>
    <row r="234" spans="17:23" x14ac:dyDescent="0.2">
      <c r="Q234">
        <f t="shared" si="36"/>
        <v>218</v>
      </c>
      <c r="R234" s="48">
        <f t="shared" ca="1" si="37"/>
        <v>0.45</v>
      </c>
      <c r="S234">
        <f t="shared" ca="1" si="38"/>
        <v>187.40895904303395</v>
      </c>
      <c r="T234" s="61">
        <f t="shared" ca="1" si="39"/>
        <v>21600</v>
      </c>
      <c r="U234" s="61">
        <f t="shared" ca="1" si="40"/>
        <v>20459.941978934934</v>
      </c>
      <c r="V234" s="39">
        <f t="shared" ca="1" si="41"/>
        <v>0.1346048814403614</v>
      </c>
      <c r="W234" s="48">
        <f t="shared" ca="1" si="42"/>
        <v>1.7851656572008308</v>
      </c>
    </row>
    <row r="235" spans="17:23" x14ac:dyDescent="0.2">
      <c r="Q235">
        <f t="shared" si="36"/>
        <v>219</v>
      </c>
      <c r="R235" s="48">
        <f t="shared" ca="1" si="37"/>
        <v>0.5</v>
      </c>
      <c r="S235">
        <f t="shared" ca="1" si="38"/>
        <v>199.62332665488049</v>
      </c>
      <c r="T235" s="61">
        <f t="shared" ca="1" si="39"/>
        <v>24000</v>
      </c>
      <c r="U235" s="61">
        <f t="shared" ca="1" si="40"/>
        <v>27849.330661952194</v>
      </c>
      <c r="V235" s="39">
        <f t="shared" ca="1" si="41"/>
        <v>0.18321928067073812</v>
      </c>
      <c r="W235" s="48">
        <f t="shared" ca="1" si="42"/>
        <v>2.9141752194056352</v>
      </c>
    </row>
    <row r="236" spans="17:23" x14ac:dyDescent="0.2">
      <c r="Q236">
        <f t="shared" si="36"/>
        <v>220</v>
      </c>
      <c r="R236" s="48">
        <f t="shared" ca="1" si="37"/>
        <v>0.45</v>
      </c>
      <c r="S236">
        <f t="shared" ca="1" si="38"/>
        <v>195.91611717154478</v>
      </c>
      <c r="T236" s="61">
        <f t="shared" ca="1" si="39"/>
        <v>21600</v>
      </c>
      <c r="U236" s="61">
        <f t="shared" ca="1" si="40"/>
        <v>24203.091555479707</v>
      </c>
      <c r="V236" s="39">
        <f t="shared" ca="1" si="41"/>
        <v>0.15923086549657703</v>
      </c>
      <c r="W236" s="48">
        <f t="shared" ca="1" si="42"/>
        <v>2.3150454074488884</v>
      </c>
    </row>
    <row r="237" spans="17:23" x14ac:dyDescent="0.2">
      <c r="Q237">
        <f t="shared" si="36"/>
        <v>221</v>
      </c>
      <c r="R237" s="48">
        <f t="shared" ca="1" si="37"/>
        <v>0.35</v>
      </c>
      <c r="S237">
        <f t="shared" ca="1" si="38"/>
        <v>166.37538345555856</v>
      </c>
      <c r="T237" s="61">
        <f t="shared" ca="1" si="39"/>
        <v>16800</v>
      </c>
      <c r="U237" s="61">
        <f t="shared" ca="1" si="40"/>
        <v>4515.1993968904535</v>
      </c>
      <c r="V237" s="39">
        <f t="shared" ca="1" si="41"/>
        <v>2.9705259190068774E-2</v>
      </c>
      <c r="W237" s="48">
        <f t="shared" ca="1" si="42"/>
        <v>0.26799048621815547</v>
      </c>
    </row>
    <row r="238" spans="17:23" x14ac:dyDescent="0.2">
      <c r="Q238">
        <f t="shared" si="36"/>
        <v>222</v>
      </c>
      <c r="R238" s="48">
        <f t="shared" ca="1" si="37"/>
        <v>0.45</v>
      </c>
      <c r="S238">
        <f t="shared" ca="1" si="38"/>
        <v>193.42822450661942</v>
      </c>
      <c r="T238" s="61">
        <f t="shared" ca="1" si="39"/>
        <v>21600</v>
      </c>
      <c r="U238" s="61">
        <f t="shared" ca="1" si="40"/>
        <v>23108.418782912544</v>
      </c>
      <c r="V238" s="39">
        <f t="shared" ca="1" si="41"/>
        <v>0.15202907094021412</v>
      </c>
      <c r="W238" s="48">
        <f t="shared" ca="1" si="42"/>
        <v>2.151641268086316</v>
      </c>
    </row>
    <row r="239" spans="17:23" x14ac:dyDescent="0.2">
      <c r="Q239">
        <f t="shared" si="36"/>
        <v>223</v>
      </c>
      <c r="R239" s="48">
        <f t="shared" ca="1" si="37"/>
        <v>0.45</v>
      </c>
      <c r="S239">
        <f t="shared" ca="1" si="38"/>
        <v>207.86860151356916</v>
      </c>
      <c r="T239" s="61">
        <f t="shared" ca="1" si="39"/>
        <v>21600</v>
      </c>
      <c r="U239" s="61">
        <f t="shared" ca="1" si="40"/>
        <v>29462.184665970432</v>
      </c>
      <c r="V239" s="39">
        <f t="shared" ca="1" si="41"/>
        <v>0.19383016227612127</v>
      </c>
      <c r="W239" s="48">
        <f t="shared" ca="1" si="42"/>
        <v>3.2081338922326079</v>
      </c>
    </row>
    <row r="240" spans="17:23" x14ac:dyDescent="0.2">
      <c r="Q240">
        <f t="shared" si="36"/>
        <v>224</v>
      </c>
      <c r="R240" s="48">
        <f t="shared" ca="1" si="37"/>
        <v>0.3</v>
      </c>
      <c r="S240">
        <f t="shared" ca="1" si="38"/>
        <v>170.23601214998834</v>
      </c>
      <c r="T240" s="61">
        <f t="shared" ca="1" si="39"/>
        <v>14400</v>
      </c>
      <c r="U240" s="61">
        <f t="shared" ca="1" si="40"/>
        <v>3332.1668039934702</v>
      </c>
      <c r="V240" s="39">
        <f t="shared" ca="1" si="41"/>
        <v>2.1922150026272829E-2</v>
      </c>
      <c r="W240" s="48">
        <f t="shared" ca="1" si="42"/>
        <v>0.19230927909360696</v>
      </c>
    </row>
    <row r="241" spans="17:23" x14ac:dyDescent="0.2">
      <c r="Q241">
        <f t="shared" si="36"/>
        <v>225</v>
      </c>
      <c r="R241" s="48">
        <f t="shared" ca="1" si="37"/>
        <v>0.5</v>
      </c>
      <c r="S241">
        <f t="shared" ca="1" si="38"/>
        <v>170.43511473979345</v>
      </c>
      <c r="T241" s="61">
        <f t="shared" ca="1" si="39"/>
        <v>24000</v>
      </c>
      <c r="U241" s="61">
        <f t="shared" ca="1" si="40"/>
        <v>16174.045895917379</v>
      </c>
      <c r="V241" s="39">
        <f t="shared" ca="1" si="41"/>
        <v>0.10640819668366697</v>
      </c>
      <c r="W241" s="48">
        <f t="shared" ca="1" si="42"/>
        <v>1.2709238079546763</v>
      </c>
    </row>
    <row r="242" spans="17:23" x14ac:dyDescent="0.2">
      <c r="Q242">
        <f t="shared" si="36"/>
        <v>226</v>
      </c>
      <c r="R242" s="48">
        <f t="shared" ca="1" si="37"/>
        <v>0.35</v>
      </c>
      <c r="S242">
        <f t="shared" ca="1" si="38"/>
        <v>167.36382357252</v>
      </c>
      <c r="T242" s="61">
        <f t="shared" ca="1" si="39"/>
        <v>16800</v>
      </c>
      <c r="U242" s="61">
        <f t="shared" ca="1" si="40"/>
        <v>5029.1882577104025</v>
      </c>
      <c r="V242" s="39">
        <f t="shared" ca="1" si="41"/>
        <v>3.308676485335791E-2</v>
      </c>
      <c r="W242" s="48">
        <f t="shared" ca="1" si="42"/>
        <v>0.30216235844566586</v>
      </c>
    </row>
    <row r="243" spans="17:23" x14ac:dyDescent="0.2">
      <c r="Q243">
        <f t="shared" si="36"/>
        <v>227</v>
      </c>
      <c r="R243" s="48">
        <f t="shared" ca="1" si="37"/>
        <v>0.217</v>
      </c>
      <c r="S243">
        <f t="shared" ca="1" si="38"/>
        <v>163.47198176485855</v>
      </c>
      <c r="T243" s="61">
        <f t="shared" ca="1" si="39"/>
        <v>10416</v>
      </c>
      <c r="U243" s="61">
        <f t="shared" ca="1" si="40"/>
        <v>-6201.1506224926015</v>
      </c>
      <c r="V243" s="39">
        <f t="shared" ca="1" si="41"/>
        <v>-4.0797043569030272E-2</v>
      </c>
      <c r="W243" s="48">
        <f t="shared" ca="1" si="42"/>
        <v>-0.28669687639304786</v>
      </c>
    </row>
    <row r="244" spans="17:23" x14ac:dyDescent="0.2">
      <c r="Q244">
        <f t="shared" si="36"/>
        <v>228</v>
      </c>
      <c r="R244" s="48">
        <f t="shared" ca="1" si="37"/>
        <v>0.5</v>
      </c>
      <c r="S244">
        <f t="shared" ca="1" si="38"/>
        <v>200.09195450657981</v>
      </c>
      <c r="T244" s="61">
        <f t="shared" ca="1" si="39"/>
        <v>24000</v>
      </c>
      <c r="U244" s="61">
        <f t="shared" ca="1" si="40"/>
        <v>28036.781802631926</v>
      </c>
      <c r="V244" s="39">
        <f t="shared" ca="1" si="41"/>
        <v>0.18445251185942058</v>
      </c>
      <c r="W244" s="48">
        <f t="shared" ca="1" si="42"/>
        <v>2.9473883440788842</v>
      </c>
    </row>
    <row r="245" spans="17:23" x14ac:dyDescent="0.2">
      <c r="Q245">
        <f t="shared" si="36"/>
        <v>229</v>
      </c>
      <c r="R245" s="48">
        <f t="shared" ca="1" si="37"/>
        <v>0.45</v>
      </c>
      <c r="S245">
        <f t="shared" ca="1" si="38"/>
        <v>198.54204483886014</v>
      </c>
      <c r="T245" s="61">
        <f t="shared" ca="1" si="39"/>
        <v>21600</v>
      </c>
      <c r="U245" s="61">
        <f t="shared" ca="1" si="40"/>
        <v>25358.499729098461</v>
      </c>
      <c r="V245" s="39">
        <f t="shared" ca="1" si="41"/>
        <v>0.16683223505985831</v>
      </c>
      <c r="W245" s="48">
        <f t="shared" ca="1" si="42"/>
        <v>2.495527537077006</v>
      </c>
    </row>
    <row r="246" spans="17:23" x14ac:dyDescent="0.2">
      <c r="Q246">
        <f t="shared" si="36"/>
        <v>230</v>
      </c>
      <c r="R246" s="48">
        <f t="shared" ca="1" si="37"/>
        <v>0.3</v>
      </c>
      <c r="S246">
        <f t="shared" ca="1" si="38"/>
        <v>172.340998409816</v>
      </c>
      <c r="T246" s="61">
        <f t="shared" ca="1" si="39"/>
        <v>14400</v>
      </c>
      <c r="U246" s="61">
        <f t="shared" ca="1" si="40"/>
        <v>4510.9591094969583</v>
      </c>
      <c r="V246" s="39">
        <f t="shared" ca="1" si="41"/>
        <v>2.9677362562479988E-2</v>
      </c>
      <c r="W246" s="48">
        <f t="shared" ca="1" si="42"/>
        <v>0.26771187840862365</v>
      </c>
    </row>
    <row r="247" spans="17:23" x14ac:dyDescent="0.2">
      <c r="Q247">
        <f t="shared" si="36"/>
        <v>231</v>
      </c>
      <c r="R247" s="48">
        <f t="shared" ca="1" si="37"/>
        <v>0.35</v>
      </c>
      <c r="S247">
        <f t="shared" ca="1" si="38"/>
        <v>178.33816550608847</v>
      </c>
      <c r="T247" s="61">
        <f t="shared" ca="1" si="39"/>
        <v>16800</v>
      </c>
      <c r="U247" s="61">
        <f t="shared" ca="1" si="40"/>
        <v>10735.846063166005</v>
      </c>
      <c r="V247" s="39">
        <f t="shared" ca="1" si="41"/>
        <v>7.0630566205039505E-2</v>
      </c>
      <c r="W247" s="48">
        <f t="shared" ca="1" si="42"/>
        <v>0.73944378883057027</v>
      </c>
    </row>
    <row r="248" spans="17:23" x14ac:dyDescent="0.2">
      <c r="Q248">
        <f t="shared" si="36"/>
        <v>232</v>
      </c>
      <c r="R248" s="48">
        <f t="shared" ca="1" si="37"/>
        <v>0.35</v>
      </c>
      <c r="S248">
        <f t="shared" ca="1" si="38"/>
        <v>208.64912322803977</v>
      </c>
      <c r="T248" s="61">
        <f t="shared" ca="1" si="39"/>
        <v>16800</v>
      </c>
      <c r="U248" s="61">
        <f t="shared" ca="1" si="40"/>
        <v>26497.544078580679</v>
      </c>
      <c r="V248" s="39">
        <f t="shared" ca="1" si="41"/>
        <v>0.17432594788539921</v>
      </c>
      <c r="W248" s="48">
        <f t="shared" ca="1" si="42"/>
        <v>2.6818284770526941</v>
      </c>
    </row>
    <row r="249" spans="17:23" x14ac:dyDescent="0.2">
      <c r="Q249">
        <f t="shared" si="36"/>
        <v>233</v>
      </c>
      <c r="R249" s="48">
        <f t="shared" ca="1" si="37"/>
        <v>0.3</v>
      </c>
      <c r="S249">
        <f t="shared" ca="1" si="38"/>
        <v>205.39493757961526</v>
      </c>
      <c r="T249" s="61">
        <f t="shared" ca="1" si="39"/>
        <v>14400</v>
      </c>
      <c r="U249" s="61">
        <f t="shared" ca="1" si="40"/>
        <v>23021.165044584544</v>
      </c>
      <c r="V249" s="39">
        <f t="shared" ca="1" si="41"/>
        <v>0.15145503318805623</v>
      </c>
      <c r="W249" s="48">
        <f t="shared" ca="1" si="42"/>
        <v>2.1389260206471996</v>
      </c>
    </row>
    <row r="250" spans="17:23" x14ac:dyDescent="0.2">
      <c r="Q250">
        <f t="shared" si="36"/>
        <v>234</v>
      </c>
      <c r="R250" s="48">
        <f t="shared" ca="1" si="37"/>
        <v>0.4</v>
      </c>
      <c r="S250">
        <f t="shared" ca="1" si="38"/>
        <v>171.11283438177307</v>
      </c>
      <c r="T250" s="61">
        <f t="shared" ca="1" si="39"/>
        <v>19200</v>
      </c>
      <c r="U250" s="61">
        <f t="shared" ca="1" si="40"/>
        <v>10134.160503251074</v>
      </c>
      <c r="V250" s="39">
        <f t="shared" ca="1" si="41"/>
        <v>6.6672108574020228E-2</v>
      </c>
      <c r="W250" s="48">
        <f t="shared" ca="1" si="42"/>
        <v>0.68795965860682551</v>
      </c>
    </row>
    <row r="251" spans="17:23" x14ac:dyDescent="0.2">
      <c r="Q251">
        <f t="shared" si="36"/>
        <v>235</v>
      </c>
      <c r="R251" s="48">
        <f t="shared" ca="1" si="37"/>
        <v>0.5</v>
      </c>
      <c r="S251">
        <f t="shared" ca="1" si="38"/>
        <v>205.38286287410284</v>
      </c>
      <c r="T251" s="61">
        <f t="shared" ca="1" si="39"/>
        <v>24000</v>
      </c>
      <c r="U251" s="61">
        <f t="shared" ca="1" si="40"/>
        <v>30153.145149641136</v>
      </c>
      <c r="V251" s="39">
        <f t="shared" ca="1" si="41"/>
        <v>0.19837595493184956</v>
      </c>
      <c r="W251" s="48">
        <f t="shared" ca="1" si="42"/>
        <v>3.339875358785017</v>
      </c>
    </row>
    <row r="252" spans="17:23" x14ac:dyDescent="0.2">
      <c r="Q252">
        <f t="shared" si="36"/>
        <v>236</v>
      </c>
      <c r="R252" s="48">
        <f t="shared" ca="1" si="37"/>
        <v>0.35</v>
      </c>
      <c r="S252">
        <f t="shared" ca="1" si="38"/>
        <v>177.45317822624784</v>
      </c>
      <c r="T252" s="61">
        <f t="shared" ca="1" si="39"/>
        <v>16800</v>
      </c>
      <c r="U252" s="61">
        <f t="shared" ca="1" si="40"/>
        <v>10275.652677648879</v>
      </c>
      <c r="V252" s="39">
        <f t="shared" ca="1" si="41"/>
        <v>6.7602978142426842E-2</v>
      </c>
      <c r="W252" s="48">
        <f t="shared" ca="1" si="42"/>
        <v>0.69994493838586647</v>
      </c>
    </row>
    <row r="253" spans="17:23" x14ac:dyDescent="0.2">
      <c r="Q253">
        <f t="shared" si="36"/>
        <v>237</v>
      </c>
      <c r="R253" s="48">
        <f t="shared" ca="1" si="37"/>
        <v>0.3</v>
      </c>
      <c r="S253">
        <f t="shared" ca="1" si="38"/>
        <v>194.67491831292702</v>
      </c>
      <c r="T253" s="61">
        <f t="shared" ca="1" si="39"/>
        <v>14400</v>
      </c>
      <c r="U253" s="61">
        <f t="shared" ca="1" si="40"/>
        <v>17017.954255239132</v>
      </c>
      <c r="V253" s="39">
        <f t="shared" ca="1" si="41"/>
        <v>0.11196022536341535</v>
      </c>
      <c r="W253" s="48">
        <f t="shared" ca="1" si="42"/>
        <v>1.365021271047238</v>
      </c>
    </row>
    <row r="254" spans="17:23" x14ac:dyDescent="0.2">
      <c r="Q254">
        <f t="shared" si="36"/>
        <v>238</v>
      </c>
      <c r="R254" s="48">
        <f t="shared" ca="1" si="37"/>
        <v>0.217</v>
      </c>
      <c r="S254">
        <f t="shared" ca="1" si="38"/>
        <v>174.19922712847148</v>
      </c>
      <c r="T254" s="61">
        <f t="shared" ca="1" si="39"/>
        <v>10416</v>
      </c>
      <c r="U254" s="61">
        <f t="shared" ca="1" si="40"/>
        <v>518.3958732745341</v>
      </c>
      <c r="V254" s="39">
        <f t="shared" ca="1" si="41"/>
        <v>3.4104991662798297E-3</v>
      </c>
      <c r="W254" s="48">
        <f t="shared" ca="1" si="42"/>
        <v>2.8000725168304097E-2</v>
      </c>
    </row>
    <row r="255" spans="17:23" x14ac:dyDescent="0.2">
      <c r="Q255">
        <f t="shared" si="36"/>
        <v>239</v>
      </c>
      <c r="R255" s="48">
        <f t="shared" ca="1" si="37"/>
        <v>0.35</v>
      </c>
      <c r="S255">
        <f t="shared" ca="1" si="38"/>
        <v>203.55196754032599</v>
      </c>
      <c r="T255" s="61">
        <f t="shared" ca="1" si="39"/>
        <v>16800</v>
      </c>
      <c r="U255" s="61">
        <f t="shared" ca="1" si="40"/>
        <v>23847.023120969516</v>
      </c>
      <c r="V255" s="39">
        <f t="shared" ca="1" si="41"/>
        <v>0.1568883100063784</v>
      </c>
      <c r="W255" s="48">
        <f t="shared" ca="1" si="42"/>
        <v>2.2610979460404899</v>
      </c>
    </row>
    <row r="256" spans="17:23" x14ac:dyDescent="0.2">
      <c r="Q256">
        <f t="shared" si="36"/>
        <v>240</v>
      </c>
      <c r="R256" s="48">
        <f t="shared" ca="1" si="37"/>
        <v>0.45</v>
      </c>
      <c r="S256">
        <f t="shared" ca="1" si="38"/>
        <v>156.78849370921861</v>
      </c>
      <c r="T256" s="61">
        <f t="shared" ca="1" si="39"/>
        <v>21600</v>
      </c>
      <c r="U256" s="61">
        <f t="shared" ca="1" si="40"/>
        <v>6986.9372320561888</v>
      </c>
      <c r="V256" s="39">
        <f t="shared" ca="1" si="41"/>
        <v>4.5966692316159137E-2</v>
      </c>
      <c r="W256" s="48">
        <f t="shared" ca="1" si="42"/>
        <v>0.43983090595904062</v>
      </c>
    </row>
    <row r="257" spans="17:23" x14ac:dyDescent="0.2">
      <c r="Q257">
        <f t="shared" si="36"/>
        <v>241</v>
      </c>
      <c r="R257" s="48">
        <f t="shared" ca="1" si="37"/>
        <v>0.35</v>
      </c>
      <c r="S257">
        <f t="shared" ca="1" si="38"/>
        <v>223.21338758465356</v>
      </c>
      <c r="T257" s="61">
        <f t="shared" ca="1" si="39"/>
        <v>16800</v>
      </c>
      <c r="U257" s="61">
        <f t="shared" ca="1" si="40"/>
        <v>34070.961544019854</v>
      </c>
      <c r="V257" s="39">
        <f t="shared" ca="1" si="41"/>
        <v>0.22415106278960431</v>
      </c>
      <c r="W257" s="48">
        <f t="shared" ca="1" si="42"/>
        <v>4.157503812398649</v>
      </c>
    </row>
    <row r="258" spans="17:23" x14ac:dyDescent="0.2">
      <c r="Q258">
        <f t="shared" si="36"/>
        <v>242</v>
      </c>
      <c r="R258" s="48">
        <f t="shared" ca="1" si="37"/>
        <v>0.35</v>
      </c>
      <c r="S258">
        <f t="shared" ca="1" si="38"/>
        <v>198.70930708526268</v>
      </c>
      <c r="T258" s="61">
        <f t="shared" ca="1" si="39"/>
        <v>16800</v>
      </c>
      <c r="U258" s="61">
        <f t="shared" ca="1" si="40"/>
        <v>21328.839684336592</v>
      </c>
      <c r="V258" s="39">
        <f t="shared" ca="1" si="41"/>
        <v>0.14032131371274073</v>
      </c>
      <c r="W258" s="48">
        <f t="shared" ca="1" si="42"/>
        <v>1.9010438576867879</v>
      </c>
    </row>
    <row r="259" spans="17:23" x14ac:dyDescent="0.2">
      <c r="Q259">
        <f t="shared" si="36"/>
        <v>243</v>
      </c>
      <c r="R259" s="48">
        <f t="shared" ca="1" si="37"/>
        <v>0.3</v>
      </c>
      <c r="S259">
        <f t="shared" ca="1" si="38"/>
        <v>190.79505381863208</v>
      </c>
      <c r="T259" s="61">
        <f t="shared" ca="1" si="39"/>
        <v>14400</v>
      </c>
      <c r="U259" s="61">
        <f t="shared" ca="1" si="40"/>
        <v>14845.230138433966</v>
      </c>
      <c r="V259" s="39">
        <f t="shared" ca="1" si="41"/>
        <v>9.7665987752855038E-2</v>
      </c>
      <c r="W259" s="48">
        <f t="shared" ca="1" si="42"/>
        <v>1.1294053885583799</v>
      </c>
    </row>
    <row r="260" spans="17:23" x14ac:dyDescent="0.2">
      <c r="Q260">
        <f t="shared" si="36"/>
        <v>244</v>
      </c>
      <c r="R260" s="48">
        <f t="shared" ca="1" si="37"/>
        <v>0.45</v>
      </c>
      <c r="S260">
        <f t="shared" ca="1" si="38"/>
        <v>176.94751443509011</v>
      </c>
      <c r="T260" s="61">
        <f t="shared" ca="1" si="39"/>
        <v>21600</v>
      </c>
      <c r="U260" s="61">
        <f t="shared" ca="1" si="40"/>
        <v>15856.906351439649</v>
      </c>
      <c r="V260" s="39">
        <f t="shared" ca="1" si="41"/>
        <v>0.10432175231210296</v>
      </c>
      <c r="W260" s="48">
        <f t="shared" ca="1" si="42"/>
        <v>1.2364202546622201</v>
      </c>
    </row>
    <row r="261" spans="17:23" x14ac:dyDescent="0.2">
      <c r="Q261">
        <f t="shared" si="36"/>
        <v>245</v>
      </c>
      <c r="R261" s="48">
        <f t="shared" ca="1" si="37"/>
        <v>0.3</v>
      </c>
      <c r="S261">
        <f t="shared" ca="1" si="38"/>
        <v>200.5541116908567</v>
      </c>
      <c r="T261" s="61">
        <f t="shared" ca="1" si="39"/>
        <v>14400</v>
      </c>
      <c r="U261" s="61">
        <f t="shared" ca="1" si="40"/>
        <v>20310.302546879753</v>
      </c>
      <c r="V261" s="39">
        <f t="shared" ca="1" si="41"/>
        <v>0.13362041149262996</v>
      </c>
      <c r="W261" s="48">
        <f t="shared" ca="1" si="42"/>
        <v>1.765624527387923</v>
      </c>
    </row>
    <row r="262" spans="17:23" x14ac:dyDescent="0.2">
      <c r="Q262">
        <f t="shared" si="36"/>
        <v>246</v>
      </c>
      <c r="R262" s="48">
        <f t="shared" ca="1" si="37"/>
        <v>0.4</v>
      </c>
      <c r="S262">
        <f t="shared" ca="1" si="38"/>
        <v>210.27154231069736</v>
      </c>
      <c r="T262" s="61">
        <f t="shared" ca="1" si="39"/>
        <v>19200</v>
      </c>
      <c r="U262" s="61">
        <f t="shared" ca="1" si="40"/>
        <v>28930.340309134732</v>
      </c>
      <c r="V262" s="39">
        <f t="shared" ca="1" si="41"/>
        <v>0.19033118624430745</v>
      </c>
      <c r="W262" s="48">
        <f t="shared" ca="1" si="42"/>
        <v>3.109131422255869</v>
      </c>
    </row>
    <row r="263" spans="17:23" x14ac:dyDescent="0.2">
      <c r="Q263">
        <f t="shared" si="36"/>
        <v>247</v>
      </c>
      <c r="R263" s="48">
        <f t="shared" ca="1" si="37"/>
        <v>0.35</v>
      </c>
      <c r="S263">
        <f t="shared" ca="1" si="38"/>
        <v>214.15964627606269</v>
      </c>
      <c r="T263" s="61">
        <f t="shared" ca="1" si="39"/>
        <v>16800</v>
      </c>
      <c r="U263" s="61">
        <f t="shared" ca="1" si="40"/>
        <v>29363.016063552597</v>
      </c>
      <c r="V263" s="39">
        <f t="shared" ca="1" si="41"/>
        <v>0.19317773726021445</v>
      </c>
      <c r="W263" s="48">
        <f t="shared" ca="1" si="42"/>
        <v>3.1895166993113939</v>
      </c>
    </row>
    <row r="264" spans="17:23" x14ac:dyDescent="0.2">
      <c r="Q264">
        <f t="shared" si="36"/>
        <v>248</v>
      </c>
      <c r="R264" s="48">
        <f t="shared" ca="1" si="37"/>
        <v>0.45</v>
      </c>
      <c r="S264">
        <f t="shared" ca="1" si="38"/>
        <v>165.43899905854167</v>
      </c>
      <c r="T264" s="61">
        <f t="shared" ca="1" si="39"/>
        <v>21600</v>
      </c>
      <c r="U264" s="61">
        <f t="shared" ca="1" si="40"/>
        <v>10793.159585758332</v>
      </c>
      <c r="V264" s="39">
        <f t="shared" ca="1" si="41"/>
        <v>7.1007628853673246E-2</v>
      </c>
      <c r="W264" s="48">
        <f t="shared" ca="1" si="42"/>
        <v>0.74441896550764364</v>
      </c>
    </row>
    <row r="265" spans="17:23" x14ac:dyDescent="0.2">
      <c r="Q265">
        <f t="shared" si="36"/>
        <v>249</v>
      </c>
      <c r="R265" s="48">
        <f t="shared" ca="1" si="37"/>
        <v>0.3</v>
      </c>
      <c r="S265">
        <f t="shared" ca="1" si="38"/>
        <v>184.67515590752228</v>
      </c>
      <c r="T265" s="61">
        <f t="shared" ca="1" si="39"/>
        <v>14400</v>
      </c>
      <c r="U265" s="61">
        <f t="shared" ca="1" si="40"/>
        <v>11418.087308212478</v>
      </c>
      <c r="V265" s="39">
        <f t="shared" ca="1" si="41"/>
        <v>7.511899544876631E-2</v>
      </c>
      <c r="W265" s="48">
        <f t="shared" ca="1" si="42"/>
        <v>0.79948177164705458</v>
      </c>
    </row>
    <row r="266" spans="17:23" x14ac:dyDescent="0.2">
      <c r="Q266">
        <f t="shared" si="36"/>
        <v>250</v>
      </c>
      <c r="R266" s="48">
        <f t="shared" ca="1" si="37"/>
        <v>0.4</v>
      </c>
      <c r="S266">
        <f t="shared" ca="1" si="38"/>
        <v>218.24129061276764</v>
      </c>
      <c r="T266" s="61">
        <f t="shared" ca="1" si="39"/>
        <v>19200</v>
      </c>
      <c r="U266" s="61">
        <f t="shared" ca="1" si="40"/>
        <v>32755.819494128467</v>
      </c>
      <c r="V266" s="39">
        <f t="shared" ca="1" si="41"/>
        <v>0.21549881246137151</v>
      </c>
      <c r="W266" s="48">
        <f t="shared" ca="1" si="42"/>
        <v>3.8691536804853479</v>
      </c>
    </row>
    <row r="267" spans="17:23" x14ac:dyDescent="0.2">
      <c r="Q267">
        <f t="shared" si="36"/>
        <v>251</v>
      </c>
      <c r="R267" s="48">
        <f t="shared" ca="1" si="37"/>
        <v>0.5</v>
      </c>
      <c r="S267">
        <f t="shared" ca="1" si="38"/>
        <v>177.83198770233696</v>
      </c>
      <c r="T267" s="61">
        <f t="shared" ca="1" si="39"/>
        <v>24000</v>
      </c>
      <c r="U267" s="61">
        <f t="shared" ca="1" si="40"/>
        <v>19132.795080934782</v>
      </c>
      <c r="V267" s="39">
        <f t="shared" ca="1" si="41"/>
        <v>0.12587365184825514</v>
      </c>
      <c r="W267" s="48">
        <f t="shared" ca="1" si="42"/>
        <v>1.6160034872467901</v>
      </c>
    </row>
    <row r="268" spans="17:23" x14ac:dyDescent="0.2">
      <c r="Q268">
        <f t="shared" si="36"/>
        <v>252</v>
      </c>
      <c r="R268" s="48">
        <f t="shared" ca="1" si="37"/>
        <v>0.45</v>
      </c>
      <c r="S268">
        <f t="shared" ca="1" si="38"/>
        <v>211.16467103340054</v>
      </c>
      <c r="T268" s="61">
        <f t="shared" ca="1" si="39"/>
        <v>21600</v>
      </c>
      <c r="U268" s="61">
        <f t="shared" ca="1" si="40"/>
        <v>30912.455254696237</v>
      </c>
      <c r="V268" s="39">
        <f t="shared" ca="1" si="41"/>
        <v>0.20337141614931734</v>
      </c>
      <c r="W268" s="48">
        <f t="shared" ca="1" si="42"/>
        <v>3.488805940144549</v>
      </c>
    </row>
    <row r="269" spans="17:23" x14ac:dyDescent="0.2">
      <c r="Q269">
        <f t="shared" si="36"/>
        <v>253</v>
      </c>
      <c r="R269" s="48">
        <f t="shared" ca="1" si="37"/>
        <v>0.3</v>
      </c>
      <c r="S269">
        <f t="shared" ca="1" si="38"/>
        <v>186.1138577121377</v>
      </c>
      <c r="T269" s="61">
        <f t="shared" ca="1" si="39"/>
        <v>14400</v>
      </c>
      <c r="U269" s="61">
        <f t="shared" ca="1" si="40"/>
        <v>12223.760318797113</v>
      </c>
      <c r="V269" s="39">
        <f t="shared" ca="1" si="41"/>
        <v>8.0419475781559946E-2</v>
      </c>
      <c r="W269" s="48">
        <f t="shared" ca="1" si="42"/>
        <v>0.87271514721179178</v>
      </c>
    </row>
    <row r="270" spans="17:23" x14ac:dyDescent="0.2">
      <c r="Q270">
        <f t="shared" si="36"/>
        <v>254</v>
      </c>
      <c r="R270" s="48">
        <f t="shared" ca="1" si="37"/>
        <v>0.3</v>
      </c>
      <c r="S270">
        <f t="shared" ca="1" si="38"/>
        <v>170.92214593782097</v>
      </c>
      <c r="T270" s="61">
        <f t="shared" ca="1" si="39"/>
        <v>14400</v>
      </c>
      <c r="U270" s="61">
        <f t="shared" ca="1" si="40"/>
        <v>3716.401725179745</v>
      </c>
      <c r="V270" s="39">
        <f t="shared" ca="1" si="41"/>
        <v>2.4450011349866744E-2</v>
      </c>
      <c r="W270" s="48">
        <f t="shared" ca="1" si="42"/>
        <v>0.21644314130797437</v>
      </c>
    </row>
    <row r="271" spans="17:23" x14ac:dyDescent="0.2">
      <c r="Q271">
        <f t="shared" si="36"/>
        <v>255</v>
      </c>
      <c r="R271" s="48">
        <f t="shared" ca="1" si="37"/>
        <v>0.45</v>
      </c>
      <c r="S271">
        <f t="shared" ca="1" si="38"/>
        <v>192.31698516376673</v>
      </c>
      <c r="T271" s="61">
        <f t="shared" ca="1" si="39"/>
        <v>21600</v>
      </c>
      <c r="U271" s="61">
        <f t="shared" ca="1" si="40"/>
        <v>22619.473472057362</v>
      </c>
      <c r="V271" s="39">
        <f t="shared" ca="1" si="41"/>
        <v>0.14881232547406159</v>
      </c>
      <c r="W271" s="48">
        <f t="shared" ca="1" si="42"/>
        <v>2.080966912277431</v>
      </c>
    </row>
    <row r="272" spans="17:23" x14ac:dyDescent="0.2">
      <c r="Q272">
        <f t="shared" si="36"/>
        <v>256</v>
      </c>
      <c r="R272" s="48">
        <f t="shared" ca="1" si="37"/>
        <v>0.5</v>
      </c>
      <c r="S272">
        <f t="shared" ca="1" si="38"/>
        <v>207.05344999082331</v>
      </c>
      <c r="T272" s="61">
        <f t="shared" ca="1" si="39"/>
        <v>24000</v>
      </c>
      <c r="U272" s="61">
        <f t="shared" ca="1" si="40"/>
        <v>30821.379996329324</v>
      </c>
      <c r="V272" s="39">
        <f t="shared" ca="1" si="41"/>
        <v>0.20277223681795609</v>
      </c>
      <c r="W272" s="48">
        <f t="shared" ca="1" si="42"/>
        <v>3.470709233344107</v>
      </c>
    </row>
    <row r="273" spans="17:23" x14ac:dyDescent="0.2">
      <c r="Q273">
        <f t="shared" si="36"/>
        <v>257</v>
      </c>
      <c r="R273" s="48">
        <f t="shared" ca="1" si="37"/>
        <v>0.35</v>
      </c>
      <c r="S273">
        <f t="shared" ca="1" si="38"/>
        <v>169.42385658040362</v>
      </c>
      <c r="T273" s="61">
        <f t="shared" ca="1" si="39"/>
        <v>16800</v>
      </c>
      <c r="U273" s="61">
        <f t="shared" ca="1" si="40"/>
        <v>6100.4054218098845</v>
      </c>
      <c r="V273" s="39">
        <f t="shared" ca="1" si="41"/>
        <v>4.0134246196117662E-2</v>
      </c>
      <c r="W273" s="48">
        <f t="shared" ca="1" si="42"/>
        <v>0.37598591086698541</v>
      </c>
    </row>
    <row r="274" spans="17:23" x14ac:dyDescent="0.2">
      <c r="Q274">
        <f t="shared" si="36"/>
        <v>258</v>
      </c>
      <c r="R274" s="48">
        <f t="shared" ca="1" si="37"/>
        <v>0.217</v>
      </c>
      <c r="S274">
        <f t="shared" ca="1" si="38"/>
        <v>184.12867054641518</v>
      </c>
      <c r="T274" s="61">
        <f t="shared" ca="1" si="39"/>
        <v>10416</v>
      </c>
      <c r="U274" s="61">
        <f t="shared" ca="1" si="40"/>
        <v>6738.1992302744684</v>
      </c>
      <c r="V274" s="39">
        <f t="shared" ca="1" si="41"/>
        <v>4.4330258093910974E-2</v>
      </c>
      <c r="W274" s="48">
        <f t="shared" ca="1" si="42"/>
        <v>0.42166079168409798</v>
      </c>
    </row>
    <row r="275" spans="17:23" x14ac:dyDescent="0.2">
      <c r="Q275">
        <f t="shared" ref="Q275:Q338" si="43">Q274+1</f>
        <v>259</v>
      </c>
      <c r="R275" s="48">
        <f t="shared" ref="R275:R338" ca="1" si="44">LOOKUP(RAND(),$U$6:$U$12,$S$6:$S$12)</f>
        <v>0.217</v>
      </c>
      <c r="S275">
        <f t="shared" ref="S275:S338" ca="1" si="45">_xlfn.NORM.INV(RAND(),$Q$5,$Q$10)</f>
        <v>206.60084569168725</v>
      </c>
      <c r="T275" s="61">
        <f t="shared" ref="T275:T338" ca="1" si="46">($B$8-$B$7)*($E$6*R275)</f>
        <v>10416</v>
      </c>
      <c r="U275" s="61">
        <f t="shared" ref="U275:U338" ca="1" si="47">T275+((S275-$B$7)*($E$6*(1-R275)))</f>
        <v>20814.769741272896</v>
      </c>
      <c r="V275" s="39">
        <f t="shared" ref="V275:V338" ca="1" si="48">U275/$E$4</f>
        <v>0.13693927461363747</v>
      </c>
      <c r="W275" s="48">
        <f t="shared" ref="W275:W338" ca="1" si="49">(1+V275)^($J$29/$J$30)-1</f>
        <v>1.8319865247492735</v>
      </c>
    </row>
    <row r="276" spans="17:23" x14ac:dyDescent="0.2">
      <c r="Q276">
        <f t="shared" si="43"/>
        <v>260</v>
      </c>
      <c r="R276" s="48">
        <f t="shared" ca="1" si="44"/>
        <v>0.4</v>
      </c>
      <c r="S276">
        <f t="shared" ca="1" si="45"/>
        <v>162.2101136147694</v>
      </c>
      <c r="T276" s="61">
        <f t="shared" ca="1" si="46"/>
        <v>19200</v>
      </c>
      <c r="U276" s="61">
        <f t="shared" ca="1" si="47"/>
        <v>5860.854535089311</v>
      </c>
      <c r="V276" s="39">
        <f t="shared" ca="1" si="48"/>
        <v>3.8558253520324416E-2</v>
      </c>
      <c r="W276" s="48">
        <f t="shared" ca="1" si="49"/>
        <v>0.35916612828570971</v>
      </c>
    </row>
    <row r="277" spans="17:23" x14ac:dyDescent="0.2">
      <c r="Q277">
        <f t="shared" si="43"/>
        <v>261</v>
      </c>
      <c r="R277" s="48">
        <f t="shared" ca="1" si="44"/>
        <v>0.45</v>
      </c>
      <c r="S277">
        <f t="shared" ca="1" si="45"/>
        <v>206.88223958905309</v>
      </c>
      <c r="T277" s="61">
        <f t="shared" ca="1" si="46"/>
        <v>21600</v>
      </c>
      <c r="U277" s="61">
        <f t="shared" ca="1" si="47"/>
        <v>29028.185419183359</v>
      </c>
      <c r="V277" s="39">
        <f t="shared" ca="1" si="48"/>
        <v>0.19097490407357473</v>
      </c>
      <c r="W277" s="48">
        <f t="shared" ca="1" si="49"/>
        <v>3.127190405235047</v>
      </c>
    </row>
    <row r="278" spans="17:23" x14ac:dyDescent="0.2">
      <c r="Q278">
        <f t="shared" si="43"/>
        <v>262</v>
      </c>
      <c r="R278" s="48">
        <f t="shared" ca="1" si="44"/>
        <v>0.35</v>
      </c>
      <c r="S278">
        <f t="shared" ca="1" si="45"/>
        <v>195.18335927460356</v>
      </c>
      <c r="T278" s="61">
        <f t="shared" ca="1" si="46"/>
        <v>16800</v>
      </c>
      <c r="U278" s="61">
        <f t="shared" ca="1" si="47"/>
        <v>19495.34682279385</v>
      </c>
      <c r="V278" s="39">
        <f t="shared" ca="1" si="48"/>
        <v>0.12825886067627534</v>
      </c>
      <c r="W278" s="48">
        <f t="shared" ca="1" si="49"/>
        <v>1.6612962250929959</v>
      </c>
    </row>
    <row r="279" spans="17:23" x14ac:dyDescent="0.2">
      <c r="Q279">
        <f t="shared" si="43"/>
        <v>263</v>
      </c>
      <c r="R279" s="48">
        <f t="shared" ca="1" si="44"/>
        <v>0.45</v>
      </c>
      <c r="S279">
        <f t="shared" ca="1" si="45"/>
        <v>174.05015969029125</v>
      </c>
      <c r="T279" s="61">
        <f t="shared" ca="1" si="46"/>
        <v>21600</v>
      </c>
      <c r="U279" s="61">
        <f t="shared" ca="1" si="47"/>
        <v>14582.07026372815</v>
      </c>
      <c r="V279" s="39">
        <f t="shared" ca="1" si="48"/>
        <v>9.5934672787685193E-2</v>
      </c>
      <c r="W279" s="48">
        <f t="shared" ca="1" si="49"/>
        <v>1.102315325236654</v>
      </c>
    </row>
    <row r="280" spans="17:23" x14ac:dyDescent="0.2">
      <c r="Q280">
        <f t="shared" si="43"/>
        <v>264</v>
      </c>
      <c r="R280" s="48">
        <f t="shared" ca="1" si="44"/>
        <v>0.3</v>
      </c>
      <c r="S280">
        <f t="shared" ca="1" si="45"/>
        <v>175.73924170702006</v>
      </c>
      <c r="T280" s="61">
        <f t="shared" ca="1" si="46"/>
        <v>14400</v>
      </c>
      <c r="U280" s="61">
        <f t="shared" ca="1" si="47"/>
        <v>6413.9753559312321</v>
      </c>
      <c r="V280" s="39">
        <f t="shared" ca="1" si="48"/>
        <v>4.2197206289021266E-2</v>
      </c>
      <c r="W280" s="48">
        <f t="shared" ca="1" si="49"/>
        <v>0.39827847163866559</v>
      </c>
    </row>
    <row r="281" spans="17:23" x14ac:dyDescent="0.2">
      <c r="Q281">
        <f t="shared" si="43"/>
        <v>265</v>
      </c>
      <c r="R281" s="48">
        <f t="shared" ca="1" si="44"/>
        <v>0.35</v>
      </c>
      <c r="S281">
        <f t="shared" ca="1" si="45"/>
        <v>192.10363363285543</v>
      </c>
      <c r="T281" s="61">
        <f t="shared" ca="1" si="46"/>
        <v>16800</v>
      </c>
      <c r="U281" s="61">
        <f t="shared" ca="1" si="47"/>
        <v>17893.889489084824</v>
      </c>
      <c r="V281" s="39">
        <f t="shared" ca="1" si="48"/>
        <v>0.11772295716503174</v>
      </c>
      <c r="W281" s="48">
        <f t="shared" ca="1" si="49"/>
        <v>1.4662882407720144</v>
      </c>
    </row>
    <row r="282" spans="17:23" x14ac:dyDescent="0.2">
      <c r="Q282">
        <f t="shared" si="43"/>
        <v>266</v>
      </c>
      <c r="R282" s="48">
        <f t="shared" ca="1" si="44"/>
        <v>0.5</v>
      </c>
      <c r="S282">
        <f t="shared" ca="1" si="45"/>
        <v>156.49912174575377</v>
      </c>
      <c r="T282" s="61">
        <f t="shared" ca="1" si="46"/>
        <v>24000</v>
      </c>
      <c r="U282" s="61">
        <f t="shared" ca="1" si="47"/>
        <v>10599.648698301507</v>
      </c>
      <c r="V282" s="39">
        <f t="shared" ca="1" si="48"/>
        <v>6.9734530909878342E-2</v>
      </c>
      <c r="W282" s="48">
        <f t="shared" ca="1" si="49"/>
        <v>0.72767086951319415</v>
      </c>
    </row>
    <row r="283" spans="17:23" x14ac:dyDescent="0.2">
      <c r="Q283">
        <f t="shared" si="43"/>
        <v>267</v>
      </c>
      <c r="R283" s="48">
        <f t="shared" ca="1" si="44"/>
        <v>0.3</v>
      </c>
      <c r="S283">
        <f t="shared" ca="1" si="45"/>
        <v>164.7223823461344</v>
      </c>
      <c r="T283" s="61">
        <f t="shared" ca="1" si="46"/>
        <v>14400</v>
      </c>
      <c r="U283" s="61">
        <f t="shared" ca="1" si="47"/>
        <v>244.53411383526145</v>
      </c>
      <c r="V283" s="39">
        <f t="shared" ca="1" si="48"/>
        <v>1.6087770647056675E-3</v>
      </c>
      <c r="W283" s="48">
        <f t="shared" ca="1" si="49"/>
        <v>1.3123855999797929E-2</v>
      </c>
    </row>
    <row r="284" spans="17:23" x14ac:dyDescent="0.2">
      <c r="Q284">
        <f t="shared" si="43"/>
        <v>268</v>
      </c>
      <c r="R284" s="48">
        <f t="shared" ca="1" si="44"/>
        <v>0.3</v>
      </c>
      <c r="S284">
        <f t="shared" ca="1" si="45"/>
        <v>164.4725267242074</v>
      </c>
      <c r="T284" s="61">
        <f t="shared" ca="1" si="46"/>
        <v>14400</v>
      </c>
      <c r="U284" s="61">
        <f t="shared" ca="1" si="47"/>
        <v>104.61496555614212</v>
      </c>
      <c r="V284" s="39">
        <f t="shared" ca="1" si="48"/>
        <v>6.8825635234304031E-4</v>
      </c>
      <c r="W284" s="48">
        <f t="shared" ca="1" si="49"/>
        <v>5.5962040986385908E-3</v>
      </c>
    </row>
    <row r="285" spans="17:23" x14ac:dyDescent="0.2">
      <c r="Q285">
        <f t="shared" si="43"/>
        <v>269</v>
      </c>
      <c r="R285" s="48">
        <f t="shared" ca="1" si="44"/>
        <v>0.5</v>
      </c>
      <c r="S285">
        <f t="shared" ca="1" si="45"/>
        <v>179.66281818871022</v>
      </c>
      <c r="T285" s="61">
        <f t="shared" ca="1" si="46"/>
        <v>24000</v>
      </c>
      <c r="U285" s="61">
        <f t="shared" ca="1" si="47"/>
        <v>19865.127275484087</v>
      </c>
      <c r="V285" s="39">
        <f t="shared" ca="1" si="48"/>
        <v>0.1306916268123953</v>
      </c>
      <c r="W285" s="48">
        <f t="shared" ca="1" si="49"/>
        <v>1.708198787042333</v>
      </c>
    </row>
    <row r="286" spans="17:23" x14ac:dyDescent="0.2">
      <c r="Q286">
        <f t="shared" si="43"/>
        <v>270</v>
      </c>
      <c r="R286" s="48">
        <f t="shared" ca="1" si="44"/>
        <v>0.4</v>
      </c>
      <c r="S286">
        <f t="shared" ca="1" si="45"/>
        <v>169.40921657879127</v>
      </c>
      <c r="T286" s="61">
        <f t="shared" ca="1" si="46"/>
        <v>19200</v>
      </c>
      <c r="U286" s="61">
        <f t="shared" ca="1" si="47"/>
        <v>9316.4239578198103</v>
      </c>
      <c r="V286" s="39">
        <f t="shared" ca="1" si="48"/>
        <v>6.1292262880393487E-2</v>
      </c>
      <c r="W286" s="48">
        <f t="shared" ca="1" si="49"/>
        <v>0.62013252295482912</v>
      </c>
    </row>
    <row r="287" spans="17:23" x14ac:dyDescent="0.2">
      <c r="Q287">
        <f t="shared" si="43"/>
        <v>271</v>
      </c>
      <c r="R287" s="48">
        <f t="shared" ca="1" si="44"/>
        <v>0.35</v>
      </c>
      <c r="S287">
        <f t="shared" ca="1" si="45"/>
        <v>191.93905634234832</v>
      </c>
      <c r="T287" s="61">
        <f t="shared" ca="1" si="46"/>
        <v>16800</v>
      </c>
      <c r="U287" s="61">
        <f t="shared" ca="1" si="47"/>
        <v>17808.30929802113</v>
      </c>
      <c r="V287" s="39">
        <f t="shared" ca="1" si="48"/>
        <v>0.11715992959224428</v>
      </c>
      <c r="W287" s="48">
        <f t="shared" ca="1" si="49"/>
        <v>1.4562295387546706</v>
      </c>
    </row>
    <row r="288" spans="17:23" x14ac:dyDescent="0.2">
      <c r="Q288">
        <f t="shared" si="43"/>
        <v>272</v>
      </c>
      <c r="R288" s="48">
        <f t="shared" ca="1" si="44"/>
        <v>0.4</v>
      </c>
      <c r="S288">
        <f t="shared" ca="1" si="45"/>
        <v>208.14372766912246</v>
      </c>
      <c r="T288" s="61">
        <f t="shared" ca="1" si="46"/>
        <v>19200</v>
      </c>
      <c r="U288" s="61">
        <f t="shared" ca="1" si="47"/>
        <v>27908.989281178779</v>
      </c>
      <c r="V288" s="39">
        <f t="shared" ca="1" si="48"/>
        <v>0.1836117715867025</v>
      </c>
      <c r="W288" s="48">
        <f t="shared" ca="1" si="49"/>
        <v>2.9247190215824834</v>
      </c>
    </row>
    <row r="289" spans="17:23" x14ac:dyDescent="0.2">
      <c r="Q289">
        <f t="shared" si="43"/>
        <v>273</v>
      </c>
      <c r="R289" s="48">
        <f t="shared" ca="1" si="44"/>
        <v>0.3</v>
      </c>
      <c r="S289">
        <f t="shared" ca="1" si="45"/>
        <v>200.38564669863277</v>
      </c>
      <c r="T289" s="61">
        <f t="shared" ca="1" si="46"/>
        <v>14400</v>
      </c>
      <c r="U289" s="61">
        <f t="shared" ca="1" si="47"/>
        <v>20215.962151234351</v>
      </c>
      <c r="V289" s="39">
        <f t="shared" ca="1" si="48"/>
        <v>0.13299975099496283</v>
      </c>
      <c r="W289" s="48">
        <f t="shared" ca="1" si="49"/>
        <v>1.7533666659975711</v>
      </c>
    </row>
    <row r="290" spans="17:23" x14ac:dyDescent="0.2">
      <c r="Q290">
        <f t="shared" si="43"/>
        <v>274</v>
      </c>
      <c r="R290" s="48">
        <f t="shared" ca="1" si="44"/>
        <v>0.35</v>
      </c>
      <c r="S290">
        <f t="shared" ca="1" si="45"/>
        <v>214.62637916277359</v>
      </c>
      <c r="T290" s="61">
        <f t="shared" ca="1" si="46"/>
        <v>16800</v>
      </c>
      <c r="U290" s="61">
        <f t="shared" ca="1" si="47"/>
        <v>29605.717164642265</v>
      </c>
      <c r="V290" s="39">
        <f t="shared" ca="1" si="48"/>
        <v>0.19477445503054122</v>
      </c>
      <c r="W290" s="48">
        <f t="shared" ca="1" si="49"/>
        <v>3.2352080936059435</v>
      </c>
    </row>
    <row r="291" spans="17:23" x14ac:dyDescent="0.2">
      <c r="Q291">
        <f t="shared" si="43"/>
        <v>275</v>
      </c>
      <c r="R291" s="48">
        <f t="shared" ca="1" si="44"/>
        <v>0.45</v>
      </c>
      <c r="S291">
        <f t="shared" ca="1" si="45"/>
        <v>166.95999022701261</v>
      </c>
      <c r="T291" s="61">
        <f t="shared" ca="1" si="46"/>
        <v>21600</v>
      </c>
      <c r="U291" s="61">
        <f t="shared" ca="1" si="47"/>
        <v>11462.395699885548</v>
      </c>
      <c r="V291" s="39">
        <f t="shared" ca="1" si="48"/>
        <v>7.5410498025562822E-2</v>
      </c>
      <c r="W291" s="48">
        <f t="shared" ca="1" si="49"/>
        <v>0.80344302272518231</v>
      </c>
    </row>
    <row r="292" spans="17:23" x14ac:dyDescent="0.2">
      <c r="Q292">
        <f t="shared" si="43"/>
        <v>276</v>
      </c>
      <c r="R292" s="48">
        <f t="shared" ca="1" si="44"/>
        <v>0.45</v>
      </c>
      <c r="S292">
        <f t="shared" ca="1" si="45"/>
        <v>171.68254605135726</v>
      </c>
      <c r="T292" s="61">
        <f t="shared" ca="1" si="46"/>
        <v>21600</v>
      </c>
      <c r="U292" s="61">
        <f t="shared" ca="1" si="47"/>
        <v>13540.320262597195</v>
      </c>
      <c r="V292" s="39">
        <f t="shared" ca="1" si="48"/>
        <v>8.9081054359192072E-2</v>
      </c>
      <c r="W292" s="48">
        <f t="shared" ca="1" si="49"/>
        <v>0.99801813307729925</v>
      </c>
    </row>
    <row r="293" spans="17:23" x14ac:dyDescent="0.2">
      <c r="Q293">
        <f t="shared" si="43"/>
        <v>277</v>
      </c>
      <c r="R293" s="48">
        <f t="shared" ca="1" si="44"/>
        <v>0.35</v>
      </c>
      <c r="S293">
        <f t="shared" ca="1" si="45"/>
        <v>177.28876486076118</v>
      </c>
      <c r="T293" s="61">
        <f t="shared" ca="1" si="46"/>
        <v>16800</v>
      </c>
      <c r="U293" s="61">
        <f t="shared" ca="1" si="47"/>
        <v>10190.157727595812</v>
      </c>
      <c r="V293" s="39">
        <f t="shared" ca="1" si="48"/>
        <v>6.7040511365761918E-2</v>
      </c>
      <c r="W293" s="48">
        <f t="shared" ca="1" si="49"/>
        <v>0.69269408915099184</v>
      </c>
    </row>
    <row r="294" spans="17:23" x14ac:dyDescent="0.2">
      <c r="Q294">
        <f t="shared" si="43"/>
        <v>278</v>
      </c>
      <c r="R294" s="48">
        <f t="shared" ca="1" si="44"/>
        <v>0.3</v>
      </c>
      <c r="S294">
        <f t="shared" ca="1" si="45"/>
        <v>156.59286406691743</v>
      </c>
      <c r="T294" s="61">
        <f t="shared" ca="1" si="46"/>
        <v>14400</v>
      </c>
      <c r="U294" s="61">
        <f t="shared" ca="1" si="47"/>
        <v>-4307.9961225262414</v>
      </c>
      <c r="V294" s="39">
        <f t="shared" ca="1" si="48"/>
        <v>-2.8342079753462115E-2</v>
      </c>
      <c r="W294" s="48">
        <f t="shared" ca="1" si="49"/>
        <v>-0.20800988694360667</v>
      </c>
    </row>
    <row r="295" spans="17:23" x14ac:dyDescent="0.2">
      <c r="Q295">
        <f t="shared" si="43"/>
        <v>279</v>
      </c>
      <c r="R295" s="48">
        <f t="shared" ca="1" si="44"/>
        <v>0.217</v>
      </c>
      <c r="S295">
        <f t="shared" ca="1" si="45"/>
        <v>203.70418677987016</v>
      </c>
      <c r="T295" s="61">
        <f t="shared" ca="1" si="46"/>
        <v>10416</v>
      </c>
      <c r="U295" s="61">
        <f t="shared" ca="1" si="47"/>
        <v>19000.302598910665</v>
      </c>
      <c r="V295" s="39">
        <f t="shared" ca="1" si="48"/>
        <v>0.125001990782307</v>
      </c>
      <c r="W295" s="48">
        <f t="shared" ca="1" si="49"/>
        <v>1.5996209410498143</v>
      </c>
    </row>
    <row r="296" spans="17:23" x14ac:dyDescent="0.2">
      <c r="Q296">
        <f t="shared" si="43"/>
        <v>280</v>
      </c>
      <c r="R296" s="48">
        <f t="shared" ca="1" si="44"/>
        <v>0.3</v>
      </c>
      <c r="S296">
        <f t="shared" ca="1" si="45"/>
        <v>178.02966763456669</v>
      </c>
      <c r="T296" s="61">
        <f t="shared" ca="1" si="46"/>
        <v>14400</v>
      </c>
      <c r="U296" s="61">
        <f t="shared" ca="1" si="47"/>
        <v>7696.6138753573478</v>
      </c>
      <c r="V296" s="39">
        <f t="shared" ca="1" si="48"/>
        <v>5.0635617601035181E-2</v>
      </c>
      <c r="W296" s="48">
        <f t="shared" ca="1" si="49"/>
        <v>0.4927962201374636</v>
      </c>
    </row>
    <row r="297" spans="17:23" x14ac:dyDescent="0.2">
      <c r="Q297">
        <f t="shared" si="43"/>
        <v>281</v>
      </c>
      <c r="R297" s="48">
        <f t="shared" ca="1" si="44"/>
        <v>0.217</v>
      </c>
      <c r="S297">
        <f t="shared" ca="1" si="45"/>
        <v>191.14512387461596</v>
      </c>
      <c r="T297" s="61">
        <f t="shared" ca="1" si="46"/>
        <v>10416</v>
      </c>
      <c r="U297" s="61">
        <f t="shared" ca="1" si="47"/>
        <v>11133.305595059439</v>
      </c>
      <c r="V297" s="39">
        <f t="shared" ca="1" si="48"/>
        <v>7.3245431546443682E-2</v>
      </c>
      <c r="W297" s="48">
        <f t="shared" ca="1" si="49"/>
        <v>0.77420334390218848</v>
      </c>
    </row>
    <row r="298" spans="17:23" x14ac:dyDescent="0.2">
      <c r="Q298">
        <f t="shared" si="43"/>
        <v>282</v>
      </c>
      <c r="R298" s="48">
        <f t="shared" ca="1" si="44"/>
        <v>0.45</v>
      </c>
      <c r="S298">
        <f t="shared" ca="1" si="45"/>
        <v>194.32877087298658</v>
      </c>
      <c r="T298" s="61">
        <f t="shared" ca="1" si="46"/>
        <v>21600</v>
      </c>
      <c r="U298" s="61">
        <f t="shared" ca="1" si="47"/>
        <v>23504.659184114094</v>
      </c>
      <c r="V298" s="39">
        <f t="shared" ca="1" si="48"/>
        <v>0.15463591568496116</v>
      </c>
      <c r="W298" s="48">
        <f t="shared" ca="1" si="49"/>
        <v>2.2099542252124129</v>
      </c>
    </row>
    <row r="299" spans="17:23" x14ac:dyDescent="0.2">
      <c r="Q299">
        <f t="shared" si="43"/>
        <v>283</v>
      </c>
      <c r="R299" s="48">
        <f t="shared" ca="1" si="44"/>
        <v>0.45</v>
      </c>
      <c r="S299">
        <f t="shared" ca="1" si="45"/>
        <v>166.42122259227111</v>
      </c>
      <c r="T299" s="61">
        <f t="shared" ca="1" si="46"/>
        <v>21600</v>
      </c>
      <c r="U299" s="61">
        <f t="shared" ca="1" si="47"/>
        <v>11225.337940599286</v>
      </c>
      <c r="V299" s="39">
        <f t="shared" ca="1" si="48"/>
        <v>7.3850907503942673E-2</v>
      </c>
      <c r="W299" s="48">
        <f t="shared" ca="1" si="49"/>
        <v>0.78233825608316709</v>
      </c>
    </row>
    <row r="300" spans="17:23" x14ac:dyDescent="0.2">
      <c r="Q300">
        <f t="shared" si="43"/>
        <v>284</v>
      </c>
      <c r="R300" s="48">
        <f t="shared" ca="1" si="44"/>
        <v>0.45</v>
      </c>
      <c r="S300">
        <f t="shared" ca="1" si="45"/>
        <v>217.85106156649906</v>
      </c>
      <c r="T300" s="61">
        <f t="shared" ca="1" si="46"/>
        <v>21600</v>
      </c>
      <c r="U300" s="61">
        <f t="shared" ca="1" si="47"/>
        <v>33854.46708925959</v>
      </c>
      <c r="V300" s="39">
        <f t="shared" ca="1" si="48"/>
        <v>0.22272675716618151</v>
      </c>
      <c r="W300" s="48">
        <f t="shared" ca="1" si="49"/>
        <v>4.1090316950449557</v>
      </c>
    </row>
    <row r="301" spans="17:23" x14ac:dyDescent="0.2">
      <c r="Q301">
        <f t="shared" si="43"/>
        <v>285</v>
      </c>
      <c r="R301" s="48">
        <f t="shared" ca="1" si="44"/>
        <v>0.4</v>
      </c>
      <c r="S301">
        <f t="shared" ca="1" si="45"/>
        <v>173.7150295623243</v>
      </c>
      <c r="T301" s="61">
        <f t="shared" ca="1" si="46"/>
        <v>19200</v>
      </c>
      <c r="U301" s="61">
        <f t="shared" ca="1" si="47"/>
        <v>11383.214189915667</v>
      </c>
      <c r="V301" s="39">
        <f t="shared" ca="1" si="48"/>
        <v>7.4889567038918858E-2</v>
      </c>
      <c r="W301" s="48">
        <f t="shared" ca="1" si="49"/>
        <v>0.79636941784668935</v>
      </c>
    </row>
    <row r="302" spans="17:23" x14ac:dyDescent="0.2">
      <c r="Q302">
        <f t="shared" si="43"/>
        <v>286</v>
      </c>
      <c r="R302" s="48">
        <f t="shared" ca="1" si="44"/>
        <v>0.4</v>
      </c>
      <c r="S302">
        <f t="shared" ca="1" si="45"/>
        <v>206.82388142131745</v>
      </c>
      <c r="T302" s="61">
        <f t="shared" ca="1" si="46"/>
        <v>19200</v>
      </c>
      <c r="U302" s="61">
        <f t="shared" ca="1" si="47"/>
        <v>27275.463082232378</v>
      </c>
      <c r="V302" s="39">
        <f t="shared" ca="1" si="48"/>
        <v>0.17944383606731829</v>
      </c>
      <c r="W302" s="48">
        <f t="shared" ca="1" si="49"/>
        <v>2.814013807363998</v>
      </c>
    </row>
    <row r="303" spans="17:23" x14ac:dyDescent="0.2">
      <c r="Q303">
        <f t="shared" si="43"/>
        <v>287</v>
      </c>
      <c r="R303" s="48">
        <f t="shared" ca="1" si="44"/>
        <v>0.4</v>
      </c>
      <c r="S303">
        <f t="shared" ca="1" si="45"/>
        <v>170.46888714151669</v>
      </c>
      <c r="T303" s="61">
        <f t="shared" ca="1" si="46"/>
        <v>19200</v>
      </c>
      <c r="U303" s="61">
        <f t="shared" ca="1" si="47"/>
        <v>9825.0658279280105</v>
      </c>
      <c r="V303" s="39">
        <f t="shared" ca="1" si="48"/>
        <v>6.4638590973210591E-2</v>
      </c>
      <c r="W303" s="48">
        <f t="shared" ca="1" si="49"/>
        <v>0.66203476000427619</v>
      </c>
    </row>
    <row r="304" spans="17:23" x14ac:dyDescent="0.2">
      <c r="Q304">
        <f t="shared" si="43"/>
        <v>288</v>
      </c>
      <c r="R304" s="48">
        <f t="shared" ca="1" si="44"/>
        <v>0.45</v>
      </c>
      <c r="S304">
        <f t="shared" ca="1" si="45"/>
        <v>200.48616226298614</v>
      </c>
      <c r="T304" s="61">
        <f t="shared" ca="1" si="46"/>
        <v>21600</v>
      </c>
      <c r="U304" s="61">
        <f t="shared" ca="1" si="47"/>
        <v>26213.911395713902</v>
      </c>
      <c r="V304" s="39">
        <f t="shared" ca="1" si="48"/>
        <v>0.17245994339285461</v>
      </c>
      <c r="W304" s="48">
        <f t="shared" ca="1" si="49"/>
        <v>2.6346422474723785</v>
      </c>
    </row>
    <row r="305" spans="17:23" x14ac:dyDescent="0.2">
      <c r="Q305">
        <f t="shared" si="43"/>
        <v>289</v>
      </c>
      <c r="R305" s="48">
        <f t="shared" ca="1" si="44"/>
        <v>0.3</v>
      </c>
      <c r="S305">
        <f t="shared" ca="1" si="45"/>
        <v>175.59701083663839</v>
      </c>
      <c r="T305" s="61">
        <f t="shared" ca="1" si="46"/>
        <v>14400</v>
      </c>
      <c r="U305" s="61">
        <f t="shared" ca="1" si="47"/>
        <v>6334.3260685174982</v>
      </c>
      <c r="V305" s="39">
        <f t="shared" ca="1" si="48"/>
        <v>4.1673197819194069E-2</v>
      </c>
      <c r="W305" s="48">
        <f t="shared" ca="1" si="49"/>
        <v>0.39258619320940946</v>
      </c>
    </row>
    <row r="306" spans="17:23" x14ac:dyDescent="0.2">
      <c r="Q306">
        <f t="shared" si="43"/>
        <v>290</v>
      </c>
      <c r="R306" s="48">
        <f t="shared" ca="1" si="44"/>
        <v>0.4</v>
      </c>
      <c r="S306">
        <f t="shared" ca="1" si="45"/>
        <v>225.61955972419631</v>
      </c>
      <c r="T306" s="61">
        <f t="shared" ca="1" si="46"/>
        <v>19200</v>
      </c>
      <c r="U306" s="61">
        <f t="shared" ca="1" si="47"/>
        <v>36297.388667614228</v>
      </c>
      <c r="V306" s="39">
        <f t="shared" ca="1" si="48"/>
        <v>0.23879860965535676</v>
      </c>
      <c r="W306" s="48">
        <f t="shared" ca="1" si="49"/>
        <v>4.6798790303326312</v>
      </c>
    </row>
    <row r="307" spans="17:23" x14ac:dyDescent="0.2">
      <c r="Q307">
        <f t="shared" si="43"/>
        <v>291</v>
      </c>
      <c r="R307" s="48">
        <f t="shared" ca="1" si="44"/>
        <v>0.3</v>
      </c>
      <c r="S307">
        <f t="shared" ca="1" si="45"/>
        <v>167.29374579231319</v>
      </c>
      <c r="T307" s="61">
        <f t="shared" ca="1" si="46"/>
        <v>14400</v>
      </c>
      <c r="U307" s="61">
        <f t="shared" ca="1" si="47"/>
        <v>1684.4976436953857</v>
      </c>
      <c r="V307" s="39">
        <f t="shared" ca="1" si="48"/>
        <v>1.1082221340101221E-2</v>
      </c>
      <c r="W307" s="48">
        <f t="shared" ca="1" si="49"/>
        <v>9.3512172379681902E-2</v>
      </c>
    </row>
    <row r="308" spans="17:23" x14ac:dyDescent="0.2">
      <c r="Q308">
        <f t="shared" si="43"/>
        <v>292</v>
      </c>
      <c r="R308" s="48">
        <f t="shared" ca="1" si="44"/>
        <v>0.35</v>
      </c>
      <c r="S308">
        <f t="shared" ca="1" si="45"/>
        <v>185.69883924381475</v>
      </c>
      <c r="T308" s="61">
        <f t="shared" ca="1" si="46"/>
        <v>16800</v>
      </c>
      <c r="U308" s="61">
        <f t="shared" ca="1" si="47"/>
        <v>14563.396406783668</v>
      </c>
      <c r="V308" s="39">
        <f t="shared" ca="1" si="48"/>
        <v>9.5811818465682028E-2</v>
      </c>
      <c r="W308" s="48">
        <f t="shared" ca="1" si="49"/>
        <v>1.1004045443693413</v>
      </c>
    </row>
    <row r="309" spans="17:23" x14ac:dyDescent="0.2">
      <c r="Q309">
        <f t="shared" si="43"/>
        <v>293</v>
      </c>
      <c r="R309" s="48">
        <f t="shared" ca="1" si="44"/>
        <v>0.4</v>
      </c>
      <c r="S309">
        <f t="shared" ca="1" si="45"/>
        <v>182.8222379976755</v>
      </c>
      <c r="T309" s="61">
        <f t="shared" ca="1" si="46"/>
        <v>19200</v>
      </c>
      <c r="U309" s="61">
        <f t="shared" ca="1" si="47"/>
        <v>15754.674238884239</v>
      </c>
      <c r="V309" s="39">
        <f t="shared" ca="1" si="48"/>
        <v>0.10364917262423842</v>
      </c>
      <c r="W309" s="48">
        <f t="shared" ca="1" si="49"/>
        <v>1.2253961944219594</v>
      </c>
    </row>
    <row r="310" spans="17:23" x14ac:dyDescent="0.2">
      <c r="Q310">
        <f t="shared" si="43"/>
        <v>294</v>
      </c>
      <c r="R310" s="48">
        <f t="shared" ca="1" si="44"/>
        <v>0.3</v>
      </c>
      <c r="S310">
        <f t="shared" ca="1" si="45"/>
        <v>178.75806933217845</v>
      </c>
      <c r="T310" s="61">
        <f t="shared" ca="1" si="46"/>
        <v>14400</v>
      </c>
      <c r="U310" s="61">
        <f t="shared" ca="1" si="47"/>
        <v>8104.518826019932</v>
      </c>
      <c r="V310" s="39">
        <f t="shared" ca="1" si="48"/>
        <v>5.3319202802762714E-2</v>
      </c>
      <c r="W310" s="48">
        <f t="shared" ca="1" si="49"/>
        <v>0.52400601482742237</v>
      </c>
    </row>
    <row r="311" spans="17:23" x14ac:dyDescent="0.2">
      <c r="Q311">
        <f t="shared" si="43"/>
        <v>295</v>
      </c>
      <c r="R311" s="48">
        <f t="shared" ca="1" si="44"/>
        <v>0.35</v>
      </c>
      <c r="S311">
        <f t="shared" ca="1" si="45"/>
        <v>149.81717144504111</v>
      </c>
      <c r="T311" s="61">
        <f t="shared" ca="1" si="46"/>
        <v>16800</v>
      </c>
      <c r="U311" s="61">
        <f t="shared" ca="1" si="47"/>
        <v>-4095.0708485786236</v>
      </c>
      <c r="V311" s="39">
        <f t="shared" ca="1" si="48"/>
        <v>-2.6941255582754103E-2</v>
      </c>
      <c r="W311" s="48">
        <f t="shared" ca="1" si="49"/>
        <v>-0.19870100845483774</v>
      </c>
    </row>
    <row r="312" spans="17:23" x14ac:dyDescent="0.2">
      <c r="Q312">
        <f t="shared" si="43"/>
        <v>296</v>
      </c>
      <c r="R312" s="48">
        <f t="shared" ca="1" si="44"/>
        <v>0.45</v>
      </c>
      <c r="S312">
        <f t="shared" ca="1" si="45"/>
        <v>184.00970168509457</v>
      </c>
      <c r="T312" s="61">
        <f t="shared" ca="1" si="46"/>
        <v>21600</v>
      </c>
      <c r="U312" s="61">
        <f t="shared" ca="1" si="47"/>
        <v>18964.26874144161</v>
      </c>
      <c r="V312" s="39">
        <f t="shared" ca="1" si="48"/>
        <v>0.12476492593053691</v>
      </c>
      <c r="W312" s="48">
        <f t="shared" ca="1" si="49"/>
        <v>1.5951809828487655</v>
      </c>
    </row>
    <row r="313" spans="17:23" x14ac:dyDescent="0.2">
      <c r="Q313">
        <f t="shared" si="43"/>
        <v>297</v>
      </c>
      <c r="R313" s="48">
        <f t="shared" ca="1" si="44"/>
        <v>0.4</v>
      </c>
      <c r="S313">
        <f t="shared" ca="1" si="45"/>
        <v>175.73771981220898</v>
      </c>
      <c r="T313" s="61">
        <f t="shared" ca="1" si="46"/>
        <v>19200</v>
      </c>
      <c r="U313" s="61">
        <f t="shared" ca="1" si="47"/>
        <v>12354.10550986031</v>
      </c>
      <c r="V313" s="39">
        <f t="shared" ca="1" si="48"/>
        <v>8.1277009933291511E-2</v>
      </c>
      <c r="W313" s="48">
        <f t="shared" ca="1" si="49"/>
        <v>0.884805443735452</v>
      </c>
    </row>
    <row r="314" spans="17:23" x14ac:dyDescent="0.2">
      <c r="Q314">
        <f t="shared" si="43"/>
        <v>298</v>
      </c>
      <c r="R314" s="48">
        <f t="shared" ca="1" si="44"/>
        <v>0.45</v>
      </c>
      <c r="S314">
        <f t="shared" ca="1" si="45"/>
        <v>181.22997242655271</v>
      </c>
      <c r="T314" s="61">
        <f t="shared" ca="1" si="46"/>
        <v>21600</v>
      </c>
      <c r="U314" s="61">
        <f t="shared" ca="1" si="47"/>
        <v>17741.187867683191</v>
      </c>
      <c r="V314" s="39">
        <f t="shared" ca="1" si="48"/>
        <v>0.11671834123475784</v>
      </c>
      <c r="W314" s="48">
        <f t="shared" ca="1" si="49"/>
        <v>1.4483655794636228</v>
      </c>
    </row>
    <row r="315" spans="17:23" x14ac:dyDescent="0.2">
      <c r="Q315">
        <f t="shared" si="43"/>
        <v>299</v>
      </c>
      <c r="R315" s="48">
        <f t="shared" ca="1" si="44"/>
        <v>0.3</v>
      </c>
      <c r="S315">
        <f t="shared" ca="1" si="45"/>
        <v>219.26471682424315</v>
      </c>
      <c r="T315" s="61">
        <f t="shared" ca="1" si="46"/>
        <v>14400</v>
      </c>
      <c r="U315" s="61">
        <f t="shared" ca="1" si="47"/>
        <v>30788.241421576164</v>
      </c>
      <c r="V315" s="39">
        <f t="shared" ca="1" si="48"/>
        <v>0.20255421987879055</v>
      </c>
      <c r="W315" s="48">
        <f t="shared" ca="1" si="49"/>
        <v>3.4641404681958825</v>
      </c>
    </row>
    <row r="316" spans="17:23" x14ac:dyDescent="0.2">
      <c r="Q316">
        <f t="shared" si="43"/>
        <v>300</v>
      </c>
      <c r="R316" s="48">
        <f t="shared" ca="1" si="44"/>
        <v>0.3</v>
      </c>
      <c r="S316">
        <f t="shared" ca="1" si="45"/>
        <v>212.82016454880807</v>
      </c>
      <c r="T316" s="61">
        <f t="shared" ca="1" si="46"/>
        <v>14400</v>
      </c>
      <c r="U316" s="61">
        <f t="shared" ca="1" si="47"/>
        <v>27179.292147332519</v>
      </c>
      <c r="V316" s="39">
        <f t="shared" ca="1" si="48"/>
        <v>0.17881113254824024</v>
      </c>
      <c r="W316" s="48">
        <f t="shared" ca="1" si="49"/>
        <v>2.7974501072049094</v>
      </c>
    </row>
    <row r="317" spans="17:23" x14ac:dyDescent="0.2">
      <c r="Q317">
        <f t="shared" si="43"/>
        <v>301</v>
      </c>
      <c r="R317" s="48">
        <f t="shared" ca="1" si="44"/>
        <v>0.217</v>
      </c>
      <c r="S317">
        <f t="shared" ca="1" si="45"/>
        <v>206.3167410279741</v>
      </c>
      <c r="T317" s="61">
        <f t="shared" ca="1" si="46"/>
        <v>10416</v>
      </c>
      <c r="U317" s="61">
        <f t="shared" ca="1" si="47"/>
        <v>20636.806579922977</v>
      </c>
      <c r="V317" s="39">
        <f t="shared" ca="1" si="48"/>
        <v>0.13576846434159853</v>
      </c>
      <c r="W317" s="48">
        <f t="shared" ca="1" si="49"/>
        <v>1.8084180730682076</v>
      </c>
    </row>
    <row r="318" spans="17:23" x14ac:dyDescent="0.2">
      <c r="Q318">
        <f t="shared" si="43"/>
        <v>302</v>
      </c>
      <c r="R318" s="48">
        <f t="shared" ca="1" si="44"/>
        <v>0.4</v>
      </c>
      <c r="S318">
        <f t="shared" ca="1" si="45"/>
        <v>182.18061717269495</v>
      </c>
      <c r="T318" s="61">
        <f t="shared" ca="1" si="46"/>
        <v>19200</v>
      </c>
      <c r="U318" s="61">
        <f t="shared" ca="1" si="47"/>
        <v>15446.696242893577</v>
      </c>
      <c r="V318" s="39">
        <f t="shared" ca="1" si="48"/>
        <v>0.10162300159798406</v>
      </c>
      <c r="W318" s="48">
        <f t="shared" ca="1" si="49"/>
        <v>1.192473208996975</v>
      </c>
    </row>
    <row r="319" spans="17:23" x14ac:dyDescent="0.2">
      <c r="Q319">
        <f t="shared" si="43"/>
        <v>303</v>
      </c>
      <c r="R319" s="48">
        <f t="shared" ca="1" si="44"/>
        <v>0.35</v>
      </c>
      <c r="S319">
        <f t="shared" ca="1" si="45"/>
        <v>183.81342142573553</v>
      </c>
      <c r="T319" s="61">
        <f t="shared" ca="1" si="46"/>
        <v>16800</v>
      </c>
      <c r="U319" s="61">
        <f t="shared" ca="1" si="47"/>
        <v>13582.979141382475</v>
      </c>
      <c r="V319" s="39">
        <f t="shared" ca="1" si="48"/>
        <v>8.9361704877516282E-2</v>
      </c>
      <c r="W319" s="48">
        <f t="shared" ca="1" si="49"/>
        <v>1.0021982012972681</v>
      </c>
    </row>
    <row r="320" spans="17:23" x14ac:dyDescent="0.2">
      <c r="Q320">
        <f t="shared" si="43"/>
        <v>304</v>
      </c>
      <c r="R320" s="48">
        <f t="shared" ca="1" si="44"/>
        <v>0.35</v>
      </c>
      <c r="S320">
        <f t="shared" ca="1" si="45"/>
        <v>199.05683236844044</v>
      </c>
      <c r="T320" s="61">
        <f t="shared" ca="1" si="46"/>
        <v>16800</v>
      </c>
      <c r="U320" s="61">
        <f t="shared" ca="1" si="47"/>
        <v>21509.552831589026</v>
      </c>
      <c r="V320" s="39">
        <f t="shared" ca="1" si="48"/>
        <v>0.14151021599729621</v>
      </c>
      <c r="W320" s="48">
        <f t="shared" ca="1" si="49"/>
        <v>1.9256681604964188</v>
      </c>
    </row>
    <row r="321" spans="17:23" x14ac:dyDescent="0.2">
      <c r="Q321">
        <f t="shared" si="43"/>
        <v>305</v>
      </c>
      <c r="R321" s="48">
        <f t="shared" ca="1" si="44"/>
        <v>0.45</v>
      </c>
      <c r="S321">
        <f t="shared" ca="1" si="45"/>
        <v>154.44778718430456</v>
      </c>
      <c r="T321" s="61">
        <f t="shared" ca="1" si="46"/>
        <v>21600</v>
      </c>
      <c r="U321" s="61">
        <f t="shared" ca="1" si="47"/>
        <v>5957.0263610940037</v>
      </c>
      <c r="V321" s="39">
        <f t="shared" ca="1" si="48"/>
        <v>3.9190962901934238E-2</v>
      </c>
      <c r="W321" s="48">
        <f t="shared" ca="1" si="49"/>
        <v>0.36589693602053908</v>
      </c>
    </row>
    <row r="322" spans="17:23" x14ac:dyDescent="0.2">
      <c r="Q322">
        <f t="shared" si="43"/>
        <v>306</v>
      </c>
      <c r="R322" s="48">
        <f t="shared" ca="1" si="44"/>
        <v>0.45</v>
      </c>
      <c r="S322">
        <f t="shared" ca="1" si="45"/>
        <v>171.45211614403237</v>
      </c>
      <c r="T322" s="61">
        <f t="shared" ca="1" si="46"/>
        <v>21600</v>
      </c>
      <c r="U322" s="61">
        <f t="shared" ca="1" si="47"/>
        <v>13438.931103374243</v>
      </c>
      <c r="V322" s="39">
        <f t="shared" ca="1" si="48"/>
        <v>8.8414020416935815E-2</v>
      </c>
      <c r="W322" s="48">
        <f t="shared" ca="1" si="49"/>
        <v>0.9881138761005599</v>
      </c>
    </row>
    <row r="323" spans="17:23" x14ac:dyDescent="0.2">
      <c r="Q323">
        <f t="shared" si="43"/>
        <v>307</v>
      </c>
      <c r="R323" s="48">
        <f t="shared" ca="1" si="44"/>
        <v>0.45</v>
      </c>
      <c r="S323">
        <f t="shared" ca="1" si="45"/>
        <v>167.71742531019652</v>
      </c>
      <c r="T323" s="61">
        <f t="shared" ca="1" si="46"/>
        <v>21600</v>
      </c>
      <c r="U323" s="61">
        <f t="shared" ca="1" si="47"/>
        <v>11795.667136486467</v>
      </c>
      <c r="V323" s="39">
        <f t="shared" ca="1" si="48"/>
        <v>7.7603073266358333E-2</v>
      </c>
      <c r="W323" s="48">
        <f t="shared" ca="1" si="49"/>
        <v>0.83348392271088567</v>
      </c>
    </row>
    <row r="324" spans="17:23" x14ac:dyDescent="0.2">
      <c r="Q324">
        <f t="shared" si="43"/>
        <v>308</v>
      </c>
      <c r="R324" s="48">
        <f t="shared" ca="1" si="44"/>
        <v>0.35</v>
      </c>
      <c r="S324">
        <f t="shared" ca="1" si="45"/>
        <v>179.4315385405873</v>
      </c>
      <c r="T324" s="61">
        <f t="shared" ca="1" si="46"/>
        <v>16800</v>
      </c>
      <c r="U324" s="61">
        <f t="shared" ca="1" si="47"/>
        <v>11304.400041105395</v>
      </c>
      <c r="V324" s="39">
        <f t="shared" ca="1" si="48"/>
        <v>7.4371052902009183E-2</v>
      </c>
      <c r="W324" s="48">
        <f t="shared" ca="1" si="49"/>
        <v>0.78935279768641831</v>
      </c>
    </row>
    <row r="325" spans="17:23" x14ac:dyDescent="0.2">
      <c r="Q325">
        <f t="shared" si="43"/>
        <v>309</v>
      </c>
      <c r="R325" s="48">
        <f t="shared" ca="1" si="44"/>
        <v>0.5</v>
      </c>
      <c r="S325">
        <f t="shared" ca="1" si="45"/>
        <v>164.76665823234416</v>
      </c>
      <c r="T325" s="61">
        <f t="shared" ca="1" si="46"/>
        <v>24000</v>
      </c>
      <c r="U325" s="61">
        <f t="shared" ca="1" si="47"/>
        <v>13906.663292937663</v>
      </c>
      <c r="V325" s="39">
        <f t="shared" ca="1" si="48"/>
        <v>9.1491205874589893E-2</v>
      </c>
      <c r="W325" s="48">
        <f t="shared" ca="1" si="49"/>
        <v>1.034166036680364</v>
      </c>
    </row>
    <row r="326" spans="17:23" x14ac:dyDescent="0.2">
      <c r="Q326">
        <f t="shared" si="43"/>
        <v>310</v>
      </c>
      <c r="R326" s="48">
        <f t="shared" ca="1" si="44"/>
        <v>0.4</v>
      </c>
      <c r="S326">
        <f t="shared" ca="1" si="45"/>
        <v>175.58457436441697</v>
      </c>
      <c r="T326" s="61">
        <f t="shared" ca="1" si="46"/>
        <v>19200</v>
      </c>
      <c r="U326" s="61">
        <f t="shared" ca="1" si="47"/>
        <v>12280.595694920143</v>
      </c>
      <c r="V326" s="39">
        <f t="shared" ca="1" si="48"/>
        <v>8.0793392729737776E-2</v>
      </c>
      <c r="W326" s="48">
        <f t="shared" ca="1" si="49"/>
        <v>0.87797858238083615</v>
      </c>
    </row>
    <row r="327" spans="17:23" x14ac:dyDescent="0.2">
      <c r="Q327">
        <f t="shared" si="43"/>
        <v>311</v>
      </c>
      <c r="R327" s="48">
        <f t="shared" ca="1" si="44"/>
        <v>0.3</v>
      </c>
      <c r="S327">
        <f t="shared" ca="1" si="45"/>
        <v>189.37979299762955</v>
      </c>
      <c r="T327" s="61">
        <f t="shared" ca="1" si="46"/>
        <v>14400</v>
      </c>
      <c r="U327" s="61">
        <f t="shared" ca="1" si="47"/>
        <v>14052.684078672548</v>
      </c>
      <c r="V327" s="39">
        <f t="shared" ca="1" si="48"/>
        <v>9.245186893863519E-2</v>
      </c>
      <c r="W327" s="48">
        <f t="shared" ca="1" si="49"/>
        <v>1.0487332669012659</v>
      </c>
    </row>
    <row r="328" spans="17:23" x14ac:dyDescent="0.2">
      <c r="Q328">
        <f t="shared" si="43"/>
        <v>312</v>
      </c>
      <c r="R328" s="48">
        <f t="shared" ca="1" si="44"/>
        <v>0.35</v>
      </c>
      <c r="S328">
        <f t="shared" ca="1" si="45"/>
        <v>190.83348088057912</v>
      </c>
      <c r="T328" s="61">
        <f t="shared" ca="1" si="46"/>
        <v>16800</v>
      </c>
      <c r="U328" s="61">
        <f t="shared" ca="1" si="47"/>
        <v>17233.410057901139</v>
      </c>
      <c r="V328" s="39">
        <f t="shared" ca="1" si="48"/>
        <v>0.1133776977493496</v>
      </c>
      <c r="W328" s="48">
        <f t="shared" ca="1" si="49"/>
        <v>1.3895858781551742</v>
      </c>
    </row>
    <row r="329" spans="17:23" x14ac:dyDescent="0.2">
      <c r="Q329">
        <f t="shared" si="43"/>
        <v>313</v>
      </c>
      <c r="R329" s="48">
        <f t="shared" ca="1" si="44"/>
        <v>0.4</v>
      </c>
      <c r="S329">
        <f t="shared" ca="1" si="45"/>
        <v>168.60975847694604</v>
      </c>
      <c r="T329" s="61">
        <f t="shared" ca="1" si="46"/>
        <v>19200</v>
      </c>
      <c r="U329" s="61">
        <f t="shared" ca="1" si="47"/>
        <v>8932.6840689341007</v>
      </c>
      <c r="V329" s="39">
        <f t="shared" ca="1" si="48"/>
        <v>5.8767658348250665E-2</v>
      </c>
      <c r="W329" s="48">
        <f t="shared" ca="1" si="49"/>
        <v>0.58913562186271839</v>
      </c>
    </row>
    <row r="330" spans="17:23" x14ac:dyDescent="0.2">
      <c r="Q330">
        <f t="shared" si="43"/>
        <v>314</v>
      </c>
      <c r="R330" s="48">
        <f t="shared" ca="1" si="44"/>
        <v>0.4</v>
      </c>
      <c r="S330">
        <f t="shared" ca="1" si="45"/>
        <v>180.43269851164544</v>
      </c>
      <c r="T330" s="61">
        <f t="shared" ca="1" si="46"/>
        <v>19200</v>
      </c>
      <c r="U330" s="61">
        <f t="shared" ca="1" si="47"/>
        <v>14607.695285589813</v>
      </c>
      <c r="V330" s="39">
        <f t="shared" ca="1" si="48"/>
        <v>9.6103258457827717E-2</v>
      </c>
      <c r="W330" s="48">
        <f t="shared" ca="1" si="49"/>
        <v>1.1049398564421185</v>
      </c>
    </row>
    <row r="331" spans="17:23" x14ac:dyDescent="0.2">
      <c r="Q331">
        <f t="shared" si="43"/>
        <v>315</v>
      </c>
      <c r="R331" s="48">
        <f t="shared" ca="1" si="44"/>
        <v>0.217</v>
      </c>
      <c r="S331">
        <f t="shared" ca="1" si="45"/>
        <v>216.21770918214935</v>
      </c>
      <c r="T331" s="61">
        <f t="shared" ca="1" si="46"/>
        <v>10416</v>
      </c>
      <c r="U331" s="61">
        <f t="shared" ca="1" si="47"/>
        <v>26838.773031698351</v>
      </c>
      <c r="V331" s="39">
        <f t="shared" ca="1" si="48"/>
        <v>0.17657087520854178</v>
      </c>
      <c r="W331" s="48">
        <f t="shared" ca="1" si="49"/>
        <v>2.7393077036366646</v>
      </c>
    </row>
    <row r="332" spans="17:23" x14ac:dyDescent="0.2">
      <c r="Q332">
        <f t="shared" si="43"/>
        <v>316</v>
      </c>
      <c r="R332" s="48">
        <f t="shared" ca="1" si="44"/>
        <v>0.3</v>
      </c>
      <c r="S332">
        <f t="shared" ca="1" si="45"/>
        <v>165.63805437186434</v>
      </c>
      <c r="T332" s="61">
        <f t="shared" ca="1" si="46"/>
        <v>14400</v>
      </c>
      <c r="U332" s="61">
        <f t="shared" ca="1" si="47"/>
        <v>757.31044824403216</v>
      </c>
      <c r="V332" s="39">
        <f t="shared" ca="1" si="48"/>
        <v>4.982305580552843E-3</v>
      </c>
      <c r="W332" s="48">
        <f t="shared" ca="1" si="49"/>
        <v>4.1135240005538254E-2</v>
      </c>
    </row>
    <row r="333" spans="17:23" x14ac:dyDescent="0.2">
      <c r="Q333">
        <f t="shared" si="43"/>
        <v>317</v>
      </c>
      <c r="R333" s="48">
        <f t="shared" ca="1" si="44"/>
        <v>0.15</v>
      </c>
      <c r="S333">
        <f t="shared" ca="1" si="45"/>
        <v>230.39558792390559</v>
      </c>
      <c r="T333" s="61">
        <f t="shared" ca="1" si="46"/>
        <v>7200</v>
      </c>
      <c r="U333" s="61">
        <f t="shared" ca="1" si="47"/>
        <v>34668.999788255809</v>
      </c>
      <c r="V333" s="39">
        <f t="shared" ca="1" si="48"/>
        <v>0.22808552492273559</v>
      </c>
      <c r="W333" s="48">
        <f t="shared" ca="1" si="49"/>
        <v>4.2935033254719812</v>
      </c>
    </row>
    <row r="334" spans="17:23" x14ac:dyDescent="0.2">
      <c r="Q334">
        <f t="shared" si="43"/>
        <v>318</v>
      </c>
      <c r="R334" s="48">
        <f t="shared" ca="1" si="44"/>
        <v>0.45</v>
      </c>
      <c r="S334">
        <f t="shared" ca="1" si="45"/>
        <v>200.76505941207941</v>
      </c>
      <c r="T334" s="61">
        <f t="shared" ca="1" si="46"/>
        <v>21600</v>
      </c>
      <c r="U334" s="61">
        <f t="shared" ca="1" si="47"/>
        <v>26336.62614131494</v>
      </c>
      <c r="V334" s="39">
        <f t="shared" ca="1" si="48"/>
        <v>0.17326727724549304</v>
      </c>
      <c r="W334" s="48">
        <f t="shared" ca="1" si="49"/>
        <v>2.6549920705664176</v>
      </c>
    </row>
    <row r="335" spans="17:23" x14ac:dyDescent="0.2">
      <c r="Q335">
        <f t="shared" si="43"/>
        <v>319</v>
      </c>
      <c r="R335" s="48">
        <f t="shared" ca="1" si="44"/>
        <v>0.45</v>
      </c>
      <c r="S335">
        <f t="shared" ca="1" si="45"/>
        <v>204.73363290363457</v>
      </c>
      <c r="T335" s="61">
        <f t="shared" ca="1" si="46"/>
        <v>21600</v>
      </c>
      <c r="U335" s="61">
        <f t="shared" ca="1" si="47"/>
        <v>28082.798477599212</v>
      </c>
      <c r="V335" s="39">
        <f t="shared" ca="1" si="48"/>
        <v>0.18475525314210009</v>
      </c>
      <c r="W335" s="48">
        <f t="shared" ca="1" si="49"/>
        <v>2.9555793814084703</v>
      </c>
    </row>
    <row r="336" spans="17:23" x14ac:dyDescent="0.2">
      <c r="Q336">
        <f t="shared" si="43"/>
        <v>320</v>
      </c>
      <c r="R336" s="48">
        <f t="shared" ca="1" si="44"/>
        <v>0.4</v>
      </c>
      <c r="S336">
        <f t="shared" ca="1" si="45"/>
        <v>179.34402136217579</v>
      </c>
      <c r="T336" s="61">
        <f t="shared" ca="1" si="46"/>
        <v>19200</v>
      </c>
      <c r="U336" s="61">
        <f t="shared" ca="1" si="47"/>
        <v>14085.130253844382</v>
      </c>
      <c r="V336" s="39">
        <f t="shared" ca="1" si="48"/>
        <v>9.2665330617397249E-2</v>
      </c>
      <c r="W336" s="48">
        <f t="shared" ca="1" si="49"/>
        <v>1.0519825317906712</v>
      </c>
    </row>
    <row r="337" spans="17:23" x14ac:dyDescent="0.2">
      <c r="Q337">
        <f t="shared" si="43"/>
        <v>321</v>
      </c>
      <c r="R337" s="48">
        <f t="shared" ca="1" si="44"/>
        <v>0.4</v>
      </c>
      <c r="S337">
        <f t="shared" ca="1" si="45"/>
        <v>214.07625379378203</v>
      </c>
      <c r="T337" s="61">
        <f t="shared" ca="1" si="46"/>
        <v>19200</v>
      </c>
      <c r="U337" s="61">
        <f t="shared" ca="1" si="47"/>
        <v>30756.601821015374</v>
      </c>
      <c r="V337" s="39">
        <f t="shared" ca="1" si="48"/>
        <v>0.20234606461194324</v>
      </c>
      <c r="W337" s="48">
        <f t="shared" ca="1" si="49"/>
        <v>3.4578767289979755</v>
      </c>
    </row>
    <row r="338" spans="17:23" x14ac:dyDescent="0.2">
      <c r="Q338">
        <f t="shared" si="43"/>
        <v>322</v>
      </c>
      <c r="R338" s="48">
        <f t="shared" ca="1" si="44"/>
        <v>0.35</v>
      </c>
      <c r="S338">
        <f t="shared" ca="1" si="45"/>
        <v>208.51321022094515</v>
      </c>
      <c r="T338" s="61">
        <f t="shared" ca="1" si="46"/>
        <v>16800</v>
      </c>
      <c r="U338" s="61">
        <f t="shared" ca="1" si="47"/>
        <v>26426.869314891483</v>
      </c>
      <c r="V338" s="39">
        <f t="shared" ca="1" si="48"/>
        <v>0.1738609823348124</v>
      </c>
      <c r="W338" s="48">
        <f t="shared" ca="1" si="49"/>
        <v>2.6700207939746821</v>
      </c>
    </row>
    <row r="339" spans="17:23" x14ac:dyDescent="0.2">
      <c r="Q339">
        <f t="shared" ref="Q339:Q402" si="50">Q338+1</f>
        <v>323</v>
      </c>
      <c r="R339" s="48">
        <f t="shared" ref="R339:R402" ca="1" si="51">LOOKUP(RAND(),$U$6:$U$12,$S$6:$S$12)</f>
        <v>0.3</v>
      </c>
      <c r="S339">
        <f t="shared" ref="S339:S402" ca="1" si="52">_xlfn.NORM.INV(RAND(),$Q$5,$Q$10)</f>
        <v>209.85810255006115</v>
      </c>
      <c r="T339" s="61">
        <f t="shared" ref="T339:T402" ca="1" si="53">($B$8-$B$7)*($E$6*R339)</f>
        <v>14400</v>
      </c>
      <c r="U339" s="61">
        <f t="shared" ref="U339:U402" ca="1" si="54">T339+((S339-$B$7)*($E$6*(1-R339)))</f>
        <v>25520.537428034244</v>
      </c>
      <c r="V339" s="39">
        <f t="shared" ref="V339:V402" ca="1" si="55">U339/$E$4</f>
        <v>0.16789827255285686</v>
      </c>
      <c r="W339" s="48">
        <f t="shared" ref="W339:W402" ca="1" si="56">(1+V339)^($J$29/$J$30)-1</f>
        <v>2.5215152608341378</v>
      </c>
    </row>
    <row r="340" spans="17:23" x14ac:dyDescent="0.2">
      <c r="Q340">
        <f t="shared" si="50"/>
        <v>324</v>
      </c>
      <c r="R340" s="48">
        <f t="shared" ca="1" si="51"/>
        <v>0.3</v>
      </c>
      <c r="S340">
        <f t="shared" ca="1" si="52"/>
        <v>166.18737131820961</v>
      </c>
      <c r="T340" s="61">
        <f t="shared" ca="1" si="53"/>
        <v>14400</v>
      </c>
      <c r="U340" s="61">
        <f t="shared" ca="1" si="54"/>
        <v>1064.9279381973829</v>
      </c>
      <c r="V340" s="39">
        <f t="shared" ca="1" si="55"/>
        <v>7.0061048565617295E-3</v>
      </c>
      <c r="W340" s="48">
        <f t="shared" ca="1" si="56"/>
        <v>5.8263281624111096E-2</v>
      </c>
    </row>
    <row r="341" spans="17:23" x14ac:dyDescent="0.2">
      <c r="Q341">
        <f t="shared" si="50"/>
        <v>325</v>
      </c>
      <c r="R341" s="48">
        <f t="shared" ca="1" si="51"/>
        <v>0.4</v>
      </c>
      <c r="S341">
        <f t="shared" ca="1" si="52"/>
        <v>160.63581992334105</v>
      </c>
      <c r="T341" s="61">
        <f t="shared" ca="1" si="53"/>
        <v>19200</v>
      </c>
      <c r="U341" s="61">
        <f t="shared" ca="1" si="54"/>
        <v>5105.1935632037021</v>
      </c>
      <c r="V341" s="39">
        <f t="shared" ca="1" si="55"/>
        <v>3.3586799757919089E-2</v>
      </c>
      <c r="W341" s="48">
        <f t="shared" ca="1" si="56"/>
        <v>0.30728337887689139</v>
      </c>
    </row>
    <row r="342" spans="17:23" x14ac:dyDescent="0.2">
      <c r="Q342">
        <f t="shared" si="50"/>
        <v>326</v>
      </c>
      <c r="R342" s="48">
        <f t="shared" ca="1" si="51"/>
        <v>0.3</v>
      </c>
      <c r="S342">
        <f t="shared" ca="1" si="52"/>
        <v>215.55517757902876</v>
      </c>
      <c r="T342" s="61">
        <f t="shared" ca="1" si="53"/>
        <v>14400</v>
      </c>
      <c r="U342" s="61">
        <f t="shared" ca="1" si="54"/>
        <v>28710.899444256109</v>
      </c>
      <c r="V342" s="39">
        <f t="shared" ca="1" si="55"/>
        <v>0.18888749634379018</v>
      </c>
      <c r="W342" s="48">
        <f t="shared" ca="1" si="56"/>
        <v>3.0688815737097919</v>
      </c>
    </row>
    <row r="343" spans="17:23" x14ac:dyDescent="0.2">
      <c r="Q343">
        <f t="shared" si="50"/>
        <v>327</v>
      </c>
      <c r="R343" s="48">
        <f t="shared" ca="1" si="51"/>
        <v>0.3</v>
      </c>
      <c r="S343">
        <f t="shared" ca="1" si="52"/>
        <v>180.95214911135008</v>
      </c>
      <c r="T343" s="61">
        <f t="shared" ca="1" si="53"/>
        <v>14400</v>
      </c>
      <c r="U343" s="61">
        <f t="shared" ca="1" si="54"/>
        <v>9333.2035023560456</v>
      </c>
      <c r="V343" s="39">
        <f t="shared" ca="1" si="55"/>
        <v>6.1402654620763455E-2</v>
      </c>
      <c r="W343" s="48">
        <f t="shared" ca="1" si="56"/>
        <v>0.62149991514481995</v>
      </c>
    </row>
    <row r="344" spans="17:23" x14ac:dyDescent="0.2">
      <c r="Q344">
        <f t="shared" si="50"/>
        <v>328</v>
      </c>
      <c r="R344" s="48">
        <f t="shared" ca="1" si="51"/>
        <v>0.3</v>
      </c>
      <c r="S344">
        <f t="shared" ca="1" si="52"/>
        <v>202.40271445898142</v>
      </c>
      <c r="T344" s="61">
        <f t="shared" ca="1" si="53"/>
        <v>14400</v>
      </c>
      <c r="U344" s="61">
        <f t="shared" ca="1" si="54"/>
        <v>21345.520097029595</v>
      </c>
      <c r="V344" s="39">
        <f t="shared" ca="1" si="55"/>
        <v>0.14043105326993155</v>
      </c>
      <c r="W344" s="48">
        <f t="shared" ca="1" si="56"/>
        <v>1.9033091237232282</v>
      </c>
    </row>
    <row r="345" spans="17:23" x14ac:dyDescent="0.2">
      <c r="Q345">
        <f t="shared" si="50"/>
        <v>329</v>
      </c>
      <c r="R345" s="48">
        <f t="shared" ca="1" si="51"/>
        <v>0.3</v>
      </c>
      <c r="S345">
        <f t="shared" ca="1" si="52"/>
        <v>194.21519314132905</v>
      </c>
      <c r="T345" s="61">
        <f t="shared" ca="1" si="53"/>
        <v>14400</v>
      </c>
      <c r="U345" s="61">
        <f t="shared" ca="1" si="54"/>
        <v>16760.508159144269</v>
      </c>
      <c r="V345" s="39">
        <f t="shared" ca="1" si="55"/>
        <v>0.11026650104700177</v>
      </c>
      <c r="W345" s="48">
        <f t="shared" ca="1" si="56"/>
        <v>1.3359597888965373</v>
      </c>
    </row>
    <row r="346" spans="17:23" x14ac:dyDescent="0.2">
      <c r="Q346">
        <f t="shared" si="50"/>
        <v>330</v>
      </c>
      <c r="R346" s="48">
        <f t="shared" ca="1" si="51"/>
        <v>0.5</v>
      </c>
      <c r="S346">
        <f t="shared" ca="1" si="52"/>
        <v>166.37535193187304</v>
      </c>
      <c r="T346" s="61">
        <f t="shared" ca="1" si="53"/>
        <v>24000</v>
      </c>
      <c r="U346" s="61">
        <f t="shared" ca="1" si="54"/>
        <v>14550.140772749217</v>
      </c>
      <c r="V346" s="39">
        <f t="shared" ca="1" si="55"/>
        <v>9.572461034703432E-2</v>
      </c>
      <c r="W346" s="48">
        <f t="shared" ca="1" si="56"/>
        <v>1.0990491010823966</v>
      </c>
    </row>
    <row r="347" spans="17:23" x14ac:dyDescent="0.2">
      <c r="Q347">
        <f t="shared" si="50"/>
        <v>331</v>
      </c>
      <c r="R347" s="48">
        <f t="shared" ca="1" si="51"/>
        <v>0.45</v>
      </c>
      <c r="S347">
        <f t="shared" ca="1" si="52"/>
        <v>173.69695583035826</v>
      </c>
      <c r="T347" s="61">
        <f t="shared" ca="1" si="53"/>
        <v>21600</v>
      </c>
      <c r="U347" s="61">
        <f t="shared" ca="1" si="54"/>
        <v>14426.660565357633</v>
      </c>
      <c r="V347" s="39">
        <f t="shared" ca="1" si="55"/>
        <v>9.4912240561563374E-2</v>
      </c>
      <c r="W347" s="48">
        <f t="shared" ca="1" si="56"/>
        <v>1.0864595374681287</v>
      </c>
    </row>
    <row r="348" spans="17:23" x14ac:dyDescent="0.2">
      <c r="Q348">
        <f t="shared" si="50"/>
        <v>332</v>
      </c>
      <c r="R348" s="48">
        <f t="shared" ca="1" si="51"/>
        <v>0.5</v>
      </c>
      <c r="S348">
        <f t="shared" ca="1" si="52"/>
        <v>214.99960960124315</v>
      </c>
      <c r="T348" s="61">
        <f t="shared" ca="1" si="53"/>
        <v>24000</v>
      </c>
      <c r="U348" s="61">
        <f t="shared" ca="1" si="54"/>
        <v>33999.843840497262</v>
      </c>
      <c r="V348" s="39">
        <f t="shared" ca="1" si="55"/>
        <v>0.2236831831611662</v>
      </c>
      <c r="W348" s="48">
        <f t="shared" ca="1" si="56"/>
        <v>4.1415366074211235</v>
      </c>
    </row>
    <row r="349" spans="17:23" x14ac:dyDescent="0.2">
      <c r="Q349">
        <f t="shared" si="50"/>
        <v>333</v>
      </c>
      <c r="R349" s="48">
        <f t="shared" ca="1" si="51"/>
        <v>0.35</v>
      </c>
      <c r="S349">
        <f t="shared" ca="1" si="52"/>
        <v>181.44634790386334</v>
      </c>
      <c r="T349" s="61">
        <f t="shared" ca="1" si="53"/>
        <v>16800</v>
      </c>
      <c r="U349" s="61">
        <f t="shared" ca="1" si="54"/>
        <v>12352.100910008938</v>
      </c>
      <c r="V349" s="39">
        <f t="shared" ca="1" si="55"/>
        <v>8.126382177637459E-2</v>
      </c>
      <c r="W349" s="48">
        <f t="shared" ca="1" si="56"/>
        <v>0.88461898824295138</v>
      </c>
    </row>
    <row r="350" spans="17:23" x14ac:dyDescent="0.2">
      <c r="Q350">
        <f t="shared" si="50"/>
        <v>334</v>
      </c>
      <c r="R350" s="48">
        <f t="shared" ca="1" si="51"/>
        <v>0.35</v>
      </c>
      <c r="S350">
        <f t="shared" ca="1" si="52"/>
        <v>183.27729072955128</v>
      </c>
      <c r="T350" s="61">
        <f t="shared" ca="1" si="53"/>
        <v>16800</v>
      </c>
      <c r="U350" s="61">
        <f t="shared" ca="1" si="54"/>
        <v>13304.191179366666</v>
      </c>
      <c r="V350" s="39">
        <f t="shared" ca="1" si="55"/>
        <v>8.752757354846491E-2</v>
      </c>
      <c r="W350" s="48">
        <f t="shared" ca="1" si="56"/>
        <v>0.97501835354232691</v>
      </c>
    </row>
    <row r="351" spans="17:23" x14ac:dyDescent="0.2">
      <c r="Q351">
        <f t="shared" si="50"/>
        <v>335</v>
      </c>
      <c r="R351" s="48">
        <f t="shared" ca="1" si="51"/>
        <v>0.217</v>
      </c>
      <c r="S351">
        <f t="shared" ca="1" si="52"/>
        <v>194.33211505894869</v>
      </c>
      <c r="T351" s="61">
        <f t="shared" ca="1" si="53"/>
        <v>10416</v>
      </c>
      <c r="U351" s="61">
        <f t="shared" ca="1" si="54"/>
        <v>13129.636872925457</v>
      </c>
      <c r="V351" s="39">
        <f t="shared" ca="1" si="55"/>
        <v>8.6379189953456961E-2</v>
      </c>
      <c r="W351" s="48">
        <f t="shared" ca="1" si="56"/>
        <v>0.95816570863461914</v>
      </c>
    </row>
    <row r="352" spans="17:23" x14ac:dyDescent="0.2">
      <c r="Q352">
        <f t="shared" si="50"/>
        <v>336</v>
      </c>
      <c r="R352" s="48">
        <f t="shared" ca="1" si="51"/>
        <v>0.3</v>
      </c>
      <c r="S352">
        <f t="shared" ca="1" si="52"/>
        <v>181.79291072367866</v>
      </c>
      <c r="T352" s="61">
        <f t="shared" ca="1" si="53"/>
        <v>14400</v>
      </c>
      <c r="U352" s="61">
        <f t="shared" ca="1" si="54"/>
        <v>9804.0300052600487</v>
      </c>
      <c r="V352" s="39">
        <f t="shared" ca="1" si="55"/>
        <v>6.4500197403026635E-2</v>
      </c>
      <c r="W352" s="48">
        <f t="shared" ca="1" si="56"/>
        <v>0.66028316603310611</v>
      </c>
    </row>
    <row r="353" spans="17:23" x14ac:dyDescent="0.2">
      <c r="Q353">
        <f t="shared" si="50"/>
        <v>337</v>
      </c>
      <c r="R353" s="48">
        <f t="shared" ca="1" si="51"/>
        <v>0.35</v>
      </c>
      <c r="S353">
        <f t="shared" ca="1" si="52"/>
        <v>233.54631513474999</v>
      </c>
      <c r="T353" s="61">
        <f t="shared" ca="1" si="53"/>
        <v>16800</v>
      </c>
      <c r="U353" s="61">
        <f t="shared" ca="1" si="54"/>
        <v>39444.083870069997</v>
      </c>
      <c r="V353" s="39">
        <f t="shared" ca="1" si="55"/>
        <v>0.25950055177677628</v>
      </c>
      <c r="W353" s="48">
        <f t="shared" ca="1" si="56"/>
        <v>5.4971074329603153</v>
      </c>
    </row>
    <row r="354" spans="17:23" x14ac:dyDescent="0.2">
      <c r="Q354">
        <f t="shared" si="50"/>
        <v>338</v>
      </c>
      <c r="R354" s="48">
        <f t="shared" ca="1" si="51"/>
        <v>0.35</v>
      </c>
      <c r="S354">
        <f t="shared" ca="1" si="52"/>
        <v>171.76604610527397</v>
      </c>
      <c r="T354" s="61">
        <f t="shared" ca="1" si="53"/>
        <v>16800</v>
      </c>
      <c r="U354" s="61">
        <f t="shared" ca="1" si="54"/>
        <v>7318.3439747424654</v>
      </c>
      <c r="V354" s="39">
        <f t="shared" ca="1" si="55"/>
        <v>4.8146999833832006E-2</v>
      </c>
      <c r="W354" s="48">
        <f t="shared" ca="1" si="56"/>
        <v>0.46435608890261038</v>
      </c>
    </row>
    <row r="355" spans="17:23" x14ac:dyDescent="0.2">
      <c r="Q355">
        <f t="shared" si="50"/>
        <v>339</v>
      </c>
      <c r="R355" s="48">
        <f t="shared" ca="1" si="51"/>
        <v>0.4</v>
      </c>
      <c r="S355">
        <f t="shared" ca="1" si="52"/>
        <v>200.20472723562369</v>
      </c>
      <c r="T355" s="61">
        <f t="shared" ca="1" si="53"/>
        <v>19200</v>
      </c>
      <c r="U355" s="61">
        <f t="shared" ca="1" si="54"/>
        <v>24098.269073099371</v>
      </c>
      <c r="V355" s="39">
        <f t="shared" ca="1" si="55"/>
        <v>0.15854124390196955</v>
      </c>
      <c r="W355" s="48">
        <f t="shared" ca="1" si="56"/>
        <v>2.2990832247590323</v>
      </c>
    </row>
    <row r="356" spans="17:23" x14ac:dyDescent="0.2">
      <c r="Q356">
        <f t="shared" si="50"/>
        <v>340</v>
      </c>
      <c r="R356" s="48">
        <f t="shared" ca="1" si="51"/>
        <v>0.35</v>
      </c>
      <c r="S356">
        <f t="shared" ca="1" si="52"/>
        <v>152.15655795849392</v>
      </c>
      <c r="T356" s="61">
        <f t="shared" ca="1" si="53"/>
        <v>16800</v>
      </c>
      <c r="U356" s="61">
        <f t="shared" ca="1" si="54"/>
        <v>-2878.5898615831611</v>
      </c>
      <c r="V356" s="39">
        <f t="shared" ca="1" si="55"/>
        <v>-1.8938091194626059E-2</v>
      </c>
      <c r="W356" s="48">
        <f t="shared" ca="1" si="56"/>
        <v>-0.143655149337229</v>
      </c>
    </row>
    <row r="357" spans="17:23" x14ac:dyDescent="0.2">
      <c r="Q357">
        <f t="shared" si="50"/>
        <v>341</v>
      </c>
      <c r="R357" s="48">
        <f t="shared" ca="1" si="51"/>
        <v>0.3</v>
      </c>
      <c r="S357">
        <f t="shared" ca="1" si="52"/>
        <v>191.88860439975866</v>
      </c>
      <c r="T357" s="61">
        <f t="shared" ca="1" si="53"/>
        <v>14400</v>
      </c>
      <c r="U357" s="61">
        <f t="shared" ca="1" si="54"/>
        <v>15457.618463864852</v>
      </c>
      <c r="V357" s="39">
        <f t="shared" ca="1" si="55"/>
        <v>0.10169485831490034</v>
      </c>
      <c r="W357" s="48">
        <f t="shared" ca="1" si="56"/>
        <v>1.1936334541035118</v>
      </c>
    </row>
    <row r="358" spans="17:23" x14ac:dyDescent="0.2">
      <c r="Q358">
        <f t="shared" si="50"/>
        <v>342</v>
      </c>
      <c r="R358" s="48">
        <f t="shared" ca="1" si="51"/>
        <v>0.4</v>
      </c>
      <c r="S358">
        <f t="shared" ca="1" si="52"/>
        <v>205.92745880498882</v>
      </c>
      <c r="T358" s="61">
        <f t="shared" ca="1" si="53"/>
        <v>19200</v>
      </c>
      <c r="U358" s="61">
        <f t="shared" ca="1" si="54"/>
        <v>26845.18022639463</v>
      </c>
      <c r="V358" s="39">
        <f t="shared" ca="1" si="55"/>
        <v>0.17661302780522783</v>
      </c>
      <c r="W358" s="48">
        <f t="shared" ca="1" si="56"/>
        <v>2.7403944623151486</v>
      </c>
    </row>
    <row r="359" spans="17:23" x14ac:dyDescent="0.2">
      <c r="Q359">
        <f t="shared" si="50"/>
        <v>343</v>
      </c>
      <c r="R359" s="48">
        <f t="shared" ca="1" si="51"/>
        <v>0.35</v>
      </c>
      <c r="S359">
        <f t="shared" ca="1" si="52"/>
        <v>178.52973365648683</v>
      </c>
      <c r="T359" s="61">
        <f t="shared" ca="1" si="53"/>
        <v>16800</v>
      </c>
      <c r="U359" s="61">
        <f t="shared" ca="1" si="54"/>
        <v>10835.461501373149</v>
      </c>
      <c r="V359" s="39">
        <f t="shared" ca="1" si="55"/>
        <v>7.1285930930086505E-2</v>
      </c>
      <c r="W359" s="48">
        <f t="shared" ca="1" si="56"/>
        <v>0.74809903746195228</v>
      </c>
    </row>
    <row r="360" spans="17:23" x14ac:dyDescent="0.2">
      <c r="Q360">
        <f t="shared" si="50"/>
        <v>344</v>
      </c>
      <c r="R360" s="48">
        <f t="shared" ca="1" si="51"/>
        <v>0.3</v>
      </c>
      <c r="S360">
        <f t="shared" ca="1" si="52"/>
        <v>186.85192241471628</v>
      </c>
      <c r="T360" s="61">
        <f t="shared" ca="1" si="53"/>
        <v>14400</v>
      </c>
      <c r="U360" s="61">
        <f t="shared" ca="1" si="54"/>
        <v>12637.07655224112</v>
      </c>
      <c r="V360" s="39">
        <f t="shared" ca="1" si="55"/>
        <v>8.3138661527902114E-2</v>
      </c>
      <c r="W360" s="48">
        <f t="shared" ca="1" si="56"/>
        <v>0.91128849982604243</v>
      </c>
    </row>
    <row r="361" spans="17:23" x14ac:dyDescent="0.2">
      <c r="Q361">
        <f t="shared" si="50"/>
        <v>345</v>
      </c>
      <c r="R361" s="48">
        <f t="shared" ca="1" si="51"/>
        <v>0.3</v>
      </c>
      <c r="S361">
        <f t="shared" ca="1" si="52"/>
        <v>181.24850532447201</v>
      </c>
      <c r="T361" s="61">
        <f t="shared" ca="1" si="53"/>
        <v>14400</v>
      </c>
      <c r="U361" s="61">
        <f t="shared" ca="1" si="54"/>
        <v>9499.1629817043231</v>
      </c>
      <c r="V361" s="39">
        <f t="shared" ca="1" si="55"/>
        <v>6.2494493300686335E-2</v>
      </c>
      <c r="W361" s="48">
        <f t="shared" ca="1" si="56"/>
        <v>0.63507881068717609</v>
      </c>
    </row>
    <row r="362" spans="17:23" x14ac:dyDescent="0.2">
      <c r="Q362">
        <f t="shared" si="50"/>
        <v>346</v>
      </c>
      <c r="R362" s="48">
        <f t="shared" ca="1" si="51"/>
        <v>0.35</v>
      </c>
      <c r="S362">
        <f t="shared" ca="1" si="52"/>
        <v>166.02992140060306</v>
      </c>
      <c r="T362" s="61">
        <f t="shared" ca="1" si="53"/>
        <v>16800</v>
      </c>
      <c r="U362" s="61">
        <f t="shared" ca="1" si="54"/>
        <v>4335.5591283135909</v>
      </c>
      <c r="V362" s="39">
        <f t="shared" ca="1" si="55"/>
        <v>2.8523415317852571E-2</v>
      </c>
      <c r="W362" s="48">
        <f t="shared" ca="1" si="56"/>
        <v>0.25623415687565898</v>
      </c>
    </row>
    <row r="363" spans="17:23" x14ac:dyDescent="0.2">
      <c r="Q363">
        <f t="shared" si="50"/>
        <v>347</v>
      </c>
      <c r="R363" s="48">
        <f t="shared" ca="1" si="51"/>
        <v>0.217</v>
      </c>
      <c r="S363">
        <f t="shared" ca="1" si="52"/>
        <v>193.40402074848595</v>
      </c>
      <c r="T363" s="61">
        <f t="shared" ca="1" si="53"/>
        <v>10416</v>
      </c>
      <c r="U363" s="61">
        <f t="shared" ca="1" si="54"/>
        <v>12548.278596851598</v>
      </c>
      <c r="V363" s="39">
        <f t="shared" ca="1" si="55"/>
        <v>8.2554464452971044E-2</v>
      </c>
      <c r="W363" s="48">
        <f t="shared" ca="1" si="56"/>
        <v>0.90294306089169196</v>
      </c>
    </row>
    <row r="364" spans="17:23" x14ac:dyDescent="0.2">
      <c r="Q364">
        <f t="shared" si="50"/>
        <v>348</v>
      </c>
      <c r="R364" s="48">
        <f t="shared" ca="1" si="51"/>
        <v>0.3</v>
      </c>
      <c r="S364">
        <f t="shared" ca="1" si="52"/>
        <v>214.54444869109096</v>
      </c>
      <c r="T364" s="61">
        <f t="shared" ca="1" si="53"/>
        <v>14400</v>
      </c>
      <c r="U364" s="61">
        <f t="shared" ca="1" si="54"/>
        <v>28144.891267010938</v>
      </c>
      <c r="V364" s="39">
        <f t="shared" ca="1" si="55"/>
        <v>0.18516375833559828</v>
      </c>
      <c r="W364" s="48">
        <f t="shared" ca="1" si="56"/>
        <v>2.9666556089697451</v>
      </c>
    </row>
    <row r="365" spans="17:23" x14ac:dyDescent="0.2">
      <c r="Q365">
        <f t="shared" si="50"/>
        <v>349</v>
      </c>
      <c r="R365" s="48">
        <f t="shared" ca="1" si="51"/>
        <v>0.3</v>
      </c>
      <c r="S365">
        <f t="shared" ca="1" si="52"/>
        <v>192.91332430194831</v>
      </c>
      <c r="T365" s="61">
        <f t="shared" ca="1" si="53"/>
        <v>14400</v>
      </c>
      <c r="U365" s="61">
        <f t="shared" ca="1" si="54"/>
        <v>16031.461609091053</v>
      </c>
      <c r="V365" s="39">
        <f t="shared" ca="1" si="55"/>
        <v>0.10547014216507272</v>
      </c>
      <c r="W365" s="48">
        <f t="shared" ca="1" si="56"/>
        <v>1.2553538764474719</v>
      </c>
    </row>
    <row r="366" spans="17:23" x14ac:dyDescent="0.2">
      <c r="Q366">
        <f t="shared" si="50"/>
        <v>350</v>
      </c>
      <c r="R366" s="48">
        <f t="shared" ca="1" si="51"/>
        <v>0.4</v>
      </c>
      <c r="S366">
        <f t="shared" ca="1" si="52"/>
        <v>179.85136876683785</v>
      </c>
      <c r="T366" s="61">
        <f t="shared" ca="1" si="53"/>
        <v>19200</v>
      </c>
      <c r="U366" s="61">
        <f t="shared" ca="1" si="54"/>
        <v>14328.657008082169</v>
      </c>
      <c r="V366" s="39">
        <f t="shared" ca="1" si="55"/>
        <v>9.426748031633006E-2</v>
      </c>
      <c r="W366" s="48">
        <f t="shared" ca="1" si="56"/>
        <v>1.0765146450367147</v>
      </c>
    </row>
    <row r="367" spans="17:23" x14ac:dyDescent="0.2">
      <c r="Q367">
        <f t="shared" si="50"/>
        <v>351</v>
      </c>
      <c r="R367" s="48">
        <f t="shared" ca="1" si="51"/>
        <v>0.45</v>
      </c>
      <c r="S367">
        <f t="shared" ca="1" si="52"/>
        <v>172.32213118695284</v>
      </c>
      <c r="T367" s="61">
        <f t="shared" ca="1" si="53"/>
        <v>21600</v>
      </c>
      <c r="U367" s="61">
        <f t="shared" ca="1" si="54"/>
        <v>13821.737722259251</v>
      </c>
      <c r="V367" s="39">
        <f t="shared" ca="1" si="55"/>
        <v>9.0932485014863493E-2</v>
      </c>
      <c r="W367" s="48">
        <f t="shared" ca="1" si="56"/>
        <v>1.0257355807195112</v>
      </c>
    </row>
    <row r="368" spans="17:23" x14ac:dyDescent="0.2">
      <c r="Q368">
        <f t="shared" si="50"/>
        <v>352</v>
      </c>
      <c r="R368" s="48">
        <f t="shared" ca="1" si="51"/>
        <v>0.217</v>
      </c>
      <c r="S368">
        <f t="shared" ca="1" si="52"/>
        <v>164.05097166148732</v>
      </c>
      <c r="T368" s="61">
        <f t="shared" ca="1" si="53"/>
        <v>10416</v>
      </c>
      <c r="U368" s="61">
        <f t="shared" ca="1" si="54"/>
        <v>-5838.4713512443395</v>
      </c>
      <c r="V368" s="39">
        <f t="shared" ca="1" si="55"/>
        <v>-3.8410995731870658E-2</v>
      </c>
      <c r="W368" s="48">
        <f t="shared" ca="1" si="56"/>
        <v>-0.27217687279800051</v>
      </c>
    </row>
    <row r="369" spans="17:23" x14ac:dyDescent="0.2">
      <c r="Q369">
        <f t="shared" si="50"/>
        <v>353</v>
      </c>
      <c r="R369" s="48">
        <f t="shared" ca="1" si="51"/>
        <v>0.45</v>
      </c>
      <c r="S369">
        <f t="shared" ca="1" si="52"/>
        <v>214.19749791060298</v>
      </c>
      <c r="T369" s="61">
        <f t="shared" ca="1" si="53"/>
        <v>21600</v>
      </c>
      <c r="U369" s="61">
        <f t="shared" ca="1" si="54"/>
        <v>32246.899080665309</v>
      </c>
      <c r="V369" s="39">
        <f t="shared" ca="1" si="55"/>
        <v>0.2121506518464823</v>
      </c>
      <c r="W369" s="48">
        <f t="shared" ca="1" si="56"/>
        <v>3.7614240532629086</v>
      </c>
    </row>
    <row r="370" spans="17:23" x14ac:dyDescent="0.2">
      <c r="Q370">
        <f t="shared" si="50"/>
        <v>354</v>
      </c>
      <c r="R370" s="48">
        <f t="shared" ca="1" si="51"/>
        <v>0.35</v>
      </c>
      <c r="S370">
        <f t="shared" ca="1" si="52"/>
        <v>185.72285910365798</v>
      </c>
      <c r="T370" s="61">
        <f t="shared" ca="1" si="53"/>
        <v>16800</v>
      </c>
      <c r="U370" s="61">
        <f t="shared" ca="1" si="54"/>
        <v>14575.886733902151</v>
      </c>
      <c r="V370" s="39">
        <f t="shared" ca="1" si="55"/>
        <v>9.5893991670408893E-2</v>
      </c>
      <c r="W370" s="48">
        <f t="shared" ca="1" si="56"/>
        <v>1.1016824339842866</v>
      </c>
    </row>
    <row r="371" spans="17:23" x14ac:dyDescent="0.2">
      <c r="Q371">
        <f t="shared" si="50"/>
        <v>355</v>
      </c>
      <c r="R371" s="48">
        <f t="shared" ca="1" si="51"/>
        <v>0.3</v>
      </c>
      <c r="S371">
        <f t="shared" ca="1" si="52"/>
        <v>210.7290346090864</v>
      </c>
      <c r="T371" s="61">
        <f t="shared" ca="1" si="53"/>
        <v>14400</v>
      </c>
      <c r="U371" s="61">
        <f t="shared" ca="1" si="54"/>
        <v>26008.259381088385</v>
      </c>
      <c r="V371" s="39">
        <f t="shared" ca="1" si="55"/>
        <v>0.17110696961242358</v>
      </c>
      <c r="W371" s="48">
        <f t="shared" ca="1" si="56"/>
        <v>2.6007615749708992</v>
      </c>
    </row>
    <row r="372" spans="17:23" x14ac:dyDescent="0.2">
      <c r="Q372">
        <f t="shared" si="50"/>
        <v>356</v>
      </c>
      <c r="R372" s="48">
        <f t="shared" ca="1" si="51"/>
        <v>0.45</v>
      </c>
      <c r="S372">
        <f t="shared" ca="1" si="52"/>
        <v>233.07697585672992</v>
      </c>
      <c r="T372" s="61">
        <f t="shared" ca="1" si="53"/>
        <v>21600</v>
      </c>
      <c r="U372" s="61">
        <f t="shared" ca="1" si="54"/>
        <v>40553.869376961171</v>
      </c>
      <c r="V372" s="39">
        <f t="shared" ca="1" si="55"/>
        <v>0.26680177221684981</v>
      </c>
      <c r="W372" s="48">
        <f t="shared" ca="1" si="56"/>
        <v>5.8089692318158699</v>
      </c>
    </row>
    <row r="373" spans="17:23" x14ac:dyDescent="0.2">
      <c r="Q373">
        <f t="shared" si="50"/>
        <v>357</v>
      </c>
      <c r="R373" s="48">
        <f t="shared" ca="1" si="51"/>
        <v>0.3</v>
      </c>
      <c r="S373">
        <f t="shared" ca="1" si="52"/>
        <v>189.36605651234581</v>
      </c>
      <c r="T373" s="61">
        <f t="shared" ca="1" si="53"/>
        <v>14400</v>
      </c>
      <c r="U373" s="61">
        <f t="shared" ca="1" si="54"/>
        <v>14044.991646913651</v>
      </c>
      <c r="V373" s="39">
        <f t="shared" ca="1" si="55"/>
        <v>9.240126083495824E-2</v>
      </c>
      <c r="W373" s="48">
        <f t="shared" ca="1" si="56"/>
        <v>1.0479635837321934</v>
      </c>
    </row>
    <row r="374" spans="17:23" x14ac:dyDescent="0.2">
      <c r="Q374">
        <f t="shared" si="50"/>
        <v>358</v>
      </c>
      <c r="R374" s="48">
        <f t="shared" ca="1" si="51"/>
        <v>0.3</v>
      </c>
      <c r="S374">
        <f t="shared" ca="1" si="52"/>
        <v>183.67497800393184</v>
      </c>
      <c r="T374" s="61">
        <f t="shared" ca="1" si="53"/>
        <v>14400</v>
      </c>
      <c r="U374" s="61">
        <f t="shared" ca="1" si="54"/>
        <v>10857.98768220183</v>
      </c>
      <c r="V374" s="39">
        <f t="shared" ca="1" si="55"/>
        <v>7.1434129488169934E-2</v>
      </c>
      <c r="W374" s="48">
        <f t="shared" ca="1" si="56"/>
        <v>0.75006148738340128</v>
      </c>
    </row>
    <row r="375" spans="17:23" x14ac:dyDescent="0.2">
      <c r="Q375">
        <f t="shared" si="50"/>
        <v>359</v>
      </c>
      <c r="R375" s="48">
        <f t="shared" ca="1" si="51"/>
        <v>0.45</v>
      </c>
      <c r="S375">
        <f t="shared" ca="1" si="52"/>
        <v>199.67719943957354</v>
      </c>
      <c r="T375" s="61">
        <f t="shared" ca="1" si="53"/>
        <v>21600</v>
      </c>
      <c r="U375" s="61">
        <f t="shared" ca="1" si="54"/>
        <v>25857.967753412358</v>
      </c>
      <c r="V375" s="39">
        <f t="shared" ca="1" si="55"/>
        <v>0.17011820890402868</v>
      </c>
      <c r="W375" s="48">
        <f t="shared" ca="1" si="56"/>
        <v>2.5761768185362404</v>
      </c>
    </row>
    <row r="376" spans="17:23" x14ac:dyDescent="0.2">
      <c r="Q376">
        <f t="shared" si="50"/>
        <v>360</v>
      </c>
      <c r="R376" s="48">
        <f t="shared" ca="1" si="51"/>
        <v>0.4</v>
      </c>
      <c r="S376">
        <f t="shared" ca="1" si="52"/>
        <v>179.12281034851361</v>
      </c>
      <c r="T376" s="61">
        <f t="shared" ca="1" si="53"/>
        <v>19200</v>
      </c>
      <c r="U376" s="61">
        <f t="shared" ca="1" si="54"/>
        <v>13978.948967286533</v>
      </c>
      <c r="V376" s="39">
        <f t="shared" ca="1" si="55"/>
        <v>9.196676952162193E-2</v>
      </c>
      <c r="W376" s="48">
        <f t="shared" ca="1" si="56"/>
        <v>1.0413659625423035</v>
      </c>
    </row>
    <row r="377" spans="17:23" x14ac:dyDescent="0.2">
      <c r="Q377">
        <f t="shared" si="50"/>
        <v>361</v>
      </c>
      <c r="R377" s="48">
        <f t="shared" ca="1" si="51"/>
        <v>0.35</v>
      </c>
      <c r="S377">
        <f t="shared" ca="1" si="52"/>
        <v>214.65995879724841</v>
      </c>
      <c r="T377" s="61">
        <f t="shared" ca="1" si="53"/>
        <v>16800</v>
      </c>
      <c r="U377" s="61">
        <f t="shared" ca="1" si="54"/>
        <v>29623.178574569174</v>
      </c>
      <c r="V377" s="39">
        <f t="shared" ca="1" si="55"/>
        <v>0.19488933272742878</v>
      </c>
      <c r="W377" s="48">
        <f t="shared" ca="1" si="56"/>
        <v>3.2385121950349518</v>
      </c>
    </row>
    <row r="378" spans="17:23" x14ac:dyDescent="0.2">
      <c r="Q378">
        <f t="shared" si="50"/>
        <v>362</v>
      </c>
      <c r="R378" s="48">
        <f t="shared" ca="1" si="51"/>
        <v>0.35</v>
      </c>
      <c r="S378">
        <f t="shared" ca="1" si="52"/>
        <v>202.76701447782025</v>
      </c>
      <c r="T378" s="61">
        <f t="shared" ca="1" si="53"/>
        <v>16800</v>
      </c>
      <c r="U378" s="61">
        <f t="shared" ca="1" si="54"/>
        <v>23438.847528466533</v>
      </c>
      <c r="V378" s="39">
        <f t="shared" ca="1" si="55"/>
        <v>0.15420294426622719</v>
      </c>
      <c r="W378" s="48">
        <f t="shared" ca="1" si="56"/>
        <v>2.2002040060866337</v>
      </c>
    </row>
    <row r="379" spans="17:23" x14ac:dyDescent="0.2">
      <c r="Q379">
        <f t="shared" si="50"/>
        <v>363</v>
      </c>
      <c r="R379" s="48">
        <f t="shared" ca="1" si="51"/>
        <v>0.35</v>
      </c>
      <c r="S379">
        <f t="shared" ca="1" si="52"/>
        <v>196.70346339899893</v>
      </c>
      <c r="T379" s="61">
        <f t="shared" ca="1" si="53"/>
        <v>16800</v>
      </c>
      <c r="U379" s="61">
        <f t="shared" ca="1" si="54"/>
        <v>20285.800967479445</v>
      </c>
      <c r="V379" s="39">
        <f t="shared" ca="1" si="55"/>
        <v>0.13345921689131213</v>
      </c>
      <c r="W379" s="48">
        <f t="shared" ca="1" si="56"/>
        <v>1.7624363913716334</v>
      </c>
    </row>
    <row r="380" spans="17:23" x14ac:dyDescent="0.2">
      <c r="Q380">
        <f t="shared" si="50"/>
        <v>364</v>
      </c>
      <c r="R380" s="48">
        <f t="shared" ca="1" si="51"/>
        <v>0.3</v>
      </c>
      <c r="S380">
        <f t="shared" ca="1" si="52"/>
        <v>178.22783611696349</v>
      </c>
      <c r="T380" s="61">
        <f t="shared" ca="1" si="53"/>
        <v>14400</v>
      </c>
      <c r="U380" s="61">
        <f t="shared" ca="1" si="54"/>
        <v>7807.5882254995531</v>
      </c>
      <c r="V380" s="39">
        <f t="shared" ca="1" si="55"/>
        <v>5.1365712009865484E-2</v>
      </c>
      <c r="W380" s="48">
        <f t="shared" ca="1" si="56"/>
        <v>0.50123114115260736</v>
      </c>
    </row>
    <row r="381" spans="17:23" x14ac:dyDescent="0.2">
      <c r="Q381">
        <f t="shared" si="50"/>
        <v>365</v>
      </c>
      <c r="R381" s="48">
        <f t="shared" ca="1" si="51"/>
        <v>0.35</v>
      </c>
      <c r="S381">
        <f t="shared" ca="1" si="52"/>
        <v>185.50468325645409</v>
      </c>
      <c r="T381" s="61">
        <f t="shared" ca="1" si="53"/>
        <v>16800</v>
      </c>
      <c r="U381" s="61">
        <f t="shared" ca="1" si="54"/>
        <v>14462.435293356124</v>
      </c>
      <c r="V381" s="39">
        <f t="shared" ca="1" si="55"/>
        <v>9.5147600614185021E-2</v>
      </c>
      <c r="W381" s="48">
        <f t="shared" ca="1" si="56"/>
        <v>1.0901001604523759</v>
      </c>
    </row>
    <row r="382" spans="17:23" x14ac:dyDescent="0.2">
      <c r="Q382">
        <f t="shared" si="50"/>
        <v>366</v>
      </c>
      <c r="R382" s="48">
        <f t="shared" ca="1" si="51"/>
        <v>0.35</v>
      </c>
      <c r="S382">
        <f t="shared" ca="1" si="52"/>
        <v>183.09250632031265</v>
      </c>
      <c r="T382" s="61">
        <f t="shared" ca="1" si="53"/>
        <v>16800</v>
      </c>
      <c r="U382" s="61">
        <f t="shared" ca="1" si="54"/>
        <v>13208.103286562578</v>
      </c>
      <c r="V382" s="39">
        <f t="shared" ca="1" si="55"/>
        <v>8.6895416358964334E-2</v>
      </c>
      <c r="W382" s="48">
        <f t="shared" ca="1" si="56"/>
        <v>0.96572571939301843</v>
      </c>
    </row>
    <row r="383" spans="17:23" x14ac:dyDescent="0.2">
      <c r="Q383">
        <f t="shared" si="50"/>
        <v>367</v>
      </c>
      <c r="R383" s="48">
        <f t="shared" ca="1" si="51"/>
        <v>0.4</v>
      </c>
      <c r="S383">
        <f t="shared" ca="1" si="52"/>
        <v>202.516737395137</v>
      </c>
      <c r="T383" s="61">
        <f t="shared" ca="1" si="53"/>
        <v>19200</v>
      </c>
      <c r="U383" s="61">
        <f t="shared" ca="1" si="54"/>
        <v>25208.033949665762</v>
      </c>
      <c r="V383" s="39">
        <f t="shared" ca="1" si="55"/>
        <v>0.16584232861622211</v>
      </c>
      <c r="W383" s="48">
        <f t="shared" ca="1" si="56"/>
        <v>2.4715464381317633</v>
      </c>
    </row>
    <row r="384" spans="17:23" x14ac:dyDescent="0.2">
      <c r="Q384">
        <f t="shared" si="50"/>
        <v>368</v>
      </c>
      <c r="R384" s="48">
        <f t="shared" ca="1" si="51"/>
        <v>0.4</v>
      </c>
      <c r="S384">
        <f t="shared" ca="1" si="52"/>
        <v>174.39230458708832</v>
      </c>
      <c r="T384" s="61">
        <f t="shared" ca="1" si="53"/>
        <v>19200</v>
      </c>
      <c r="U384" s="61">
        <f t="shared" ca="1" si="54"/>
        <v>11708.306201802392</v>
      </c>
      <c r="V384" s="39">
        <f t="shared" ca="1" si="55"/>
        <v>7.7028330275015738E-2</v>
      </c>
      <c r="W384" s="48">
        <f t="shared" ca="1" si="56"/>
        <v>0.82556713769064549</v>
      </c>
    </row>
    <row r="385" spans="17:23" x14ac:dyDescent="0.2">
      <c r="Q385">
        <f t="shared" si="50"/>
        <v>369</v>
      </c>
      <c r="R385" s="48">
        <f t="shared" ca="1" si="51"/>
        <v>0.217</v>
      </c>
      <c r="S385">
        <f t="shared" ca="1" si="52"/>
        <v>198.32575263974718</v>
      </c>
      <c r="T385" s="61">
        <f t="shared" ca="1" si="53"/>
        <v>10416</v>
      </c>
      <c r="U385" s="61">
        <f t="shared" ca="1" si="54"/>
        <v>15631.251453537632</v>
      </c>
      <c r="V385" s="39">
        <f t="shared" ca="1" si="55"/>
        <v>0.10283718061537916</v>
      </c>
      <c r="W385" s="48">
        <f t="shared" ca="1" si="56"/>
        <v>1.212150567073452</v>
      </c>
    </row>
    <row r="386" spans="17:23" x14ac:dyDescent="0.2">
      <c r="Q386">
        <f t="shared" si="50"/>
        <v>370</v>
      </c>
      <c r="R386" s="48">
        <f t="shared" ca="1" si="51"/>
        <v>0.217</v>
      </c>
      <c r="S386">
        <f t="shared" ca="1" si="52"/>
        <v>183.61101883021237</v>
      </c>
      <c r="T386" s="61">
        <f t="shared" ca="1" si="53"/>
        <v>10416</v>
      </c>
      <c r="U386" s="61">
        <f t="shared" ca="1" si="54"/>
        <v>6413.9421952450302</v>
      </c>
      <c r="V386" s="39">
        <f t="shared" ca="1" si="55"/>
        <v>4.2196988126612038E-2</v>
      </c>
      <c r="W386" s="48">
        <f t="shared" ca="1" si="56"/>
        <v>0.39827609751293447</v>
      </c>
    </row>
    <row r="387" spans="17:23" x14ac:dyDescent="0.2">
      <c r="Q387">
        <f t="shared" si="50"/>
        <v>371</v>
      </c>
      <c r="R387" s="48">
        <f t="shared" ca="1" si="51"/>
        <v>0.3</v>
      </c>
      <c r="S387">
        <f t="shared" ca="1" si="52"/>
        <v>192.44283318977233</v>
      </c>
      <c r="T387" s="61">
        <f t="shared" ca="1" si="53"/>
        <v>14400</v>
      </c>
      <c r="U387" s="61">
        <f t="shared" ca="1" si="54"/>
        <v>15767.986586272506</v>
      </c>
      <c r="V387" s="39">
        <f t="shared" ca="1" si="55"/>
        <v>0.10373675385705595</v>
      </c>
      <c r="W387" s="48">
        <f t="shared" ca="1" si="56"/>
        <v>1.2268290098349377</v>
      </c>
    </row>
    <row r="388" spans="17:23" x14ac:dyDescent="0.2">
      <c r="Q388">
        <f t="shared" si="50"/>
        <v>372</v>
      </c>
      <c r="R388" s="48">
        <f t="shared" ca="1" si="51"/>
        <v>0.3</v>
      </c>
      <c r="S388">
        <f t="shared" ca="1" si="52"/>
        <v>172.14226996410929</v>
      </c>
      <c r="T388" s="61">
        <f t="shared" ca="1" si="53"/>
        <v>14400</v>
      </c>
      <c r="U388" s="61">
        <f t="shared" ca="1" si="54"/>
        <v>4399.671179901201</v>
      </c>
      <c r="V388" s="39">
        <f t="shared" ca="1" si="55"/>
        <v>2.8945205130928953E-2</v>
      </c>
      <c r="W388" s="48">
        <f t="shared" ca="1" si="56"/>
        <v>0.26041887458345236</v>
      </c>
    </row>
    <row r="389" spans="17:23" x14ac:dyDescent="0.2">
      <c r="Q389">
        <f t="shared" si="50"/>
        <v>373</v>
      </c>
      <c r="R389" s="48">
        <f t="shared" ca="1" si="51"/>
        <v>0.45</v>
      </c>
      <c r="S389">
        <f t="shared" ca="1" si="52"/>
        <v>220.08784254606397</v>
      </c>
      <c r="T389" s="61">
        <f t="shared" ca="1" si="53"/>
        <v>21600</v>
      </c>
      <c r="U389" s="61">
        <f t="shared" ca="1" si="54"/>
        <v>34838.650720268146</v>
      </c>
      <c r="V389" s="39">
        <f t="shared" ca="1" si="55"/>
        <v>0.22920164947544833</v>
      </c>
      <c r="W389" s="48">
        <f t="shared" ca="1" si="56"/>
        <v>4.3326514807553131</v>
      </c>
    </row>
    <row r="390" spans="17:23" x14ac:dyDescent="0.2">
      <c r="Q390">
        <f t="shared" si="50"/>
        <v>374</v>
      </c>
      <c r="R390" s="48">
        <f t="shared" ca="1" si="51"/>
        <v>0.3</v>
      </c>
      <c r="S390">
        <f t="shared" ca="1" si="52"/>
        <v>168.08982990444795</v>
      </c>
      <c r="T390" s="61">
        <f t="shared" ca="1" si="53"/>
        <v>14400</v>
      </c>
      <c r="U390" s="61">
        <f t="shared" ca="1" si="54"/>
        <v>2130.3047464908541</v>
      </c>
      <c r="V390" s="39">
        <f t="shared" ca="1" si="55"/>
        <v>1.4015162805860883E-2</v>
      </c>
      <c r="W390" s="48">
        <f t="shared" ca="1" si="56"/>
        <v>0.11950799301710946</v>
      </c>
    </row>
    <row r="391" spans="17:23" x14ac:dyDescent="0.2">
      <c r="Q391">
        <f t="shared" si="50"/>
        <v>375</v>
      </c>
      <c r="R391" s="48">
        <f t="shared" ca="1" si="51"/>
        <v>0.4</v>
      </c>
      <c r="S391">
        <f t="shared" ca="1" si="52"/>
        <v>175.96290196956681</v>
      </c>
      <c r="T391" s="61">
        <f t="shared" ca="1" si="53"/>
        <v>19200</v>
      </c>
      <c r="U391" s="61">
        <f t="shared" ca="1" si="54"/>
        <v>12462.192945392071</v>
      </c>
      <c r="V391" s="39">
        <f t="shared" ca="1" si="55"/>
        <v>8.1988111482842574E-2</v>
      </c>
      <c r="W391" s="48">
        <f t="shared" ca="1" si="56"/>
        <v>0.89488304619109726</v>
      </c>
    </row>
    <row r="392" spans="17:23" x14ac:dyDescent="0.2">
      <c r="Q392">
        <f t="shared" si="50"/>
        <v>376</v>
      </c>
      <c r="R392" s="48">
        <f t="shared" ca="1" si="51"/>
        <v>0.35</v>
      </c>
      <c r="S392">
        <f t="shared" ca="1" si="52"/>
        <v>175.63313611433338</v>
      </c>
      <c r="T392" s="61">
        <f t="shared" ca="1" si="53"/>
        <v>16800</v>
      </c>
      <c r="U392" s="61">
        <f t="shared" ca="1" si="54"/>
        <v>9329.230779453359</v>
      </c>
      <c r="V392" s="39">
        <f t="shared" ca="1" si="55"/>
        <v>6.1376518285877361E-2</v>
      </c>
      <c r="W392" s="48">
        <f t="shared" ca="1" si="56"/>
        <v>0.62117608015331682</v>
      </c>
    </row>
    <row r="393" spans="17:23" x14ac:dyDescent="0.2">
      <c r="Q393">
        <f t="shared" si="50"/>
        <v>377</v>
      </c>
      <c r="R393" s="48">
        <f t="shared" ca="1" si="51"/>
        <v>0.4</v>
      </c>
      <c r="S393">
        <f t="shared" ca="1" si="52"/>
        <v>169.70505012946487</v>
      </c>
      <c r="T393" s="61">
        <f t="shared" ca="1" si="53"/>
        <v>19200</v>
      </c>
      <c r="U393" s="61">
        <f t="shared" ca="1" si="54"/>
        <v>9458.4240621431345</v>
      </c>
      <c r="V393" s="39">
        <f t="shared" ca="1" si="55"/>
        <v>6.2226474093046935E-2</v>
      </c>
      <c r="W393" s="48">
        <f t="shared" ca="1" si="56"/>
        <v>0.63173633100067161</v>
      </c>
    </row>
    <row r="394" spans="17:23" x14ac:dyDescent="0.2">
      <c r="Q394">
        <f t="shared" si="50"/>
        <v>378</v>
      </c>
      <c r="R394" s="48">
        <f t="shared" ca="1" si="51"/>
        <v>0.15</v>
      </c>
      <c r="S394">
        <f t="shared" ca="1" si="52"/>
        <v>183.83768967403651</v>
      </c>
      <c r="T394" s="61">
        <f t="shared" ca="1" si="53"/>
        <v>7200</v>
      </c>
      <c r="U394" s="61">
        <f t="shared" ca="1" si="54"/>
        <v>3009.6289783448274</v>
      </c>
      <c r="V394" s="39">
        <f t="shared" ca="1" si="55"/>
        <v>1.9800190647005445E-2</v>
      </c>
      <c r="W394" s="48">
        <f t="shared" ca="1" si="56"/>
        <v>0.17237576309098879</v>
      </c>
    </row>
    <row r="395" spans="17:23" x14ac:dyDescent="0.2">
      <c r="Q395">
        <f t="shared" si="50"/>
        <v>379</v>
      </c>
      <c r="R395" s="48">
        <f t="shared" ca="1" si="51"/>
        <v>0.45</v>
      </c>
      <c r="S395">
        <f t="shared" ca="1" si="52"/>
        <v>209.28654681464641</v>
      </c>
      <c r="T395" s="61">
        <f t="shared" ca="1" si="53"/>
        <v>21600</v>
      </c>
      <c r="U395" s="61">
        <f t="shared" ca="1" si="54"/>
        <v>30086.080598444423</v>
      </c>
      <c r="V395" s="39">
        <f t="shared" ca="1" si="55"/>
        <v>0.19793474077923962</v>
      </c>
      <c r="W395" s="48">
        <f t="shared" ca="1" si="56"/>
        <v>3.3269320447943107</v>
      </c>
    </row>
    <row r="396" spans="17:23" x14ac:dyDescent="0.2">
      <c r="Q396">
        <f t="shared" si="50"/>
        <v>380</v>
      </c>
      <c r="R396" s="48">
        <f t="shared" ca="1" si="51"/>
        <v>0.217</v>
      </c>
      <c r="S396">
        <f t="shared" ca="1" si="52"/>
        <v>187.01788580932472</v>
      </c>
      <c r="T396" s="61">
        <f t="shared" ca="1" si="53"/>
        <v>10416</v>
      </c>
      <c r="U396" s="61">
        <f t="shared" ca="1" si="54"/>
        <v>8548.0036709610067</v>
      </c>
      <c r="V396" s="39">
        <f t="shared" ca="1" si="55"/>
        <v>5.6236866256322411E-2</v>
      </c>
      <c r="W396" s="48">
        <f t="shared" ca="1" si="56"/>
        <v>0.55858582112306476</v>
      </c>
    </row>
    <row r="397" spans="17:23" x14ac:dyDescent="0.2">
      <c r="Q397">
        <f t="shared" si="50"/>
        <v>381</v>
      </c>
      <c r="R397" s="48">
        <f t="shared" ca="1" si="51"/>
        <v>0.217</v>
      </c>
      <c r="S397">
        <f t="shared" ca="1" si="52"/>
        <v>178.42865274190885</v>
      </c>
      <c r="T397" s="61">
        <f t="shared" ca="1" si="53"/>
        <v>10416</v>
      </c>
      <c r="U397" s="61">
        <f t="shared" ca="1" si="54"/>
        <v>3167.7080775317027</v>
      </c>
      <c r="V397" s="39">
        <f t="shared" ca="1" si="55"/>
        <v>2.0840184720603307E-2</v>
      </c>
      <c r="W397" s="48">
        <f t="shared" ca="1" si="56"/>
        <v>0.18210857003143111</v>
      </c>
    </row>
    <row r="398" spans="17:23" x14ac:dyDescent="0.2">
      <c r="Q398">
        <f t="shared" si="50"/>
        <v>382</v>
      </c>
      <c r="R398" s="48">
        <f t="shared" ca="1" si="51"/>
        <v>0.5</v>
      </c>
      <c r="S398">
        <f t="shared" ca="1" si="52"/>
        <v>185.64757039801097</v>
      </c>
      <c r="T398" s="61">
        <f t="shared" ca="1" si="53"/>
        <v>24000</v>
      </c>
      <c r="U398" s="61">
        <f t="shared" ca="1" si="54"/>
        <v>22259.028159204387</v>
      </c>
      <c r="V398" s="39">
        <f t="shared" ca="1" si="55"/>
        <v>0.1464409747316078</v>
      </c>
      <c r="W398" s="48">
        <f t="shared" ca="1" si="56"/>
        <v>2.0297600234206836</v>
      </c>
    </row>
    <row r="399" spans="17:23" x14ac:dyDescent="0.2">
      <c r="Q399">
        <f t="shared" si="50"/>
        <v>383</v>
      </c>
      <c r="R399" s="48">
        <f t="shared" ca="1" si="51"/>
        <v>0.45</v>
      </c>
      <c r="S399">
        <f t="shared" ca="1" si="52"/>
        <v>209.3669277782848</v>
      </c>
      <c r="T399" s="61">
        <f t="shared" ca="1" si="53"/>
        <v>21600</v>
      </c>
      <c r="U399" s="61">
        <f t="shared" ca="1" si="54"/>
        <v>30121.448222445317</v>
      </c>
      <c r="V399" s="39">
        <f t="shared" ca="1" si="55"/>
        <v>0.1981674225160876</v>
      </c>
      <c r="W399" s="48">
        <f t="shared" ca="1" si="56"/>
        <v>3.3337536959709144</v>
      </c>
    </row>
    <row r="400" spans="17:23" x14ac:dyDescent="0.2">
      <c r="Q400">
        <f t="shared" si="50"/>
        <v>384</v>
      </c>
      <c r="R400" s="48">
        <f t="shared" ca="1" si="51"/>
        <v>0.35</v>
      </c>
      <c r="S400">
        <f t="shared" ca="1" si="52"/>
        <v>213.0237614617113</v>
      </c>
      <c r="T400" s="61">
        <f t="shared" ca="1" si="53"/>
        <v>16800</v>
      </c>
      <c r="U400" s="61">
        <f t="shared" ca="1" si="54"/>
        <v>28772.355960089877</v>
      </c>
      <c r="V400" s="39">
        <f t="shared" ca="1" si="55"/>
        <v>0.18929181552690708</v>
      </c>
      <c r="W400" s="48">
        <f t="shared" ca="1" si="56"/>
        <v>3.0801189306164511</v>
      </c>
    </row>
    <row r="401" spans="17:23" x14ac:dyDescent="0.2">
      <c r="Q401">
        <f t="shared" si="50"/>
        <v>385</v>
      </c>
      <c r="R401" s="48">
        <f t="shared" ca="1" si="51"/>
        <v>0.217</v>
      </c>
      <c r="S401">
        <f t="shared" ca="1" si="52"/>
        <v>200.00301529323053</v>
      </c>
      <c r="T401" s="61">
        <f t="shared" ca="1" si="53"/>
        <v>10416</v>
      </c>
      <c r="U401" s="61">
        <f t="shared" ca="1" si="54"/>
        <v>16681.888779679604</v>
      </c>
      <c r="V401" s="39">
        <f t="shared" ca="1" si="55"/>
        <v>0.10974926828736582</v>
      </c>
      <c r="W401" s="48">
        <f t="shared" ca="1" si="56"/>
        <v>1.3271475711402192</v>
      </c>
    </row>
    <row r="402" spans="17:23" x14ac:dyDescent="0.2">
      <c r="Q402">
        <f t="shared" si="50"/>
        <v>386</v>
      </c>
      <c r="R402" s="48">
        <f t="shared" ca="1" si="51"/>
        <v>0.35</v>
      </c>
      <c r="S402">
        <f t="shared" ca="1" si="52"/>
        <v>196.01117486898829</v>
      </c>
      <c r="T402" s="61">
        <f t="shared" ca="1" si="53"/>
        <v>16800</v>
      </c>
      <c r="U402" s="61">
        <f t="shared" ca="1" si="54"/>
        <v>19925.810931873912</v>
      </c>
      <c r="V402" s="39">
        <f t="shared" ca="1" si="55"/>
        <v>0.13109086139390733</v>
      </c>
      <c r="W402" s="48">
        <f t="shared" ca="1" si="56"/>
        <v>1.7159646574918277</v>
      </c>
    </row>
    <row r="403" spans="17:23" x14ac:dyDescent="0.2">
      <c r="Q403">
        <f t="shared" ref="Q403:Q466" si="57">Q402+1</f>
        <v>387</v>
      </c>
      <c r="R403" s="48">
        <f t="shared" ref="R403:R466" ca="1" si="58">LOOKUP(RAND(),$U$6:$U$12,$S$6:$S$12)</f>
        <v>0.45</v>
      </c>
      <c r="S403">
        <f t="shared" ref="S403:S466" ca="1" si="59">_xlfn.NORM.INV(RAND(),$Q$5,$Q$10)</f>
        <v>178.58143091636208</v>
      </c>
      <c r="T403" s="61">
        <f t="shared" ref="T403:T466" ca="1" si="60">($B$8-$B$7)*($E$6*R403)</f>
        <v>21600</v>
      </c>
      <c r="U403" s="61">
        <f t="shared" ref="U403:U466" ca="1" si="61">T403+((S403-$B$7)*($E$6*(1-R403)))</f>
        <v>16575.829603199316</v>
      </c>
      <c r="V403" s="39">
        <f t="shared" ref="V403:V466" ca="1" si="62">U403/$E$4</f>
        <v>0.10905151054736392</v>
      </c>
      <c r="W403" s="48">
        <f t="shared" ref="W403:W466" ca="1" si="63">(1+V403)^($J$29/$J$30)-1</f>
        <v>1.3153058907550683</v>
      </c>
    </row>
    <row r="404" spans="17:23" x14ac:dyDescent="0.2">
      <c r="Q404">
        <f t="shared" si="57"/>
        <v>388</v>
      </c>
      <c r="R404" s="48">
        <f t="shared" ca="1" si="58"/>
        <v>0.35</v>
      </c>
      <c r="S404">
        <f t="shared" ca="1" si="59"/>
        <v>190.80590296937692</v>
      </c>
      <c r="T404" s="61">
        <f t="shared" ca="1" si="60"/>
        <v>16800</v>
      </c>
      <c r="U404" s="61">
        <f t="shared" ca="1" si="61"/>
        <v>17219.069544075996</v>
      </c>
      <c r="V404" s="39">
        <f t="shared" ca="1" si="62"/>
        <v>0.11328335226365786</v>
      </c>
      <c r="W404" s="48">
        <f t="shared" ca="1" si="63"/>
        <v>1.3879439628372827</v>
      </c>
    </row>
    <row r="405" spans="17:23" x14ac:dyDescent="0.2">
      <c r="Q405">
        <f t="shared" si="57"/>
        <v>389</v>
      </c>
      <c r="R405" s="48">
        <f t="shared" ca="1" si="58"/>
        <v>0.217</v>
      </c>
      <c r="S405">
        <f t="shared" ca="1" si="59"/>
        <v>182.73129848385909</v>
      </c>
      <c r="T405" s="61">
        <f t="shared" ca="1" si="60"/>
        <v>10416</v>
      </c>
      <c r="U405" s="61">
        <f t="shared" ca="1" si="61"/>
        <v>5862.8853702893357</v>
      </c>
      <c r="V405" s="39">
        <f t="shared" ca="1" si="62"/>
        <v>3.8571614278219313E-2</v>
      </c>
      <c r="W405" s="48">
        <f t="shared" ca="1" si="63"/>
        <v>0.3593079598823139</v>
      </c>
    </row>
    <row r="406" spans="17:23" x14ac:dyDescent="0.2">
      <c r="Q406">
        <f t="shared" si="57"/>
        <v>390</v>
      </c>
      <c r="R406" s="48">
        <f t="shared" ca="1" si="58"/>
        <v>0.45</v>
      </c>
      <c r="S406">
        <f t="shared" ca="1" si="59"/>
        <v>161.09705603912153</v>
      </c>
      <c r="T406" s="61">
        <f t="shared" ca="1" si="60"/>
        <v>21600</v>
      </c>
      <c r="U406" s="61">
        <f t="shared" ca="1" si="61"/>
        <v>8882.7046572134695</v>
      </c>
      <c r="V406" s="39">
        <f t="shared" ca="1" si="62"/>
        <v>5.8438846429035983E-2</v>
      </c>
      <c r="W406" s="48">
        <f t="shared" ca="1" si="63"/>
        <v>0.5851370152277422</v>
      </c>
    </row>
    <row r="407" spans="17:23" x14ac:dyDescent="0.2">
      <c r="Q407">
        <f t="shared" si="57"/>
        <v>391</v>
      </c>
      <c r="R407" s="48">
        <f t="shared" ca="1" si="58"/>
        <v>0.217</v>
      </c>
      <c r="S407">
        <f t="shared" ca="1" si="59"/>
        <v>207.3161415391223</v>
      </c>
      <c r="T407" s="61">
        <f t="shared" ca="1" si="60"/>
        <v>10416</v>
      </c>
      <c r="U407" s="61">
        <f t="shared" ca="1" si="61"/>
        <v>21262.831060106208</v>
      </c>
      <c r="V407" s="39">
        <f t="shared" ca="1" si="62"/>
        <v>0.13988704644806715</v>
      </c>
      <c r="W407" s="48">
        <f t="shared" ca="1" si="63"/>
        <v>1.8920948167508596</v>
      </c>
    </row>
    <row r="408" spans="17:23" x14ac:dyDescent="0.2">
      <c r="Q408">
        <f t="shared" si="57"/>
        <v>392</v>
      </c>
      <c r="R408" s="48">
        <f t="shared" ca="1" si="58"/>
        <v>0.35</v>
      </c>
      <c r="S408">
        <f t="shared" ca="1" si="59"/>
        <v>184.67793880772197</v>
      </c>
      <c r="T408" s="61">
        <f t="shared" ca="1" si="60"/>
        <v>16800</v>
      </c>
      <c r="U408" s="61">
        <f t="shared" ca="1" si="61"/>
        <v>14032.528180015426</v>
      </c>
      <c r="V408" s="39">
        <f t="shared" ca="1" si="62"/>
        <v>9.2319264342206747E-2</v>
      </c>
      <c r="W408" s="48">
        <f t="shared" ca="1" si="63"/>
        <v>1.0467170622683732</v>
      </c>
    </row>
    <row r="409" spans="17:23" x14ac:dyDescent="0.2">
      <c r="Q409">
        <f t="shared" si="57"/>
        <v>393</v>
      </c>
      <c r="R409" s="48">
        <f t="shared" ca="1" si="58"/>
        <v>0.35</v>
      </c>
      <c r="S409">
        <f t="shared" ca="1" si="59"/>
        <v>215.84078874635355</v>
      </c>
      <c r="T409" s="61">
        <f t="shared" ca="1" si="60"/>
        <v>16800</v>
      </c>
      <c r="U409" s="61">
        <f t="shared" ca="1" si="61"/>
        <v>30237.210148103848</v>
      </c>
      <c r="V409" s="39">
        <f t="shared" ca="1" si="62"/>
        <v>0.19892901413226216</v>
      </c>
      <c r="W409" s="48">
        <f t="shared" ca="1" si="63"/>
        <v>3.3561476559899424</v>
      </c>
    </row>
    <row r="410" spans="17:23" x14ac:dyDescent="0.2">
      <c r="Q410">
        <f t="shared" si="57"/>
        <v>394</v>
      </c>
      <c r="R410" s="48">
        <f t="shared" ca="1" si="58"/>
        <v>0.217</v>
      </c>
      <c r="S410">
        <f t="shared" ca="1" si="59"/>
        <v>178.13458532037933</v>
      </c>
      <c r="T410" s="61">
        <f t="shared" ca="1" si="60"/>
        <v>10416</v>
      </c>
      <c r="U410" s="61">
        <f t="shared" ca="1" si="61"/>
        <v>2983.5042446856123</v>
      </c>
      <c r="V410" s="39">
        <f t="shared" ca="1" si="62"/>
        <v>1.962831739924745E-2</v>
      </c>
      <c r="W410" s="48">
        <f t="shared" ca="1" si="63"/>
        <v>0.1707740669035569</v>
      </c>
    </row>
    <row r="411" spans="17:23" x14ac:dyDescent="0.2">
      <c r="Q411">
        <f t="shared" si="57"/>
        <v>395</v>
      </c>
      <c r="R411" s="48">
        <f t="shared" ca="1" si="58"/>
        <v>0.3</v>
      </c>
      <c r="S411">
        <f t="shared" ca="1" si="59"/>
        <v>186.25546128712551</v>
      </c>
      <c r="T411" s="61">
        <f t="shared" ca="1" si="60"/>
        <v>14400</v>
      </c>
      <c r="U411" s="61">
        <f t="shared" ca="1" si="61"/>
        <v>12303.058320790287</v>
      </c>
      <c r="V411" s="39">
        <f t="shared" ca="1" si="62"/>
        <v>8.0941173163094002E-2</v>
      </c>
      <c r="W411" s="48">
        <f t="shared" ca="1" si="63"/>
        <v>0.88006238406990023</v>
      </c>
    </row>
    <row r="412" spans="17:23" x14ac:dyDescent="0.2">
      <c r="Q412">
        <f t="shared" si="57"/>
        <v>396</v>
      </c>
      <c r="R412" s="48">
        <f t="shared" ca="1" si="58"/>
        <v>0.3</v>
      </c>
      <c r="S412">
        <f t="shared" ca="1" si="59"/>
        <v>155.43372334076466</v>
      </c>
      <c r="T412" s="61">
        <f t="shared" ca="1" si="60"/>
        <v>14400</v>
      </c>
      <c r="U412" s="61">
        <f t="shared" ca="1" si="61"/>
        <v>-4957.114929171792</v>
      </c>
      <c r="V412" s="39">
        <f t="shared" ca="1" si="62"/>
        <v>-3.2612598218235471E-2</v>
      </c>
      <c r="W412" s="48">
        <f t="shared" ca="1" si="63"/>
        <v>-0.2358062773906473</v>
      </c>
    </row>
    <row r="413" spans="17:23" x14ac:dyDescent="0.2">
      <c r="Q413">
        <f t="shared" si="57"/>
        <v>397</v>
      </c>
      <c r="R413" s="48">
        <f t="shared" ca="1" si="58"/>
        <v>0.3</v>
      </c>
      <c r="S413">
        <f t="shared" ca="1" si="59"/>
        <v>142.02915576195693</v>
      </c>
      <c r="T413" s="61">
        <f t="shared" ca="1" si="60"/>
        <v>14400</v>
      </c>
      <c r="U413" s="61">
        <f t="shared" ca="1" si="61"/>
        <v>-12463.672773304119</v>
      </c>
      <c r="V413" s="39">
        <f t="shared" ca="1" si="62"/>
        <v>-8.1997847192790255E-2</v>
      </c>
      <c r="W413" s="48">
        <f t="shared" ca="1" si="63"/>
        <v>-0.50040150719624199</v>
      </c>
    </row>
    <row r="414" spans="17:23" x14ac:dyDescent="0.2">
      <c r="Q414">
        <f t="shared" si="57"/>
        <v>398</v>
      </c>
      <c r="R414" s="48">
        <f t="shared" ca="1" si="58"/>
        <v>0.45</v>
      </c>
      <c r="S414">
        <f t="shared" ca="1" si="59"/>
        <v>195.03901449467656</v>
      </c>
      <c r="T414" s="61">
        <f t="shared" ca="1" si="60"/>
        <v>21600</v>
      </c>
      <c r="U414" s="61">
        <f t="shared" ca="1" si="61"/>
        <v>23817.16637765769</v>
      </c>
      <c r="V414" s="39">
        <f t="shared" ca="1" si="62"/>
        <v>0.15669188406353743</v>
      </c>
      <c r="W414" s="48">
        <f t="shared" ca="1" si="63"/>
        <v>2.2566095678947717</v>
      </c>
    </row>
    <row r="415" spans="17:23" x14ac:dyDescent="0.2">
      <c r="Q415">
        <f t="shared" si="57"/>
        <v>399</v>
      </c>
      <c r="R415" s="48">
        <f t="shared" ca="1" si="58"/>
        <v>0.4</v>
      </c>
      <c r="S415">
        <f t="shared" ca="1" si="59"/>
        <v>176.98808475029131</v>
      </c>
      <c r="T415" s="61">
        <f t="shared" ca="1" si="60"/>
        <v>19200</v>
      </c>
      <c r="U415" s="61">
        <f t="shared" ca="1" si="61"/>
        <v>12954.280680139827</v>
      </c>
      <c r="V415" s="39">
        <f t="shared" ca="1" si="62"/>
        <v>8.5225530790393605E-2</v>
      </c>
      <c r="W415" s="48">
        <f t="shared" ca="1" si="63"/>
        <v>0.94136271986202336</v>
      </c>
    </row>
    <row r="416" spans="17:23" x14ac:dyDescent="0.2">
      <c r="Q416">
        <f t="shared" si="57"/>
        <v>400</v>
      </c>
      <c r="R416" s="48">
        <f t="shared" ca="1" si="58"/>
        <v>0.35</v>
      </c>
      <c r="S416">
        <f t="shared" ca="1" si="59"/>
        <v>193.94602045158891</v>
      </c>
      <c r="T416" s="61">
        <f t="shared" ca="1" si="60"/>
        <v>16800</v>
      </c>
      <c r="U416" s="61">
        <f t="shared" ca="1" si="61"/>
        <v>18851.930634826233</v>
      </c>
      <c r="V416" s="39">
        <f t="shared" ca="1" si="62"/>
        <v>0.12402585943964627</v>
      </c>
      <c r="W416" s="48">
        <f t="shared" ca="1" si="63"/>
        <v>1.5813817393871084</v>
      </c>
    </row>
    <row r="417" spans="17:23" x14ac:dyDescent="0.2">
      <c r="Q417">
        <f t="shared" si="57"/>
        <v>401</v>
      </c>
      <c r="R417" s="48">
        <f t="shared" ca="1" si="58"/>
        <v>0.3</v>
      </c>
      <c r="S417">
        <f t="shared" ca="1" si="59"/>
        <v>150.81965518175357</v>
      </c>
      <c r="T417" s="61">
        <f t="shared" ca="1" si="60"/>
        <v>14400</v>
      </c>
      <c r="U417" s="61">
        <f t="shared" ca="1" si="61"/>
        <v>-7540.9930982179976</v>
      </c>
      <c r="V417" s="39">
        <f t="shared" ca="1" si="62"/>
        <v>-4.9611796698802613E-2</v>
      </c>
      <c r="W417" s="48">
        <f t="shared" ca="1" si="63"/>
        <v>-0.33816023735493606</v>
      </c>
    </row>
    <row r="418" spans="17:23" x14ac:dyDescent="0.2">
      <c r="Q418">
        <f t="shared" si="57"/>
        <v>402</v>
      </c>
      <c r="R418" s="48">
        <f t="shared" ca="1" si="58"/>
        <v>0.217</v>
      </c>
      <c r="S418">
        <f t="shared" ca="1" si="59"/>
        <v>138.36117902141876</v>
      </c>
      <c r="T418" s="61">
        <f t="shared" ca="1" si="60"/>
        <v>10416</v>
      </c>
      <c r="U418" s="61">
        <f t="shared" ca="1" si="61"/>
        <v>-21930.557460983284</v>
      </c>
      <c r="V418" s="39">
        <f t="shared" ca="1" si="62"/>
        <v>-0.14427998329594266</v>
      </c>
      <c r="W418" s="48">
        <f t="shared" ca="1" si="63"/>
        <v>-0.71742429045623712</v>
      </c>
    </row>
    <row r="419" spans="17:23" x14ac:dyDescent="0.2">
      <c r="Q419">
        <f t="shared" si="57"/>
        <v>403</v>
      </c>
      <c r="R419" s="48">
        <f t="shared" ca="1" si="58"/>
        <v>0.35</v>
      </c>
      <c r="S419">
        <f t="shared" ca="1" si="59"/>
        <v>193.66416793393881</v>
      </c>
      <c r="T419" s="61">
        <f t="shared" ca="1" si="60"/>
        <v>16800</v>
      </c>
      <c r="U419" s="61">
        <f t="shared" ca="1" si="61"/>
        <v>18705.367325648182</v>
      </c>
      <c r="V419" s="39">
        <f t="shared" ca="1" si="62"/>
        <v>0.12306162714242225</v>
      </c>
      <c r="W419" s="48">
        <f t="shared" ca="1" si="63"/>
        <v>1.5634751195768173</v>
      </c>
    </row>
    <row r="420" spans="17:23" x14ac:dyDescent="0.2">
      <c r="Q420">
        <f t="shared" si="57"/>
        <v>404</v>
      </c>
      <c r="R420" s="48">
        <f t="shared" ca="1" si="58"/>
        <v>0.3</v>
      </c>
      <c r="S420">
        <f t="shared" ca="1" si="59"/>
        <v>203.82722705288364</v>
      </c>
      <c r="T420" s="61">
        <f t="shared" ca="1" si="60"/>
        <v>14400</v>
      </c>
      <c r="U420" s="61">
        <f t="shared" ca="1" si="61"/>
        <v>22143.247149614839</v>
      </c>
      <c r="V420" s="39">
        <f t="shared" ca="1" si="62"/>
        <v>0.14567925756325553</v>
      </c>
      <c r="W420" s="48">
        <f t="shared" ca="1" si="63"/>
        <v>2.0134706329032572</v>
      </c>
    </row>
    <row r="421" spans="17:23" x14ac:dyDescent="0.2">
      <c r="Q421">
        <f t="shared" si="57"/>
        <v>405</v>
      </c>
      <c r="R421" s="48">
        <f t="shared" ca="1" si="58"/>
        <v>0.45</v>
      </c>
      <c r="S421">
        <f t="shared" ca="1" si="59"/>
        <v>191.05923388524903</v>
      </c>
      <c r="T421" s="61">
        <f t="shared" ca="1" si="60"/>
        <v>21600</v>
      </c>
      <c r="U421" s="61">
        <f t="shared" ca="1" si="61"/>
        <v>22066.062909509572</v>
      </c>
      <c r="V421" s="39">
        <f t="shared" ca="1" si="62"/>
        <v>0.1451714665099314</v>
      </c>
      <c r="W421" s="48">
        <f t="shared" ca="1" si="63"/>
        <v>2.0026541770642994</v>
      </c>
    </row>
    <row r="422" spans="17:23" x14ac:dyDescent="0.2">
      <c r="Q422">
        <f t="shared" si="57"/>
        <v>406</v>
      </c>
      <c r="R422" s="48">
        <f t="shared" ca="1" si="58"/>
        <v>0.45</v>
      </c>
      <c r="S422">
        <f t="shared" ca="1" si="59"/>
        <v>216.22657907070601</v>
      </c>
      <c r="T422" s="61">
        <f t="shared" ca="1" si="60"/>
        <v>21600</v>
      </c>
      <c r="U422" s="61">
        <f t="shared" ca="1" si="61"/>
        <v>33139.694791110647</v>
      </c>
      <c r="V422" s="39">
        <f t="shared" ca="1" si="62"/>
        <v>0.21802430783625426</v>
      </c>
      <c r="W422" s="48">
        <f t="shared" ca="1" si="63"/>
        <v>3.9518214003314025</v>
      </c>
    </row>
    <row r="423" spans="17:23" x14ac:dyDescent="0.2">
      <c r="Q423">
        <f t="shared" si="57"/>
        <v>407</v>
      </c>
      <c r="R423" s="48">
        <f t="shared" ca="1" si="58"/>
        <v>0.15</v>
      </c>
      <c r="S423">
        <f t="shared" ca="1" si="59"/>
        <v>207.21984999904186</v>
      </c>
      <c r="T423" s="61">
        <f t="shared" ca="1" si="60"/>
        <v>7200</v>
      </c>
      <c r="U423" s="61">
        <f t="shared" ca="1" si="61"/>
        <v>18909.497999348459</v>
      </c>
      <c r="V423" s="39">
        <f t="shared" ca="1" si="62"/>
        <v>0.12440459210097671</v>
      </c>
      <c r="W423" s="48">
        <f t="shared" ca="1" si="63"/>
        <v>1.5884450674807256</v>
      </c>
    </row>
    <row r="424" spans="17:23" x14ac:dyDescent="0.2">
      <c r="Q424">
        <f t="shared" si="57"/>
        <v>408</v>
      </c>
      <c r="R424" s="48">
        <f t="shared" ca="1" si="58"/>
        <v>0.35</v>
      </c>
      <c r="S424">
        <f t="shared" ca="1" si="59"/>
        <v>195.47181812246561</v>
      </c>
      <c r="T424" s="61">
        <f t="shared" ca="1" si="60"/>
        <v>16800</v>
      </c>
      <c r="U424" s="61">
        <f t="shared" ca="1" si="61"/>
        <v>19645.345423682116</v>
      </c>
      <c r="V424" s="39">
        <f t="shared" ca="1" si="62"/>
        <v>0.12924569357685603</v>
      </c>
      <c r="W424" s="48">
        <f t="shared" ca="1" si="63"/>
        <v>1.6802353252818683</v>
      </c>
    </row>
    <row r="425" spans="17:23" x14ac:dyDescent="0.2">
      <c r="Q425">
        <f t="shared" si="57"/>
        <v>409</v>
      </c>
      <c r="R425" s="48">
        <f t="shared" ca="1" si="58"/>
        <v>0.217</v>
      </c>
      <c r="S425">
        <f t="shared" ca="1" si="59"/>
        <v>218.65641287966366</v>
      </c>
      <c r="T425" s="61">
        <f t="shared" ca="1" si="60"/>
        <v>10416</v>
      </c>
      <c r="U425" s="61">
        <f t="shared" ca="1" si="61"/>
        <v>28366.377027821316</v>
      </c>
      <c r="V425" s="39">
        <f t="shared" ca="1" si="62"/>
        <v>0.18662090149882446</v>
      </c>
      <c r="W425" s="48">
        <f t="shared" ca="1" si="63"/>
        <v>3.0063864568365446</v>
      </c>
    </row>
    <row r="426" spans="17:23" x14ac:dyDescent="0.2">
      <c r="Q426">
        <f t="shared" si="57"/>
        <v>410</v>
      </c>
      <c r="R426" s="48">
        <f t="shared" ca="1" si="58"/>
        <v>0.217</v>
      </c>
      <c r="S426">
        <f t="shared" ca="1" si="59"/>
        <v>188.87024998766242</v>
      </c>
      <c r="T426" s="61">
        <f t="shared" ca="1" si="60"/>
        <v>10416</v>
      </c>
      <c r="U426" s="61">
        <f t="shared" ca="1" si="61"/>
        <v>9708.3245922717397</v>
      </c>
      <c r="V426" s="39">
        <f t="shared" ca="1" si="62"/>
        <v>6.3870556528103556E-2</v>
      </c>
      <c r="W426" s="48">
        <f t="shared" ca="1" si="63"/>
        <v>0.65233445938806622</v>
      </c>
    </row>
    <row r="427" spans="17:23" x14ac:dyDescent="0.2">
      <c r="Q427">
        <f t="shared" si="57"/>
        <v>411</v>
      </c>
      <c r="R427" s="48">
        <f t="shared" ca="1" si="58"/>
        <v>0.35</v>
      </c>
      <c r="S427">
        <f t="shared" ca="1" si="59"/>
        <v>184.58956041046579</v>
      </c>
      <c r="T427" s="61">
        <f t="shared" ca="1" si="60"/>
        <v>16800</v>
      </c>
      <c r="U427" s="61">
        <f t="shared" ca="1" si="61"/>
        <v>13986.571413442212</v>
      </c>
      <c r="V427" s="39">
        <f t="shared" ca="1" si="62"/>
        <v>9.2016917193698769E-2</v>
      </c>
      <c r="W427" s="48">
        <f t="shared" ca="1" si="63"/>
        <v>1.042126487533793</v>
      </c>
    </row>
    <row r="428" spans="17:23" x14ac:dyDescent="0.2">
      <c r="Q428">
        <f t="shared" si="57"/>
        <v>412</v>
      </c>
      <c r="R428" s="48">
        <f t="shared" ca="1" si="58"/>
        <v>0.35</v>
      </c>
      <c r="S428">
        <f t="shared" ca="1" si="59"/>
        <v>205.52276732576254</v>
      </c>
      <c r="T428" s="61">
        <f t="shared" ca="1" si="60"/>
        <v>16800</v>
      </c>
      <c r="U428" s="61">
        <f t="shared" ca="1" si="61"/>
        <v>24871.839009396521</v>
      </c>
      <c r="V428" s="39">
        <f t="shared" ca="1" si="62"/>
        <v>0.16363051979866133</v>
      </c>
      <c r="W428" s="48">
        <f t="shared" ca="1" si="63"/>
        <v>2.4184845132857546</v>
      </c>
    </row>
    <row r="429" spans="17:23" x14ac:dyDescent="0.2">
      <c r="Q429">
        <f t="shared" si="57"/>
        <v>413</v>
      </c>
      <c r="R429" s="48">
        <f t="shared" ca="1" si="58"/>
        <v>0.4</v>
      </c>
      <c r="S429">
        <f t="shared" ca="1" si="59"/>
        <v>175.84729298974315</v>
      </c>
      <c r="T429" s="61">
        <f t="shared" ca="1" si="60"/>
        <v>19200</v>
      </c>
      <c r="U429" s="61">
        <f t="shared" ca="1" si="61"/>
        <v>12406.700635076713</v>
      </c>
      <c r="V429" s="39">
        <f t="shared" ca="1" si="62"/>
        <v>8.1623030493925747E-2</v>
      </c>
      <c r="W429" s="48">
        <f t="shared" ca="1" si="63"/>
        <v>0.88970329962945094</v>
      </c>
    </row>
    <row r="430" spans="17:23" x14ac:dyDescent="0.2">
      <c r="Q430">
        <f t="shared" si="57"/>
        <v>414</v>
      </c>
      <c r="R430" s="48">
        <f t="shared" ca="1" si="58"/>
        <v>0.3</v>
      </c>
      <c r="S430">
        <f t="shared" ca="1" si="59"/>
        <v>188.50169132140823</v>
      </c>
      <c r="T430" s="61">
        <f t="shared" ca="1" si="60"/>
        <v>14400</v>
      </c>
      <c r="U430" s="61">
        <f t="shared" ca="1" si="61"/>
        <v>13560.94713998861</v>
      </c>
      <c r="V430" s="39">
        <f t="shared" ca="1" si="62"/>
        <v>8.9216757499925067E-2</v>
      </c>
      <c r="W430" s="48">
        <f t="shared" ca="1" si="63"/>
        <v>1.0000383680525675</v>
      </c>
    </row>
    <row r="431" spans="17:23" x14ac:dyDescent="0.2">
      <c r="Q431">
        <f t="shared" si="57"/>
        <v>415</v>
      </c>
      <c r="R431" s="48">
        <f t="shared" ca="1" si="58"/>
        <v>0.3</v>
      </c>
      <c r="S431">
        <f t="shared" ca="1" si="59"/>
        <v>151.83615232991508</v>
      </c>
      <c r="T431" s="61">
        <f t="shared" ca="1" si="60"/>
        <v>14400</v>
      </c>
      <c r="U431" s="61">
        <f t="shared" ca="1" si="61"/>
        <v>-6971.7546952475532</v>
      </c>
      <c r="V431" s="39">
        <f t="shared" ca="1" si="62"/>
        <v>-4.586680720557601E-2</v>
      </c>
      <c r="W431" s="48">
        <f t="shared" ca="1" si="63"/>
        <v>-0.31670794636515798</v>
      </c>
    </row>
    <row r="432" spans="17:23" x14ac:dyDescent="0.2">
      <c r="Q432">
        <f t="shared" si="57"/>
        <v>416</v>
      </c>
      <c r="R432" s="48">
        <f t="shared" ca="1" si="58"/>
        <v>0.35</v>
      </c>
      <c r="S432">
        <f t="shared" ca="1" si="59"/>
        <v>187.12604445775744</v>
      </c>
      <c r="T432" s="61">
        <f t="shared" ca="1" si="60"/>
        <v>16800</v>
      </c>
      <c r="U432" s="61">
        <f t="shared" ca="1" si="61"/>
        <v>15305.543118033871</v>
      </c>
      <c r="V432" s="39">
        <f t="shared" ca="1" si="62"/>
        <v>0.10069436261864388</v>
      </c>
      <c r="W432" s="48">
        <f t="shared" ca="1" si="63"/>
        <v>1.1775271338961248</v>
      </c>
    </row>
    <row r="433" spans="17:23" x14ac:dyDescent="0.2">
      <c r="Q433">
        <f t="shared" si="57"/>
        <v>417</v>
      </c>
      <c r="R433" s="48">
        <f t="shared" ca="1" si="58"/>
        <v>0.217</v>
      </c>
      <c r="S433">
        <f t="shared" ca="1" si="59"/>
        <v>145.1755727223217</v>
      </c>
      <c r="T433" s="61">
        <f t="shared" ca="1" si="60"/>
        <v>10416</v>
      </c>
      <c r="U433" s="61">
        <f t="shared" ca="1" si="61"/>
        <v>-17662.021246737684</v>
      </c>
      <c r="V433" s="39">
        <f t="shared" ca="1" si="62"/>
        <v>-0.11619750820222161</v>
      </c>
      <c r="W433" s="48">
        <f t="shared" ca="1" si="63"/>
        <v>-0.63281811882534522</v>
      </c>
    </row>
    <row r="434" spans="17:23" x14ac:dyDescent="0.2">
      <c r="Q434">
        <f t="shared" si="57"/>
        <v>418</v>
      </c>
      <c r="R434" s="48">
        <f t="shared" ca="1" si="58"/>
        <v>0.35</v>
      </c>
      <c r="S434">
        <f t="shared" ca="1" si="59"/>
        <v>208.37415393715492</v>
      </c>
      <c r="T434" s="61">
        <f t="shared" ca="1" si="60"/>
        <v>16800</v>
      </c>
      <c r="U434" s="61">
        <f t="shared" ca="1" si="61"/>
        <v>26354.560047320556</v>
      </c>
      <c r="V434" s="39">
        <f t="shared" ca="1" si="62"/>
        <v>0.17338526346921418</v>
      </c>
      <c r="W434" s="48">
        <f t="shared" ca="1" si="63"/>
        <v>2.6579744055343268</v>
      </c>
    </row>
    <row r="435" spans="17:23" x14ac:dyDescent="0.2">
      <c r="Q435">
        <f t="shared" si="57"/>
        <v>419</v>
      </c>
      <c r="R435" s="48">
        <f t="shared" ca="1" si="58"/>
        <v>0.4</v>
      </c>
      <c r="S435">
        <f t="shared" ca="1" si="59"/>
        <v>190.8642897383618</v>
      </c>
      <c r="T435" s="61">
        <f t="shared" ca="1" si="60"/>
        <v>19200</v>
      </c>
      <c r="U435" s="61">
        <f t="shared" ca="1" si="61"/>
        <v>19614.859074413667</v>
      </c>
      <c r="V435" s="39">
        <f t="shared" ca="1" si="62"/>
        <v>0.12904512548956359</v>
      </c>
      <c r="W435" s="48">
        <f t="shared" ca="1" si="63"/>
        <v>1.6763765239626456</v>
      </c>
    </row>
    <row r="436" spans="17:23" x14ac:dyDescent="0.2">
      <c r="Q436">
        <f t="shared" si="57"/>
        <v>420</v>
      </c>
      <c r="R436" s="48">
        <f t="shared" ca="1" si="58"/>
        <v>0.3</v>
      </c>
      <c r="S436">
        <f t="shared" ca="1" si="59"/>
        <v>197.05208506380143</v>
      </c>
      <c r="T436" s="61">
        <f t="shared" ca="1" si="60"/>
        <v>14400</v>
      </c>
      <c r="U436" s="61">
        <f t="shared" ca="1" si="61"/>
        <v>18349.167635728802</v>
      </c>
      <c r="V436" s="39">
        <f t="shared" ca="1" si="62"/>
        <v>0.12071820812979475</v>
      </c>
      <c r="W436" s="48">
        <f t="shared" ca="1" si="63"/>
        <v>1.5204090266171537</v>
      </c>
    </row>
    <row r="437" spans="17:23" x14ac:dyDescent="0.2">
      <c r="Q437">
        <f t="shared" si="57"/>
        <v>421</v>
      </c>
      <c r="R437" s="48">
        <f t="shared" ca="1" si="58"/>
        <v>0.35</v>
      </c>
      <c r="S437">
        <f t="shared" ca="1" si="59"/>
        <v>198.47147100957457</v>
      </c>
      <c r="T437" s="61">
        <f t="shared" ca="1" si="60"/>
        <v>16800</v>
      </c>
      <c r="U437" s="61">
        <f t="shared" ca="1" si="61"/>
        <v>21205.164924978777</v>
      </c>
      <c r="V437" s="39">
        <f t="shared" ca="1" si="62"/>
        <v>0.13950766398012354</v>
      </c>
      <c r="W437" s="48">
        <f t="shared" ca="1" si="63"/>
        <v>1.8842966157103311</v>
      </c>
    </row>
    <row r="438" spans="17:23" x14ac:dyDescent="0.2">
      <c r="Q438">
        <f t="shared" si="57"/>
        <v>422</v>
      </c>
      <c r="R438" s="48">
        <f t="shared" ca="1" si="58"/>
        <v>0.4</v>
      </c>
      <c r="S438">
        <f t="shared" ca="1" si="59"/>
        <v>158.52173927651836</v>
      </c>
      <c r="T438" s="61">
        <f t="shared" ca="1" si="60"/>
        <v>19200</v>
      </c>
      <c r="U438" s="61">
        <f t="shared" ca="1" si="61"/>
        <v>4090.434852728813</v>
      </c>
      <c r="V438" s="39">
        <f t="shared" ca="1" si="62"/>
        <v>2.6910755610057981E-2</v>
      </c>
      <c r="W438" s="48">
        <f t="shared" ca="1" si="63"/>
        <v>0.24034651855356626</v>
      </c>
    </row>
    <row r="439" spans="17:23" x14ac:dyDescent="0.2">
      <c r="Q439">
        <f t="shared" si="57"/>
        <v>423</v>
      </c>
      <c r="R439" s="48">
        <f t="shared" ca="1" si="58"/>
        <v>0.45</v>
      </c>
      <c r="S439">
        <f t="shared" ca="1" si="59"/>
        <v>207.86977885864678</v>
      </c>
      <c r="T439" s="61">
        <f t="shared" ca="1" si="60"/>
        <v>21600</v>
      </c>
      <c r="U439" s="61">
        <f t="shared" ca="1" si="61"/>
        <v>29462.702697804583</v>
      </c>
      <c r="V439" s="39">
        <f t="shared" ca="1" si="62"/>
        <v>0.19383357038029331</v>
      </c>
      <c r="W439" s="48">
        <f t="shared" ca="1" si="63"/>
        <v>3.2082313338809962</v>
      </c>
    </row>
    <row r="440" spans="17:23" x14ac:dyDescent="0.2">
      <c r="Q440">
        <f t="shared" si="57"/>
        <v>424</v>
      </c>
      <c r="R440" s="48">
        <f t="shared" ca="1" si="58"/>
        <v>0.45</v>
      </c>
      <c r="S440">
        <f t="shared" ca="1" si="59"/>
        <v>198.26339326937503</v>
      </c>
      <c r="T440" s="61">
        <f t="shared" ca="1" si="60"/>
        <v>21600</v>
      </c>
      <c r="U440" s="61">
        <f t="shared" ca="1" si="61"/>
        <v>25235.893038525013</v>
      </c>
      <c r="V440" s="39">
        <f t="shared" ca="1" si="62"/>
        <v>0.1660256120955593</v>
      </c>
      <c r="W440" s="48">
        <f t="shared" ca="1" si="63"/>
        <v>2.475975682074552</v>
      </c>
    </row>
    <row r="441" spans="17:23" x14ac:dyDescent="0.2">
      <c r="Q441">
        <f t="shared" si="57"/>
        <v>425</v>
      </c>
      <c r="R441" s="48">
        <f t="shared" ca="1" si="58"/>
        <v>0.35</v>
      </c>
      <c r="S441">
        <f t="shared" ca="1" si="59"/>
        <v>227.2273633006229</v>
      </c>
      <c r="T441" s="61">
        <f t="shared" ca="1" si="60"/>
        <v>16800</v>
      </c>
      <c r="U441" s="61">
        <f t="shared" ca="1" si="61"/>
        <v>36158.228916323904</v>
      </c>
      <c r="V441" s="39">
        <f t="shared" ca="1" si="62"/>
        <v>0.23788308497581515</v>
      </c>
      <c r="W441" s="48">
        <f t="shared" ca="1" si="63"/>
        <v>4.6459205846238829</v>
      </c>
    </row>
    <row r="442" spans="17:23" x14ac:dyDescent="0.2">
      <c r="Q442">
        <f t="shared" si="57"/>
        <v>426</v>
      </c>
      <c r="R442" s="48">
        <f t="shared" ca="1" si="58"/>
        <v>0.3</v>
      </c>
      <c r="S442">
        <f t="shared" ca="1" si="59"/>
        <v>192.79425208815061</v>
      </c>
      <c r="T442" s="61">
        <f t="shared" ca="1" si="60"/>
        <v>14400</v>
      </c>
      <c r="U442" s="61">
        <f t="shared" ca="1" si="61"/>
        <v>15964.781169364343</v>
      </c>
      <c r="V442" s="39">
        <f t="shared" ca="1" si="62"/>
        <v>0.10503145506160752</v>
      </c>
      <c r="W442" s="48">
        <f t="shared" ca="1" si="63"/>
        <v>1.2481046747182787</v>
      </c>
    </row>
    <row r="443" spans="17:23" x14ac:dyDescent="0.2">
      <c r="Q443">
        <f t="shared" si="57"/>
        <v>427</v>
      </c>
      <c r="R443" s="48">
        <f t="shared" ca="1" si="58"/>
        <v>0.45</v>
      </c>
      <c r="S443">
        <f t="shared" ca="1" si="59"/>
        <v>225.37625237355076</v>
      </c>
      <c r="T443" s="61">
        <f t="shared" ca="1" si="60"/>
        <v>21600</v>
      </c>
      <c r="U443" s="61">
        <f t="shared" ca="1" si="61"/>
        <v>37165.551044362335</v>
      </c>
      <c r="V443" s="39">
        <f t="shared" ca="1" si="62"/>
        <v>0.2445102042392259</v>
      </c>
      <c r="W443" s="48">
        <f t="shared" ca="1" si="63"/>
        <v>4.8958045777409716</v>
      </c>
    </row>
    <row r="444" spans="17:23" x14ac:dyDescent="0.2">
      <c r="Q444">
        <f t="shared" si="57"/>
        <v>428</v>
      </c>
      <c r="R444" s="48">
        <f t="shared" ca="1" si="58"/>
        <v>0.45</v>
      </c>
      <c r="S444">
        <f t="shared" ca="1" si="59"/>
        <v>189.63012816551981</v>
      </c>
      <c r="T444" s="61">
        <f t="shared" ca="1" si="60"/>
        <v>21600</v>
      </c>
      <c r="U444" s="61">
        <f t="shared" ca="1" si="61"/>
        <v>21437.256392828716</v>
      </c>
      <c r="V444" s="39">
        <f t="shared" ca="1" si="62"/>
        <v>0.14103458153176787</v>
      </c>
      <c r="W444" s="48">
        <f t="shared" ca="1" si="63"/>
        <v>1.91579501371079</v>
      </c>
    </row>
    <row r="445" spans="17:23" x14ac:dyDescent="0.2">
      <c r="Q445">
        <f t="shared" si="57"/>
        <v>429</v>
      </c>
      <c r="R445" s="48">
        <f t="shared" ca="1" si="58"/>
        <v>0.35</v>
      </c>
      <c r="S445">
        <f t="shared" ca="1" si="59"/>
        <v>163.94552229636389</v>
      </c>
      <c r="T445" s="61">
        <f t="shared" ca="1" si="60"/>
        <v>16800</v>
      </c>
      <c r="U445" s="61">
        <f t="shared" ca="1" si="61"/>
        <v>3251.6715941092225</v>
      </c>
      <c r="V445" s="39">
        <f t="shared" ca="1" si="62"/>
        <v>2.1392576277034357E-2</v>
      </c>
      <c r="W445" s="48">
        <f t="shared" ca="1" si="63"/>
        <v>0.18730688600883139</v>
      </c>
    </row>
    <row r="446" spans="17:23" x14ac:dyDescent="0.2">
      <c r="Q446">
        <f t="shared" si="57"/>
        <v>430</v>
      </c>
      <c r="R446" s="48">
        <f t="shared" ca="1" si="58"/>
        <v>0.35</v>
      </c>
      <c r="S446">
        <f t="shared" ca="1" si="59"/>
        <v>169.28473830758591</v>
      </c>
      <c r="T446" s="61">
        <f t="shared" ca="1" si="60"/>
        <v>16800</v>
      </c>
      <c r="U446" s="61">
        <f t="shared" ca="1" si="61"/>
        <v>6028.0639199446741</v>
      </c>
      <c r="V446" s="39">
        <f t="shared" ca="1" si="62"/>
        <v>3.9658315262793911E-2</v>
      </c>
      <c r="W446" s="48">
        <f t="shared" ca="1" si="63"/>
        <v>0.37088741110632162</v>
      </c>
    </row>
    <row r="447" spans="17:23" x14ac:dyDescent="0.2">
      <c r="Q447">
        <f t="shared" si="57"/>
        <v>431</v>
      </c>
      <c r="R447" s="48">
        <f t="shared" ca="1" si="58"/>
        <v>0.4</v>
      </c>
      <c r="S447">
        <f t="shared" ca="1" si="59"/>
        <v>227.38047086621992</v>
      </c>
      <c r="T447" s="61">
        <f t="shared" ca="1" si="60"/>
        <v>19200</v>
      </c>
      <c r="U447" s="61">
        <f t="shared" ca="1" si="61"/>
        <v>37142.626015785565</v>
      </c>
      <c r="V447" s="39">
        <f t="shared" ca="1" si="62"/>
        <v>0.24435938168279978</v>
      </c>
      <c r="W447" s="48">
        <f t="shared" ca="1" si="63"/>
        <v>4.8900115696456128</v>
      </c>
    </row>
    <row r="448" spans="17:23" x14ac:dyDescent="0.2">
      <c r="Q448">
        <f t="shared" si="57"/>
        <v>432</v>
      </c>
      <c r="R448" s="48">
        <f t="shared" ca="1" si="58"/>
        <v>0.3</v>
      </c>
      <c r="S448">
        <f t="shared" ca="1" si="59"/>
        <v>223.5244113715205</v>
      </c>
      <c r="T448" s="61">
        <f t="shared" ca="1" si="60"/>
        <v>14400</v>
      </c>
      <c r="U448" s="61">
        <f t="shared" ca="1" si="61"/>
        <v>33173.670368051477</v>
      </c>
      <c r="V448" s="39">
        <f t="shared" ca="1" si="62"/>
        <v>0.21824783136875972</v>
      </c>
      <c r="W448" s="48">
        <f t="shared" ca="1" si="63"/>
        <v>3.9591969774231277</v>
      </c>
    </row>
    <row r="449" spans="17:23" x14ac:dyDescent="0.2">
      <c r="Q449">
        <f t="shared" si="57"/>
        <v>433</v>
      </c>
      <c r="R449" s="48">
        <f t="shared" ca="1" si="58"/>
        <v>0.4</v>
      </c>
      <c r="S449">
        <f t="shared" ca="1" si="59"/>
        <v>165.97874787379752</v>
      </c>
      <c r="T449" s="61">
        <f t="shared" ca="1" si="60"/>
        <v>19200</v>
      </c>
      <c r="U449" s="61">
        <f t="shared" ca="1" si="61"/>
        <v>7669.7989794228088</v>
      </c>
      <c r="V449" s="39">
        <f t="shared" ca="1" si="62"/>
        <v>5.0459203811992162E-2</v>
      </c>
      <c r="W449" s="48">
        <f t="shared" ca="1" si="63"/>
        <v>0.49076432161277528</v>
      </c>
    </row>
    <row r="450" spans="17:23" x14ac:dyDescent="0.2">
      <c r="Q450">
        <f t="shared" si="57"/>
        <v>434</v>
      </c>
      <c r="R450" s="48">
        <f t="shared" ca="1" si="58"/>
        <v>0.217</v>
      </c>
      <c r="S450">
        <f t="shared" ca="1" si="59"/>
        <v>182.60242267416845</v>
      </c>
      <c r="T450" s="61">
        <f t="shared" ca="1" si="60"/>
        <v>10416</v>
      </c>
      <c r="U450" s="61">
        <f t="shared" ca="1" si="61"/>
        <v>5782.1575630991183</v>
      </c>
      <c r="V450" s="39">
        <f t="shared" ca="1" si="62"/>
        <v>3.8040510283546831E-2</v>
      </c>
      <c r="W450" s="48">
        <f t="shared" ca="1" si="63"/>
        <v>0.35367998974297832</v>
      </c>
    </row>
    <row r="451" spans="17:23" x14ac:dyDescent="0.2">
      <c r="Q451">
        <f t="shared" si="57"/>
        <v>435</v>
      </c>
      <c r="R451" s="48">
        <f t="shared" ca="1" si="58"/>
        <v>0.15</v>
      </c>
      <c r="S451">
        <f t="shared" ca="1" si="59"/>
        <v>183.19381108393713</v>
      </c>
      <c r="T451" s="61">
        <f t="shared" ca="1" si="60"/>
        <v>7200</v>
      </c>
      <c r="U451" s="61">
        <f t="shared" ca="1" si="61"/>
        <v>2571.7915370772516</v>
      </c>
      <c r="V451" s="39">
        <f t="shared" ca="1" si="62"/>
        <v>1.6919681164981919E-2</v>
      </c>
      <c r="W451" s="48">
        <f t="shared" ca="1" si="63"/>
        <v>0.1457842524625006</v>
      </c>
    </row>
    <row r="452" spans="17:23" x14ac:dyDescent="0.2">
      <c r="Q452">
        <f t="shared" si="57"/>
        <v>436</v>
      </c>
      <c r="R452" s="48">
        <f t="shared" ca="1" si="58"/>
        <v>0.35</v>
      </c>
      <c r="S452">
        <f t="shared" ca="1" si="59"/>
        <v>202.80145500752107</v>
      </c>
      <c r="T452" s="61">
        <f t="shared" ca="1" si="60"/>
        <v>16800</v>
      </c>
      <c r="U452" s="61">
        <f t="shared" ca="1" si="61"/>
        <v>23456.756603910959</v>
      </c>
      <c r="V452" s="39">
        <f t="shared" ca="1" si="62"/>
        <v>0.15432076713099316</v>
      </c>
      <c r="W452" s="48">
        <f t="shared" ca="1" si="63"/>
        <v>2.2028547211722156</v>
      </c>
    </row>
    <row r="453" spans="17:23" x14ac:dyDescent="0.2">
      <c r="Q453">
        <f t="shared" si="57"/>
        <v>437</v>
      </c>
      <c r="R453" s="48">
        <f t="shared" ca="1" si="58"/>
        <v>0.217</v>
      </c>
      <c r="S453">
        <f t="shared" ca="1" si="59"/>
        <v>197.15709343189374</v>
      </c>
      <c r="T453" s="61">
        <f t="shared" ca="1" si="60"/>
        <v>10416</v>
      </c>
      <c r="U453" s="61">
        <f t="shared" ca="1" si="61"/>
        <v>14899.203325738239</v>
      </c>
      <c r="V453" s="39">
        <f t="shared" ca="1" si="62"/>
        <v>9.8021074511435782E-2</v>
      </c>
      <c r="W453" s="48">
        <f t="shared" ca="1" si="63"/>
        <v>1.1349991318912758</v>
      </c>
    </row>
    <row r="454" spans="17:23" x14ac:dyDescent="0.2">
      <c r="Q454">
        <f t="shared" si="57"/>
        <v>438</v>
      </c>
      <c r="R454" s="48">
        <f t="shared" ca="1" si="58"/>
        <v>0.5</v>
      </c>
      <c r="S454">
        <f t="shared" ca="1" si="59"/>
        <v>181.17340910322909</v>
      </c>
      <c r="T454" s="61">
        <f t="shared" ca="1" si="60"/>
        <v>24000</v>
      </c>
      <c r="U454" s="61">
        <f t="shared" ca="1" si="61"/>
        <v>20469.363641291635</v>
      </c>
      <c r="V454" s="39">
        <f t="shared" ca="1" si="62"/>
        <v>0.13466686606112918</v>
      </c>
      <c r="W454" s="48">
        <f t="shared" ca="1" si="63"/>
        <v>1.7864000547278174</v>
      </c>
    </row>
    <row r="455" spans="17:23" x14ac:dyDescent="0.2">
      <c r="Q455">
        <f t="shared" si="57"/>
        <v>439</v>
      </c>
      <c r="R455" s="48">
        <f t="shared" ca="1" si="58"/>
        <v>0.3</v>
      </c>
      <c r="S455">
        <f t="shared" ca="1" si="59"/>
        <v>161.80933487677771</v>
      </c>
      <c r="T455" s="61">
        <f t="shared" ca="1" si="60"/>
        <v>14400</v>
      </c>
      <c r="U455" s="61">
        <f t="shared" ca="1" si="61"/>
        <v>-1386.7724690044815</v>
      </c>
      <c r="V455" s="39">
        <f t="shared" ca="1" si="62"/>
        <v>-9.1235030855558001E-3</v>
      </c>
      <c r="W455" s="48">
        <f t="shared" ca="1" si="63"/>
        <v>-7.1645293363718054E-2</v>
      </c>
    </row>
    <row r="456" spans="17:23" x14ac:dyDescent="0.2">
      <c r="Q456">
        <f t="shared" si="57"/>
        <v>440</v>
      </c>
      <c r="R456" s="48">
        <f t="shared" ca="1" si="58"/>
        <v>0.45</v>
      </c>
      <c r="S456">
        <f t="shared" ca="1" si="59"/>
        <v>194.37093506311629</v>
      </c>
      <c r="T456" s="61">
        <f t="shared" ca="1" si="60"/>
        <v>21600</v>
      </c>
      <c r="U456" s="61">
        <f t="shared" ca="1" si="61"/>
        <v>23523.21142777117</v>
      </c>
      <c r="V456" s="39">
        <f t="shared" ca="1" si="62"/>
        <v>0.15475796991954718</v>
      </c>
      <c r="W456" s="48">
        <f t="shared" ca="1" si="63"/>
        <v>2.2127075041564668</v>
      </c>
    </row>
    <row r="457" spans="17:23" x14ac:dyDescent="0.2">
      <c r="Q457">
        <f t="shared" si="57"/>
        <v>441</v>
      </c>
      <c r="R457" s="48">
        <f t="shared" ca="1" si="58"/>
        <v>0.3</v>
      </c>
      <c r="S457">
        <f t="shared" ca="1" si="59"/>
        <v>181.80056516700157</v>
      </c>
      <c r="T457" s="61">
        <f t="shared" ca="1" si="60"/>
        <v>14400</v>
      </c>
      <c r="U457" s="61">
        <f t="shared" ca="1" si="61"/>
        <v>9808.316493520877</v>
      </c>
      <c r="V457" s="39">
        <f t="shared" ca="1" si="62"/>
        <v>6.4528397983689978E-2</v>
      </c>
      <c r="W457" s="48">
        <f t="shared" ca="1" si="63"/>
        <v>0.66063995854202839</v>
      </c>
    </row>
    <row r="458" spans="17:23" x14ac:dyDescent="0.2">
      <c r="Q458">
        <f t="shared" si="57"/>
        <v>442</v>
      </c>
      <c r="R458" s="48">
        <f t="shared" ca="1" si="58"/>
        <v>0.35</v>
      </c>
      <c r="S458">
        <f t="shared" ca="1" si="59"/>
        <v>187.90272741278503</v>
      </c>
      <c r="T458" s="61">
        <f t="shared" ca="1" si="60"/>
        <v>16800</v>
      </c>
      <c r="U458" s="61">
        <f t="shared" ca="1" si="61"/>
        <v>15709.418254648213</v>
      </c>
      <c r="V458" s="39">
        <f t="shared" ca="1" si="62"/>
        <v>0.10335143588584352</v>
      </c>
      <c r="W458" s="48">
        <f t="shared" ca="1" si="63"/>
        <v>1.2205313099614221</v>
      </c>
    </row>
    <row r="459" spans="17:23" x14ac:dyDescent="0.2">
      <c r="Q459">
        <f t="shared" si="57"/>
        <v>443</v>
      </c>
      <c r="R459" s="48">
        <f t="shared" ca="1" si="58"/>
        <v>0.4</v>
      </c>
      <c r="S459">
        <f t="shared" ca="1" si="59"/>
        <v>192.21650099794036</v>
      </c>
      <c r="T459" s="61">
        <f t="shared" ca="1" si="60"/>
        <v>19200</v>
      </c>
      <c r="U459" s="61">
        <f t="shared" ca="1" si="61"/>
        <v>20263.920479011373</v>
      </c>
      <c r="V459" s="39">
        <f t="shared" ca="1" si="62"/>
        <v>0.13331526630928534</v>
      </c>
      <c r="W459" s="48">
        <f t="shared" ca="1" si="63"/>
        <v>1.7595920346579907</v>
      </c>
    </row>
    <row r="460" spans="17:23" x14ac:dyDescent="0.2">
      <c r="Q460">
        <f t="shared" si="57"/>
        <v>444</v>
      </c>
      <c r="R460" s="48">
        <f t="shared" ca="1" si="58"/>
        <v>0.35</v>
      </c>
      <c r="S460">
        <f t="shared" ca="1" si="59"/>
        <v>206.97234322294366</v>
      </c>
      <c r="T460" s="61">
        <f t="shared" ca="1" si="60"/>
        <v>16800</v>
      </c>
      <c r="U460" s="61">
        <f t="shared" ca="1" si="61"/>
        <v>25625.618475930707</v>
      </c>
      <c r="V460" s="39">
        <f t="shared" ca="1" si="62"/>
        <v>0.16858959523638622</v>
      </c>
      <c r="W460" s="48">
        <f t="shared" ca="1" si="63"/>
        <v>2.5384586350004033</v>
      </c>
    </row>
    <row r="461" spans="17:23" x14ac:dyDescent="0.2">
      <c r="Q461">
        <f t="shared" si="57"/>
        <v>445</v>
      </c>
      <c r="R461" s="48">
        <f t="shared" ca="1" si="58"/>
        <v>0.35</v>
      </c>
      <c r="S461">
        <f t="shared" ca="1" si="59"/>
        <v>186.0736630590998</v>
      </c>
      <c r="T461" s="61">
        <f t="shared" ca="1" si="60"/>
        <v>16800</v>
      </c>
      <c r="U461" s="61">
        <f t="shared" ca="1" si="61"/>
        <v>14758.304790731896</v>
      </c>
      <c r="V461" s="39">
        <f t="shared" ca="1" si="62"/>
        <v>9.7094110465341416E-2</v>
      </c>
      <c r="W461" s="48">
        <f t="shared" ca="1" si="63"/>
        <v>1.1204235146818737</v>
      </c>
    </row>
    <row r="462" spans="17:23" x14ac:dyDescent="0.2">
      <c r="Q462">
        <f t="shared" si="57"/>
        <v>446</v>
      </c>
      <c r="R462" s="48">
        <f t="shared" ca="1" si="58"/>
        <v>0.15</v>
      </c>
      <c r="S462">
        <f t="shared" ca="1" si="59"/>
        <v>210.78164139238842</v>
      </c>
      <c r="T462" s="61">
        <f t="shared" ca="1" si="60"/>
        <v>7200</v>
      </c>
      <c r="U462" s="61">
        <f t="shared" ca="1" si="61"/>
        <v>21331.516146824128</v>
      </c>
      <c r="V462" s="39">
        <f t="shared" ca="1" si="62"/>
        <v>0.14033892201857978</v>
      </c>
      <c r="W462" s="48">
        <f t="shared" ca="1" si="63"/>
        <v>1.9014072274789671</v>
      </c>
    </row>
    <row r="463" spans="17:23" x14ac:dyDescent="0.2">
      <c r="Q463">
        <f t="shared" si="57"/>
        <v>447</v>
      </c>
      <c r="R463" s="48">
        <f t="shared" ca="1" si="58"/>
        <v>0.4</v>
      </c>
      <c r="S463">
        <f t="shared" ca="1" si="59"/>
        <v>173.67872887238863</v>
      </c>
      <c r="T463" s="61">
        <f t="shared" ca="1" si="60"/>
        <v>19200</v>
      </c>
      <c r="U463" s="61">
        <f t="shared" ca="1" si="61"/>
        <v>11365.789858746542</v>
      </c>
      <c r="V463" s="39">
        <f t="shared" ca="1" si="62"/>
        <v>7.4774933281227252E-2</v>
      </c>
      <c r="W463" s="48">
        <f t="shared" ca="1" si="63"/>
        <v>0.79481610115396406</v>
      </c>
    </row>
    <row r="464" spans="17:23" x14ac:dyDescent="0.2">
      <c r="Q464">
        <f t="shared" si="57"/>
        <v>448</v>
      </c>
      <c r="R464" s="48">
        <f t="shared" ca="1" si="58"/>
        <v>0.35</v>
      </c>
      <c r="S464">
        <f t="shared" ca="1" si="59"/>
        <v>208.94003367892833</v>
      </c>
      <c r="T464" s="61">
        <f t="shared" ca="1" si="60"/>
        <v>16800</v>
      </c>
      <c r="U464" s="61">
        <f t="shared" ca="1" si="61"/>
        <v>26648.817513042733</v>
      </c>
      <c r="V464" s="39">
        <f t="shared" ca="1" si="62"/>
        <v>0.17532116784896534</v>
      </c>
      <c r="W464" s="48">
        <f t="shared" ca="1" si="63"/>
        <v>2.7072138330558699</v>
      </c>
    </row>
    <row r="465" spans="17:23" x14ac:dyDescent="0.2">
      <c r="Q465">
        <f t="shared" si="57"/>
        <v>449</v>
      </c>
      <c r="R465" s="48">
        <f t="shared" ca="1" si="58"/>
        <v>0.5</v>
      </c>
      <c r="S465">
        <f t="shared" ca="1" si="59"/>
        <v>158.90390665671242</v>
      </c>
      <c r="T465" s="61">
        <f t="shared" ca="1" si="60"/>
        <v>24000</v>
      </c>
      <c r="U465" s="61">
        <f t="shared" ca="1" si="61"/>
        <v>11561.56266268497</v>
      </c>
      <c r="V465" s="39">
        <f t="shared" ca="1" si="62"/>
        <v>7.6062912254506385E-2</v>
      </c>
      <c r="W465" s="48">
        <f t="shared" ca="1" si="63"/>
        <v>0.81233644397078475</v>
      </c>
    </row>
    <row r="466" spans="17:23" x14ac:dyDescent="0.2">
      <c r="Q466">
        <f t="shared" si="57"/>
        <v>450</v>
      </c>
      <c r="R466" s="48">
        <f t="shared" ca="1" si="58"/>
        <v>0.217</v>
      </c>
      <c r="S466">
        <f t="shared" ca="1" si="59"/>
        <v>183.03587221781473</v>
      </c>
      <c r="T466" s="61">
        <f t="shared" ca="1" si="60"/>
        <v>10416</v>
      </c>
      <c r="U466" s="61">
        <f t="shared" ca="1" si="61"/>
        <v>6053.6703572391452</v>
      </c>
      <c r="V466" s="39">
        <f t="shared" ca="1" si="62"/>
        <v>3.9826778666047009E-2</v>
      </c>
      <c r="W466" s="48">
        <f t="shared" ca="1" si="63"/>
        <v>0.37269021006770253</v>
      </c>
    </row>
    <row r="467" spans="17:23" x14ac:dyDescent="0.2">
      <c r="Q467">
        <f t="shared" ref="Q467:Q530" si="64">Q466+1</f>
        <v>451</v>
      </c>
      <c r="R467" s="48">
        <f t="shared" ref="R467:R530" ca="1" si="65">LOOKUP(RAND(),$U$6:$U$12,$S$6:$S$12)</f>
        <v>0.3</v>
      </c>
      <c r="S467">
        <f t="shared" ref="S467:S530" ca="1" si="66">_xlfn.NORM.INV(RAND(),$Q$5,$Q$10)</f>
        <v>197.18772618381618</v>
      </c>
      <c r="T467" s="61">
        <f t="shared" ref="T467:T530" ca="1" si="67">($B$8-$B$7)*($E$6*R467)</f>
        <v>14400</v>
      </c>
      <c r="U467" s="61">
        <f t="shared" ref="U467:U530" ca="1" si="68">T467+((S467-$B$7)*($E$6*(1-R467)))</f>
        <v>18425.126662937062</v>
      </c>
      <c r="V467" s="39">
        <f t="shared" ref="V467:V530" ca="1" si="69">U467/$E$4</f>
        <v>0.12121793857195436</v>
      </c>
      <c r="W467" s="48">
        <f t="shared" ref="W467:W530" ca="1" si="70">(1+V467)^($J$29/$J$30)-1</f>
        <v>1.5295392074237215</v>
      </c>
    </row>
    <row r="468" spans="17:23" x14ac:dyDescent="0.2">
      <c r="Q468">
        <f t="shared" si="64"/>
        <v>452</v>
      </c>
      <c r="R468" s="48">
        <f t="shared" ca="1" si="65"/>
        <v>0.4</v>
      </c>
      <c r="S468">
        <f t="shared" ca="1" si="66"/>
        <v>193.92865548643249</v>
      </c>
      <c r="T468" s="61">
        <f t="shared" ca="1" si="67"/>
        <v>19200</v>
      </c>
      <c r="U468" s="61">
        <f t="shared" ca="1" si="68"/>
        <v>21085.754633487595</v>
      </c>
      <c r="V468" s="39">
        <f t="shared" ca="1" si="69"/>
        <v>0.13872206995715522</v>
      </c>
      <c r="W468" s="48">
        <f t="shared" ca="1" si="70"/>
        <v>1.8682073280914588</v>
      </c>
    </row>
    <row r="469" spans="17:23" x14ac:dyDescent="0.2">
      <c r="Q469">
        <f t="shared" si="64"/>
        <v>453</v>
      </c>
      <c r="R469" s="48">
        <f t="shared" ca="1" si="65"/>
        <v>0.3</v>
      </c>
      <c r="S469">
        <f t="shared" ca="1" si="66"/>
        <v>177.17618996560373</v>
      </c>
      <c r="T469" s="61">
        <f t="shared" ca="1" si="67"/>
        <v>14400</v>
      </c>
      <c r="U469" s="61">
        <f t="shared" ca="1" si="68"/>
        <v>7218.6663807380864</v>
      </c>
      <c r="V469" s="39">
        <f t="shared" ca="1" si="69"/>
        <v>4.7491226189066357E-2</v>
      </c>
      <c r="W469" s="48">
        <f t="shared" ca="1" si="70"/>
        <v>0.45694140118470461</v>
      </c>
    </row>
    <row r="470" spans="17:23" x14ac:dyDescent="0.2">
      <c r="Q470">
        <f t="shared" si="64"/>
        <v>454</v>
      </c>
      <c r="R470" s="48">
        <f t="shared" ca="1" si="65"/>
        <v>0.35</v>
      </c>
      <c r="S470">
        <f t="shared" ca="1" si="66"/>
        <v>205.65838015030783</v>
      </c>
      <c r="T470" s="61">
        <f t="shared" ca="1" si="67"/>
        <v>16800</v>
      </c>
      <c r="U470" s="61">
        <f t="shared" ca="1" si="68"/>
        <v>24942.357678160075</v>
      </c>
      <c r="V470" s="39">
        <f t="shared" ca="1" si="69"/>
        <v>0.16409445840894787</v>
      </c>
      <c r="W470" s="48">
        <f t="shared" ca="1" si="70"/>
        <v>2.429555213728376</v>
      </c>
    </row>
    <row r="471" spans="17:23" x14ac:dyDescent="0.2">
      <c r="Q471">
        <f t="shared" si="64"/>
        <v>455</v>
      </c>
      <c r="R471" s="48">
        <f t="shared" ca="1" si="65"/>
        <v>0.3</v>
      </c>
      <c r="S471">
        <f t="shared" ca="1" si="66"/>
        <v>152.20053220757538</v>
      </c>
      <c r="T471" s="61">
        <f t="shared" ca="1" si="67"/>
        <v>14400</v>
      </c>
      <c r="U471" s="61">
        <f t="shared" ca="1" si="68"/>
        <v>-6767.7019637577869</v>
      </c>
      <c r="V471" s="39">
        <f t="shared" ca="1" si="69"/>
        <v>-4.4524355024722281E-2</v>
      </c>
      <c r="W471" s="48">
        <f t="shared" ca="1" si="70"/>
        <v>-0.30887094466789278</v>
      </c>
    </row>
    <row r="472" spans="17:23" x14ac:dyDescent="0.2">
      <c r="Q472">
        <f t="shared" si="64"/>
        <v>456</v>
      </c>
      <c r="R472" s="48">
        <f t="shared" ca="1" si="65"/>
        <v>0.5</v>
      </c>
      <c r="S472">
        <f t="shared" ca="1" si="66"/>
        <v>193.57290377410507</v>
      </c>
      <c r="T472" s="61">
        <f t="shared" ca="1" si="67"/>
        <v>24000</v>
      </c>
      <c r="U472" s="61">
        <f t="shared" ca="1" si="68"/>
        <v>25429.161509642028</v>
      </c>
      <c r="V472" s="39">
        <f t="shared" ca="1" si="69"/>
        <v>0.16729711519501334</v>
      </c>
      <c r="W472" s="48">
        <f t="shared" ca="1" si="70"/>
        <v>2.5068395768523204</v>
      </c>
    </row>
    <row r="473" spans="17:23" x14ac:dyDescent="0.2">
      <c r="Q473">
        <f t="shared" si="64"/>
        <v>457</v>
      </c>
      <c r="R473" s="48">
        <f t="shared" ca="1" si="65"/>
        <v>0.4</v>
      </c>
      <c r="S473">
        <f t="shared" ca="1" si="66"/>
        <v>166.11934212240143</v>
      </c>
      <c r="T473" s="61">
        <f t="shared" ca="1" si="67"/>
        <v>19200</v>
      </c>
      <c r="U473" s="61">
        <f t="shared" ca="1" si="68"/>
        <v>7737.2842187526876</v>
      </c>
      <c r="V473" s="39">
        <f t="shared" ca="1" si="69"/>
        <v>5.0903185649688737E-2</v>
      </c>
      <c r="W473" s="48">
        <f t="shared" ca="1" si="70"/>
        <v>0.49588264912882374</v>
      </c>
    </row>
    <row r="474" spans="17:23" x14ac:dyDescent="0.2">
      <c r="Q474">
        <f t="shared" si="64"/>
        <v>458</v>
      </c>
      <c r="R474" s="48">
        <f t="shared" ca="1" si="65"/>
        <v>0.45</v>
      </c>
      <c r="S474">
        <f t="shared" ca="1" si="66"/>
        <v>185.61420271300071</v>
      </c>
      <c r="T474" s="61">
        <f t="shared" ca="1" si="67"/>
        <v>21600</v>
      </c>
      <c r="U474" s="61">
        <f t="shared" ca="1" si="68"/>
        <v>19670.249193720312</v>
      </c>
      <c r="V474" s="39">
        <f t="shared" ca="1" si="69"/>
        <v>0.12940953416921258</v>
      </c>
      <c r="W474" s="48">
        <f t="shared" ca="1" si="70"/>
        <v>1.6833911319684263</v>
      </c>
    </row>
    <row r="475" spans="17:23" x14ac:dyDescent="0.2">
      <c r="Q475">
        <f t="shared" si="64"/>
        <v>459</v>
      </c>
      <c r="R475" s="48">
        <f t="shared" ca="1" si="65"/>
        <v>0.3</v>
      </c>
      <c r="S475">
        <f t="shared" ca="1" si="66"/>
        <v>183.19996248046505</v>
      </c>
      <c r="T475" s="61">
        <f t="shared" ca="1" si="67"/>
        <v>14400</v>
      </c>
      <c r="U475" s="61">
        <f t="shared" ca="1" si="68"/>
        <v>10591.978989060426</v>
      </c>
      <c r="V475" s="39">
        <f t="shared" ca="1" si="69"/>
        <v>6.968407229645017E-2</v>
      </c>
      <c r="W475" s="48">
        <f t="shared" ca="1" si="70"/>
        <v>0.72700998157976904</v>
      </c>
    </row>
    <row r="476" spans="17:23" x14ac:dyDescent="0.2">
      <c r="Q476">
        <f t="shared" si="64"/>
        <v>460</v>
      </c>
      <c r="R476" s="48">
        <f t="shared" ca="1" si="65"/>
        <v>0.4</v>
      </c>
      <c r="S476">
        <f t="shared" ca="1" si="66"/>
        <v>185.19310602970151</v>
      </c>
      <c r="T476" s="61">
        <f t="shared" ca="1" si="67"/>
        <v>19200</v>
      </c>
      <c r="U476" s="61">
        <f t="shared" ca="1" si="68"/>
        <v>16892.690894256724</v>
      </c>
      <c r="V476" s="39">
        <f t="shared" ca="1" si="69"/>
        <v>0.11113612430432056</v>
      </c>
      <c r="W476" s="48">
        <f t="shared" ca="1" si="70"/>
        <v>1.3508417217183997</v>
      </c>
    </row>
    <row r="477" spans="17:23" x14ac:dyDescent="0.2">
      <c r="Q477">
        <f t="shared" si="64"/>
        <v>461</v>
      </c>
      <c r="R477" s="48">
        <f t="shared" ca="1" si="65"/>
        <v>0.45</v>
      </c>
      <c r="S477">
        <f t="shared" ca="1" si="66"/>
        <v>173.09781428161818</v>
      </c>
      <c r="T477" s="61">
        <f t="shared" ca="1" si="67"/>
        <v>21600</v>
      </c>
      <c r="U477" s="61">
        <f t="shared" ca="1" si="68"/>
        <v>14163.038283911999</v>
      </c>
      <c r="V477" s="39">
        <f t="shared" ca="1" si="69"/>
        <v>9.317788344678947E-2</v>
      </c>
      <c r="W477" s="48">
        <f t="shared" ca="1" si="70"/>
        <v>1.0598029487913734</v>
      </c>
    </row>
    <row r="478" spans="17:23" x14ac:dyDescent="0.2">
      <c r="Q478">
        <f t="shared" si="64"/>
        <v>462</v>
      </c>
      <c r="R478" s="48">
        <f t="shared" ca="1" si="65"/>
        <v>0.45</v>
      </c>
      <c r="S478">
        <f t="shared" ca="1" si="66"/>
        <v>193.34879001203896</v>
      </c>
      <c r="T478" s="61">
        <f t="shared" ca="1" si="67"/>
        <v>21600</v>
      </c>
      <c r="U478" s="61">
        <f t="shared" ca="1" si="68"/>
        <v>23073.467605297144</v>
      </c>
      <c r="V478" s="39">
        <f t="shared" ca="1" si="69"/>
        <v>0.15179912898221806</v>
      </c>
      <c r="W478" s="48">
        <f t="shared" ca="1" si="70"/>
        <v>2.1465425180432458</v>
      </c>
    </row>
    <row r="479" spans="17:23" x14ac:dyDescent="0.2">
      <c r="Q479">
        <f t="shared" si="64"/>
        <v>463</v>
      </c>
      <c r="R479" s="48">
        <f t="shared" ca="1" si="65"/>
        <v>0.45</v>
      </c>
      <c r="S479">
        <f t="shared" ca="1" si="66"/>
        <v>179.93423604474472</v>
      </c>
      <c r="T479" s="61">
        <f t="shared" ca="1" si="67"/>
        <v>21600</v>
      </c>
      <c r="U479" s="61">
        <f t="shared" ca="1" si="68"/>
        <v>17171.063859687678</v>
      </c>
      <c r="V479" s="39">
        <f t="shared" ca="1" si="69"/>
        <v>0.11296752539268209</v>
      </c>
      <c r="W479" s="48">
        <f t="shared" ca="1" si="70"/>
        <v>1.3824547532235725</v>
      </c>
    </row>
    <row r="480" spans="17:23" x14ac:dyDescent="0.2">
      <c r="Q480">
        <f t="shared" si="64"/>
        <v>464</v>
      </c>
      <c r="R480" s="48">
        <f t="shared" ca="1" si="65"/>
        <v>0.45</v>
      </c>
      <c r="S480">
        <f t="shared" ca="1" si="66"/>
        <v>215.08834394107149</v>
      </c>
      <c r="T480" s="61">
        <f t="shared" ca="1" si="67"/>
        <v>21600</v>
      </c>
      <c r="U480" s="61">
        <f t="shared" ca="1" si="68"/>
        <v>32638.871334071453</v>
      </c>
      <c r="V480" s="39">
        <f t="shared" ca="1" si="69"/>
        <v>0.2147294166715227</v>
      </c>
      <c r="W480" s="48">
        <f t="shared" ca="1" si="70"/>
        <v>3.8442105001412639</v>
      </c>
    </row>
    <row r="481" spans="17:23" x14ac:dyDescent="0.2">
      <c r="Q481">
        <f t="shared" si="64"/>
        <v>465</v>
      </c>
      <c r="R481" s="48">
        <f t="shared" ca="1" si="65"/>
        <v>0.217</v>
      </c>
      <c r="S481">
        <f t="shared" ca="1" si="66"/>
        <v>214.56728556455758</v>
      </c>
      <c r="T481" s="61">
        <f t="shared" ca="1" si="67"/>
        <v>10416</v>
      </c>
      <c r="U481" s="61">
        <f t="shared" ca="1" si="68"/>
        <v>25804.947677638869</v>
      </c>
      <c r="V481" s="39">
        <f t="shared" ca="1" si="69"/>
        <v>0.16976939261604521</v>
      </c>
      <c r="W481" s="48">
        <f t="shared" ca="1" si="70"/>
        <v>2.5675389603536969</v>
      </c>
    </row>
    <row r="482" spans="17:23" x14ac:dyDescent="0.2">
      <c r="Q482">
        <f t="shared" si="64"/>
        <v>466</v>
      </c>
      <c r="R482" s="48">
        <f t="shared" ca="1" si="65"/>
        <v>0.35</v>
      </c>
      <c r="S482">
        <f t="shared" ca="1" si="66"/>
        <v>181.15938769634633</v>
      </c>
      <c r="T482" s="61">
        <f t="shared" ca="1" si="67"/>
        <v>16800</v>
      </c>
      <c r="U482" s="61">
        <f t="shared" ca="1" si="68"/>
        <v>12202.881602100091</v>
      </c>
      <c r="V482" s="39">
        <f t="shared" ca="1" si="69"/>
        <v>8.0282115803290074E-2</v>
      </c>
      <c r="W482" s="48">
        <f t="shared" ca="1" si="70"/>
        <v>0.8707848527179971</v>
      </c>
    </row>
    <row r="483" spans="17:23" x14ac:dyDescent="0.2">
      <c r="Q483">
        <f t="shared" si="64"/>
        <v>467</v>
      </c>
      <c r="R483" s="48">
        <f t="shared" ca="1" si="65"/>
        <v>0.3</v>
      </c>
      <c r="S483">
        <f t="shared" ca="1" si="66"/>
        <v>194.26276281535161</v>
      </c>
      <c r="T483" s="61">
        <f t="shared" ca="1" si="67"/>
        <v>14400</v>
      </c>
      <c r="U483" s="61">
        <f t="shared" ca="1" si="68"/>
        <v>16787.1471765969</v>
      </c>
      <c r="V483" s="39">
        <f t="shared" ca="1" si="69"/>
        <v>0.11044175774076907</v>
      </c>
      <c r="W483" s="48">
        <f t="shared" ca="1" si="70"/>
        <v>1.3389523074253575</v>
      </c>
    </row>
    <row r="484" spans="17:23" x14ac:dyDescent="0.2">
      <c r="Q484">
        <f t="shared" si="64"/>
        <v>468</v>
      </c>
      <c r="R484" s="48">
        <f t="shared" ca="1" si="65"/>
        <v>0.35</v>
      </c>
      <c r="S484">
        <f t="shared" ca="1" si="66"/>
        <v>193.02673215756658</v>
      </c>
      <c r="T484" s="61">
        <f t="shared" ca="1" si="67"/>
        <v>16800</v>
      </c>
      <c r="U484" s="61">
        <f t="shared" ca="1" si="68"/>
        <v>18373.900721934624</v>
      </c>
      <c r="V484" s="39">
        <f t="shared" ca="1" si="69"/>
        <v>0.12088092580220147</v>
      </c>
      <c r="W484" s="48">
        <f t="shared" ca="1" si="70"/>
        <v>1.5233787354995774</v>
      </c>
    </row>
    <row r="485" spans="17:23" x14ac:dyDescent="0.2">
      <c r="Q485">
        <f t="shared" si="64"/>
        <v>469</v>
      </c>
      <c r="R485" s="48">
        <f t="shared" ca="1" si="65"/>
        <v>0.15</v>
      </c>
      <c r="S485">
        <f t="shared" ca="1" si="66"/>
        <v>152.55682169122187</v>
      </c>
      <c r="T485" s="61">
        <f t="shared" ca="1" si="67"/>
        <v>7200</v>
      </c>
      <c r="U485" s="61">
        <f t="shared" ca="1" si="68"/>
        <v>-18261.36124996913</v>
      </c>
      <c r="V485" s="39">
        <f t="shared" ca="1" si="69"/>
        <v>-0.12014053453927059</v>
      </c>
      <c r="W485" s="48">
        <f t="shared" ca="1" si="70"/>
        <v>-0.64589652788485652</v>
      </c>
    </row>
    <row r="486" spans="17:23" x14ac:dyDescent="0.2">
      <c r="Q486">
        <f t="shared" si="64"/>
        <v>470</v>
      </c>
      <c r="R486" s="48">
        <f t="shared" ca="1" si="65"/>
        <v>0.4</v>
      </c>
      <c r="S486">
        <f t="shared" ca="1" si="66"/>
        <v>218.3311408880021</v>
      </c>
      <c r="T486" s="61">
        <f t="shared" ca="1" si="67"/>
        <v>19200</v>
      </c>
      <c r="U486" s="61">
        <f t="shared" ca="1" si="68"/>
        <v>32798.947626241003</v>
      </c>
      <c r="V486" s="39">
        <f t="shared" ca="1" si="69"/>
        <v>0.21578255017263817</v>
      </c>
      <c r="W486" s="48">
        <f t="shared" ca="1" si="70"/>
        <v>3.8783806021713625</v>
      </c>
    </row>
    <row r="487" spans="17:23" x14ac:dyDescent="0.2">
      <c r="Q487">
        <f t="shared" si="64"/>
        <v>471</v>
      </c>
      <c r="R487" s="48">
        <f t="shared" ca="1" si="65"/>
        <v>0.3</v>
      </c>
      <c r="S487">
        <f t="shared" ca="1" si="66"/>
        <v>197.34624491122807</v>
      </c>
      <c r="T487" s="61">
        <f t="shared" ca="1" si="67"/>
        <v>14400</v>
      </c>
      <c r="U487" s="61">
        <f t="shared" ca="1" si="68"/>
        <v>18513.897150287718</v>
      </c>
      <c r="V487" s="39">
        <f t="shared" ca="1" si="69"/>
        <v>0.12180195493610341</v>
      </c>
      <c r="W487" s="48">
        <f t="shared" ca="1" si="70"/>
        <v>1.5402460438873664</v>
      </c>
    </row>
    <row r="488" spans="17:23" x14ac:dyDescent="0.2">
      <c r="Q488">
        <f t="shared" si="64"/>
        <v>472</v>
      </c>
      <c r="R488" s="48">
        <f t="shared" ca="1" si="65"/>
        <v>0.3</v>
      </c>
      <c r="S488">
        <f t="shared" ca="1" si="66"/>
        <v>245.95614057066186</v>
      </c>
      <c r="T488" s="61">
        <f t="shared" ca="1" si="67"/>
        <v>14400</v>
      </c>
      <c r="U488" s="61">
        <f t="shared" ca="1" si="68"/>
        <v>45735.438719570637</v>
      </c>
      <c r="V488" s="39">
        <f t="shared" ca="1" si="69"/>
        <v>0.30089104420770157</v>
      </c>
      <c r="W488" s="48">
        <f t="shared" ca="1" si="70"/>
        <v>7.4454117256719421</v>
      </c>
    </row>
    <row r="489" spans="17:23" x14ac:dyDescent="0.2">
      <c r="Q489">
        <f t="shared" si="64"/>
        <v>473</v>
      </c>
      <c r="R489" s="48">
        <f t="shared" ca="1" si="65"/>
        <v>0.3</v>
      </c>
      <c r="S489">
        <f t="shared" ca="1" si="66"/>
        <v>190.59241928351474</v>
      </c>
      <c r="T489" s="61">
        <f t="shared" ca="1" si="67"/>
        <v>14400</v>
      </c>
      <c r="U489" s="61">
        <f t="shared" ca="1" si="68"/>
        <v>14731.754798768256</v>
      </c>
      <c r="V489" s="39">
        <f t="shared" ca="1" si="69"/>
        <v>9.6919439465580626E-2</v>
      </c>
      <c r="W489" s="48">
        <f t="shared" ca="1" si="70"/>
        <v>1.1176867714935916</v>
      </c>
    </row>
    <row r="490" spans="17:23" x14ac:dyDescent="0.2">
      <c r="Q490">
        <f t="shared" si="64"/>
        <v>474</v>
      </c>
      <c r="R490" s="48">
        <f t="shared" ca="1" si="65"/>
        <v>0.35</v>
      </c>
      <c r="S490">
        <f t="shared" ca="1" si="66"/>
        <v>163.53678945732253</v>
      </c>
      <c r="T490" s="61">
        <f t="shared" ca="1" si="67"/>
        <v>16800</v>
      </c>
      <c r="U490" s="61">
        <f t="shared" ca="1" si="68"/>
        <v>3039.1305178077146</v>
      </c>
      <c r="V490" s="39">
        <f t="shared" ca="1" si="69"/>
        <v>1.9994279722419173E-2</v>
      </c>
      <c r="W490" s="48">
        <f t="shared" ca="1" si="70"/>
        <v>0.17418679909502499</v>
      </c>
    </row>
    <row r="491" spans="17:23" x14ac:dyDescent="0.2">
      <c r="Q491">
        <f t="shared" si="64"/>
        <v>475</v>
      </c>
      <c r="R491" s="48">
        <f t="shared" ca="1" si="65"/>
        <v>0.4</v>
      </c>
      <c r="S491">
        <f t="shared" ca="1" si="66"/>
        <v>184.86631712622579</v>
      </c>
      <c r="T491" s="61">
        <f t="shared" ca="1" si="67"/>
        <v>19200</v>
      </c>
      <c r="U491" s="61">
        <f t="shared" ca="1" si="68"/>
        <v>16735.832220588381</v>
      </c>
      <c r="V491" s="39">
        <f t="shared" ca="1" si="69"/>
        <v>0.1101041593459762</v>
      </c>
      <c r="W491" s="48">
        <f t="shared" ca="1" si="70"/>
        <v>1.3331907899355109</v>
      </c>
    </row>
    <row r="492" spans="17:23" x14ac:dyDescent="0.2">
      <c r="Q492">
        <f t="shared" si="64"/>
        <v>476</v>
      </c>
      <c r="R492" s="48">
        <f t="shared" ca="1" si="65"/>
        <v>0.4</v>
      </c>
      <c r="S492">
        <f t="shared" ca="1" si="66"/>
        <v>208.7762240121495</v>
      </c>
      <c r="T492" s="61">
        <f t="shared" ca="1" si="67"/>
        <v>19200</v>
      </c>
      <c r="U492" s="61">
        <f t="shared" ca="1" si="68"/>
        <v>28212.587525831761</v>
      </c>
      <c r="V492" s="39">
        <f t="shared" ca="1" si="69"/>
        <v>0.18560912845941949</v>
      </c>
      <c r="W492" s="48">
        <f t="shared" ca="1" si="70"/>
        <v>2.9787623679602313</v>
      </c>
    </row>
    <row r="493" spans="17:23" x14ac:dyDescent="0.2">
      <c r="Q493">
        <f t="shared" si="64"/>
        <v>477</v>
      </c>
      <c r="R493" s="48">
        <f t="shared" ca="1" si="65"/>
        <v>0.35</v>
      </c>
      <c r="S493">
        <f t="shared" ca="1" si="66"/>
        <v>188.0344465363932</v>
      </c>
      <c r="T493" s="61">
        <f t="shared" ca="1" si="67"/>
        <v>16800</v>
      </c>
      <c r="U493" s="61">
        <f t="shared" ca="1" si="68"/>
        <v>15777.912198924467</v>
      </c>
      <c r="V493" s="39">
        <f t="shared" ca="1" si="69"/>
        <v>0.10380205394029254</v>
      </c>
      <c r="W493" s="48">
        <f t="shared" ca="1" si="70"/>
        <v>1.2278978353417336</v>
      </c>
    </row>
    <row r="494" spans="17:23" x14ac:dyDescent="0.2">
      <c r="Q494">
        <f t="shared" si="64"/>
        <v>478</v>
      </c>
      <c r="R494" s="48">
        <f t="shared" ca="1" si="65"/>
        <v>0.4</v>
      </c>
      <c r="S494">
        <f t="shared" ca="1" si="66"/>
        <v>160.06432475373686</v>
      </c>
      <c r="T494" s="61">
        <f t="shared" ca="1" si="67"/>
        <v>19200</v>
      </c>
      <c r="U494" s="61">
        <f t="shared" ca="1" si="68"/>
        <v>4830.8758817936905</v>
      </c>
      <c r="V494" s="39">
        <f t="shared" ca="1" si="69"/>
        <v>3.1782078169695333E-2</v>
      </c>
      <c r="W494" s="48">
        <f t="shared" ca="1" si="70"/>
        <v>0.28888335632767914</v>
      </c>
    </row>
    <row r="495" spans="17:23" x14ac:dyDescent="0.2">
      <c r="Q495">
        <f t="shared" si="64"/>
        <v>479</v>
      </c>
      <c r="R495" s="48">
        <f t="shared" ca="1" si="65"/>
        <v>0.35</v>
      </c>
      <c r="S495">
        <f t="shared" ca="1" si="66"/>
        <v>234.13927189819225</v>
      </c>
      <c r="T495" s="61">
        <f t="shared" ca="1" si="67"/>
        <v>16800</v>
      </c>
      <c r="U495" s="61">
        <f t="shared" ca="1" si="68"/>
        <v>39752.421387059971</v>
      </c>
      <c r="V495" s="39">
        <f t="shared" ca="1" si="69"/>
        <v>0.26152908807276298</v>
      </c>
      <c r="W495" s="48">
        <f t="shared" ca="1" si="70"/>
        <v>5.5824710595937201</v>
      </c>
    </row>
    <row r="496" spans="17:23" x14ac:dyDescent="0.2">
      <c r="Q496">
        <f t="shared" si="64"/>
        <v>480</v>
      </c>
      <c r="R496" s="48">
        <f t="shared" ca="1" si="65"/>
        <v>0.4</v>
      </c>
      <c r="S496">
        <f t="shared" ca="1" si="66"/>
        <v>170.76180235084379</v>
      </c>
      <c r="T496" s="61">
        <f t="shared" ca="1" si="67"/>
        <v>19200</v>
      </c>
      <c r="U496" s="61">
        <f t="shared" ca="1" si="68"/>
        <v>9965.6651284050204</v>
      </c>
      <c r="V496" s="39">
        <f t="shared" ca="1" si="69"/>
        <v>6.5563586371085655E-2</v>
      </c>
      <c r="W496" s="48">
        <f t="shared" ca="1" si="70"/>
        <v>0.67378372855551483</v>
      </c>
    </row>
    <row r="497" spans="17:23" x14ac:dyDescent="0.2">
      <c r="Q497">
        <f t="shared" si="64"/>
        <v>481</v>
      </c>
      <c r="R497" s="48">
        <f t="shared" ca="1" si="65"/>
        <v>0.3</v>
      </c>
      <c r="S497">
        <f t="shared" ca="1" si="66"/>
        <v>210.57652122785194</v>
      </c>
      <c r="T497" s="61">
        <f t="shared" ca="1" si="67"/>
        <v>14400</v>
      </c>
      <c r="U497" s="61">
        <f t="shared" ca="1" si="68"/>
        <v>25922.851887597088</v>
      </c>
      <c r="V497" s="39">
        <f t="shared" ca="1" si="69"/>
        <v>0.17054507820787557</v>
      </c>
      <c r="W497" s="48">
        <f t="shared" ca="1" si="70"/>
        <v>2.5867724757087682</v>
      </c>
    </row>
    <row r="498" spans="17:23" x14ac:dyDescent="0.2">
      <c r="Q498">
        <f t="shared" si="64"/>
        <v>482</v>
      </c>
      <c r="R498" s="48">
        <f t="shared" ca="1" si="65"/>
        <v>0.35</v>
      </c>
      <c r="S498">
        <f t="shared" ca="1" si="66"/>
        <v>176.28694372209392</v>
      </c>
      <c r="T498" s="61">
        <f t="shared" ca="1" si="67"/>
        <v>16800</v>
      </c>
      <c r="U498" s="61">
        <f t="shared" ca="1" si="68"/>
        <v>9669.2107354888394</v>
      </c>
      <c r="V498" s="39">
        <f t="shared" ca="1" si="69"/>
        <v>6.3613228522952897E-2</v>
      </c>
      <c r="W498" s="48">
        <f t="shared" ca="1" si="70"/>
        <v>0.64909551793023756</v>
      </c>
    </row>
    <row r="499" spans="17:23" x14ac:dyDescent="0.2">
      <c r="Q499">
        <f t="shared" si="64"/>
        <v>483</v>
      </c>
      <c r="R499" s="48">
        <f t="shared" ca="1" si="65"/>
        <v>0.4</v>
      </c>
      <c r="S499">
        <f t="shared" ca="1" si="66"/>
        <v>195.11100549557338</v>
      </c>
      <c r="T499" s="61">
        <f t="shared" ca="1" si="67"/>
        <v>19200</v>
      </c>
      <c r="U499" s="61">
        <f t="shared" ca="1" si="68"/>
        <v>21653.282637875222</v>
      </c>
      <c r="V499" s="39">
        <f t="shared" ca="1" si="69"/>
        <v>0.14245580682812645</v>
      </c>
      <c r="W499" s="48">
        <f t="shared" ca="1" si="70"/>
        <v>1.9453836821118946</v>
      </c>
    </row>
    <row r="500" spans="17:23" x14ac:dyDescent="0.2">
      <c r="Q500">
        <f t="shared" si="64"/>
        <v>484</v>
      </c>
      <c r="R500" s="48">
        <f t="shared" ca="1" si="65"/>
        <v>0.35</v>
      </c>
      <c r="S500">
        <f t="shared" ca="1" si="66"/>
        <v>189.61033529634551</v>
      </c>
      <c r="T500" s="61">
        <f t="shared" ca="1" si="67"/>
        <v>16800</v>
      </c>
      <c r="U500" s="61">
        <f t="shared" ca="1" si="68"/>
        <v>16597.374354099666</v>
      </c>
      <c r="V500" s="39">
        <f t="shared" ca="1" si="69"/>
        <v>0.10919325232960306</v>
      </c>
      <c r="W500" s="48">
        <f t="shared" ca="1" si="70"/>
        <v>1.3177071124351993</v>
      </c>
    </row>
    <row r="501" spans="17:23" x14ac:dyDescent="0.2">
      <c r="Q501">
        <f t="shared" si="64"/>
        <v>485</v>
      </c>
      <c r="R501" s="48">
        <f t="shared" ca="1" si="65"/>
        <v>0.35</v>
      </c>
      <c r="S501">
        <f t="shared" ca="1" si="66"/>
        <v>189.16616839940056</v>
      </c>
      <c r="T501" s="61">
        <f t="shared" ca="1" si="67"/>
        <v>16800</v>
      </c>
      <c r="U501" s="61">
        <f t="shared" ca="1" si="68"/>
        <v>16366.407567688291</v>
      </c>
      <c r="V501" s="39">
        <f t="shared" ca="1" si="69"/>
        <v>0.10767373399794929</v>
      </c>
      <c r="W501" s="48">
        <f t="shared" ca="1" si="70"/>
        <v>1.2920786240291924</v>
      </c>
    </row>
    <row r="502" spans="17:23" x14ac:dyDescent="0.2">
      <c r="Q502">
        <f t="shared" si="64"/>
        <v>486</v>
      </c>
      <c r="R502" s="48">
        <f t="shared" ca="1" si="65"/>
        <v>0.35</v>
      </c>
      <c r="S502">
        <f t="shared" ca="1" si="66"/>
        <v>146.73804431255888</v>
      </c>
      <c r="T502" s="61">
        <f t="shared" ca="1" si="67"/>
        <v>16800</v>
      </c>
      <c r="U502" s="61">
        <f t="shared" ca="1" si="68"/>
        <v>-5696.2169574693798</v>
      </c>
      <c r="V502" s="39">
        <f t="shared" ca="1" si="69"/>
        <v>-3.7475111562298553E-2</v>
      </c>
      <c r="W502" s="48">
        <f t="shared" ca="1" si="70"/>
        <v>-0.26641130512683109</v>
      </c>
    </row>
    <row r="503" spans="17:23" x14ac:dyDescent="0.2">
      <c r="Q503">
        <f t="shared" si="64"/>
        <v>487</v>
      </c>
      <c r="R503" s="48">
        <f t="shared" ca="1" si="65"/>
        <v>0.35</v>
      </c>
      <c r="S503">
        <f t="shared" ca="1" si="66"/>
        <v>209.79168606154607</v>
      </c>
      <c r="T503" s="61">
        <f t="shared" ca="1" si="67"/>
        <v>16800</v>
      </c>
      <c r="U503" s="61">
        <f t="shared" ca="1" si="68"/>
        <v>27091.676752003958</v>
      </c>
      <c r="V503" s="39">
        <f t="shared" ca="1" si="69"/>
        <v>0.17823471547371025</v>
      </c>
      <c r="W503" s="48">
        <f t="shared" ca="1" si="70"/>
        <v>2.7824148775430331</v>
      </c>
    </row>
    <row r="504" spans="17:23" x14ac:dyDescent="0.2">
      <c r="Q504">
        <f t="shared" si="64"/>
        <v>488</v>
      </c>
      <c r="R504" s="48">
        <f t="shared" ca="1" si="65"/>
        <v>0.3</v>
      </c>
      <c r="S504">
        <f t="shared" ca="1" si="66"/>
        <v>189.4957125745841</v>
      </c>
      <c r="T504" s="61">
        <f t="shared" ca="1" si="67"/>
        <v>14400</v>
      </c>
      <c r="U504" s="61">
        <f t="shared" ca="1" si="68"/>
        <v>14117.599041767098</v>
      </c>
      <c r="V504" s="39">
        <f t="shared" ca="1" si="69"/>
        <v>9.2878941064257231E-2</v>
      </c>
      <c r="W504" s="48">
        <f t="shared" ca="1" si="70"/>
        <v>1.0552385829907429</v>
      </c>
    </row>
    <row r="505" spans="17:23" x14ac:dyDescent="0.2">
      <c r="Q505">
        <f t="shared" si="64"/>
        <v>489</v>
      </c>
      <c r="R505" s="48">
        <f t="shared" ca="1" si="65"/>
        <v>0.35</v>
      </c>
      <c r="S505">
        <f t="shared" ca="1" si="66"/>
        <v>196.75530662960915</v>
      </c>
      <c r="T505" s="61">
        <f t="shared" ca="1" si="67"/>
        <v>16800</v>
      </c>
      <c r="U505" s="61">
        <f t="shared" ca="1" si="68"/>
        <v>20312.759447396758</v>
      </c>
      <c r="V505" s="39">
        <f t="shared" ca="1" si="69"/>
        <v>0.13363657531182077</v>
      </c>
      <c r="W505" s="48">
        <f t="shared" ca="1" si="70"/>
        <v>1.7659443962115535</v>
      </c>
    </row>
    <row r="506" spans="17:23" x14ac:dyDescent="0.2">
      <c r="Q506">
        <f t="shared" si="64"/>
        <v>490</v>
      </c>
      <c r="R506" s="48">
        <f t="shared" ca="1" si="65"/>
        <v>0.45</v>
      </c>
      <c r="S506">
        <f t="shared" ca="1" si="66"/>
        <v>212.12025863761585</v>
      </c>
      <c r="T506" s="61">
        <f t="shared" ca="1" si="67"/>
        <v>21600</v>
      </c>
      <c r="U506" s="61">
        <f t="shared" ca="1" si="68"/>
        <v>31332.913800550974</v>
      </c>
      <c r="V506" s="39">
        <f t="shared" ca="1" si="69"/>
        <v>0.20613759079309851</v>
      </c>
      <c r="W506" s="48">
        <f t="shared" ca="1" si="70"/>
        <v>3.5731865636010331</v>
      </c>
    </row>
    <row r="507" spans="17:23" x14ac:dyDescent="0.2">
      <c r="Q507">
        <f t="shared" si="64"/>
        <v>491</v>
      </c>
      <c r="R507" s="48">
        <f t="shared" ca="1" si="65"/>
        <v>0.5</v>
      </c>
      <c r="S507">
        <f t="shared" ca="1" si="66"/>
        <v>192.87755501733716</v>
      </c>
      <c r="T507" s="61">
        <f t="shared" ca="1" si="67"/>
        <v>24000</v>
      </c>
      <c r="U507" s="61">
        <f t="shared" ca="1" si="68"/>
        <v>25151.022006934865</v>
      </c>
      <c r="V507" s="39">
        <f t="shared" ca="1" si="69"/>
        <v>0.16546725004562413</v>
      </c>
      <c r="W507" s="48">
        <f t="shared" ca="1" si="70"/>
        <v>2.4624976793191129</v>
      </c>
    </row>
    <row r="508" spans="17:23" x14ac:dyDescent="0.2">
      <c r="Q508">
        <f t="shared" si="64"/>
        <v>492</v>
      </c>
      <c r="R508" s="48">
        <f t="shared" ca="1" si="65"/>
        <v>0.45</v>
      </c>
      <c r="S508">
        <f t="shared" ca="1" si="66"/>
        <v>223.9980325102689</v>
      </c>
      <c r="T508" s="61">
        <f t="shared" ca="1" si="67"/>
        <v>21600</v>
      </c>
      <c r="U508" s="61">
        <f t="shared" ca="1" si="68"/>
        <v>36559.134304518317</v>
      </c>
      <c r="V508" s="39">
        <f t="shared" ca="1" si="69"/>
        <v>0.24052062042446262</v>
      </c>
      <c r="W508" s="48">
        <f t="shared" ca="1" si="70"/>
        <v>4.7442369271294771</v>
      </c>
    </row>
    <row r="509" spans="17:23" x14ac:dyDescent="0.2">
      <c r="Q509">
        <f t="shared" si="64"/>
        <v>493</v>
      </c>
      <c r="R509" s="48">
        <f t="shared" ca="1" si="65"/>
        <v>0.4</v>
      </c>
      <c r="S509">
        <f t="shared" ca="1" si="66"/>
        <v>198.65486728932851</v>
      </c>
      <c r="T509" s="61">
        <f t="shared" ca="1" si="67"/>
        <v>19200</v>
      </c>
      <c r="U509" s="61">
        <f t="shared" ca="1" si="68"/>
        <v>23354.336298877683</v>
      </c>
      <c r="V509" s="39">
        <f t="shared" ca="1" si="69"/>
        <v>0.15364694933472159</v>
      </c>
      <c r="W509" s="48">
        <f t="shared" ca="1" si="70"/>
        <v>2.1877214673818024</v>
      </c>
    </row>
    <row r="510" spans="17:23" x14ac:dyDescent="0.2">
      <c r="Q510">
        <f t="shared" si="64"/>
        <v>494</v>
      </c>
      <c r="R510" s="48">
        <f t="shared" ca="1" si="65"/>
        <v>0.4</v>
      </c>
      <c r="S510">
        <f t="shared" ca="1" si="66"/>
        <v>205.13101185051855</v>
      </c>
      <c r="T510" s="61">
        <f t="shared" ca="1" si="67"/>
        <v>19200</v>
      </c>
      <c r="U510" s="61">
        <f t="shared" ca="1" si="68"/>
        <v>26462.885688248902</v>
      </c>
      <c r="V510" s="39">
        <f t="shared" ca="1" si="69"/>
        <v>0.17409793215953226</v>
      </c>
      <c r="W510" s="48">
        <f t="shared" ca="1" si="70"/>
        <v>2.6760339200883934</v>
      </c>
    </row>
    <row r="511" spans="17:23" x14ac:dyDescent="0.2">
      <c r="Q511">
        <f t="shared" si="64"/>
        <v>495</v>
      </c>
      <c r="R511" s="48">
        <f t="shared" ca="1" si="65"/>
        <v>0.217</v>
      </c>
      <c r="S511">
        <f t="shared" ca="1" si="66"/>
        <v>200.71130026582281</v>
      </c>
      <c r="T511" s="61">
        <f t="shared" ca="1" si="67"/>
        <v>10416</v>
      </c>
      <c r="U511" s="61">
        <f t="shared" ca="1" si="68"/>
        <v>17125.558486511411</v>
      </c>
      <c r="V511" s="39">
        <f t="shared" ca="1" si="69"/>
        <v>0.11266814793757507</v>
      </c>
      <c r="W511" s="48">
        <f t="shared" ca="1" si="70"/>
        <v>1.3772616581054766</v>
      </c>
    </row>
    <row r="512" spans="17:23" x14ac:dyDescent="0.2">
      <c r="Q512">
        <f t="shared" si="64"/>
        <v>496</v>
      </c>
      <c r="R512" s="48">
        <f t="shared" ca="1" si="65"/>
        <v>0.5</v>
      </c>
      <c r="S512">
        <f t="shared" ca="1" si="66"/>
        <v>233.8852980647373</v>
      </c>
      <c r="T512" s="61">
        <f t="shared" ca="1" si="67"/>
        <v>24000</v>
      </c>
      <c r="U512" s="61">
        <f t="shared" ca="1" si="68"/>
        <v>41554.119225894916</v>
      </c>
      <c r="V512" s="39">
        <f t="shared" ca="1" si="69"/>
        <v>0.27338236332825605</v>
      </c>
      <c r="W512" s="48">
        <f t="shared" ca="1" si="70"/>
        <v>6.1012162156207079</v>
      </c>
    </row>
    <row r="513" spans="17:23" x14ac:dyDescent="0.2">
      <c r="Q513">
        <f t="shared" si="64"/>
        <v>497</v>
      </c>
      <c r="R513" s="48">
        <f t="shared" ca="1" si="65"/>
        <v>0.45</v>
      </c>
      <c r="S513">
        <f t="shared" ca="1" si="66"/>
        <v>207.38897885962737</v>
      </c>
      <c r="T513" s="61">
        <f t="shared" ca="1" si="67"/>
        <v>21600</v>
      </c>
      <c r="U513" s="61">
        <f t="shared" ca="1" si="68"/>
        <v>29251.150698236044</v>
      </c>
      <c r="V513" s="39">
        <f t="shared" ca="1" si="69"/>
        <v>0.19244178090944766</v>
      </c>
      <c r="W513" s="48">
        <f t="shared" ca="1" si="70"/>
        <v>3.1686026126918936</v>
      </c>
    </row>
    <row r="514" spans="17:23" x14ac:dyDescent="0.2">
      <c r="Q514">
        <f t="shared" si="64"/>
        <v>498</v>
      </c>
      <c r="R514" s="48">
        <f t="shared" ca="1" si="65"/>
        <v>0.217</v>
      </c>
      <c r="S514">
        <f t="shared" ca="1" si="66"/>
        <v>183.97219211750186</v>
      </c>
      <c r="T514" s="61">
        <f t="shared" ca="1" si="67"/>
        <v>10416</v>
      </c>
      <c r="U514" s="61">
        <f t="shared" ca="1" si="68"/>
        <v>6640.1811424031666</v>
      </c>
      <c r="V514" s="39">
        <f t="shared" ca="1" si="69"/>
        <v>4.3685402252652411E-2</v>
      </c>
      <c r="W514" s="48">
        <f t="shared" ca="1" si="70"/>
        <v>0.41455605845589072</v>
      </c>
    </row>
    <row r="515" spans="17:23" x14ac:dyDescent="0.2">
      <c r="Q515">
        <f t="shared" si="64"/>
        <v>499</v>
      </c>
      <c r="R515" s="48">
        <f t="shared" ca="1" si="65"/>
        <v>0.5</v>
      </c>
      <c r="S515">
        <f t="shared" ca="1" si="66"/>
        <v>192.61036401217893</v>
      </c>
      <c r="T515" s="61">
        <f t="shared" ca="1" si="67"/>
        <v>24000</v>
      </c>
      <c r="U515" s="61">
        <f t="shared" ca="1" si="68"/>
        <v>25044.145604871574</v>
      </c>
      <c r="V515" s="39">
        <f t="shared" ca="1" si="69"/>
        <v>0.1647641158215235</v>
      </c>
      <c r="W515" s="48">
        <f t="shared" ca="1" si="70"/>
        <v>2.4455902901414404</v>
      </c>
    </row>
    <row r="516" spans="17:23" x14ac:dyDescent="0.2">
      <c r="Q516">
        <f t="shared" si="64"/>
        <v>500</v>
      </c>
      <c r="R516" s="48">
        <f t="shared" ca="1" si="65"/>
        <v>0.35</v>
      </c>
      <c r="S516">
        <f t="shared" ca="1" si="66"/>
        <v>211.57760962366808</v>
      </c>
      <c r="T516" s="61">
        <f t="shared" ca="1" si="67"/>
        <v>16800</v>
      </c>
      <c r="U516" s="61">
        <f t="shared" ca="1" si="68"/>
        <v>28020.357004307403</v>
      </c>
      <c r="V516" s="39">
        <f t="shared" ca="1" si="69"/>
        <v>0.18434445397570659</v>
      </c>
      <c r="W516" s="48">
        <f t="shared" ca="1" si="70"/>
        <v>2.9444683085279157</v>
      </c>
    </row>
    <row r="517" spans="17:23" x14ac:dyDescent="0.2">
      <c r="Q517">
        <f t="shared" si="64"/>
        <v>501</v>
      </c>
      <c r="R517" s="48">
        <f t="shared" ca="1" si="65"/>
        <v>0.3</v>
      </c>
      <c r="S517">
        <f t="shared" ca="1" si="66"/>
        <v>174.45606830835487</v>
      </c>
      <c r="T517" s="61">
        <f t="shared" ca="1" si="67"/>
        <v>14400</v>
      </c>
      <c r="U517" s="61">
        <f t="shared" ca="1" si="68"/>
        <v>5695.3982526787295</v>
      </c>
      <c r="V517" s="39">
        <f t="shared" ca="1" si="69"/>
        <v>3.7469725346570587E-2</v>
      </c>
      <c r="W517" s="48">
        <f t="shared" ca="1" si="70"/>
        <v>0.34765431619344089</v>
      </c>
    </row>
    <row r="518" spans="17:23" x14ac:dyDescent="0.2">
      <c r="Q518">
        <f t="shared" si="64"/>
        <v>502</v>
      </c>
      <c r="R518" s="48">
        <f t="shared" ca="1" si="65"/>
        <v>0.3</v>
      </c>
      <c r="S518">
        <f t="shared" ca="1" si="66"/>
        <v>192.45657940357276</v>
      </c>
      <c r="T518" s="61">
        <f t="shared" ca="1" si="67"/>
        <v>14400</v>
      </c>
      <c r="U518" s="61">
        <f t="shared" ca="1" si="68"/>
        <v>15775.684466000746</v>
      </c>
      <c r="V518" s="39">
        <f t="shared" ca="1" si="69"/>
        <v>0.10378739780263649</v>
      </c>
      <c r="W518" s="48">
        <f t="shared" ca="1" si="70"/>
        <v>1.2276579059479542</v>
      </c>
    </row>
    <row r="519" spans="17:23" x14ac:dyDescent="0.2">
      <c r="Q519">
        <f t="shared" si="64"/>
        <v>503</v>
      </c>
      <c r="R519" s="48">
        <f t="shared" ca="1" si="65"/>
        <v>0.217</v>
      </c>
      <c r="S519">
        <f t="shared" ca="1" si="66"/>
        <v>179.1119367607775</v>
      </c>
      <c r="T519" s="61">
        <f t="shared" ca="1" si="67"/>
        <v>10416</v>
      </c>
      <c r="U519" s="61">
        <f t="shared" ca="1" si="68"/>
        <v>3595.7171869510239</v>
      </c>
      <c r="V519" s="39">
        <f t="shared" ca="1" si="69"/>
        <v>2.3656034124677788E-2</v>
      </c>
      <c r="W519" s="48">
        <f t="shared" ca="1" si="70"/>
        <v>0.20881720956854788</v>
      </c>
    </row>
    <row r="520" spans="17:23" x14ac:dyDescent="0.2">
      <c r="Q520">
        <f t="shared" si="64"/>
        <v>504</v>
      </c>
      <c r="R520" s="48">
        <f t="shared" ca="1" si="65"/>
        <v>0.5</v>
      </c>
      <c r="S520">
        <f t="shared" ca="1" si="66"/>
        <v>227.82877883546686</v>
      </c>
      <c r="T520" s="61">
        <f t="shared" ca="1" si="67"/>
        <v>24000</v>
      </c>
      <c r="U520" s="61">
        <f t="shared" ca="1" si="68"/>
        <v>39131.511534186749</v>
      </c>
      <c r="V520" s="39">
        <f t="shared" ca="1" si="69"/>
        <v>0.25744415483017596</v>
      </c>
      <c r="W520" s="48">
        <f t="shared" ca="1" si="70"/>
        <v>5.4115635622718914</v>
      </c>
    </row>
    <row r="521" spans="17:23" x14ac:dyDescent="0.2">
      <c r="Q521">
        <f t="shared" si="64"/>
        <v>505</v>
      </c>
      <c r="R521" s="48">
        <f t="shared" ca="1" si="65"/>
        <v>0.45</v>
      </c>
      <c r="S521">
        <f t="shared" ca="1" si="66"/>
        <v>204.08097973507711</v>
      </c>
      <c r="T521" s="61">
        <f t="shared" ca="1" si="67"/>
        <v>21600</v>
      </c>
      <c r="U521" s="61">
        <f t="shared" ca="1" si="68"/>
        <v>27795.631083433927</v>
      </c>
      <c r="V521" s="39">
        <f t="shared" ca="1" si="69"/>
        <v>0.18286599396996006</v>
      </c>
      <c r="W521" s="48">
        <f t="shared" ca="1" si="70"/>
        <v>2.9047058372340246</v>
      </c>
    </row>
    <row r="522" spans="17:23" x14ac:dyDescent="0.2">
      <c r="Q522">
        <f t="shared" si="64"/>
        <v>506</v>
      </c>
      <c r="R522" s="48">
        <f t="shared" ca="1" si="65"/>
        <v>0.35</v>
      </c>
      <c r="S522">
        <f t="shared" ca="1" si="66"/>
        <v>205.73550445628979</v>
      </c>
      <c r="T522" s="61">
        <f t="shared" ca="1" si="67"/>
        <v>16800</v>
      </c>
      <c r="U522" s="61">
        <f t="shared" ca="1" si="68"/>
        <v>24982.462317270692</v>
      </c>
      <c r="V522" s="39">
        <f t="shared" ca="1" si="69"/>
        <v>0.16435830471888613</v>
      </c>
      <c r="W522" s="48">
        <f t="shared" ca="1" si="70"/>
        <v>2.4358652370207587</v>
      </c>
    </row>
    <row r="523" spans="17:23" x14ac:dyDescent="0.2">
      <c r="Q523">
        <f t="shared" si="64"/>
        <v>507</v>
      </c>
      <c r="R523" s="48">
        <f t="shared" ca="1" si="65"/>
        <v>0.3</v>
      </c>
      <c r="S523">
        <f t="shared" ca="1" si="66"/>
        <v>210.89110638092259</v>
      </c>
      <c r="T523" s="61">
        <f t="shared" ca="1" si="67"/>
        <v>14400</v>
      </c>
      <c r="U523" s="61">
        <f t="shared" ca="1" si="68"/>
        <v>26099.019573316655</v>
      </c>
      <c r="V523" s="39">
        <f t="shared" ca="1" si="69"/>
        <v>0.17170407614024116</v>
      </c>
      <c r="W523" s="48">
        <f t="shared" ca="1" si="70"/>
        <v>2.6156798079713117</v>
      </c>
    </row>
    <row r="524" spans="17:23" x14ac:dyDescent="0.2">
      <c r="Q524">
        <f t="shared" si="64"/>
        <v>508</v>
      </c>
      <c r="R524" s="48">
        <f t="shared" ca="1" si="65"/>
        <v>0.4</v>
      </c>
      <c r="S524">
        <f t="shared" ca="1" si="66"/>
        <v>187.4984343954462</v>
      </c>
      <c r="T524" s="61">
        <f t="shared" ca="1" si="67"/>
        <v>19200</v>
      </c>
      <c r="U524" s="61">
        <f t="shared" ca="1" si="68"/>
        <v>17999.248509814173</v>
      </c>
      <c r="V524" s="39">
        <f t="shared" ca="1" si="69"/>
        <v>0.11841610861719851</v>
      </c>
      <c r="W524" s="48">
        <f t="shared" ca="1" si="70"/>
        <v>1.4787212399973573</v>
      </c>
    </row>
    <row r="525" spans="17:23" x14ac:dyDescent="0.2">
      <c r="Q525">
        <f t="shared" si="64"/>
        <v>509</v>
      </c>
      <c r="R525" s="48">
        <f t="shared" ca="1" si="65"/>
        <v>0.45</v>
      </c>
      <c r="S525">
        <f t="shared" ca="1" si="66"/>
        <v>152.34617468923338</v>
      </c>
      <c r="T525" s="61">
        <f t="shared" ca="1" si="67"/>
        <v>21600</v>
      </c>
      <c r="U525" s="61">
        <f t="shared" ca="1" si="68"/>
        <v>5032.3168632626839</v>
      </c>
      <c r="V525" s="39">
        <f t="shared" ca="1" si="69"/>
        <v>3.3107347784622917E-2</v>
      </c>
      <c r="W525" s="48">
        <f t="shared" ca="1" si="70"/>
        <v>0.30237280735499117</v>
      </c>
    </row>
    <row r="526" spans="17:23" x14ac:dyDescent="0.2">
      <c r="Q526">
        <f t="shared" si="64"/>
        <v>510</v>
      </c>
      <c r="R526" s="48">
        <f t="shared" ca="1" si="65"/>
        <v>0.35</v>
      </c>
      <c r="S526">
        <f t="shared" ca="1" si="66"/>
        <v>194.48557135401649</v>
      </c>
      <c r="T526" s="61">
        <f t="shared" ca="1" si="67"/>
        <v>16800</v>
      </c>
      <c r="U526" s="61">
        <f t="shared" ca="1" si="68"/>
        <v>19132.497104088572</v>
      </c>
      <c r="V526" s="39">
        <f t="shared" ca="1" si="69"/>
        <v>0.12587169147426691</v>
      </c>
      <c r="W526" s="48">
        <f t="shared" ca="1" si="70"/>
        <v>1.6159665414313698</v>
      </c>
    </row>
    <row r="527" spans="17:23" x14ac:dyDescent="0.2">
      <c r="Q527">
        <f t="shared" si="64"/>
        <v>511</v>
      </c>
      <c r="R527" s="48">
        <f t="shared" ca="1" si="65"/>
        <v>0.3</v>
      </c>
      <c r="S527">
        <f t="shared" ca="1" si="66"/>
        <v>197.39679837135796</v>
      </c>
      <c r="T527" s="61">
        <f t="shared" ca="1" si="67"/>
        <v>14400</v>
      </c>
      <c r="U527" s="61">
        <f t="shared" ca="1" si="68"/>
        <v>18542.207087960458</v>
      </c>
      <c r="V527" s="39">
        <f t="shared" ca="1" si="69"/>
        <v>0.12198820452605565</v>
      </c>
      <c r="W527" s="48">
        <f t="shared" ca="1" si="70"/>
        <v>1.5436689237023629</v>
      </c>
    </row>
    <row r="528" spans="17:23" x14ac:dyDescent="0.2">
      <c r="Q528">
        <f t="shared" si="64"/>
        <v>512</v>
      </c>
      <c r="R528" s="48">
        <f t="shared" ca="1" si="65"/>
        <v>0.3</v>
      </c>
      <c r="S528">
        <f t="shared" ca="1" si="66"/>
        <v>184.15451348054432</v>
      </c>
      <c r="T528" s="61">
        <f t="shared" ca="1" si="67"/>
        <v>14400</v>
      </c>
      <c r="U528" s="61">
        <f t="shared" ca="1" si="68"/>
        <v>11126.527549104821</v>
      </c>
      <c r="V528" s="39">
        <f t="shared" ca="1" si="69"/>
        <v>7.3200839138847507E-2</v>
      </c>
      <c r="W528" s="48">
        <f t="shared" ca="1" si="70"/>
        <v>0.77360550873438405</v>
      </c>
    </row>
    <row r="529" spans="17:23" x14ac:dyDescent="0.2">
      <c r="Q529">
        <f t="shared" si="64"/>
        <v>513</v>
      </c>
      <c r="R529" s="48">
        <f t="shared" ca="1" si="65"/>
        <v>0.217</v>
      </c>
      <c r="S529">
        <f t="shared" ca="1" si="66"/>
        <v>173.51300660842833</v>
      </c>
      <c r="T529" s="61">
        <f t="shared" ca="1" si="67"/>
        <v>10416</v>
      </c>
      <c r="U529" s="61">
        <f t="shared" ca="1" si="68"/>
        <v>88.547339519504021</v>
      </c>
      <c r="V529" s="39">
        <f t="shared" ca="1" si="69"/>
        <v>5.8254828631252643E-4</v>
      </c>
      <c r="W529" s="48">
        <f t="shared" ca="1" si="70"/>
        <v>4.7349125476190412E-3</v>
      </c>
    </row>
    <row r="530" spans="17:23" x14ac:dyDescent="0.2">
      <c r="Q530">
        <f t="shared" si="64"/>
        <v>514</v>
      </c>
      <c r="R530" s="48">
        <f t="shared" ca="1" si="65"/>
        <v>0.3</v>
      </c>
      <c r="S530">
        <f t="shared" ca="1" si="66"/>
        <v>210.50277535523841</v>
      </c>
      <c r="T530" s="61">
        <f t="shared" ca="1" si="67"/>
        <v>14400</v>
      </c>
      <c r="U530" s="61">
        <f t="shared" ca="1" si="68"/>
        <v>25881.554198933511</v>
      </c>
      <c r="V530" s="39">
        <f t="shared" ca="1" si="69"/>
        <v>0.17027338288772045</v>
      </c>
      <c r="W530" s="48">
        <f t="shared" ca="1" si="70"/>
        <v>2.5800253344811725</v>
      </c>
    </row>
    <row r="531" spans="17:23" x14ac:dyDescent="0.2">
      <c r="Q531">
        <f t="shared" ref="Q531:Q594" si="71">Q530+1</f>
        <v>515</v>
      </c>
      <c r="R531" s="48">
        <f t="shared" ref="R531:R594" ca="1" si="72">LOOKUP(RAND(),$U$6:$U$12,$S$6:$S$12)</f>
        <v>0.217</v>
      </c>
      <c r="S531">
        <f t="shared" ref="S531:S594" ca="1" si="73">_xlfn.NORM.INV(RAND(),$Q$5,$Q$10)</f>
        <v>190.66994427133898</v>
      </c>
      <c r="T531" s="61">
        <f t="shared" ref="T531:T594" ca="1" si="74">($B$8-$B$7)*($E$6*R531)</f>
        <v>10416</v>
      </c>
      <c r="U531" s="61">
        <f t="shared" ref="U531:U594" ca="1" si="75">T531+((S531-$B$7)*($E$6*(1-R531)))</f>
        <v>10835.653091566735</v>
      </c>
      <c r="V531" s="39">
        <f t="shared" ref="V531:V594" ca="1" si="76">U531/$E$4</f>
        <v>7.1287191391886412E-2</v>
      </c>
      <c r="W531" s="48">
        <f t="shared" ref="W531:W594" ca="1" si="77">(1+V531)^($J$29/$J$30)-1</f>
        <v>0.74811572039812102</v>
      </c>
    </row>
    <row r="532" spans="17:23" x14ac:dyDescent="0.2">
      <c r="Q532">
        <f t="shared" si="71"/>
        <v>516</v>
      </c>
      <c r="R532" s="48">
        <f t="shared" ca="1" si="72"/>
        <v>0.45</v>
      </c>
      <c r="S532">
        <f t="shared" ca="1" si="73"/>
        <v>169.03732284842968</v>
      </c>
      <c r="T532" s="61">
        <f t="shared" ca="1" si="74"/>
        <v>21600</v>
      </c>
      <c r="U532" s="61">
        <f t="shared" ca="1" si="75"/>
        <v>12376.422053309059</v>
      </c>
      <c r="V532" s="39">
        <f t="shared" ca="1" si="76"/>
        <v>8.142382929808592E-2</v>
      </c>
      <c r="W532" s="48">
        <f t="shared" ca="1" si="77"/>
        <v>0.88688228320143914</v>
      </c>
    </row>
    <row r="533" spans="17:23" x14ac:dyDescent="0.2">
      <c r="Q533">
        <f t="shared" si="71"/>
        <v>517</v>
      </c>
      <c r="R533" s="48">
        <f t="shared" ca="1" si="72"/>
        <v>0.4</v>
      </c>
      <c r="S533">
        <f t="shared" ca="1" si="73"/>
        <v>191.80695462438092</v>
      </c>
      <c r="T533" s="61">
        <f t="shared" ca="1" si="74"/>
        <v>19200</v>
      </c>
      <c r="U533" s="61">
        <f t="shared" ca="1" si="75"/>
        <v>20067.33821970284</v>
      </c>
      <c r="V533" s="39">
        <f t="shared" ca="1" si="76"/>
        <v>0.13202196197172922</v>
      </c>
      <c r="W533" s="48">
        <f t="shared" ca="1" si="77"/>
        <v>1.7341522397743296</v>
      </c>
    </row>
    <row r="534" spans="17:23" x14ac:dyDescent="0.2">
      <c r="Q534">
        <f t="shared" si="71"/>
        <v>518</v>
      </c>
      <c r="R534" s="48">
        <f t="shared" ca="1" si="72"/>
        <v>0.35</v>
      </c>
      <c r="S534">
        <f t="shared" ca="1" si="73"/>
        <v>185.31648760224752</v>
      </c>
      <c r="T534" s="61">
        <f t="shared" ca="1" si="74"/>
        <v>16800</v>
      </c>
      <c r="U534" s="61">
        <f t="shared" ca="1" si="75"/>
        <v>14364.57355316871</v>
      </c>
      <c r="V534" s="39">
        <f t="shared" ca="1" si="76"/>
        <v>9.4503773376109934E-2</v>
      </c>
      <c r="W534" s="48">
        <f t="shared" ca="1" si="77"/>
        <v>1.0801544346559244</v>
      </c>
    </row>
    <row r="535" spans="17:23" x14ac:dyDescent="0.2">
      <c r="Q535">
        <f t="shared" si="71"/>
        <v>519</v>
      </c>
      <c r="R535" s="48">
        <f t="shared" ca="1" si="72"/>
        <v>0.3</v>
      </c>
      <c r="S535">
        <f t="shared" ca="1" si="73"/>
        <v>189.98398628402853</v>
      </c>
      <c r="T535" s="61">
        <f t="shared" ca="1" si="74"/>
        <v>14400</v>
      </c>
      <c r="U535" s="61">
        <f t="shared" ca="1" si="75"/>
        <v>14391.032319055977</v>
      </c>
      <c r="V535" s="39">
        <f t="shared" ca="1" si="76"/>
        <v>9.4677844204315645E-2</v>
      </c>
      <c r="W535" s="48">
        <f t="shared" ca="1" si="77"/>
        <v>1.0828393478960918</v>
      </c>
    </row>
    <row r="536" spans="17:23" x14ac:dyDescent="0.2">
      <c r="Q536">
        <f t="shared" si="71"/>
        <v>520</v>
      </c>
      <c r="R536" s="48">
        <f t="shared" ca="1" si="72"/>
        <v>0.217</v>
      </c>
      <c r="S536">
        <f t="shared" ca="1" si="73"/>
        <v>198.62190982198734</v>
      </c>
      <c r="T536" s="61">
        <f t="shared" ca="1" si="74"/>
        <v>10416</v>
      </c>
      <c r="U536" s="61">
        <f t="shared" ca="1" si="75"/>
        <v>15816.764312492873</v>
      </c>
      <c r="V536" s="39">
        <f t="shared" ca="1" si="76"/>
        <v>0.104057659950611</v>
      </c>
      <c r="W536" s="48">
        <f t="shared" ca="1" si="77"/>
        <v>1.2320858971852426</v>
      </c>
    </row>
    <row r="537" spans="17:23" x14ac:dyDescent="0.2">
      <c r="Q537">
        <f t="shared" si="71"/>
        <v>521</v>
      </c>
      <c r="R537" s="48">
        <f t="shared" ca="1" si="72"/>
        <v>0.4</v>
      </c>
      <c r="S537">
        <f t="shared" ca="1" si="73"/>
        <v>195.6569137993319</v>
      </c>
      <c r="T537" s="61">
        <f t="shared" ca="1" si="74"/>
        <v>19200</v>
      </c>
      <c r="U537" s="61">
        <f t="shared" ca="1" si="75"/>
        <v>21915.318623679312</v>
      </c>
      <c r="V537" s="39">
        <f t="shared" ca="1" si="76"/>
        <v>0.1441797277873639</v>
      </c>
      <c r="W537" s="48">
        <f t="shared" ca="1" si="77"/>
        <v>1.9816272672669881</v>
      </c>
    </row>
    <row r="538" spans="17:23" x14ac:dyDescent="0.2">
      <c r="Q538">
        <f t="shared" si="71"/>
        <v>522</v>
      </c>
      <c r="R538" s="48">
        <f t="shared" ca="1" si="72"/>
        <v>0.35</v>
      </c>
      <c r="S538">
        <f t="shared" ca="1" si="73"/>
        <v>196.2970554965793</v>
      </c>
      <c r="T538" s="61">
        <f t="shared" ca="1" si="74"/>
        <v>16800</v>
      </c>
      <c r="U538" s="61">
        <f t="shared" ca="1" si="75"/>
        <v>20074.46885822124</v>
      </c>
      <c r="V538" s="39">
        <f t="shared" ca="1" si="76"/>
        <v>0.13206887406724499</v>
      </c>
      <c r="W538" s="48">
        <f t="shared" ca="1" si="77"/>
        <v>1.7350714122602358</v>
      </c>
    </row>
    <row r="539" spans="17:23" x14ac:dyDescent="0.2">
      <c r="Q539">
        <f t="shared" si="71"/>
        <v>523</v>
      </c>
      <c r="R539" s="48">
        <f t="shared" ca="1" si="72"/>
        <v>0.35</v>
      </c>
      <c r="S539">
        <f t="shared" ca="1" si="73"/>
        <v>199.46064761370982</v>
      </c>
      <c r="T539" s="61">
        <f t="shared" ca="1" si="74"/>
        <v>16800</v>
      </c>
      <c r="U539" s="61">
        <f t="shared" ca="1" si="75"/>
        <v>21719.536759129107</v>
      </c>
      <c r="V539" s="39">
        <f t="shared" ca="1" si="76"/>
        <v>0.14289168920479675</v>
      </c>
      <c r="W539" s="48">
        <f t="shared" ca="1" si="77"/>
        <v>1.9545109612033644</v>
      </c>
    </row>
    <row r="540" spans="17:23" x14ac:dyDescent="0.2">
      <c r="Q540">
        <f t="shared" si="71"/>
        <v>524</v>
      </c>
      <c r="R540" s="48">
        <f t="shared" ca="1" si="72"/>
        <v>0.35</v>
      </c>
      <c r="S540">
        <f t="shared" ca="1" si="73"/>
        <v>192.66620419269682</v>
      </c>
      <c r="T540" s="61">
        <f t="shared" ca="1" si="74"/>
        <v>16800</v>
      </c>
      <c r="U540" s="61">
        <f t="shared" ca="1" si="75"/>
        <v>18186.42618020235</v>
      </c>
      <c r="V540" s="39">
        <f t="shared" ca="1" si="76"/>
        <v>0.11964754065922599</v>
      </c>
      <c r="W540" s="48">
        <f t="shared" ca="1" si="77"/>
        <v>1.5009449087325391</v>
      </c>
    </row>
    <row r="541" spans="17:23" x14ac:dyDescent="0.2">
      <c r="Q541">
        <f t="shared" si="71"/>
        <v>525</v>
      </c>
      <c r="R541" s="48">
        <f t="shared" ca="1" si="72"/>
        <v>0.5</v>
      </c>
      <c r="S541">
        <f t="shared" ca="1" si="73"/>
        <v>175.43158586492953</v>
      </c>
      <c r="T541" s="61">
        <f t="shared" ca="1" si="74"/>
        <v>24000</v>
      </c>
      <c r="U541" s="61">
        <f t="shared" ca="1" si="75"/>
        <v>18172.634345971812</v>
      </c>
      <c r="V541" s="39">
        <f t="shared" ca="1" si="76"/>
        <v>0.11955680490770929</v>
      </c>
      <c r="W541" s="48">
        <f t="shared" ca="1" si="77"/>
        <v>1.499301458903171</v>
      </c>
    </row>
    <row r="542" spans="17:23" x14ac:dyDescent="0.2">
      <c r="Q542">
        <f t="shared" si="71"/>
        <v>526</v>
      </c>
      <c r="R542" s="48">
        <f t="shared" ca="1" si="72"/>
        <v>0.45</v>
      </c>
      <c r="S542">
        <f t="shared" ca="1" si="73"/>
        <v>195.68365896030693</v>
      </c>
      <c r="T542" s="61">
        <f t="shared" ca="1" si="74"/>
        <v>21600</v>
      </c>
      <c r="U542" s="61">
        <f t="shared" ca="1" si="75"/>
        <v>24100.809942535048</v>
      </c>
      <c r="V542" s="39">
        <f t="shared" ca="1" si="76"/>
        <v>0.1585579601482569</v>
      </c>
      <c r="W542" s="48">
        <f t="shared" ca="1" si="77"/>
        <v>2.2994693455297295</v>
      </c>
    </row>
    <row r="543" spans="17:23" x14ac:dyDescent="0.2">
      <c r="Q543">
        <f t="shared" si="71"/>
        <v>527</v>
      </c>
      <c r="R543" s="48">
        <f t="shared" ca="1" si="72"/>
        <v>0.35</v>
      </c>
      <c r="S543">
        <f t="shared" ca="1" si="73"/>
        <v>198.5034886381824</v>
      </c>
      <c r="T543" s="61">
        <f t="shared" ca="1" si="74"/>
        <v>16800</v>
      </c>
      <c r="U543" s="61">
        <f t="shared" ca="1" si="75"/>
        <v>21221.814091854849</v>
      </c>
      <c r="V543" s="39">
        <f t="shared" ca="1" si="76"/>
        <v>0.13961719797272926</v>
      </c>
      <c r="W543" s="48">
        <f t="shared" ca="1" si="77"/>
        <v>1.8865461901731821</v>
      </c>
    </row>
    <row r="544" spans="17:23" x14ac:dyDescent="0.2">
      <c r="Q544">
        <f t="shared" si="71"/>
        <v>528</v>
      </c>
      <c r="R544" s="48">
        <f t="shared" ca="1" si="72"/>
        <v>0.35</v>
      </c>
      <c r="S544">
        <f t="shared" ca="1" si="73"/>
        <v>187.33092678843866</v>
      </c>
      <c r="T544" s="61">
        <f t="shared" ca="1" si="74"/>
        <v>16800</v>
      </c>
      <c r="U544" s="61">
        <f t="shared" ca="1" si="75"/>
        <v>15412.081929988104</v>
      </c>
      <c r="V544" s="39">
        <f t="shared" ca="1" si="76"/>
        <v>0.1013952758551849</v>
      </c>
      <c r="W544" s="48">
        <f t="shared" ca="1" si="77"/>
        <v>1.1887997551385134</v>
      </c>
    </row>
    <row r="545" spans="17:23" x14ac:dyDescent="0.2">
      <c r="Q545">
        <f t="shared" si="71"/>
        <v>529</v>
      </c>
      <c r="R545" s="48">
        <f t="shared" ca="1" si="72"/>
        <v>0.4</v>
      </c>
      <c r="S545">
        <f t="shared" ca="1" si="73"/>
        <v>206.96884074518024</v>
      </c>
      <c r="T545" s="61">
        <f t="shared" ca="1" si="74"/>
        <v>19200</v>
      </c>
      <c r="U545" s="61">
        <f t="shared" ca="1" si="75"/>
        <v>27345.043557686517</v>
      </c>
      <c r="V545" s="39">
        <f t="shared" ca="1" si="76"/>
        <v>0.17990160235320077</v>
      </c>
      <c r="W545" s="48">
        <f t="shared" ca="1" si="77"/>
        <v>2.8260372415446957</v>
      </c>
    </row>
    <row r="546" spans="17:23" x14ac:dyDescent="0.2">
      <c r="Q546">
        <f t="shared" si="71"/>
        <v>530</v>
      </c>
      <c r="R546" s="48">
        <f t="shared" ca="1" si="72"/>
        <v>0.35</v>
      </c>
      <c r="S546">
        <f t="shared" ca="1" si="73"/>
        <v>195.93744824415819</v>
      </c>
      <c r="T546" s="61">
        <f t="shared" ca="1" si="74"/>
        <v>16800</v>
      </c>
      <c r="U546" s="61">
        <f t="shared" ca="1" si="75"/>
        <v>19887.473086962258</v>
      </c>
      <c r="V546" s="39">
        <f t="shared" ca="1" si="76"/>
        <v>0.13083863873001486</v>
      </c>
      <c r="W546" s="48">
        <f t="shared" ca="1" si="77"/>
        <v>1.7110561804194115</v>
      </c>
    </row>
    <row r="547" spans="17:23" x14ac:dyDescent="0.2">
      <c r="Q547">
        <f t="shared" si="71"/>
        <v>531</v>
      </c>
      <c r="R547" s="48">
        <f t="shared" ca="1" si="72"/>
        <v>0.3</v>
      </c>
      <c r="S547">
        <f t="shared" ca="1" si="73"/>
        <v>177.2463986748092</v>
      </c>
      <c r="T547" s="61">
        <f t="shared" ca="1" si="74"/>
        <v>14400</v>
      </c>
      <c r="U547" s="61">
        <f t="shared" ca="1" si="75"/>
        <v>7257.9832578931519</v>
      </c>
      <c r="V547" s="39">
        <f t="shared" ca="1" si="76"/>
        <v>4.7749889854560211E-2</v>
      </c>
      <c r="W547" s="48">
        <f t="shared" ca="1" si="77"/>
        <v>0.4598621136359875</v>
      </c>
    </row>
    <row r="548" spans="17:23" x14ac:dyDescent="0.2">
      <c r="Q548">
        <f t="shared" si="71"/>
        <v>532</v>
      </c>
      <c r="R548" s="48">
        <f t="shared" ca="1" si="72"/>
        <v>0.35</v>
      </c>
      <c r="S548">
        <f t="shared" ca="1" si="73"/>
        <v>211.88213211027255</v>
      </c>
      <c r="T548" s="61">
        <f t="shared" ca="1" si="74"/>
        <v>16800</v>
      </c>
      <c r="U548" s="61">
        <f t="shared" ca="1" si="75"/>
        <v>28178.708697341724</v>
      </c>
      <c r="V548" s="39">
        <f t="shared" ca="1" si="76"/>
        <v>0.18538624142987978</v>
      </c>
      <c r="W548" s="48">
        <f t="shared" ca="1" si="77"/>
        <v>2.9726994549601251</v>
      </c>
    </row>
    <row r="549" spans="17:23" x14ac:dyDescent="0.2">
      <c r="Q549">
        <f t="shared" si="71"/>
        <v>533</v>
      </c>
      <c r="R549" s="48">
        <f t="shared" ca="1" si="72"/>
        <v>0.35</v>
      </c>
      <c r="S549">
        <f t="shared" ca="1" si="73"/>
        <v>190.95106511322169</v>
      </c>
      <c r="T549" s="61">
        <f t="shared" ca="1" si="74"/>
        <v>16800</v>
      </c>
      <c r="U549" s="61">
        <f t="shared" ca="1" si="75"/>
        <v>17294.553858875279</v>
      </c>
      <c r="V549" s="39">
        <f t="shared" ca="1" si="76"/>
        <v>0.11377995959786368</v>
      </c>
      <c r="W549" s="48">
        <f t="shared" ca="1" si="77"/>
        <v>1.3965976419167476</v>
      </c>
    </row>
    <row r="550" spans="17:23" x14ac:dyDescent="0.2">
      <c r="Q550">
        <f t="shared" si="71"/>
        <v>534</v>
      </c>
      <c r="R550" s="48">
        <f t="shared" ca="1" si="72"/>
        <v>0.3</v>
      </c>
      <c r="S550">
        <f t="shared" ca="1" si="73"/>
        <v>194.14100834750818</v>
      </c>
      <c r="T550" s="61">
        <f t="shared" ca="1" si="74"/>
        <v>14400</v>
      </c>
      <c r="U550" s="61">
        <f t="shared" ca="1" si="75"/>
        <v>16718.96467460458</v>
      </c>
      <c r="V550" s="39">
        <f t="shared" ca="1" si="76"/>
        <v>0.10999318864871434</v>
      </c>
      <c r="W550" s="48">
        <f t="shared" ca="1" si="77"/>
        <v>1.3312996623375368</v>
      </c>
    </row>
    <row r="551" spans="17:23" x14ac:dyDescent="0.2">
      <c r="Q551">
        <f t="shared" si="71"/>
        <v>535</v>
      </c>
      <c r="R551" s="48">
        <f t="shared" ca="1" si="72"/>
        <v>0.35</v>
      </c>
      <c r="S551">
        <f t="shared" ca="1" si="73"/>
        <v>218.55936699774949</v>
      </c>
      <c r="T551" s="61">
        <f t="shared" ca="1" si="74"/>
        <v>16800</v>
      </c>
      <c r="U551" s="61">
        <f t="shared" ca="1" si="75"/>
        <v>31650.870838829738</v>
      </c>
      <c r="V551" s="39">
        <f t="shared" ca="1" si="76"/>
        <v>0.20822941341335355</v>
      </c>
      <c r="W551" s="48">
        <f t="shared" ca="1" si="77"/>
        <v>3.6379167010215214</v>
      </c>
    </row>
    <row r="552" spans="17:23" x14ac:dyDescent="0.2">
      <c r="Q552">
        <f t="shared" si="71"/>
        <v>536</v>
      </c>
      <c r="R552" s="48">
        <f t="shared" ca="1" si="72"/>
        <v>0.45</v>
      </c>
      <c r="S552">
        <f t="shared" ca="1" si="73"/>
        <v>185.79216850332216</v>
      </c>
      <c r="T552" s="61">
        <f t="shared" ca="1" si="74"/>
        <v>21600</v>
      </c>
      <c r="U552" s="61">
        <f t="shared" ca="1" si="75"/>
        <v>19748.554141461751</v>
      </c>
      <c r="V552" s="39">
        <f t="shared" ca="1" si="76"/>
        <v>0.12992469829909048</v>
      </c>
      <c r="W552" s="48">
        <f t="shared" ca="1" si="77"/>
        <v>1.6933351734303148</v>
      </c>
    </row>
    <row r="553" spans="17:23" x14ac:dyDescent="0.2">
      <c r="Q553">
        <f t="shared" si="71"/>
        <v>537</v>
      </c>
      <c r="R553" s="48">
        <f t="shared" ca="1" si="72"/>
        <v>0.35</v>
      </c>
      <c r="S553">
        <f t="shared" ca="1" si="73"/>
        <v>174.32900895137075</v>
      </c>
      <c r="T553" s="61">
        <f t="shared" ca="1" si="74"/>
        <v>16800</v>
      </c>
      <c r="U553" s="61">
        <f t="shared" ca="1" si="75"/>
        <v>8651.0846547127912</v>
      </c>
      <c r="V553" s="39">
        <f t="shared" ca="1" si="76"/>
        <v>5.6915030623110471E-2</v>
      </c>
      <c r="W553" s="48">
        <f t="shared" ca="1" si="77"/>
        <v>0.56672117256883792</v>
      </c>
    </row>
    <row r="554" spans="17:23" x14ac:dyDescent="0.2">
      <c r="Q554">
        <f t="shared" si="71"/>
        <v>538</v>
      </c>
      <c r="R554" s="48">
        <f t="shared" ca="1" si="72"/>
        <v>0.5</v>
      </c>
      <c r="S554">
        <f t="shared" ca="1" si="73"/>
        <v>169.53225169915552</v>
      </c>
      <c r="T554" s="61">
        <f t="shared" ca="1" si="74"/>
        <v>24000</v>
      </c>
      <c r="U554" s="61">
        <f t="shared" ca="1" si="75"/>
        <v>15812.900679662209</v>
      </c>
      <c r="V554" s="39">
        <f t="shared" ca="1" si="76"/>
        <v>0.10403224131356717</v>
      </c>
      <c r="W554" s="48">
        <f t="shared" ca="1" si="77"/>
        <v>1.2316691082240876</v>
      </c>
    </row>
    <row r="555" spans="17:23" x14ac:dyDescent="0.2">
      <c r="Q555">
        <f t="shared" si="71"/>
        <v>539</v>
      </c>
      <c r="R555" s="48">
        <f t="shared" ca="1" si="72"/>
        <v>0.35</v>
      </c>
      <c r="S555">
        <f t="shared" ca="1" si="73"/>
        <v>161.14576444516854</v>
      </c>
      <c r="T555" s="61">
        <f t="shared" ca="1" si="74"/>
        <v>16800</v>
      </c>
      <c r="U555" s="61">
        <f t="shared" ca="1" si="75"/>
        <v>1795.797511487639</v>
      </c>
      <c r="V555" s="39">
        <f t="shared" ca="1" si="76"/>
        <v>1.1814457312418678E-2</v>
      </c>
      <c r="W555" s="48">
        <f t="shared" ca="1" si="77"/>
        <v>9.9952190119642959E-2</v>
      </c>
    </row>
    <row r="556" spans="17:23" x14ac:dyDescent="0.2">
      <c r="Q556">
        <f t="shared" si="71"/>
        <v>540</v>
      </c>
      <c r="R556" s="48">
        <f t="shared" ca="1" si="72"/>
        <v>0.5</v>
      </c>
      <c r="S556">
        <f t="shared" ca="1" si="73"/>
        <v>159.2042536832223</v>
      </c>
      <c r="T556" s="61">
        <f t="shared" ca="1" si="74"/>
        <v>24000</v>
      </c>
      <c r="U556" s="61">
        <f t="shared" ca="1" si="75"/>
        <v>11681.701473288922</v>
      </c>
      <c r="V556" s="39">
        <f t="shared" ca="1" si="76"/>
        <v>7.6853299166374484E-2</v>
      </c>
      <c r="W556" s="48">
        <f t="shared" ca="1" si="77"/>
        <v>0.82316213624787182</v>
      </c>
    </row>
    <row r="557" spans="17:23" x14ac:dyDescent="0.2">
      <c r="Q557">
        <f t="shared" si="71"/>
        <v>541</v>
      </c>
      <c r="R557" s="48">
        <f t="shared" ca="1" si="72"/>
        <v>0.45</v>
      </c>
      <c r="S557">
        <f t="shared" ca="1" si="73"/>
        <v>171.87741353136863</v>
      </c>
      <c r="T557" s="61">
        <f t="shared" ca="1" si="74"/>
        <v>21600</v>
      </c>
      <c r="U557" s="61">
        <f t="shared" ca="1" si="75"/>
        <v>13626.061953802197</v>
      </c>
      <c r="V557" s="39">
        <f t="shared" ca="1" si="76"/>
        <v>8.9645144432909191E-2</v>
      </c>
      <c r="W557" s="48">
        <f t="shared" ca="1" si="77"/>
        <v>1.0064275897092365</v>
      </c>
    </row>
    <row r="558" spans="17:23" x14ac:dyDescent="0.2">
      <c r="Q558">
        <f t="shared" si="71"/>
        <v>542</v>
      </c>
      <c r="R558" s="48">
        <f t="shared" ca="1" si="72"/>
        <v>0.3</v>
      </c>
      <c r="S558">
        <f t="shared" ca="1" si="73"/>
        <v>166.16839073215556</v>
      </c>
      <c r="T558" s="61">
        <f t="shared" ca="1" si="74"/>
        <v>14400</v>
      </c>
      <c r="U558" s="61">
        <f t="shared" ca="1" si="75"/>
        <v>1054.2988100071125</v>
      </c>
      <c r="V558" s="39">
        <f t="shared" ca="1" si="76"/>
        <v>6.9361763816257402E-3</v>
      </c>
      <c r="W558" s="48">
        <f t="shared" ca="1" si="77"/>
        <v>5.7667360467161588E-2</v>
      </c>
    </row>
    <row r="559" spans="17:23" x14ac:dyDescent="0.2">
      <c r="Q559">
        <f t="shared" si="71"/>
        <v>543</v>
      </c>
      <c r="R559" s="48">
        <f t="shared" ca="1" si="72"/>
        <v>0.3</v>
      </c>
      <c r="S559">
        <f t="shared" ca="1" si="73"/>
        <v>188.73926207271091</v>
      </c>
      <c r="T559" s="61">
        <f t="shared" ca="1" si="74"/>
        <v>14400</v>
      </c>
      <c r="U559" s="61">
        <f t="shared" ca="1" si="75"/>
        <v>13693.986760718111</v>
      </c>
      <c r="V559" s="39">
        <f t="shared" ca="1" si="76"/>
        <v>9.009201816261915E-2</v>
      </c>
      <c r="W559" s="48">
        <f t="shared" ca="1" si="77"/>
        <v>1.0131115970697389</v>
      </c>
    </row>
    <row r="560" spans="17:23" x14ac:dyDescent="0.2">
      <c r="Q560">
        <f t="shared" si="71"/>
        <v>544</v>
      </c>
      <c r="R560" s="48">
        <f t="shared" ca="1" si="72"/>
        <v>0.45</v>
      </c>
      <c r="S560">
        <f t="shared" ca="1" si="73"/>
        <v>182.41068467661418</v>
      </c>
      <c r="T560" s="61">
        <f t="shared" ca="1" si="74"/>
        <v>21600</v>
      </c>
      <c r="U560" s="61">
        <f t="shared" ca="1" si="75"/>
        <v>18260.70125771024</v>
      </c>
      <c r="V560" s="39">
        <f t="shared" ca="1" si="76"/>
        <v>0.12013619248493579</v>
      </c>
      <c r="W560" s="48">
        <f t="shared" ca="1" si="77"/>
        <v>1.5098119079423613</v>
      </c>
    </row>
    <row r="561" spans="17:23" x14ac:dyDescent="0.2">
      <c r="Q561">
        <f t="shared" si="71"/>
        <v>545</v>
      </c>
      <c r="R561" s="48">
        <f t="shared" ca="1" si="72"/>
        <v>0.5</v>
      </c>
      <c r="S561">
        <f t="shared" ca="1" si="73"/>
        <v>168.16536455175088</v>
      </c>
      <c r="T561" s="61">
        <f t="shared" ca="1" si="74"/>
        <v>24000</v>
      </c>
      <c r="U561" s="61">
        <f t="shared" ca="1" si="75"/>
        <v>15266.145820700352</v>
      </c>
      <c r="V561" s="39">
        <f t="shared" ca="1" si="76"/>
        <v>0.10043516987302864</v>
      </c>
      <c r="W561" s="48">
        <f t="shared" ca="1" si="77"/>
        <v>1.173371508150769</v>
      </c>
    </row>
    <row r="562" spans="17:23" x14ac:dyDescent="0.2">
      <c r="Q562">
        <f t="shared" si="71"/>
        <v>546</v>
      </c>
      <c r="R562" s="48">
        <f t="shared" ca="1" si="72"/>
        <v>0.45</v>
      </c>
      <c r="S562">
        <f t="shared" ca="1" si="73"/>
        <v>177.24708763628286</v>
      </c>
      <c r="T562" s="61">
        <f t="shared" ca="1" si="74"/>
        <v>21600</v>
      </c>
      <c r="U562" s="61">
        <f t="shared" ca="1" si="75"/>
        <v>15988.718559964456</v>
      </c>
      <c r="V562" s="39">
        <f t="shared" ca="1" si="76"/>
        <v>0.105188937894503</v>
      </c>
      <c r="W562" s="48">
        <f t="shared" ca="1" si="77"/>
        <v>1.2507046877827239</v>
      </c>
    </row>
    <row r="563" spans="17:23" x14ac:dyDescent="0.2">
      <c r="Q563">
        <f t="shared" si="71"/>
        <v>547</v>
      </c>
      <c r="R563" s="48">
        <f t="shared" ca="1" si="72"/>
        <v>0.217</v>
      </c>
      <c r="S563">
        <f t="shared" ca="1" si="73"/>
        <v>184.68775582132486</v>
      </c>
      <c r="T563" s="61">
        <f t="shared" ca="1" si="74"/>
        <v>10416</v>
      </c>
      <c r="U563" s="61">
        <f t="shared" ca="1" si="75"/>
        <v>7088.4102464778898</v>
      </c>
      <c r="V563" s="39">
        <f t="shared" ca="1" si="76"/>
        <v>4.6634277937354536E-2</v>
      </c>
      <c r="W563" s="48">
        <f t="shared" ca="1" si="77"/>
        <v>0.44730169854402102</v>
      </c>
    </row>
    <row r="564" spans="17:23" x14ac:dyDescent="0.2">
      <c r="Q564">
        <f t="shared" si="71"/>
        <v>548</v>
      </c>
      <c r="R564" s="48">
        <f t="shared" ca="1" si="72"/>
        <v>0.4</v>
      </c>
      <c r="S564">
        <f t="shared" ca="1" si="73"/>
        <v>164.24553594735781</v>
      </c>
      <c r="T564" s="61">
        <f t="shared" ca="1" si="74"/>
        <v>19200</v>
      </c>
      <c r="U564" s="61">
        <f t="shared" ca="1" si="75"/>
        <v>6837.857254731749</v>
      </c>
      <c r="V564" s="39">
        <f t="shared" ca="1" si="76"/>
        <v>4.4985902991656244E-2</v>
      </c>
      <c r="W564" s="48">
        <f t="shared" ca="1" si="77"/>
        <v>0.42891644899722881</v>
      </c>
    </row>
    <row r="565" spans="17:23" x14ac:dyDescent="0.2">
      <c r="Q565">
        <f t="shared" si="71"/>
        <v>549</v>
      </c>
      <c r="R565" s="48">
        <f t="shared" ca="1" si="72"/>
        <v>0.35</v>
      </c>
      <c r="S565">
        <f t="shared" ca="1" si="73"/>
        <v>172.19629950286026</v>
      </c>
      <c r="T565" s="61">
        <f t="shared" ca="1" si="74"/>
        <v>16800</v>
      </c>
      <c r="U565" s="61">
        <f t="shared" ca="1" si="75"/>
        <v>7542.0757414873333</v>
      </c>
      <c r="V565" s="39">
        <f t="shared" ca="1" si="76"/>
        <v>4.9618919351890348E-2</v>
      </c>
      <c r="W565" s="48">
        <f t="shared" ca="1" si="77"/>
        <v>0.48111933711061772</v>
      </c>
    </row>
    <row r="566" spans="17:23" x14ac:dyDescent="0.2">
      <c r="Q566">
        <f t="shared" si="71"/>
        <v>550</v>
      </c>
      <c r="R566" s="48">
        <f t="shared" ca="1" si="72"/>
        <v>0.3</v>
      </c>
      <c r="S566">
        <f t="shared" ca="1" si="73"/>
        <v>220.68567020388048</v>
      </c>
      <c r="T566" s="61">
        <f t="shared" ca="1" si="74"/>
        <v>14400</v>
      </c>
      <c r="U566" s="61">
        <f t="shared" ca="1" si="75"/>
        <v>31583.975314173069</v>
      </c>
      <c r="V566" s="39">
        <f t="shared" ca="1" si="76"/>
        <v>0.2077893112774544</v>
      </c>
      <c r="W566" s="48">
        <f t="shared" ca="1" si="77"/>
        <v>3.6242316961977403</v>
      </c>
    </row>
    <row r="567" spans="17:23" x14ac:dyDescent="0.2">
      <c r="Q567">
        <f t="shared" si="71"/>
        <v>551</v>
      </c>
      <c r="R567" s="48">
        <f t="shared" ca="1" si="72"/>
        <v>0.15</v>
      </c>
      <c r="S567">
        <f t="shared" ca="1" si="73"/>
        <v>204.232565961738</v>
      </c>
      <c r="T567" s="61">
        <f t="shared" ca="1" si="74"/>
        <v>7200</v>
      </c>
      <c r="U567" s="61">
        <f t="shared" ca="1" si="75"/>
        <v>16878.144853981845</v>
      </c>
      <c r="V567" s="39">
        <f t="shared" ca="1" si="76"/>
        <v>0.1110404266709332</v>
      </c>
      <c r="W567" s="48">
        <f t="shared" ca="1" si="77"/>
        <v>1.3491999805757726</v>
      </c>
    </row>
    <row r="568" spans="17:23" x14ac:dyDescent="0.2">
      <c r="Q568">
        <f t="shared" si="71"/>
        <v>552</v>
      </c>
      <c r="R568" s="48">
        <f t="shared" ca="1" si="72"/>
        <v>0.4</v>
      </c>
      <c r="S568">
        <f t="shared" ca="1" si="73"/>
        <v>187.05792118004757</v>
      </c>
      <c r="T568" s="61">
        <f t="shared" ca="1" si="74"/>
        <v>19200</v>
      </c>
      <c r="U568" s="61">
        <f t="shared" ca="1" si="75"/>
        <v>17787.802166422836</v>
      </c>
      <c r="V568" s="39">
        <f t="shared" ca="1" si="76"/>
        <v>0.11702501425278182</v>
      </c>
      <c r="W568" s="48">
        <f t="shared" ca="1" si="77"/>
        <v>1.4538245735101953</v>
      </c>
    </row>
    <row r="569" spans="17:23" x14ac:dyDescent="0.2">
      <c r="Q569">
        <f t="shared" si="71"/>
        <v>553</v>
      </c>
      <c r="R569" s="48">
        <f t="shared" ca="1" si="72"/>
        <v>0.3</v>
      </c>
      <c r="S569">
        <f t="shared" ca="1" si="73"/>
        <v>200.73819661134317</v>
      </c>
      <c r="T569" s="61">
        <f t="shared" ca="1" si="74"/>
        <v>14400</v>
      </c>
      <c r="U569" s="61">
        <f t="shared" ca="1" si="75"/>
        <v>20413.390102352176</v>
      </c>
      <c r="V569" s="39">
        <f t="shared" ca="1" si="76"/>
        <v>0.1342986190944222</v>
      </c>
      <c r="W569" s="48">
        <f t="shared" ca="1" si="77"/>
        <v>1.7790736058428775</v>
      </c>
    </row>
    <row r="570" spans="17:23" x14ac:dyDescent="0.2">
      <c r="Q570">
        <f t="shared" si="71"/>
        <v>554</v>
      </c>
      <c r="R570" s="48">
        <f t="shared" ca="1" si="72"/>
        <v>0.45</v>
      </c>
      <c r="S570">
        <f t="shared" ca="1" si="73"/>
        <v>211.00283380555902</v>
      </c>
      <c r="T570" s="61">
        <f t="shared" ca="1" si="74"/>
        <v>21600</v>
      </c>
      <c r="U570" s="61">
        <f t="shared" ca="1" si="75"/>
        <v>30841.246874445969</v>
      </c>
      <c r="V570" s="39">
        <f t="shared" ca="1" si="76"/>
        <v>0.20290293996346032</v>
      </c>
      <c r="W570" s="48">
        <f t="shared" ca="1" si="77"/>
        <v>3.4746513296143355</v>
      </c>
    </row>
    <row r="571" spans="17:23" x14ac:dyDescent="0.2">
      <c r="Q571">
        <f t="shared" si="71"/>
        <v>555</v>
      </c>
      <c r="R571" s="48">
        <f t="shared" ca="1" si="72"/>
        <v>0.3</v>
      </c>
      <c r="S571">
        <f t="shared" ca="1" si="73"/>
        <v>192.07379101587642</v>
      </c>
      <c r="T571" s="61">
        <f t="shared" ca="1" si="74"/>
        <v>14400</v>
      </c>
      <c r="U571" s="61">
        <f t="shared" ca="1" si="75"/>
        <v>15561.322968890798</v>
      </c>
      <c r="V571" s="39">
        <f t="shared" ca="1" si="76"/>
        <v>0.1023771247953342</v>
      </c>
      <c r="W571" s="48">
        <f t="shared" ca="1" si="77"/>
        <v>1.2046766189717362</v>
      </c>
    </row>
    <row r="572" spans="17:23" x14ac:dyDescent="0.2">
      <c r="Q572">
        <f t="shared" si="71"/>
        <v>556</v>
      </c>
      <c r="R572" s="48">
        <f t="shared" ca="1" si="72"/>
        <v>0.3</v>
      </c>
      <c r="S572">
        <f t="shared" ca="1" si="73"/>
        <v>197.85850585541988</v>
      </c>
      <c r="T572" s="61">
        <f t="shared" ca="1" si="74"/>
        <v>14400</v>
      </c>
      <c r="U572" s="61">
        <f t="shared" ca="1" si="75"/>
        <v>18800.763279035131</v>
      </c>
      <c r="V572" s="39">
        <f t="shared" ca="1" si="76"/>
        <v>0.12368923209891533</v>
      </c>
      <c r="W572" s="48">
        <f t="shared" ca="1" si="77"/>
        <v>1.5751178619193249</v>
      </c>
    </row>
    <row r="573" spans="17:23" x14ac:dyDescent="0.2">
      <c r="Q573">
        <f t="shared" si="71"/>
        <v>557</v>
      </c>
      <c r="R573" s="48">
        <f t="shared" ca="1" si="72"/>
        <v>0.3</v>
      </c>
      <c r="S573">
        <f t="shared" ca="1" si="73"/>
        <v>190.10578442510948</v>
      </c>
      <c r="T573" s="61">
        <f t="shared" ca="1" si="74"/>
        <v>14400</v>
      </c>
      <c r="U573" s="61">
        <f t="shared" ca="1" si="75"/>
        <v>14459.239278061306</v>
      </c>
      <c r="V573" s="39">
        <f t="shared" ca="1" si="76"/>
        <v>9.5126574197771749E-2</v>
      </c>
      <c r="W573" s="48">
        <f t="shared" ca="1" si="77"/>
        <v>1.0897746908695645</v>
      </c>
    </row>
    <row r="574" spans="17:23" x14ac:dyDescent="0.2">
      <c r="Q574">
        <f t="shared" si="71"/>
        <v>558</v>
      </c>
      <c r="R574" s="48">
        <f t="shared" ca="1" si="72"/>
        <v>0.3</v>
      </c>
      <c r="S574">
        <f t="shared" ca="1" si="73"/>
        <v>203.71383149412091</v>
      </c>
      <c r="T574" s="61">
        <f t="shared" ca="1" si="74"/>
        <v>14400</v>
      </c>
      <c r="U574" s="61">
        <f t="shared" ca="1" si="75"/>
        <v>22079.74563670771</v>
      </c>
      <c r="V574" s="39">
        <f t="shared" ca="1" si="76"/>
        <v>0.14526148445202441</v>
      </c>
      <c r="W574" s="48">
        <f t="shared" ca="1" si="77"/>
        <v>2.0045691631036116</v>
      </c>
    </row>
    <row r="575" spans="17:23" x14ac:dyDescent="0.2">
      <c r="Q575">
        <f t="shared" si="71"/>
        <v>559</v>
      </c>
      <c r="R575" s="48">
        <f t="shared" ca="1" si="72"/>
        <v>0.4</v>
      </c>
      <c r="S575">
        <f t="shared" ca="1" si="73"/>
        <v>183.29840747855991</v>
      </c>
      <c r="T575" s="61">
        <f t="shared" ca="1" si="74"/>
        <v>19200</v>
      </c>
      <c r="U575" s="61">
        <f t="shared" ca="1" si="75"/>
        <v>15983.235589708756</v>
      </c>
      <c r="V575" s="39">
        <f t="shared" ca="1" si="76"/>
        <v>0.10515286572176813</v>
      </c>
      <c r="W575" s="48">
        <f t="shared" ca="1" si="77"/>
        <v>1.2501089100880924</v>
      </c>
    </row>
    <row r="576" spans="17:23" x14ac:dyDescent="0.2">
      <c r="Q576">
        <f t="shared" si="71"/>
        <v>560</v>
      </c>
      <c r="R576" s="48">
        <f t="shared" ca="1" si="72"/>
        <v>0.35</v>
      </c>
      <c r="S576">
        <f t="shared" ca="1" si="73"/>
        <v>191.13968823175591</v>
      </c>
      <c r="T576" s="61">
        <f t="shared" ca="1" si="74"/>
        <v>16800</v>
      </c>
      <c r="U576" s="61">
        <f t="shared" ca="1" si="75"/>
        <v>17392.637880513073</v>
      </c>
      <c r="V576" s="39">
        <f t="shared" ca="1" si="76"/>
        <v>0.11442524921390181</v>
      </c>
      <c r="W576" s="48">
        <f t="shared" ca="1" si="77"/>
        <v>1.4078832646260309</v>
      </c>
    </row>
    <row r="577" spans="17:23" x14ac:dyDescent="0.2">
      <c r="Q577">
        <f t="shared" si="71"/>
        <v>561</v>
      </c>
      <c r="R577" s="48">
        <f t="shared" ca="1" si="72"/>
        <v>0.45</v>
      </c>
      <c r="S577">
        <f t="shared" ca="1" si="73"/>
        <v>181.12717236076651</v>
      </c>
      <c r="T577" s="61">
        <f t="shared" ca="1" si="74"/>
        <v>21600</v>
      </c>
      <c r="U577" s="61">
        <f t="shared" ca="1" si="75"/>
        <v>17695.955838737264</v>
      </c>
      <c r="V577" s="39">
        <f t="shared" ca="1" si="76"/>
        <v>0.11642076209695568</v>
      </c>
      <c r="W577" s="48">
        <f t="shared" ca="1" si="77"/>
        <v>1.4430786441763113</v>
      </c>
    </row>
    <row r="578" spans="17:23" x14ac:dyDescent="0.2">
      <c r="Q578">
        <f t="shared" si="71"/>
        <v>562</v>
      </c>
      <c r="R578" s="48">
        <f t="shared" ca="1" si="72"/>
        <v>0.3</v>
      </c>
      <c r="S578">
        <f t="shared" ca="1" si="73"/>
        <v>195.44161586596437</v>
      </c>
      <c r="T578" s="61">
        <f t="shared" ca="1" si="74"/>
        <v>14400</v>
      </c>
      <c r="U578" s="61">
        <f t="shared" ca="1" si="75"/>
        <v>17447.304884940044</v>
      </c>
      <c r="V578" s="39">
        <f t="shared" ca="1" si="76"/>
        <v>0.11478490055881607</v>
      </c>
      <c r="W578" s="48">
        <f t="shared" ca="1" si="77"/>
        <v>1.4141934904615803</v>
      </c>
    </row>
    <row r="579" spans="17:23" x14ac:dyDescent="0.2">
      <c r="Q579">
        <f t="shared" si="71"/>
        <v>563</v>
      </c>
      <c r="R579" s="48">
        <f t="shared" ca="1" si="72"/>
        <v>0.45</v>
      </c>
      <c r="S579">
        <f t="shared" ca="1" si="73"/>
        <v>163.33944903888812</v>
      </c>
      <c r="T579" s="61">
        <f t="shared" ca="1" si="74"/>
        <v>21600</v>
      </c>
      <c r="U579" s="61">
        <f t="shared" ca="1" si="75"/>
        <v>9869.3575771107717</v>
      </c>
      <c r="V579" s="39">
        <f t="shared" ca="1" si="76"/>
        <v>6.4929984059939286E-2</v>
      </c>
      <c r="W579" s="48">
        <f t="shared" ca="1" si="77"/>
        <v>0.66572810741416855</v>
      </c>
    </row>
    <row r="580" spans="17:23" x14ac:dyDescent="0.2">
      <c r="Q580">
        <f t="shared" si="71"/>
        <v>564</v>
      </c>
      <c r="R580" s="48">
        <f t="shared" ca="1" si="72"/>
        <v>0.35</v>
      </c>
      <c r="S580">
        <f t="shared" ca="1" si="73"/>
        <v>184.30553038573831</v>
      </c>
      <c r="T580" s="61">
        <f t="shared" ca="1" si="74"/>
        <v>16800</v>
      </c>
      <c r="U580" s="61">
        <f t="shared" ca="1" si="75"/>
        <v>13838.875800583919</v>
      </c>
      <c r="V580" s="39">
        <f t="shared" ca="1" si="76"/>
        <v>9.1045235530157365E-2</v>
      </c>
      <c r="W580" s="48">
        <f t="shared" ca="1" si="77"/>
        <v>1.0274343850719898</v>
      </c>
    </row>
    <row r="581" spans="17:23" x14ac:dyDescent="0.2">
      <c r="Q581">
        <f t="shared" si="71"/>
        <v>565</v>
      </c>
      <c r="R581" s="48">
        <f t="shared" ca="1" si="72"/>
        <v>0.4</v>
      </c>
      <c r="S581">
        <f t="shared" ca="1" si="73"/>
        <v>206.82204076270608</v>
      </c>
      <c r="T581" s="61">
        <f t="shared" ca="1" si="74"/>
        <v>19200</v>
      </c>
      <c r="U581" s="61">
        <f t="shared" ca="1" si="75"/>
        <v>27274.579566098917</v>
      </c>
      <c r="V581" s="39">
        <f t="shared" ca="1" si="76"/>
        <v>0.1794380234611771</v>
      </c>
      <c r="W581" s="48">
        <f t="shared" ca="1" si="77"/>
        <v>2.8138613499205025</v>
      </c>
    </row>
    <row r="582" spans="17:23" x14ac:dyDescent="0.2">
      <c r="Q582">
        <f t="shared" si="71"/>
        <v>566</v>
      </c>
      <c r="R582" s="48">
        <f t="shared" ca="1" si="72"/>
        <v>0.4</v>
      </c>
      <c r="S582">
        <f t="shared" ca="1" si="73"/>
        <v>209.53049348336594</v>
      </c>
      <c r="T582" s="61">
        <f t="shared" ca="1" si="74"/>
        <v>19200</v>
      </c>
      <c r="U582" s="61">
        <f t="shared" ca="1" si="75"/>
        <v>28574.636872015653</v>
      </c>
      <c r="V582" s="39">
        <f t="shared" ca="1" si="76"/>
        <v>0.18799103205273457</v>
      </c>
      <c r="W582" s="48">
        <f t="shared" ca="1" si="77"/>
        <v>3.0440626175185894</v>
      </c>
    </row>
    <row r="583" spans="17:23" x14ac:dyDescent="0.2">
      <c r="Q583">
        <f t="shared" si="71"/>
        <v>567</v>
      </c>
      <c r="R583" s="48">
        <f t="shared" ca="1" si="72"/>
        <v>0.3</v>
      </c>
      <c r="S583">
        <f t="shared" ca="1" si="73"/>
        <v>194.31209864078215</v>
      </c>
      <c r="T583" s="61">
        <f t="shared" ca="1" si="74"/>
        <v>14400</v>
      </c>
      <c r="U583" s="61">
        <f t="shared" ca="1" si="75"/>
        <v>16814.775238838007</v>
      </c>
      <c r="V583" s="39">
        <f t="shared" ca="1" si="76"/>
        <v>0.11062352130814478</v>
      </c>
      <c r="W583" s="48">
        <f t="shared" ca="1" si="77"/>
        <v>1.3420594811626492</v>
      </c>
    </row>
    <row r="584" spans="17:23" x14ac:dyDescent="0.2">
      <c r="Q584">
        <f t="shared" si="71"/>
        <v>568</v>
      </c>
      <c r="R584" s="48">
        <f t="shared" ca="1" si="72"/>
        <v>0.3</v>
      </c>
      <c r="S584">
        <f t="shared" ca="1" si="73"/>
        <v>181.83324355712514</v>
      </c>
      <c r="T584" s="61">
        <f t="shared" ca="1" si="74"/>
        <v>14400</v>
      </c>
      <c r="U584" s="61">
        <f t="shared" ca="1" si="75"/>
        <v>9826.616391990081</v>
      </c>
      <c r="V584" s="39">
        <f t="shared" ca="1" si="76"/>
        <v>6.4648792052566323E-2</v>
      </c>
      <c r="W584" s="48">
        <f t="shared" ca="1" si="77"/>
        <v>0.66216393521255568</v>
      </c>
    </row>
    <row r="585" spans="17:23" x14ac:dyDescent="0.2">
      <c r="Q585">
        <f t="shared" si="71"/>
        <v>569</v>
      </c>
      <c r="R585" s="48">
        <f t="shared" ca="1" si="72"/>
        <v>0.4</v>
      </c>
      <c r="S585">
        <f t="shared" ca="1" si="73"/>
        <v>180.02551623618689</v>
      </c>
      <c r="T585" s="61">
        <f t="shared" ca="1" si="74"/>
        <v>19200</v>
      </c>
      <c r="U585" s="61">
        <f t="shared" ca="1" si="75"/>
        <v>14412.247793369706</v>
      </c>
      <c r="V585" s="39">
        <f t="shared" ca="1" si="76"/>
        <v>9.4817419693221758E-2</v>
      </c>
      <c r="W585" s="48">
        <f t="shared" ca="1" si="77"/>
        <v>1.0849943904297001</v>
      </c>
    </row>
    <row r="586" spans="17:23" x14ac:dyDescent="0.2">
      <c r="Q586">
        <f t="shared" si="71"/>
        <v>570</v>
      </c>
      <c r="R586" s="48">
        <f t="shared" ca="1" si="72"/>
        <v>0.4</v>
      </c>
      <c r="S586">
        <f t="shared" ca="1" si="73"/>
        <v>215.03007838136861</v>
      </c>
      <c r="T586" s="61">
        <f t="shared" ca="1" si="74"/>
        <v>19200</v>
      </c>
      <c r="U586" s="61">
        <f t="shared" ca="1" si="75"/>
        <v>31214.437623056932</v>
      </c>
      <c r="V586" s="39">
        <f t="shared" ca="1" si="76"/>
        <v>0.20535814225695351</v>
      </c>
      <c r="W586" s="48">
        <f t="shared" ca="1" si="77"/>
        <v>3.5492703655978133</v>
      </c>
    </row>
    <row r="587" spans="17:23" x14ac:dyDescent="0.2">
      <c r="Q587">
        <f t="shared" si="71"/>
        <v>571</v>
      </c>
      <c r="R587" s="48">
        <f t="shared" ca="1" si="72"/>
        <v>0.3</v>
      </c>
      <c r="S587">
        <f t="shared" ca="1" si="73"/>
        <v>177.58864863441224</v>
      </c>
      <c r="T587" s="61">
        <f t="shared" ca="1" si="74"/>
        <v>14400</v>
      </c>
      <c r="U587" s="61">
        <f t="shared" ca="1" si="75"/>
        <v>7449.6432352708525</v>
      </c>
      <c r="V587" s="39">
        <f t="shared" ca="1" si="76"/>
        <v>4.9010810758360869E-2</v>
      </c>
      <c r="W587" s="48">
        <f t="shared" ca="1" si="77"/>
        <v>0.47417348707925733</v>
      </c>
    </row>
    <row r="588" spans="17:23" x14ac:dyDescent="0.2">
      <c r="Q588">
        <f t="shared" si="71"/>
        <v>572</v>
      </c>
      <c r="R588" s="48">
        <f t="shared" ca="1" si="72"/>
        <v>0.3</v>
      </c>
      <c r="S588">
        <f t="shared" ca="1" si="73"/>
        <v>215.37150370113844</v>
      </c>
      <c r="T588" s="61">
        <f t="shared" ca="1" si="74"/>
        <v>14400</v>
      </c>
      <c r="U588" s="61">
        <f t="shared" ca="1" si="75"/>
        <v>28608.042072637523</v>
      </c>
      <c r="V588" s="39">
        <f t="shared" ca="1" si="76"/>
        <v>0.1882108031094574</v>
      </c>
      <c r="W588" s="48">
        <f t="shared" ca="1" si="77"/>
        <v>3.0501347498802103</v>
      </c>
    </row>
    <row r="589" spans="17:23" x14ac:dyDescent="0.2">
      <c r="Q589">
        <f t="shared" si="71"/>
        <v>573</v>
      </c>
      <c r="R589" s="48">
        <f t="shared" ca="1" si="72"/>
        <v>0.4</v>
      </c>
      <c r="S589">
        <f t="shared" ca="1" si="73"/>
        <v>187.39644926109969</v>
      </c>
      <c r="T589" s="61">
        <f t="shared" ca="1" si="74"/>
        <v>19200</v>
      </c>
      <c r="U589" s="61">
        <f t="shared" ca="1" si="75"/>
        <v>17950.295645327853</v>
      </c>
      <c r="V589" s="39">
        <f t="shared" ca="1" si="76"/>
        <v>0.11809405029820956</v>
      </c>
      <c r="W589" s="48">
        <f t="shared" ca="1" si="77"/>
        <v>1.4729376895836497</v>
      </c>
    </row>
    <row r="590" spans="17:23" x14ac:dyDescent="0.2">
      <c r="Q590">
        <f t="shared" si="71"/>
        <v>574</v>
      </c>
      <c r="R590" s="48">
        <f t="shared" ca="1" si="72"/>
        <v>0.3</v>
      </c>
      <c r="S590">
        <f t="shared" ca="1" si="73"/>
        <v>180.9339719967528</v>
      </c>
      <c r="T590" s="61">
        <f t="shared" ca="1" si="74"/>
        <v>14400</v>
      </c>
      <c r="U590" s="61">
        <f t="shared" ca="1" si="75"/>
        <v>9323.0243181815695</v>
      </c>
      <c r="V590" s="39">
        <f t="shared" ca="1" si="76"/>
        <v>6.1335686303826117E-2</v>
      </c>
      <c r="W590" s="48">
        <f t="shared" ca="1" si="77"/>
        <v>0.62067027631553318</v>
      </c>
    </row>
    <row r="591" spans="17:23" x14ac:dyDescent="0.2">
      <c r="Q591">
        <f t="shared" si="71"/>
        <v>575</v>
      </c>
      <c r="R591" s="48">
        <f t="shared" ca="1" si="72"/>
        <v>0.35</v>
      </c>
      <c r="S591">
        <f t="shared" ca="1" si="73"/>
        <v>185.95641657741814</v>
      </c>
      <c r="T591" s="61">
        <f t="shared" ca="1" si="74"/>
        <v>16800</v>
      </c>
      <c r="U591" s="61">
        <f t="shared" ca="1" si="75"/>
        <v>14697.336620257433</v>
      </c>
      <c r="V591" s="39">
        <f t="shared" ca="1" si="76"/>
        <v>9.6693004080641007E-2</v>
      </c>
      <c r="W591" s="48">
        <f t="shared" ca="1" si="77"/>
        <v>1.1141435941110327</v>
      </c>
    </row>
    <row r="592" spans="17:23" x14ac:dyDescent="0.2">
      <c r="Q592">
        <f t="shared" si="71"/>
        <v>576</v>
      </c>
      <c r="R592" s="48">
        <f t="shared" ca="1" si="72"/>
        <v>0.5</v>
      </c>
      <c r="S592">
        <f t="shared" ca="1" si="73"/>
        <v>185.560784432725</v>
      </c>
      <c r="T592" s="61">
        <f t="shared" ca="1" si="74"/>
        <v>24000</v>
      </c>
      <c r="U592" s="61">
        <f t="shared" ca="1" si="75"/>
        <v>22224.313773090002</v>
      </c>
      <c r="V592" s="39">
        <f t="shared" ca="1" si="76"/>
        <v>0.14621259061243422</v>
      </c>
      <c r="W592" s="48">
        <f t="shared" ca="1" si="77"/>
        <v>2.0248679250015233</v>
      </c>
    </row>
    <row r="593" spans="17:23" x14ac:dyDescent="0.2">
      <c r="Q593">
        <f t="shared" si="71"/>
        <v>577</v>
      </c>
      <c r="R593" s="48">
        <f t="shared" ca="1" si="72"/>
        <v>0.5</v>
      </c>
      <c r="S593">
        <f t="shared" ca="1" si="73"/>
        <v>193.31831295698768</v>
      </c>
      <c r="T593" s="61">
        <f t="shared" ca="1" si="74"/>
        <v>24000</v>
      </c>
      <c r="U593" s="61">
        <f t="shared" ca="1" si="75"/>
        <v>25327.325182795073</v>
      </c>
      <c r="V593" s="39">
        <f t="shared" ca="1" si="76"/>
        <v>0.16662713936049389</v>
      </c>
      <c r="W593" s="48">
        <f t="shared" ca="1" si="77"/>
        <v>2.4905470730534947</v>
      </c>
    </row>
    <row r="594" spans="17:23" x14ac:dyDescent="0.2">
      <c r="Q594">
        <f t="shared" si="71"/>
        <v>578</v>
      </c>
      <c r="R594" s="48">
        <f t="shared" ca="1" si="72"/>
        <v>0.3</v>
      </c>
      <c r="S594">
        <f t="shared" ca="1" si="73"/>
        <v>186.68186447243696</v>
      </c>
      <c r="T594" s="61">
        <f t="shared" ca="1" si="74"/>
        <v>14400</v>
      </c>
      <c r="U594" s="61">
        <f t="shared" ca="1" si="75"/>
        <v>12541.844104564696</v>
      </c>
      <c r="V594" s="39">
        <f t="shared" ca="1" si="76"/>
        <v>8.2512132266872998E-2</v>
      </c>
      <c r="W594" s="48">
        <f t="shared" ca="1" si="77"/>
        <v>0.90233957558091937</v>
      </c>
    </row>
    <row r="595" spans="17:23" x14ac:dyDescent="0.2">
      <c r="Q595">
        <f t="shared" ref="Q595:Q658" si="78">Q594+1</f>
        <v>579</v>
      </c>
      <c r="R595" s="48">
        <f t="shared" ref="R595:R658" ca="1" si="79">LOOKUP(RAND(),$U$6:$U$12,$S$6:$S$12)</f>
        <v>0.15</v>
      </c>
      <c r="S595">
        <f t="shared" ref="S595:S658" ca="1" si="80">_xlfn.NORM.INV(RAND(),$Q$5,$Q$10)</f>
        <v>185.98793403458779</v>
      </c>
      <c r="T595" s="61">
        <f t="shared" ref="T595:T658" ca="1" si="81">($B$8-$B$7)*($E$6*R595)</f>
        <v>7200</v>
      </c>
      <c r="U595" s="61">
        <f t="shared" ref="U595:U658" ca="1" si="82">T595+((S595-$B$7)*($E$6*(1-R595)))</f>
        <v>4471.795143519701</v>
      </c>
      <c r="V595" s="39">
        <f t="shared" ref="V595:V658" ca="1" si="83">U595/$E$4</f>
        <v>2.941970489157698E-2</v>
      </c>
      <c r="W595" s="48">
        <f t="shared" ref="W595:W658" ca="1" si="84">(1+V595)^($J$29/$J$30)-1</f>
        <v>0.26514114850021109</v>
      </c>
    </row>
    <row r="596" spans="17:23" x14ac:dyDescent="0.2">
      <c r="Q596">
        <f t="shared" si="78"/>
        <v>580</v>
      </c>
      <c r="R596" s="48">
        <f t="shared" ca="1" si="79"/>
        <v>0.4</v>
      </c>
      <c r="S596">
        <f t="shared" ca="1" si="80"/>
        <v>209.63857746627806</v>
      </c>
      <c r="T596" s="61">
        <f t="shared" ca="1" si="81"/>
        <v>19200</v>
      </c>
      <c r="U596" s="61">
        <f t="shared" ca="1" si="82"/>
        <v>28626.51718381347</v>
      </c>
      <c r="V596" s="39">
        <f t="shared" ca="1" si="83"/>
        <v>0.18833234989350967</v>
      </c>
      <c r="W596" s="48">
        <f t="shared" ca="1" si="84"/>
        <v>3.0534964406481713</v>
      </c>
    </row>
    <row r="597" spans="17:23" x14ac:dyDescent="0.2">
      <c r="Q597">
        <f t="shared" si="78"/>
        <v>581</v>
      </c>
      <c r="R597" s="48">
        <f t="shared" ca="1" si="79"/>
        <v>0.217</v>
      </c>
      <c r="S597">
        <f t="shared" ca="1" si="80"/>
        <v>189.82543720265761</v>
      </c>
      <c r="T597" s="61">
        <f t="shared" ca="1" si="81"/>
        <v>10416</v>
      </c>
      <c r="U597" s="61">
        <f t="shared" ca="1" si="82"/>
        <v>10306.653863744727</v>
      </c>
      <c r="V597" s="39">
        <f t="shared" ca="1" si="83"/>
        <v>6.7806933314110043E-2</v>
      </c>
      <c r="W597" s="48">
        <f t="shared" ca="1" si="84"/>
        <v>0.70258087620978293</v>
      </c>
    </row>
    <row r="598" spans="17:23" x14ac:dyDescent="0.2">
      <c r="Q598">
        <f t="shared" si="78"/>
        <v>582</v>
      </c>
      <c r="R598" s="48">
        <f t="shared" ca="1" si="79"/>
        <v>0.3</v>
      </c>
      <c r="S598">
        <f t="shared" ca="1" si="80"/>
        <v>199.18210786603564</v>
      </c>
      <c r="T598" s="61">
        <f t="shared" ca="1" si="81"/>
        <v>14400</v>
      </c>
      <c r="U598" s="61">
        <f t="shared" ca="1" si="82"/>
        <v>19541.980404979957</v>
      </c>
      <c r="V598" s="39">
        <f t="shared" ca="1" si="83"/>
        <v>0.12856566055907867</v>
      </c>
      <c r="W598" s="48">
        <f t="shared" ca="1" si="84"/>
        <v>1.667171658757213</v>
      </c>
    </row>
    <row r="599" spans="17:23" x14ac:dyDescent="0.2">
      <c r="Q599">
        <f t="shared" si="78"/>
        <v>583</v>
      </c>
      <c r="R599" s="48">
        <f t="shared" ca="1" si="79"/>
        <v>0.4</v>
      </c>
      <c r="S599">
        <f t="shared" ca="1" si="80"/>
        <v>206.32887556136609</v>
      </c>
      <c r="T599" s="61">
        <f t="shared" ca="1" si="81"/>
        <v>19200</v>
      </c>
      <c r="U599" s="61">
        <f t="shared" ca="1" si="82"/>
        <v>27037.860269455723</v>
      </c>
      <c r="V599" s="39">
        <f t="shared" ca="1" si="83"/>
        <v>0.17788065966747185</v>
      </c>
      <c r="W599" s="48">
        <f t="shared" ca="1" si="84"/>
        <v>2.7732056025466667</v>
      </c>
    </row>
    <row r="600" spans="17:23" x14ac:dyDescent="0.2">
      <c r="Q600">
        <f t="shared" si="78"/>
        <v>584</v>
      </c>
      <c r="R600" s="48">
        <f t="shared" ca="1" si="79"/>
        <v>0.15</v>
      </c>
      <c r="S600">
        <f t="shared" ca="1" si="80"/>
        <v>186.54538685222417</v>
      </c>
      <c r="T600" s="61">
        <f t="shared" ca="1" si="81"/>
        <v>7200</v>
      </c>
      <c r="U600" s="61">
        <f t="shared" ca="1" si="82"/>
        <v>4850.863059512435</v>
      </c>
      <c r="V600" s="39">
        <f t="shared" ca="1" si="83"/>
        <v>3.1913572759950229E-2</v>
      </c>
      <c r="W600" s="48">
        <f t="shared" ca="1" si="84"/>
        <v>0.29021629654856862</v>
      </c>
    </row>
    <row r="601" spans="17:23" x14ac:dyDescent="0.2">
      <c r="Q601">
        <f t="shared" si="78"/>
        <v>585</v>
      </c>
      <c r="R601" s="48">
        <f t="shared" ca="1" si="79"/>
        <v>0.45</v>
      </c>
      <c r="S601">
        <f t="shared" ca="1" si="80"/>
        <v>195.83001553331877</v>
      </c>
      <c r="T601" s="61">
        <f t="shared" ca="1" si="81"/>
        <v>21600</v>
      </c>
      <c r="U601" s="61">
        <f t="shared" ca="1" si="82"/>
        <v>24165.206834660261</v>
      </c>
      <c r="V601" s="39">
        <f t="shared" ca="1" si="83"/>
        <v>0.15898162391223855</v>
      </c>
      <c r="W601" s="48">
        <f t="shared" ca="1" si="84"/>
        <v>2.3092685930485963</v>
      </c>
    </row>
    <row r="602" spans="17:23" x14ac:dyDescent="0.2">
      <c r="Q602">
        <f t="shared" si="78"/>
        <v>586</v>
      </c>
      <c r="R602" s="48">
        <f t="shared" ca="1" si="79"/>
        <v>0.35</v>
      </c>
      <c r="S602">
        <f t="shared" ca="1" si="80"/>
        <v>210.39397658492175</v>
      </c>
      <c r="T602" s="61">
        <f t="shared" ca="1" si="81"/>
        <v>16800</v>
      </c>
      <c r="U602" s="61">
        <f t="shared" ca="1" si="82"/>
        <v>27404.867824159308</v>
      </c>
      <c r="V602" s="39">
        <f t="shared" ca="1" si="83"/>
        <v>0.18029518305367967</v>
      </c>
      <c r="W602" s="48">
        <f t="shared" ca="1" si="84"/>
        <v>2.8364013673887158</v>
      </c>
    </row>
    <row r="603" spans="17:23" x14ac:dyDescent="0.2">
      <c r="Q603">
        <f t="shared" si="78"/>
        <v>587</v>
      </c>
      <c r="R603" s="48">
        <f t="shared" ca="1" si="79"/>
        <v>0.45</v>
      </c>
      <c r="S603">
        <f t="shared" ca="1" si="80"/>
        <v>172.15767620302927</v>
      </c>
      <c r="T603" s="61">
        <f t="shared" ca="1" si="81"/>
        <v>21600</v>
      </c>
      <c r="U603" s="61">
        <f t="shared" ca="1" si="82"/>
        <v>13749.377529332876</v>
      </c>
      <c r="V603" s="39">
        <f t="shared" ca="1" si="83"/>
        <v>9.0456431114032079E-2</v>
      </c>
      <c r="W603" s="48">
        <f t="shared" ca="1" si="84"/>
        <v>1.0185766590950656</v>
      </c>
    </row>
    <row r="604" spans="17:23" x14ac:dyDescent="0.2">
      <c r="Q604">
        <f t="shared" si="78"/>
        <v>588</v>
      </c>
      <c r="R604" s="48">
        <f t="shared" ca="1" si="79"/>
        <v>0.4</v>
      </c>
      <c r="S604">
        <f t="shared" ca="1" si="80"/>
        <v>190.90842139785778</v>
      </c>
      <c r="T604" s="61">
        <f t="shared" ca="1" si="81"/>
        <v>19200</v>
      </c>
      <c r="U604" s="61">
        <f t="shared" ca="1" si="82"/>
        <v>19636.042270971735</v>
      </c>
      <c r="V604" s="39">
        <f t="shared" ca="1" si="83"/>
        <v>0.12918448862481405</v>
      </c>
      <c r="W604" s="48">
        <f t="shared" ca="1" si="84"/>
        <v>1.6790572644834056</v>
      </c>
    </row>
    <row r="605" spans="17:23" x14ac:dyDescent="0.2">
      <c r="Q605">
        <f t="shared" si="78"/>
        <v>589</v>
      </c>
      <c r="R605" s="48">
        <f t="shared" ca="1" si="79"/>
        <v>0.4</v>
      </c>
      <c r="S605">
        <f t="shared" ca="1" si="80"/>
        <v>191.67980589652672</v>
      </c>
      <c r="T605" s="61">
        <f t="shared" ca="1" si="81"/>
        <v>19200</v>
      </c>
      <c r="U605" s="61">
        <f t="shared" ca="1" si="82"/>
        <v>20006.306830332825</v>
      </c>
      <c r="V605" s="39">
        <f t="shared" ca="1" si="83"/>
        <v>0.13162043967324227</v>
      </c>
      <c r="W605" s="48">
        <f t="shared" ca="1" si="84"/>
        <v>1.7262960818468649</v>
      </c>
    </row>
    <row r="606" spans="17:23" x14ac:dyDescent="0.2">
      <c r="Q606">
        <f t="shared" si="78"/>
        <v>590</v>
      </c>
      <c r="R606" s="48">
        <f t="shared" ca="1" si="79"/>
        <v>0.4</v>
      </c>
      <c r="S606">
        <f t="shared" ca="1" si="80"/>
        <v>179.47727083402484</v>
      </c>
      <c r="T606" s="61">
        <f t="shared" ca="1" si="81"/>
        <v>19200</v>
      </c>
      <c r="U606" s="61">
        <f t="shared" ca="1" si="82"/>
        <v>14149.090000331922</v>
      </c>
      <c r="V606" s="39">
        <f t="shared" ca="1" si="83"/>
        <v>9.308611842323633E-2</v>
      </c>
      <c r="W606" s="48">
        <f t="shared" ca="1" si="84"/>
        <v>1.0584009012152782</v>
      </c>
    </row>
    <row r="607" spans="17:23" x14ac:dyDescent="0.2">
      <c r="Q607">
        <f t="shared" si="78"/>
        <v>591</v>
      </c>
      <c r="R607" s="48">
        <f t="shared" ca="1" si="79"/>
        <v>0.5</v>
      </c>
      <c r="S607">
        <f t="shared" ca="1" si="80"/>
        <v>206.61089706186758</v>
      </c>
      <c r="T607" s="61">
        <f t="shared" ca="1" si="81"/>
        <v>24000</v>
      </c>
      <c r="U607" s="61">
        <f t="shared" ca="1" si="82"/>
        <v>30644.358824747032</v>
      </c>
      <c r="V607" s="39">
        <f t="shared" ca="1" si="83"/>
        <v>0.20160762384701994</v>
      </c>
      <c r="W607" s="48">
        <f t="shared" ca="1" si="84"/>
        <v>3.4357179225625405</v>
      </c>
    </row>
    <row r="608" spans="17:23" x14ac:dyDescent="0.2">
      <c r="Q608">
        <f t="shared" si="78"/>
        <v>592</v>
      </c>
      <c r="R608" s="48">
        <f t="shared" ca="1" si="79"/>
        <v>0.3</v>
      </c>
      <c r="S608">
        <f t="shared" ca="1" si="80"/>
        <v>206.53657239165514</v>
      </c>
      <c r="T608" s="61">
        <f t="shared" ca="1" si="81"/>
        <v>14400</v>
      </c>
      <c r="U608" s="61">
        <f t="shared" ca="1" si="82"/>
        <v>23660.48053932688</v>
      </c>
      <c r="V608" s="39">
        <f t="shared" ca="1" si="83"/>
        <v>0.1556610561797821</v>
      </c>
      <c r="W608" s="48">
        <f t="shared" ca="1" si="84"/>
        <v>2.2331435876679815</v>
      </c>
    </row>
    <row r="609" spans="17:23" x14ac:dyDescent="0.2">
      <c r="Q609">
        <f t="shared" si="78"/>
        <v>593</v>
      </c>
      <c r="R609" s="48">
        <f t="shared" ca="1" si="79"/>
        <v>0.15</v>
      </c>
      <c r="S609">
        <f t="shared" ca="1" si="80"/>
        <v>203.8382056456733</v>
      </c>
      <c r="T609" s="61">
        <f t="shared" ca="1" si="81"/>
        <v>7200</v>
      </c>
      <c r="U609" s="61">
        <f t="shared" ca="1" si="82"/>
        <v>16609.979839057843</v>
      </c>
      <c r="V609" s="39">
        <f t="shared" ca="1" si="83"/>
        <v>0.10927618315169634</v>
      </c>
      <c r="W609" s="48">
        <f t="shared" ca="1" si="84"/>
        <v>1.319113040530806</v>
      </c>
    </row>
    <row r="610" spans="17:23" x14ac:dyDescent="0.2">
      <c r="Q610">
        <f t="shared" si="78"/>
        <v>594</v>
      </c>
      <c r="R610" s="48">
        <f t="shared" ca="1" si="79"/>
        <v>0.217</v>
      </c>
      <c r="S610">
        <f t="shared" ca="1" si="80"/>
        <v>199.21837935842632</v>
      </c>
      <c r="T610" s="61">
        <f t="shared" ca="1" si="81"/>
        <v>10416</v>
      </c>
      <c r="U610" s="61">
        <f t="shared" ca="1" si="82"/>
        <v>16190.392830118246</v>
      </c>
      <c r="V610" s="39">
        <f t="shared" ca="1" si="83"/>
        <v>0.10651574230340952</v>
      </c>
      <c r="W610" s="48">
        <f t="shared" ca="1" si="84"/>
        <v>1.2727148688663972</v>
      </c>
    </row>
    <row r="611" spans="17:23" x14ac:dyDescent="0.2">
      <c r="Q611">
        <f t="shared" si="78"/>
        <v>595</v>
      </c>
      <c r="R611" s="48">
        <f t="shared" ca="1" si="79"/>
        <v>0.5</v>
      </c>
      <c r="S611">
        <f t="shared" ca="1" si="80"/>
        <v>189.72694538673051</v>
      </c>
      <c r="T611" s="61">
        <f t="shared" ca="1" si="81"/>
        <v>24000</v>
      </c>
      <c r="U611" s="61">
        <f t="shared" ca="1" si="82"/>
        <v>23890.778154692201</v>
      </c>
      <c r="V611" s="39">
        <f t="shared" ca="1" si="83"/>
        <v>0.15717617207034343</v>
      </c>
      <c r="W611" s="48">
        <f t="shared" ca="1" si="84"/>
        <v>2.267685458427815</v>
      </c>
    </row>
    <row r="612" spans="17:23" x14ac:dyDescent="0.2">
      <c r="Q612">
        <f t="shared" si="78"/>
        <v>596</v>
      </c>
      <c r="R612" s="48">
        <f t="shared" ca="1" si="79"/>
        <v>0.4</v>
      </c>
      <c r="S612">
        <f t="shared" ca="1" si="80"/>
        <v>171.01227989867067</v>
      </c>
      <c r="T612" s="61">
        <f t="shared" ca="1" si="81"/>
        <v>19200</v>
      </c>
      <c r="U612" s="61">
        <f t="shared" ca="1" si="82"/>
        <v>10085.894351361922</v>
      </c>
      <c r="V612" s="39">
        <f t="shared" ca="1" si="83"/>
        <v>6.635456810106527E-2</v>
      </c>
      <c r="W612" s="48">
        <f t="shared" ca="1" si="84"/>
        <v>0.68388819166758896</v>
      </c>
    </row>
    <row r="613" spans="17:23" x14ac:dyDescent="0.2">
      <c r="Q613">
        <f t="shared" si="78"/>
        <v>597</v>
      </c>
      <c r="R613" s="48">
        <f t="shared" ca="1" si="79"/>
        <v>0.217</v>
      </c>
      <c r="S613">
        <f t="shared" ca="1" si="80"/>
        <v>229.12417772044881</v>
      </c>
      <c r="T613" s="61">
        <f t="shared" ca="1" si="81"/>
        <v>10416</v>
      </c>
      <c r="U613" s="61">
        <f t="shared" ca="1" si="82"/>
        <v>34923.384924089136</v>
      </c>
      <c r="V613" s="39">
        <f t="shared" ca="1" si="83"/>
        <v>0.2297591113426917</v>
      </c>
      <c r="W613" s="48">
        <f t="shared" ca="1" si="84"/>
        <v>4.3522993728444117</v>
      </c>
    </row>
    <row r="614" spans="17:23" x14ac:dyDescent="0.2">
      <c r="Q614">
        <f t="shared" si="78"/>
        <v>598</v>
      </c>
      <c r="R614" s="48">
        <f t="shared" ca="1" si="79"/>
        <v>0.45</v>
      </c>
      <c r="S614">
        <f t="shared" ca="1" si="80"/>
        <v>119.99180715786038</v>
      </c>
      <c r="T614" s="61">
        <f t="shared" ca="1" si="81"/>
        <v>21600</v>
      </c>
      <c r="U614" s="61">
        <f t="shared" ca="1" si="82"/>
        <v>-9203.6048505414365</v>
      </c>
      <c r="V614" s="39">
        <f t="shared" ca="1" si="83"/>
        <v>-6.0550031911456817E-2</v>
      </c>
      <c r="W614" s="48">
        <f t="shared" ca="1" si="84"/>
        <v>-0.39747480795323631</v>
      </c>
    </row>
    <row r="615" spans="17:23" x14ac:dyDescent="0.2">
      <c r="Q615">
        <f t="shared" si="78"/>
        <v>599</v>
      </c>
      <c r="R615" s="48">
        <f t="shared" ca="1" si="79"/>
        <v>0.4</v>
      </c>
      <c r="S615">
        <f t="shared" ca="1" si="80"/>
        <v>210.25406743213273</v>
      </c>
      <c r="T615" s="61">
        <f t="shared" ca="1" si="81"/>
        <v>19200</v>
      </c>
      <c r="U615" s="61">
        <f t="shared" ca="1" si="82"/>
        <v>28921.95236742371</v>
      </c>
      <c r="V615" s="39">
        <f t="shared" ca="1" si="83"/>
        <v>0.19027600241726125</v>
      </c>
      <c r="W615" s="48">
        <f t="shared" ca="1" si="84"/>
        <v>3.1075865136245131</v>
      </c>
    </row>
    <row r="616" spans="17:23" x14ac:dyDescent="0.2">
      <c r="Q616">
        <f t="shared" si="78"/>
        <v>600</v>
      </c>
      <c r="R616" s="48">
        <f t="shared" ca="1" si="79"/>
        <v>0.4</v>
      </c>
      <c r="S616">
        <f t="shared" ca="1" si="80"/>
        <v>159.55243267718706</v>
      </c>
      <c r="T616" s="61">
        <f t="shared" ca="1" si="81"/>
        <v>19200</v>
      </c>
      <c r="U616" s="61">
        <f t="shared" ca="1" si="82"/>
        <v>4585.1676850497861</v>
      </c>
      <c r="V616" s="39">
        <f t="shared" ca="1" si="83"/>
        <v>3.0165576875327539E-2</v>
      </c>
      <c r="W616" s="48">
        <f t="shared" ca="1" si="84"/>
        <v>0.27259550550295319</v>
      </c>
    </row>
    <row r="617" spans="17:23" x14ac:dyDescent="0.2">
      <c r="Q617">
        <f t="shared" si="78"/>
        <v>601</v>
      </c>
      <c r="R617" s="48">
        <f t="shared" ca="1" si="79"/>
        <v>0.3</v>
      </c>
      <c r="S617">
        <f t="shared" ca="1" si="80"/>
        <v>198.72751458811365</v>
      </c>
      <c r="T617" s="61">
        <f t="shared" ca="1" si="81"/>
        <v>14400</v>
      </c>
      <c r="U617" s="61">
        <f t="shared" ca="1" si="82"/>
        <v>19287.408169343646</v>
      </c>
      <c r="V617" s="39">
        <f t="shared" ca="1" si="83"/>
        <v>0.12689084321936608</v>
      </c>
      <c r="W617" s="48">
        <f t="shared" ca="1" si="84"/>
        <v>1.6352356048255592</v>
      </c>
    </row>
    <row r="618" spans="17:23" x14ac:dyDescent="0.2">
      <c r="Q618">
        <f t="shared" si="78"/>
        <v>602</v>
      </c>
      <c r="R618" s="48">
        <f t="shared" ca="1" si="79"/>
        <v>0.35</v>
      </c>
      <c r="S618">
        <f t="shared" ca="1" si="80"/>
        <v>219.81357706502666</v>
      </c>
      <c r="T618" s="61">
        <f t="shared" ca="1" si="81"/>
        <v>16800</v>
      </c>
      <c r="U618" s="61">
        <f t="shared" ca="1" si="82"/>
        <v>32303.060073813867</v>
      </c>
      <c r="V618" s="39">
        <f t="shared" ca="1" si="83"/>
        <v>0.21252013206456491</v>
      </c>
      <c r="W618" s="48">
        <f t="shared" ca="1" si="84"/>
        <v>3.7732088615526527</v>
      </c>
    </row>
    <row r="619" spans="17:23" x14ac:dyDescent="0.2">
      <c r="Q619">
        <f t="shared" si="78"/>
        <v>603</v>
      </c>
      <c r="R619" s="48">
        <f t="shared" ca="1" si="79"/>
        <v>0.3</v>
      </c>
      <c r="S619">
        <f t="shared" ca="1" si="80"/>
        <v>184.68714043275338</v>
      </c>
      <c r="T619" s="61">
        <f t="shared" ca="1" si="81"/>
        <v>14400</v>
      </c>
      <c r="U619" s="61">
        <f t="shared" ca="1" si="82"/>
        <v>11424.798642341893</v>
      </c>
      <c r="V619" s="39">
        <f t="shared" ca="1" si="83"/>
        <v>7.5163148962775608E-2</v>
      </c>
      <c r="W619" s="48">
        <f t="shared" ca="1" si="84"/>
        <v>0.8000812865139415</v>
      </c>
    </row>
    <row r="620" spans="17:23" x14ac:dyDescent="0.2">
      <c r="Q620">
        <f t="shared" si="78"/>
        <v>604</v>
      </c>
      <c r="R620" s="48">
        <f t="shared" ca="1" si="79"/>
        <v>0.4</v>
      </c>
      <c r="S620">
        <f t="shared" ca="1" si="80"/>
        <v>172.58626463157603</v>
      </c>
      <c r="T620" s="61">
        <f t="shared" ca="1" si="81"/>
        <v>19200</v>
      </c>
      <c r="U620" s="61">
        <f t="shared" ca="1" si="82"/>
        <v>10841.407023156495</v>
      </c>
      <c r="V620" s="39">
        <f t="shared" ca="1" si="83"/>
        <v>7.1325046204976941E-2</v>
      </c>
      <c r="W620" s="48">
        <f t="shared" ca="1" si="84"/>
        <v>0.74861681564975613</v>
      </c>
    </row>
    <row r="621" spans="17:23" x14ac:dyDescent="0.2">
      <c r="Q621">
        <f t="shared" si="78"/>
        <v>605</v>
      </c>
      <c r="R621" s="48">
        <f t="shared" ca="1" si="79"/>
        <v>0.4</v>
      </c>
      <c r="S621">
        <f t="shared" ca="1" si="80"/>
        <v>175.85485515697317</v>
      </c>
      <c r="T621" s="61">
        <f t="shared" ca="1" si="81"/>
        <v>19200</v>
      </c>
      <c r="U621" s="61">
        <f t="shared" ca="1" si="82"/>
        <v>12410.330475347124</v>
      </c>
      <c r="V621" s="39">
        <f t="shared" ca="1" si="83"/>
        <v>8.1646911022020555E-2</v>
      </c>
      <c r="W621" s="48">
        <f t="shared" ca="1" si="84"/>
        <v>0.89004173524919117</v>
      </c>
    </row>
    <row r="622" spans="17:23" x14ac:dyDescent="0.2">
      <c r="Q622">
        <f t="shared" si="78"/>
        <v>606</v>
      </c>
      <c r="R622" s="48">
        <f t="shared" ca="1" si="79"/>
        <v>0.5</v>
      </c>
      <c r="S622">
        <f t="shared" ca="1" si="80"/>
        <v>136.92818643268902</v>
      </c>
      <c r="T622" s="61">
        <f t="shared" ca="1" si="81"/>
        <v>24000</v>
      </c>
      <c r="U622" s="61">
        <f t="shared" ca="1" si="82"/>
        <v>2771.2745730756069</v>
      </c>
      <c r="V622" s="39">
        <f t="shared" ca="1" si="83"/>
        <v>1.823206955970794E-2</v>
      </c>
      <c r="W622" s="48">
        <f t="shared" ca="1" si="84"/>
        <v>0.15783329149339154</v>
      </c>
    </row>
    <row r="623" spans="17:23" x14ac:dyDescent="0.2">
      <c r="Q623">
        <f t="shared" si="78"/>
        <v>607</v>
      </c>
      <c r="R623" s="48">
        <f t="shared" ca="1" si="79"/>
        <v>0.217</v>
      </c>
      <c r="S623">
        <f t="shared" ca="1" si="80"/>
        <v>129.1861879108879</v>
      </c>
      <c r="T623" s="61">
        <f t="shared" ca="1" si="81"/>
        <v>10416</v>
      </c>
      <c r="U623" s="61">
        <f t="shared" ca="1" si="82"/>
        <v>-27677.771892619821</v>
      </c>
      <c r="V623" s="39">
        <f t="shared" ca="1" si="83"/>
        <v>-0.18209060455670936</v>
      </c>
      <c r="W623" s="48">
        <f t="shared" ca="1" si="84"/>
        <v>-0.80414162197629491</v>
      </c>
    </row>
    <row r="624" spans="17:23" x14ac:dyDescent="0.2">
      <c r="Q624">
        <f t="shared" si="78"/>
        <v>608</v>
      </c>
      <c r="R624" s="48">
        <f t="shared" ca="1" si="79"/>
        <v>0.35</v>
      </c>
      <c r="S624">
        <f t="shared" ca="1" si="80"/>
        <v>212.97678618915273</v>
      </c>
      <c r="T624" s="61">
        <f t="shared" ca="1" si="81"/>
        <v>16800</v>
      </c>
      <c r="U624" s="61">
        <f t="shared" ca="1" si="82"/>
        <v>28747.928818359422</v>
      </c>
      <c r="V624" s="39">
        <f t="shared" ca="1" si="83"/>
        <v>0.18913111064710145</v>
      </c>
      <c r="W624" s="48">
        <f t="shared" ca="1" si="84"/>
        <v>3.0756491608063952</v>
      </c>
    </row>
    <row r="625" spans="17:23" x14ac:dyDescent="0.2">
      <c r="Q625">
        <f t="shared" si="78"/>
        <v>609</v>
      </c>
      <c r="R625" s="48">
        <f t="shared" ca="1" si="79"/>
        <v>0.45</v>
      </c>
      <c r="S625">
        <f t="shared" ca="1" si="80"/>
        <v>180.76135424622942</v>
      </c>
      <c r="T625" s="61">
        <f t="shared" ca="1" si="81"/>
        <v>21600</v>
      </c>
      <c r="U625" s="61">
        <f t="shared" ca="1" si="82"/>
        <v>17534.995868340942</v>
      </c>
      <c r="V625" s="39">
        <f t="shared" ca="1" si="83"/>
        <v>0.11536181492329567</v>
      </c>
      <c r="W625" s="48">
        <f t="shared" ca="1" si="84"/>
        <v>1.4243459654281234</v>
      </c>
    </row>
    <row r="626" spans="17:23" x14ac:dyDescent="0.2">
      <c r="Q626">
        <f t="shared" si="78"/>
        <v>610</v>
      </c>
      <c r="R626" s="48">
        <f t="shared" ca="1" si="79"/>
        <v>0.4</v>
      </c>
      <c r="S626">
        <f t="shared" ca="1" si="80"/>
        <v>175.55978969595995</v>
      </c>
      <c r="T626" s="61">
        <f t="shared" ca="1" si="81"/>
        <v>19200</v>
      </c>
      <c r="U626" s="61">
        <f t="shared" ca="1" si="82"/>
        <v>12268.699054060777</v>
      </c>
      <c r="V626" s="39">
        <f t="shared" ca="1" si="83"/>
        <v>8.0715125355662998E-2</v>
      </c>
      <c r="W626" s="48">
        <f t="shared" ca="1" si="84"/>
        <v>0.87687578113702425</v>
      </c>
    </row>
    <row r="627" spans="17:23" x14ac:dyDescent="0.2">
      <c r="Q627">
        <f t="shared" si="78"/>
        <v>611</v>
      </c>
      <c r="R627" s="48">
        <f t="shared" ca="1" si="79"/>
        <v>0.217</v>
      </c>
      <c r="S627">
        <f t="shared" ca="1" si="80"/>
        <v>178.83258764888541</v>
      </c>
      <c r="T627" s="61">
        <f t="shared" ca="1" si="81"/>
        <v>10416</v>
      </c>
      <c r="U627" s="61">
        <f t="shared" ca="1" si="82"/>
        <v>3420.73290326182</v>
      </c>
      <c r="V627" s="39">
        <f t="shared" ca="1" si="83"/>
        <v>2.2504821731985657E-2</v>
      </c>
      <c r="W627" s="48">
        <f t="shared" ca="1" si="84"/>
        <v>0.19783458029420209</v>
      </c>
    </row>
    <row r="628" spans="17:23" x14ac:dyDescent="0.2">
      <c r="Q628">
        <f t="shared" si="78"/>
        <v>612</v>
      </c>
      <c r="R628" s="48">
        <f t="shared" ca="1" si="79"/>
        <v>0.35</v>
      </c>
      <c r="S628">
        <f t="shared" ca="1" si="80"/>
        <v>196.70646800083415</v>
      </c>
      <c r="T628" s="61">
        <f t="shared" ca="1" si="81"/>
        <v>16800</v>
      </c>
      <c r="U628" s="61">
        <f t="shared" ca="1" si="82"/>
        <v>20287.363360433759</v>
      </c>
      <c r="V628" s="39">
        <f t="shared" ca="1" si="83"/>
        <v>0.13346949579232736</v>
      </c>
      <c r="W628" s="48">
        <f t="shared" ca="1" si="84"/>
        <v>1.7626395931133954</v>
      </c>
    </row>
    <row r="629" spans="17:23" x14ac:dyDescent="0.2">
      <c r="Q629">
        <f t="shared" si="78"/>
        <v>613</v>
      </c>
      <c r="R629" s="48">
        <f t="shared" ca="1" si="79"/>
        <v>0.35</v>
      </c>
      <c r="S629">
        <f t="shared" ca="1" si="80"/>
        <v>218.25836373398658</v>
      </c>
      <c r="T629" s="61">
        <f t="shared" ca="1" si="81"/>
        <v>16800</v>
      </c>
      <c r="U629" s="61">
        <f t="shared" ca="1" si="82"/>
        <v>31494.349141673025</v>
      </c>
      <c r="V629" s="39">
        <f t="shared" ca="1" si="83"/>
        <v>0.20719966540574358</v>
      </c>
      <c r="W629" s="48">
        <f t="shared" ca="1" si="84"/>
        <v>3.6059521146070725</v>
      </c>
    </row>
    <row r="630" spans="17:23" x14ac:dyDescent="0.2">
      <c r="Q630">
        <f t="shared" si="78"/>
        <v>614</v>
      </c>
      <c r="R630" s="48">
        <f t="shared" ca="1" si="79"/>
        <v>0.5</v>
      </c>
      <c r="S630">
        <f t="shared" ca="1" si="80"/>
        <v>179.30863131945941</v>
      </c>
      <c r="T630" s="61">
        <f t="shared" ca="1" si="81"/>
        <v>24000</v>
      </c>
      <c r="U630" s="61">
        <f t="shared" ca="1" si="82"/>
        <v>19723.452527783764</v>
      </c>
      <c r="V630" s="39">
        <f t="shared" ca="1" si="83"/>
        <v>0.12975955610384055</v>
      </c>
      <c r="W630" s="48">
        <f t="shared" ca="1" si="84"/>
        <v>1.6901439763207975</v>
      </c>
    </row>
    <row r="631" spans="17:23" x14ac:dyDescent="0.2">
      <c r="Q631">
        <f t="shared" si="78"/>
        <v>615</v>
      </c>
      <c r="R631" s="48">
        <f t="shared" ca="1" si="79"/>
        <v>0.45</v>
      </c>
      <c r="S631">
        <f t="shared" ca="1" si="80"/>
        <v>166.97298850864692</v>
      </c>
      <c r="T631" s="61">
        <f t="shared" ca="1" si="81"/>
        <v>21600</v>
      </c>
      <c r="U631" s="61">
        <f t="shared" ca="1" si="82"/>
        <v>11468.114943804643</v>
      </c>
      <c r="V631" s="39">
        <f t="shared" ca="1" si="83"/>
        <v>7.5448124630293711E-2</v>
      </c>
      <c r="W631" s="48">
        <f t="shared" ca="1" si="84"/>
        <v>0.80395489023462829</v>
      </c>
    </row>
    <row r="632" spans="17:23" x14ac:dyDescent="0.2">
      <c r="Q632">
        <f t="shared" si="78"/>
        <v>616</v>
      </c>
      <c r="R632" s="48">
        <f t="shared" ca="1" si="79"/>
        <v>0.35</v>
      </c>
      <c r="S632">
        <f t="shared" ca="1" si="80"/>
        <v>209.849529920214</v>
      </c>
      <c r="T632" s="61">
        <f t="shared" ca="1" si="81"/>
        <v>16800</v>
      </c>
      <c r="U632" s="61">
        <f t="shared" ca="1" si="82"/>
        <v>27121.755558511279</v>
      </c>
      <c r="V632" s="39">
        <f t="shared" ca="1" si="83"/>
        <v>0.17843260235862685</v>
      </c>
      <c r="W632" s="48">
        <f t="shared" ca="1" si="84"/>
        <v>2.7875706538559495</v>
      </c>
    </row>
    <row r="633" spans="17:23" x14ac:dyDescent="0.2">
      <c r="Q633">
        <f t="shared" si="78"/>
        <v>617</v>
      </c>
      <c r="R633" s="48">
        <f t="shared" ca="1" si="79"/>
        <v>0.3</v>
      </c>
      <c r="S633">
        <f t="shared" ca="1" si="80"/>
        <v>196.3856488819882</v>
      </c>
      <c r="T633" s="61">
        <f t="shared" ca="1" si="81"/>
        <v>14400</v>
      </c>
      <c r="U633" s="61">
        <f t="shared" ca="1" si="82"/>
        <v>17975.963373913393</v>
      </c>
      <c r="V633" s="39">
        <f t="shared" ca="1" si="83"/>
        <v>0.11826291693364074</v>
      </c>
      <c r="W633" s="48">
        <f t="shared" ca="1" si="84"/>
        <v>1.4759687337369489</v>
      </c>
    </row>
    <row r="634" spans="17:23" x14ac:dyDescent="0.2">
      <c r="Q634">
        <f t="shared" si="78"/>
        <v>618</v>
      </c>
      <c r="R634" s="48">
        <f t="shared" ca="1" si="79"/>
        <v>0.4</v>
      </c>
      <c r="S634">
        <f t="shared" ca="1" si="80"/>
        <v>178.61265883952484</v>
      </c>
      <c r="T634" s="61">
        <f t="shared" ca="1" si="81"/>
        <v>19200</v>
      </c>
      <c r="U634" s="61">
        <f t="shared" ca="1" si="82"/>
        <v>13734.076242971923</v>
      </c>
      <c r="V634" s="39">
        <f t="shared" ca="1" si="83"/>
        <v>9.035576475639423E-2</v>
      </c>
      <c r="W634" s="48">
        <f t="shared" ca="1" si="84"/>
        <v>1.0170656778004852</v>
      </c>
    </row>
    <row r="635" spans="17:23" x14ac:dyDescent="0.2">
      <c r="Q635">
        <f t="shared" si="78"/>
        <v>619</v>
      </c>
      <c r="R635" s="48">
        <f t="shared" ca="1" si="79"/>
        <v>0.4</v>
      </c>
      <c r="S635">
        <f t="shared" ca="1" si="80"/>
        <v>180.67788871830481</v>
      </c>
      <c r="T635" s="61">
        <f t="shared" ca="1" si="81"/>
        <v>19200</v>
      </c>
      <c r="U635" s="61">
        <f t="shared" ca="1" si="82"/>
        <v>14725.386584786311</v>
      </c>
      <c r="V635" s="39">
        <f t="shared" ca="1" si="83"/>
        <v>9.6877543320962572E-2</v>
      </c>
      <c r="W635" s="48">
        <f t="shared" ca="1" si="84"/>
        <v>1.1170308038409504</v>
      </c>
    </row>
    <row r="636" spans="17:23" x14ac:dyDescent="0.2">
      <c r="Q636">
        <f t="shared" si="78"/>
        <v>620</v>
      </c>
      <c r="R636" s="48">
        <f t="shared" ca="1" si="79"/>
        <v>0.4</v>
      </c>
      <c r="S636">
        <f t="shared" ca="1" si="80"/>
        <v>178.0064092605362</v>
      </c>
      <c r="T636" s="61">
        <f t="shared" ca="1" si="81"/>
        <v>19200</v>
      </c>
      <c r="U636" s="61">
        <f t="shared" ca="1" si="82"/>
        <v>13443.076445057377</v>
      </c>
      <c r="V636" s="39">
        <f t="shared" ca="1" si="83"/>
        <v>8.8441292401693267E-2</v>
      </c>
      <c r="W636" s="48">
        <f t="shared" ca="1" si="84"/>
        <v>0.98851797057949087</v>
      </c>
    </row>
    <row r="637" spans="17:23" x14ac:dyDescent="0.2">
      <c r="Q637">
        <f t="shared" si="78"/>
        <v>621</v>
      </c>
      <c r="R637" s="48">
        <f t="shared" ca="1" si="79"/>
        <v>0.4</v>
      </c>
      <c r="S637">
        <f t="shared" ca="1" si="80"/>
        <v>179.66252807242975</v>
      </c>
      <c r="T637" s="61">
        <f t="shared" ca="1" si="81"/>
        <v>19200</v>
      </c>
      <c r="U637" s="61">
        <f t="shared" ca="1" si="82"/>
        <v>14238.013474766281</v>
      </c>
      <c r="V637" s="39">
        <f t="shared" ca="1" si="83"/>
        <v>9.3671141281357118E-2</v>
      </c>
      <c r="W637" s="48">
        <f t="shared" ca="1" si="84"/>
        <v>1.0673536278275373</v>
      </c>
    </row>
    <row r="638" spans="17:23" x14ac:dyDescent="0.2">
      <c r="Q638">
        <f t="shared" si="78"/>
        <v>622</v>
      </c>
      <c r="R638" s="48">
        <f t="shared" ca="1" si="79"/>
        <v>0.4</v>
      </c>
      <c r="S638">
        <f t="shared" ca="1" si="80"/>
        <v>230.67888343198862</v>
      </c>
      <c r="T638" s="61">
        <f t="shared" ca="1" si="81"/>
        <v>19200</v>
      </c>
      <c r="U638" s="61">
        <f t="shared" ca="1" si="82"/>
        <v>38725.864047354538</v>
      </c>
      <c r="V638" s="39">
        <f t="shared" ca="1" si="83"/>
        <v>0.25477542136417458</v>
      </c>
      <c r="W638" s="48">
        <f t="shared" ca="1" si="84"/>
        <v>5.302020376415312</v>
      </c>
    </row>
    <row r="639" spans="17:23" x14ac:dyDescent="0.2">
      <c r="Q639">
        <f t="shared" si="78"/>
        <v>623</v>
      </c>
      <c r="R639" s="48">
        <f t="shared" ca="1" si="79"/>
        <v>0.3</v>
      </c>
      <c r="S639">
        <f t="shared" ca="1" si="80"/>
        <v>187.85348127796149</v>
      </c>
      <c r="T639" s="61">
        <f t="shared" ca="1" si="81"/>
        <v>14400</v>
      </c>
      <c r="U639" s="61">
        <f t="shared" ca="1" si="82"/>
        <v>13197.949515658436</v>
      </c>
      <c r="V639" s="39">
        <f t="shared" ca="1" si="83"/>
        <v>8.682861523459498E-2</v>
      </c>
      <c r="W639" s="48">
        <f t="shared" ca="1" si="84"/>
        <v>0.9647459939590759</v>
      </c>
    </row>
    <row r="640" spans="17:23" x14ac:dyDescent="0.2">
      <c r="Q640">
        <f t="shared" si="78"/>
        <v>624</v>
      </c>
      <c r="R640" s="48">
        <f t="shared" ca="1" si="79"/>
        <v>0.45</v>
      </c>
      <c r="S640">
        <f t="shared" ca="1" si="80"/>
        <v>198.37025106342566</v>
      </c>
      <c r="T640" s="61">
        <f t="shared" ca="1" si="81"/>
        <v>21600</v>
      </c>
      <c r="U640" s="61">
        <f t="shared" ca="1" si="82"/>
        <v>25282.910467907288</v>
      </c>
      <c r="V640" s="39">
        <f t="shared" ca="1" si="83"/>
        <v>0.16633493728886373</v>
      </c>
      <c r="W640" s="48">
        <f t="shared" ca="1" si="84"/>
        <v>2.483462097939455</v>
      </c>
    </row>
    <row r="641" spans="17:23" x14ac:dyDescent="0.2">
      <c r="Q641">
        <f t="shared" si="78"/>
        <v>625</v>
      </c>
      <c r="R641" s="48">
        <f t="shared" ca="1" si="79"/>
        <v>0.3</v>
      </c>
      <c r="S641">
        <f t="shared" ca="1" si="80"/>
        <v>187.47856996675876</v>
      </c>
      <c r="T641" s="61">
        <f t="shared" ca="1" si="81"/>
        <v>14400</v>
      </c>
      <c r="U641" s="61">
        <f t="shared" ca="1" si="82"/>
        <v>12987.999181384903</v>
      </c>
      <c r="V641" s="39">
        <f t="shared" ca="1" si="83"/>
        <v>8.5447363035426993E-2</v>
      </c>
      <c r="W641" s="48">
        <f t="shared" ca="1" si="84"/>
        <v>0.94458384330305489</v>
      </c>
    </row>
    <row r="642" spans="17:23" x14ac:dyDescent="0.2">
      <c r="Q642">
        <f t="shared" si="78"/>
        <v>626</v>
      </c>
      <c r="R642" s="48">
        <f t="shared" ca="1" si="79"/>
        <v>0.4</v>
      </c>
      <c r="S642">
        <f t="shared" ca="1" si="80"/>
        <v>206.61020084335195</v>
      </c>
      <c r="T642" s="61">
        <f t="shared" ca="1" si="81"/>
        <v>19200</v>
      </c>
      <c r="U642" s="61">
        <f t="shared" ca="1" si="82"/>
        <v>27172.896404808933</v>
      </c>
      <c r="V642" s="39">
        <f t="shared" ca="1" si="83"/>
        <v>0.17876905529479561</v>
      </c>
      <c r="W642" s="48">
        <f t="shared" ca="1" si="84"/>
        <v>2.7963507964803056</v>
      </c>
    </row>
    <row r="643" spans="17:23" x14ac:dyDescent="0.2">
      <c r="Q643">
        <f t="shared" si="78"/>
        <v>627</v>
      </c>
      <c r="R643" s="48">
        <f t="shared" ca="1" si="79"/>
        <v>0.45</v>
      </c>
      <c r="S643">
        <f t="shared" ca="1" si="80"/>
        <v>172.73787046168397</v>
      </c>
      <c r="T643" s="61">
        <f t="shared" ca="1" si="81"/>
        <v>21600</v>
      </c>
      <c r="U643" s="61">
        <f t="shared" ca="1" si="82"/>
        <v>14004.663003140944</v>
      </c>
      <c r="V643" s="39">
        <f t="shared" ca="1" si="83"/>
        <v>9.213594081013779E-2</v>
      </c>
      <c r="W643" s="48">
        <f t="shared" ca="1" si="84"/>
        <v>1.0439325595921125</v>
      </c>
    </row>
    <row r="644" spans="17:23" x14ac:dyDescent="0.2">
      <c r="Q644">
        <f t="shared" si="78"/>
        <v>628</v>
      </c>
      <c r="R644" s="48">
        <f t="shared" ca="1" si="79"/>
        <v>0.217</v>
      </c>
      <c r="S644">
        <f t="shared" ca="1" si="80"/>
        <v>197.34684332593918</v>
      </c>
      <c r="T644" s="61">
        <f t="shared" ca="1" si="81"/>
        <v>10416</v>
      </c>
      <c r="U644" s="61">
        <f t="shared" ca="1" si="82"/>
        <v>15018.062659368301</v>
      </c>
      <c r="V644" s="39">
        <f t="shared" ca="1" si="83"/>
        <v>9.8803043811633559E-2</v>
      </c>
      <c r="W644" s="48">
        <f t="shared" ca="1" si="84"/>
        <v>1.1473630743465724</v>
      </c>
    </row>
    <row r="645" spans="17:23" x14ac:dyDescent="0.2">
      <c r="Q645">
        <f t="shared" si="78"/>
        <v>629</v>
      </c>
      <c r="R645" s="48">
        <f t="shared" ca="1" si="79"/>
        <v>0.35</v>
      </c>
      <c r="S645">
        <f t="shared" ca="1" si="80"/>
        <v>189.29989600875089</v>
      </c>
      <c r="T645" s="61">
        <f t="shared" ca="1" si="81"/>
        <v>16800</v>
      </c>
      <c r="U645" s="61">
        <f t="shared" ca="1" si="82"/>
        <v>16435.945924550462</v>
      </c>
      <c r="V645" s="39">
        <f t="shared" ca="1" si="83"/>
        <v>0.10813122318783198</v>
      </c>
      <c r="W645" s="48">
        <f t="shared" ca="1" si="84"/>
        <v>1.2997684528789222</v>
      </c>
    </row>
    <row r="646" spans="17:23" x14ac:dyDescent="0.2">
      <c r="Q646">
        <f t="shared" si="78"/>
        <v>630</v>
      </c>
      <c r="R646" s="48">
        <f t="shared" ca="1" si="79"/>
        <v>0.35</v>
      </c>
      <c r="S646">
        <f t="shared" ca="1" si="80"/>
        <v>167.24522637215742</v>
      </c>
      <c r="T646" s="61">
        <f t="shared" ca="1" si="81"/>
        <v>16800</v>
      </c>
      <c r="U646" s="61">
        <f t="shared" ca="1" si="82"/>
        <v>4967.5177135218582</v>
      </c>
      <c r="V646" s="39">
        <f t="shared" ca="1" si="83"/>
        <v>3.2681037588959592E-2</v>
      </c>
      <c r="W646" s="48">
        <f t="shared" ca="1" si="84"/>
        <v>0.29802010657534272</v>
      </c>
    </row>
    <row r="647" spans="17:23" x14ac:dyDescent="0.2">
      <c r="Q647">
        <f t="shared" si="78"/>
        <v>631</v>
      </c>
      <c r="R647" s="48">
        <f t="shared" ca="1" si="79"/>
        <v>0.4</v>
      </c>
      <c r="S647">
        <f t="shared" ca="1" si="80"/>
        <v>193.49926778867805</v>
      </c>
      <c r="T647" s="61">
        <f t="shared" ca="1" si="81"/>
        <v>19200</v>
      </c>
      <c r="U647" s="61">
        <f t="shared" ca="1" si="82"/>
        <v>20879.648538565467</v>
      </c>
      <c r="V647" s="39">
        <f t="shared" ca="1" si="83"/>
        <v>0.13736610880635175</v>
      </c>
      <c r="W647" s="48">
        <f t="shared" ca="1" si="84"/>
        <v>1.8406217413757688</v>
      </c>
    </row>
    <row r="648" spans="17:23" x14ac:dyDescent="0.2">
      <c r="Q648">
        <f t="shared" si="78"/>
        <v>632</v>
      </c>
      <c r="R648" s="48">
        <f t="shared" ca="1" si="79"/>
        <v>0.35</v>
      </c>
      <c r="S648">
        <f t="shared" ca="1" si="80"/>
        <v>225.88977629731278</v>
      </c>
      <c r="T648" s="61">
        <f t="shared" ca="1" si="81"/>
        <v>16800</v>
      </c>
      <c r="U648" s="61">
        <f t="shared" ca="1" si="82"/>
        <v>35462.683674602646</v>
      </c>
      <c r="V648" s="39">
        <f t="shared" ca="1" si="83"/>
        <v>0.2333071294381753</v>
      </c>
      <c r="W648" s="48">
        <f t="shared" ca="1" si="84"/>
        <v>4.4788443589791473</v>
      </c>
    </row>
    <row r="649" spans="17:23" x14ac:dyDescent="0.2">
      <c r="Q649">
        <f t="shared" si="78"/>
        <v>633</v>
      </c>
      <c r="R649" s="48">
        <f t="shared" ca="1" si="79"/>
        <v>0.45</v>
      </c>
      <c r="S649">
        <f t="shared" ca="1" si="80"/>
        <v>143.67773586315906</v>
      </c>
      <c r="T649" s="61">
        <f t="shared" ca="1" si="81"/>
        <v>21600</v>
      </c>
      <c r="U649" s="61">
        <f t="shared" ca="1" si="82"/>
        <v>1218.2037797899829</v>
      </c>
      <c r="V649" s="39">
        <f t="shared" ca="1" si="83"/>
        <v>8.0144985512498879E-3</v>
      </c>
      <c r="W649" s="48">
        <f t="shared" ca="1" si="84"/>
        <v>6.6889466926229879E-2</v>
      </c>
    </row>
    <row r="650" spans="17:23" x14ac:dyDescent="0.2">
      <c r="Q650">
        <f t="shared" si="78"/>
        <v>634</v>
      </c>
      <c r="R650" s="48">
        <f t="shared" ca="1" si="79"/>
        <v>0.4</v>
      </c>
      <c r="S650">
        <f t="shared" ca="1" si="80"/>
        <v>190.71455289755295</v>
      </c>
      <c r="T650" s="61">
        <f t="shared" ca="1" si="81"/>
        <v>19200</v>
      </c>
      <c r="U650" s="61">
        <f t="shared" ca="1" si="82"/>
        <v>19542.985390825415</v>
      </c>
      <c r="V650" s="39">
        <f t="shared" ca="1" si="83"/>
        <v>0.12857227230806195</v>
      </c>
      <c r="W650" s="48">
        <f t="shared" ca="1" si="84"/>
        <v>1.6672984034813285</v>
      </c>
    </row>
    <row r="651" spans="17:23" x14ac:dyDescent="0.2">
      <c r="Q651">
        <f t="shared" si="78"/>
        <v>635</v>
      </c>
      <c r="R651" s="48">
        <f t="shared" ca="1" si="79"/>
        <v>0.4</v>
      </c>
      <c r="S651">
        <f t="shared" ca="1" si="80"/>
        <v>193.61117843185107</v>
      </c>
      <c r="T651" s="61">
        <f t="shared" ca="1" si="81"/>
        <v>19200</v>
      </c>
      <c r="U651" s="61">
        <f t="shared" ca="1" si="82"/>
        <v>20933.365647288516</v>
      </c>
      <c r="V651" s="39">
        <f t="shared" ca="1" si="83"/>
        <v>0.13771951083742445</v>
      </c>
      <c r="W651" s="48">
        <f t="shared" ca="1" si="84"/>
        <v>1.8477888230643602</v>
      </c>
    </row>
    <row r="652" spans="17:23" x14ac:dyDescent="0.2">
      <c r="Q652">
        <f t="shared" si="78"/>
        <v>636</v>
      </c>
      <c r="R652" s="48">
        <f t="shared" ca="1" si="79"/>
        <v>0.45</v>
      </c>
      <c r="S652">
        <f t="shared" ca="1" si="80"/>
        <v>202.91127005505106</v>
      </c>
      <c r="T652" s="61">
        <f t="shared" ca="1" si="81"/>
        <v>21600</v>
      </c>
      <c r="U652" s="61">
        <f t="shared" ca="1" si="82"/>
        <v>27280.958824222467</v>
      </c>
      <c r="V652" s="39">
        <f t="shared" ca="1" si="83"/>
        <v>0.1794799922646215</v>
      </c>
      <c r="W652" s="48">
        <f t="shared" ca="1" si="84"/>
        <v>2.8149622595268218</v>
      </c>
    </row>
    <row r="653" spans="17:23" x14ac:dyDescent="0.2">
      <c r="Q653">
        <f t="shared" si="78"/>
        <v>637</v>
      </c>
      <c r="R653" s="48">
        <f t="shared" ca="1" si="79"/>
        <v>0.35</v>
      </c>
      <c r="S653">
        <f t="shared" ca="1" si="80"/>
        <v>193.19262273240506</v>
      </c>
      <c r="T653" s="61">
        <f t="shared" ca="1" si="81"/>
        <v>16800</v>
      </c>
      <c r="U653" s="61">
        <f t="shared" ca="1" si="82"/>
        <v>18460.16382085063</v>
      </c>
      <c r="V653" s="39">
        <f t="shared" ca="1" si="83"/>
        <v>0.12144844618980678</v>
      </c>
      <c r="W653" s="48">
        <f t="shared" ca="1" si="84"/>
        <v>1.5337603933988233</v>
      </c>
    </row>
    <row r="654" spans="17:23" x14ac:dyDescent="0.2">
      <c r="Q654">
        <f t="shared" si="78"/>
        <v>638</v>
      </c>
      <c r="R654" s="48">
        <f t="shared" ca="1" si="79"/>
        <v>0.35</v>
      </c>
      <c r="S654">
        <f t="shared" ca="1" si="80"/>
        <v>169.96887976913234</v>
      </c>
      <c r="T654" s="61">
        <f t="shared" ca="1" si="81"/>
        <v>16800</v>
      </c>
      <c r="U654" s="61">
        <f t="shared" ca="1" si="82"/>
        <v>6383.8174799488188</v>
      </c>
      <c r="V654" s="39">
        <f t="shared" ca="1" si="83"/>
        <v>4.1998799210189598E-2</v>
      </c>
      <c r="W654" s="48">
        <f t="shared" ca="1" si="84"/>
        <v>0.39612079019113833</v>
      </c>
    </row>
    <row r="655" spans="17:23" x14ac:dyDescent="0.2">
      <c r="Q655">
        <f t="shared" si="78"/>
        <v>639</v>
      </c>
      <c r="R655" s="48">
        <f t="shared" ca="1" si="79"/>
        <v>0.3</v>
      </c>
      <c r="S655">
        <f t="shared" ca="1" si="80"/>
        <v>183.28831208695902</v>
      </c>
      <c r="T655" s="61">
        <f t="shared" ca="1" si="81"/>
        <v>14400</v>
      </c>
      <c r="U655" s="61">
        <f t="shared" ca="1" si="82"/>
        <v>10641.454768697055</v>
      </c>
      <c r="V655" s="39">
        <f t="shared" ca="1" si="83"/>
        <v>7.0009570846691155E-2</v>
      </c>
      <c r="W655" s="48">
        <f t="shared" ca="1" si="84"/>
        <v>0.7312771387863346</v>
      </c>
    </row>
    <row r="656" spans="17:23" x14ac:dyDescent="0.2">
      <c r="Q656">
        <f t="shared" si="78"/>
        <v>640</v>
      </c>
      <c r="R656" s="48">
        <f t="shared" ca="1" si="79"/>
        <v>0.217</v>
      </c>
      <c r="S656">
        <f t="shared" ca="1" si="80"/>
        <v>191.84277098128601</v>
      </c>
      <c r="T656" s="61">
        <f t="shared" ca="1" si="81"/>
        <v>10416</v>
      </c>
      <c r="U656" s="61">
        <f t="shared" ca="1" si="82"/>
        <v>11570.311742677555</v>
      </c>
      <c r="V656" s="39">
        <f t="shared" ca="1" si="83"/>
        <v>7.6120471991299704E-2</v>
      </c>
      <c r="W656" s="48">
        <f t="shared" ca="1" si="84"/>
        <v>0.81312291532762715</v>
      </c>
    </row>
    <row r="657" spans="17:23" x14ac:dyDescent="0.2">
      <c r="Q657">
        <f t="shared" si="78"/>
        <v>641</v>
      </c>
      <c r="R657" s="48">
        <f t="shared" ca="1" si="79"/>
        <v>0.217</v>
      </c>
      <c r="S657">
        <f t="shared" ca="1" si="80"/>
        <v>217.79838810961468</v>
      </c>
      <c r="T657" s="61">
        <f t="shared" ca="1" si="81"/>
        <v>10416</v>
      </c>
      <c r="U657" s="61">
        <f t="shared" ca="1" si="82"/>
        <v>27828.910311862634</v>
      </c>
      <c r="V657" s="39">
        <f t="shared" ca="1" si="83"/>
        <v>0.18308493626225417</v>
      </c>
      <c r="W657" s="48">
        <f t="shared" ca="1" si="84"/>
        <v>2.9105719258034433</v>
      </c>
    </row>
    <row r="658" spans="17:23" x14ac:dyDescent="0.2">
      <c r="Q658">
        <f t="shared" si="78"/>
        <v>642</v>
      </c>
      <c r="R658" s="48">
        <f t="shared" ca="1" si="79"/>
        <v>0.3</v>
      </c>
      <c r="S658">
        <f t="shared" ca="1" si="80"/>
        <v>168.95587457686662</v>
      </c>
      <c r="T658" s="61">
        <f t="shared" ca="1" si="81"/>
        <v>14400</v>
      </c>
      <c r="U658" s="61">
        <f t="shared" ca="1" si="82"/>
        <v>2615.2897630453081</v>
      </c>
      <c r="V658" s="39">
        <f t="shared" ca="1" si="83"/>
        <v>1.7205853704245447E-2</v>
      </c>
      <c r="W658" s="48">
        <f t="shared" ca="1" si="84"/>
        <v>0.14840218878784484</v>
      </c>
    </row>
    <row r="659" spans="17:23" x14ac:dyDescent="0.2">
      <c r="Q659">
        <f t="shared" ref="Q659:Q722" si="85">Q658+1</f>
        <v>643</v>
      </c>
      <c r="R659" s="48">
        <f t="shared" ref="R659:R722" ca="1" si="86">LOOKUP(RAND(),$U$6:$U$12,$S$6:$S$12)</f>
        <v>0.35</v>
      </c>
      <c r="S659">
        <f t="shared" ref="S659:S722" ca="1" si="87">_xlfn.NORM.INV(RAND(),$Q$5,$Q$10)</f>
        <v>198.21684325509077</v>
      </c>
      <c r="T659" s="61">
        <f t="shared" ref="T659:T722" ca="1" si="88">($B$8-$B$7)*($E$6*R659)</f>
        <v>16800</v>
      </c>
      <c r="U659" s="61">
        <f t="shared" ref="U659:U722" ca="1" si="89">T659+((S659-$B$7)*($E$6*(1-R659)))</f>
        <v>21072.758492647197</v>
      </c>
      <c r="V659" s="39">
        <f t="shared" ref="V659:V722" ca="1" si="90">U659/$E$4</f>
        <v>0.13863656903057367</v>
      </c>
      <c r="W659" s="48">
        <f t="shared" ref="W659:W722" ca="1" si="91">(1+V659)^($J$29/$J$30)-1</f>
        <v>1.8664609911773855</v>
      </c>
    </row>
    <row r="660" spans="17:23" x14ac:dyDescent="0.2">
      <c r="Q660">
        <f t="shared" si="85"/>
        <v>644</v>
      </c>
      <c r="R660" s="48">
        <f t="shared" ca="1" si="86"/>
        <v>0.3</v>
      </c>
      <c r="S660">
        <f t="shared" ca="1" si="87"/>
        <v>176.74266020304273</v>
      </c>
      <c r="T660" s="61">
        <f t="shared" ca="1" si="88"/>
        <v>14400</v>
      </c>
      <c r="U660" s="61">
        <f t="shared" ca="1" si="89"/>
        <v>6975.8897137039294</v>
      </c>
      <c r="V660" s="39">
        <f t="shared" ca="1" si="90"/>
        <v>4.5894011274367957E-2</v>
      </c>
      <c r="W660" s="48">
        <f t="shared" ca="1" si="91"/>
        <v>0.43901959408188573</v>
      </c>
    </row>
    <row r="661" spans="17:23" x14ac:dyDescent="0.2">
      <c r="Q661">
        <f t="shared" si="85"/>
        <v>645</v>
      </c>
      <c r="R661" s="48">
        <f t="shared" ca="1" si="86"/>
        <v>0.5</v>
      </c>
      <c r="S661">
        <f t="shared" ca="1" si="87"/>
        <v>183.79483600399664</v>
      </c>
      <c r="T661" s="61">
        <f t="shared" ca="1" si="88"/>
        <v>24000</v>
      </c>
      <c r="U661" s="61">
        <f t="shared" ca="1" si="89"/>
        <v>21517.934401598653</v>
      </c>
      <c r="V661" s="39">
        <f t="shared" ca="1" si="90"/>
        <v>0.14156535790525429</v>
      </c>
      <c r="W661" s="48">
        <f t="shared" ca="1" si="91"/>
        <v>1.9268146814485747</v>
      </c>
    </row>
    <row r="662" spans="17:23" x14ac:dyDescent="0.2">
      <c r="Q662">
        <f t="shared" si="85"/>
        <v>646</v>
      </c>
      <c r="R662" s="48">
        <f t="shared" ca="1" si="86"/>
        <v>0.45</v>
      </c>
      <c r="S662">
        <f t="shared" ca="1" si="87"/>
        <v>222.854732831517</v>
      </c>
      <c r="T662" s="61">
        <f t="shared" ca="1" si="88"/>
        <v>21600</v>
      </c>
      <c r="U662" s="61">
        <f t="shared" ca="1" si="89"/>
        <v>36056.082445867483</v>
      </c>
      <c r="V662" s="39">
        <f t="shared" ca="1" si="90"/>
        <v>0.23721106872281239</v>
      </c>
      <c r="W662" s="48">
        <f t="shared" ca="1" si="91"/>
        <v>4.6211077091150399</v>
      </c>
    </row>
    <row r="663" spans="17:23" x14ac:dyDescent="0.2">
      <c r="Q663">
        <f t="shared" si="85"/>
        <v>647</v>
      </c>
      <c r="R663" s="48">
        <f t="shared" ca="1" si="86"/>
        <v>0.35</v>
      </c>
      <c r="S663">
        <f t="shared" ca="1" si="87"/>
        <v>203.55576829189636</v>
      </c>
      <c r="T663" s="61">
        <f t="shared" ca="1" si="88"/>
        <v>16800</v>
      </c>
      <c r="U663" s="61">
        <f t="shared" ca="1" si="89"/>
        <v>23848.999511786104</v>
      </c>
      <c r="V663" s="39">
        <f t="shared" ca="1" si="90"/>
        <v>0.15690131257754014</v>
      </c>
      <c r="W663" s="48">
        <f t="shared" ca="1" si="91"/>
        <v>2.2613952490842184</v>
      </c>
    </row>
    <row r="664" spans="17:23" x14ac:dyDescent="0.2">
      <c r="Q664">
        <f t="shared" si="85"/>
        <v>648</v>
      </c>
      <c r="R664" s="48">
        <f t="shared" ca="1" si="86"/>
        <v>0.3</v>
      </c>
      <c r="S664">
        <f t="shared" ca="1" si="87"/>
        <v>171.41102086695298</v>
      </c>
      <c r="T664" s="61">
        <f t="shared" ca="1" si="88"/>
        <v>14400</v>
      </c>
      <c r="U664" s="61">
        <f t="shared" ca="1" si="89"/>
        <v>3990.1716854936694</v>
      </c>
      <c r="V664" s="39">
        <f t="shared" ca="1" si="90"/>
        <v>2.6251129509826773E-2</v>
      </c>
      <c r="W664" s="48">
        <f t="shared" ca="1" si="91"/>
        <v>0.23389893762354852</v>
      </c>
    </row>
    <row r="665" spans="17:23" x14ac:dyDescent="0.2">
      <c r="Q665">
        <f t="shared" si="85"/>
        <v>649</v>
      </c>
      <c r="R665" s="48">
        <f t="shared" ca="1" si="86"/>
        <v>0.3</v>
      </c>
      <c r="S665">
        <f t="shared" ca="1" si="87"/>
        <v>188.17573054606717</v>
      </c>
      <c r="T665" s="61">
        <f t="shared" ca="1" si="88"/>
        <v>14400</v>
      </c>
      <c r="U665" s="61">
        <f t="shared" ca="1" si="89"/>
        <v>13378.409105797617</v>
      </c>
      <c r="V665" s="39">
        <f t="shared" ca="1" si="90"/>
        <v>8.801584938024748E-2</v>
      </c>
      <c r="W665" s="48">
        <f t="shared" ca="1" si="91"/>
        <v>0.98222228897207642</v>
      </c>
    </row>
    <row r="666" spans="17:23" x14ac:dyDescent="0.2">
      <c r="Q666">
        <f t="shared" si="85"/>
        <v>650</v>
      </c>
      <c r="R666" s="48">
        <f t="shared" ca="1" si="86"/>
        <v>0.35</v>
      </c>
      <c r="S666">
        <f t="shared" ca="1" si="87"/>
        <v>188.46125965904753</v>
      </c>
      <c r="T666" s="61">
        <f t="shared" ca="1" si="88"/>
        <v>16800</v>
      </c>
      <c r="U666" s="61">
        <f t="shared" ca="1" si="89"/>
        <v>15999.855022704714</v>
      </c>
      <c r="V666" s="39">
        <f t="shared" ca="1" si="90"/>
        <v>0.10526220409674154</v>
      </c>
      <c r="W666" s="48">
        <f t="shared" ca="1" si="91"/>
        <v>1.2519151977947267</v>
      </c>
    </row>
    <row r="667" spans="17:23" x14ac:dyDescent="0.2">
      <c r="Q667">
        <f t="shared" si="85"/>
        <v>651</v>
      </c>
      <c r="R667" s="48">
        <f t="shared" ca="1" si="86"/>
        <v>0.35</v>
      </c>
      <c r="S667">
        <f t="shared" ca="1" si="87"/>
        <v>159.88206063134575</v>
      </c>
      <c r="T667" s="61">
        <f t="shared" ca="1" si="88"/>
        <v>16800</v>
      </c>
      <c r="U667" s="61">
        <f t="shared" ca="1" si="89"/>
        <v>1138.6715282997902</v>
      </c>
      <c r="V667" s="39">
        <f t="shared" ca="1" si="90"/>
        <v>7.4912600546038826E-3</v>
      </c>
      <c r="W667" s="48">
        <f t="shared" ca="1" si="91"/>
        <v>6.2405821531546835E-2</v>
      </c>
    </row>
    <row r="668" spans="17:23" x14ac:dyDescent="0.2">
      <c r="Q668">
        <f t="shared" si="85"/>
        <v>652</v>
      </c>
      <c r="R668" s="48">
        <f t="shared" ca="1" si="86"/>
        <v>0.217</v>
      </c>
      <c r="S668">
        <f t="shared" ca="1" si="87"/>
        <v>179.23027567760596</v>
      </c>
      <c r="T668" s="61">
        <f t="shared" ca="1" si="88"/>
        <v>10416</v>
      </c>
      <c r="U668" s="61">
        <f t="shared" ca="1" si="89"/>
        <v>3669.8446844523733</v>
      </c>
      <c r="V668" s="39">
        <f t="shared" ca="1" si="90"/>
        <v>2.414371502929193E-2</v>
      </c>
      <c r="W668" s="48">
        <f t="shared" ca="1" si="91"/>
        <v>0.21349626758018947</v>
      </c>
    </row>
    <row r="669" spans="17:23" x14ac:dyDescent="0.2">
      <c r="Q669">
        <f t="shared" si="85"/>
        <v>653</v>
      </c>
      <c r="R669" s="48">
        <f t="shared" ca="1" si="86"/>
        <v>0.3</v>
      </c>
      <c r="S669">
        <f t="shared" ca="1" si="87"/>
        <v>178.87869974253942</v>
      </c>
      <c r="T669" s="61">
        <f t="shared" ca="1" si="88"/>
        <v>14400</v>
      </c>
      <c r="U669" s="61">
        <f t="shared" ca="1" si="89"/>
        <v>8172.0718558220779</v>
      </c>
      <c r="V669" s="39">
        <f t="shared" ca="1" si="90"/>
        <v>5.3763630630408406E-2</v>
      </c>
      <c r="W669" s="48">
        <f t="shared" ca="1" si="91"/>
        <v>0.52922949407165931</v>
      </c>
    </row>
    <row r="670" spans="17:23" x14ac:dyDescent="0.2">
      <c r="Q670">
        <f t="shared" si="85"/>
        <v>654</v>
      </c>
      <c r="R670" s="48">
        <f t="shared" ca="1" si="86"/>
        <v>0.3</v>
      </c>
      <c r="S670">
        <f t="shared" ca="1" si="87"/>
        <v>195.71313699278875</v>
      </c>
      <c r="T670" s="61">
        <f t="shared" ca="1" si="88"/>
        <v>14400</v>
      </c>
      <c r="U670" s="61">
        <f t="shared" ca="1" si="89"/>
        <v>17599.356715961698</v>
      </c>
      <c r="V670" s="39">
        <f t="shared" ca="1" si="90"/>
        <v>0.1157852415523796</v>
      </c>
      <c r="W670" s="48">
        <f t="shared" ca="1" si="91"/>
        <v>1.4318211790885633</v>
      </c>
    </row>
    <row r="671" spans="17:23" x14ac:dyDescent="0.2">
      <c r="Q671">
        <f t="shared" si="85"/>
        <v>655</v>
      </c>
      <c r="R671" s="48">
        <f t="shared" ca="1" si="86"/>
        <v>0.45</v>
      </c>
      <c r="S671">
        <f t="shared" ca="1" si="87"/>
        <v>202.35810428943284</v>
      </c>
      <c r="T671" s="61">
        <f t="shared" ca="1" si="88"/>
        <v>21600</v>
      </c>
      <c r="U671" s="61">
        <f t="shared" ca="1" si="89"/>
        <v>27037.565887350451</v>
      </c>
      <c r="V671" s="39">
        <f t="shared" ca="1" si="90"/>
        <v>0.17787872294309506</v>
      </c>
      <c r="W671" s="48">
        <f t="shared" ca="1" si="91"/>
        <v>2.7731552809039091</v>
      </c>
    </row>
    <row r="672" spans="17:23" x14ac:dyDescent="0.2">
      <c r="Q672">
        <f t="shared" si="85"/>
        <v>656</v>
      </c>
      <c r="R672" s="48">
        <f t="shared" ca="1" si="86"/>
        <v>0.3</v>
      </c>
      <c r="S672">
        <f t="shared" ca="1" si="87"/>
        <v>187.51836837449147</v>
      </c>
      <c r="T672" s="61">
        <f t="shared" ca="1" si="88"/>
        <v>14400</v>
      </c>
      <c r="U672" s="61">
        <f t="shared" ca="1" si="89"/>
        <v>13010.286289715224</v>
      </c>
      <c r="V672" s="39">
        <f t="shared" ca="1" si="90"/>
        <v>8.5593988748126473E-2</v>
      </c>
      <c r="W672" s="48">
        <f t="shared" ca="1" si="91"/>
        <v>0.94671549865590077</v>
      </c>
    </row>
    <row r="673" spans="17:23" x14ac:dyDescent="0.2">
      <c r="Q673">
        <f t="shared" si="85"/>
        <v>657</v>
      </c>
      <c r="R673" s="48">
        <f t="shared" ca="1" si="86"/>
        <v>0.15</v>
      </c>
      <c r="S673">
        <f t="shared" ca="1" si="87"/>
        <v>173.13629872092133</v>
      </c>
      <c r="T673" s="61">
        <f t="shared" ca="1" si="88"/>
        <v>7200</v>
      </c>
      <c r="U673" s="61">
        <f t="shared" ca="1" si="89"/>
        <v>-4267.3168697734945</v>
      </c>
      <c r="V673" s="39">
        <f t="shared" ca="1" si="90"/>
        <v>-2.8074453090615095E-2</v>
      </c>
      <c r="W673" s="48">
        <f t="shared" ca="1" si="91"/>
        <v>-0.20623879365703102</v>
      </c>
    </row>
    <row r="674" spans="17:23" x14ac:dyDescent="0.2">
      <c r="Q674">
        <f t="shared" si="85"/>
        <v>658</v>
      </c>
      <c r="R674" s="48">
        <f t="shared" ca="1" si="86"/>
        <v>0.35</v>
      </c>
      <c r="S674">
        <f t="shared" ca="1" si="87"/>
        <v>210.59326330052886</v>
      </c>
      <c r="T674" s="61">
        <f t="shared" ca="1" si="88"/>
        <v>16800</v>
      </c>
      <c r="U674" s="61">
        <f t="shared" ca="1" si="89"/>
        <v>27508.496916275006</v>
      </c>
      <c r="V674" s="39">
        <f t="shared" ca="1" si="90"/>
        <v>0.1809769533965461</v>
      </c>
      <c r="W674" s="48">
        <f t="shared" ca="1" si="91"/>
        <v>2.8544126209135019</v>
      </c>
    </row>
    <row r="675" spans="17:23" x14ac:dyDescent="0.2">
      <c r="Q675">
        <f t="shared" si="85"/>
        <v>659</v>
      </c>
      <c r="R675" s="48">
        <f t="shared" ca="1" si="86"/>
        <v>0.217</v>
      </c>
      <c r="S675">
        <f t="shared" ca="1" si="87"/>
        <v>199.2552475976897</v>
      </c>
      <c r="T675" s="61">
        <f t="shared" ca="1" si="88"/>
        <v>10416</v>
      </c>
      <c r="U675" s="61">
        <f t="shared" ca="1" si="89"/>
        <v>16213.48709519283</v>
      </c>
      <c r="V675" s="39">
        <f t="shared" ca="1" si="90"/>
        <v>0.10666767825784756</v>
      </c>
      <c r="W675" s="48">
        <f t="shared" ca="1" si="91"/>
        <v>1.2752473154965354</v>
      </c>
    </row>
    <row r="676" spans="17:23" x14ac:dyDescent="0.2">
      <c r="Q676">
        <f t="shared" si="85"/>
        <v>660</v>
      </c>
      <c r="R676" s="48">
        <f t="shared" ca="1" si="86"/>
        <v>0.35</v>
      </c>
      <c r="S676">
        <f t="shared" ca="1" si="87"/>
        <v>187.40716065867741</v>
      </c>
      <c r="T676" s="61">
        <f t="shared" ca="1" si="88"/>
        <v>16800</v>
      </c>
      <c r="U676" s="61">
        <f t="shared" ca="1" si="89"/>
        <v>15451.723542512254</v>
      </c>
      <c r="V676" s="39">
        <f t="shared" ca="1" si="90"/>
        <v>0.10165607593758062</v>
      </c>
      <c r="W676" s="48">
        <f t="shared" ca="1" si="91"/>
        <v>1.1930071818680665</v>
      </c>
    </row>
    <row r="677" spans="17:23" x14ac:dyDescent="0.2">
      <c r="Q677">
        <f t="shared" si="85"/>
        <v>661</v>
      </c>
      <c r="R677" s="48">
        <f t="shared" ca="1" si="86"/>
        <v>0.45</v>
      </c>
      <c r="S677">
        <f t="shared" ca="1" si="87"/>
        <v>173.92417558693501</v>
      </c>
      <c r="T677" s="61">
        <f t="shared" ca="1" si="88"/>
        <v>21600</v>
      </c>
      <c r="U677" s="61">
        <f t="shared" ca="1" si="89"/>
        <v>14526.637258251401</v>
      </c>
      <c r="V677" s="39">
        <f t="shared" ca="1" si="90"/>
        <v>9.5569981962180278E-2</v>
      </c>
      <c r="W677" s="48">
        <f t="shared" ca="1" si="91"/>
        <v>1.0966476549539061</v>
      </c>
    </row>
    <row r="678" spans="17:23" x14ac:dyDescent="0.2">
      <c r="Q678">
        <f t="shared" si="85"/>
        <v>662</v>
      </c>
      <c r="R678" s="48">
        <f t="shared" ca="1" si="86"/>
        <v>0.3</v>
      </c>
      <c r="S678">
        <f t="shared" ca="1" si="87"/>
        <v>194.21885289166678</v>
      </c>
      <c r="T678" s="61">
        <f t="shared" ca="1" si="88"/>
        <v>14400</v>
      </c>
      <c r="U678" s="61">
        <f t="shared" ca="1" si="89"/>
        <v>16762.557619333398</v>
      </c>
      <c r="V678" s="39">
        <f t="shared" ca="1" si="90"/>
        <v>0.11027998433771972</v>
      </c>
      <c r="W678" s="48">
        <f t="shared" ca="1" si="91"/>
        <v>1.336189897643751</v>
      </c>
    </row>
    <row r="679" spans="17:23" x14ac:dyDescent="0.2">
      <c r="Q679">
        <f t="shared" si="85"/>
        <v>663</v>
      </c>
      <c r="R679" s="48">
        <f t="shared" ca="1" si="86"/>
        <v>0.3</v>
      </c>
      <c r="S679">
        <f t="shared" ca="1" si="87"/>
        <v>193.29655494709013</v>
      </c>
      <c r="T679" s="61">
        <f t="shared" ca="1" si="88"/>
        <v>14400</v>
      </c>
      <c r="U679" s="61">
        <f t="shared" ca="1" si="89"/>
        <v>16246.070770370472</v>
      </c>
      <c r="V679" s="39">
        <f t="shared" ca="1" si="90"/>
        <v>0.106882044541911</v>
      </c>
      <c r="W679" s="48">
        <f t="shared" ca="1" si="91"/>
        <v>1.2788245494165018</v>
      </c>
    </row>
    <row r="680" spans="17:23" x14ac:dyDescent="0.2">
      <c r="Q680">
        <f t="shared" si="85"/>
        <v>664</v>
      </c>
      <c r="R680" s="48">
        <f t="shared" ca="1" si="86"/>
        <v>0.3</v>
      </c>
      <c r="S680">
        <f t="shared" ca="1" si="87"/>
        <v>232.55091606684994</v>
      </c>
      <c r="T680" s="61">
        <f t="shared" ca="1" si="88"/>
        <v>14400</v>
      </c>
      <c r="U680" s="61">
        <f t="shared" ca="1" si="89"/>
        <v>38228.512997435966</v>
      </c>
      <c r="V680" s="39">
        <f t="shared" ca="1" si="90"/>
        <v>0.25150337498313136</v>
      </c>
      <c r="W680" s="48">
        <f t="shared" ca="1" si="91"/>
        <v>5.1699547872323839</v>
      </c>
    </row>
    <row r="681" spans="17:23" x14ac:dyDescent="0.2">
      <c r="Q681">
        <f t="shared" si="85"/>
        <v>665</v>
      </c>
      <c r="R681" s="48">
        <f t="shared" ca="1" si="86"/>
        <v>0.3</v>
      </c>
      <c r="S681">
        <f t="shared" ca="1" si="87"/>
        <v>192.62831006171695</v>
      </c>
      <c r="T681" s="61">
        <f t="shared" ca="1" si="88"/>
        <v>14400</v>
      </c>
      <c r="U681" s="61">
        <f t="shared" ca="1" si="89"/>
        <v>15871.853634561488</v>
      </c>
      <c r="V681" s="39">
        <f t="shared" ca="1" si="90"/>
        <v>0.10442008970106242</v>
      </c>
      <c r="W681" s="48">
        <f t="shared" ca="1" si="91"/>
        <v>1.2380360796525087</v>
      </c>
    </row>
    <row r="682" spans="17:23" x14ac:dyDescent="0.2">
      <c r="Q682">
        <f t="shared" si="85"/>
        <v>666</v>
      </c>
      <c r="R682" s="48">
        <f t="shared" ca="1" si="86"/>
        <v>0.35</v>
      </c>
      <c r="S682">
        <f t="shared" ca="1" si="87"/>
        <v>187.82297460080102</v>
      </c>
      <c r="T682" s="61">
        <f t="shared" ca="1" si="88"/>
        <v>16800</v>
      </c>
      <c r="U682" s="61">
        <f t="shared" ca="1" si="89"/>
        <v>15667.946792416529</v>
      </c>
      <c r="V682" s="39">
        <f t="shared" ca="1" si="90"/>
        <v>0.10307859731852979</v>
      </c>
      <c r="W682" s="48">
        <f t="shared" ca="1" si="91"/>
        <v>1.2160814398929678</v>
      </c>
    </row>
    <row r="683" spans="17:23" x14ac:dyDescent="0.2">
      <c r="Q683">
        <f t="shared" si="85"/>
        <v>667</v>
      </c>
      <c r="R683" s="48">
        <f t="shared" ca="1" si="86"/>
        <v>0.4</v>
      </c>
      <c r="S683">
        <f t="shared" ca="1" si="87"/>
        <v>177.96851713730547</v>
      </c>
      <c r="T683" s="61">
        <f t="shared" ca="1" si="88"/>
        <v>19200</v>
      </c>
      <c r="U683" s="61">
        <f t="shared" ca="1" si="89"/>
        <v>13424.888225906625</v>
      </c>
      <c r="V683" s="39">
        <f t="shared" ca="1" si="90"/>
        <v>8.8321633065175167E-2</v>
      </c>
      <c r="W683" s="48">
        <f t="shared" ca="1" si="91"/>
        <v>0.98674548913432658</v>
      </c>
    </row>
    <row r="684" spans="17:23" x14ac:dyDescent="0.2">
      <c r="Q684">
        <f t="shared" si="85"/>
        <v>668</v>
      </c>
      <c r="R684" s="48">
        <f t="shared" ca="1" si="86"/>
        <v>0.5</v>
      </c>
      <c r="S684">
        <f t="shared" ca="1" si="87"/>
        <v>188.27864460988485</v>
      </c>
      <c r="T684" s="61">
        <f t="shared" ca="1" si="88"/>
        <v>24000</v>
      </c>
      <c r="U684" s="61">
        <f t="shared" ca="1" si="89"/>
        <v>23311.45784395394</v>
      </c>
      <c r="V684" s="39">
        <f t="shared" ca="1" si="90"/>
        <v>0.15336485423653909</v>
      </c>
      <c r="W684" s="48">
        <f t="shared" ca="1" si="91"/>
        <v>2.1814045415933143</v>
      </c>
    </row>
    <row r="685" spans="17:23" x14ac:dyDescent="0.2">
      <c r="Q685">
        <f t="shared" si="85"/>
        <v>669</v>
      </c>
      <c r="R685" s="48">
        <f t="shared" ca="1" si="86"/>
        <v>0.35</v>
      </c>
      <c r="S685">
        <f t="shared" ca="1" si="87"/>
        <v>199.69855648420852</v>
      </c>
      <c r="T685" s="61">
        <f t="shared" ca="1" si="88"/>
        <v>16800</v>
      </c>
      <c r="U685" s="61">
        <f t="shared" ca="1" si="89"/>
        <v>21843.249371788432</v>
      </c>
      <c r="V685" s="39">
        <f t="shared" ca="1" si="90"/>
        <v>0.14370558797229233</v>
      </c>
      <c r="W685" s="48">
        <f t="shared" ca="1" si="91"/>
        <v>1.9716202174892241</v>
      </c>
    </row>
    <row r="686" spans="17:23" x14ac:dyDescent="0.2">
      <c r="Q686">
        <f t="shared" si="85"/>
        <v>670</v>
      </c>
      <c r="R686" s="48">
        <f t="shared" ca="1" si="86"/>
        <v>0.4</v>
      </c>
      <c r="S686">
        <f t="shared" ca="1" si="87"/>
        <v>196.87623445995052</v>
      </c>
      <c r="T686" s="61">
        <f t="shared" ca="1" si="88"/>
        <v>19200</v>
      </c>
      <c r="U686" s="61">
        <f t="shared" ca="1" si="89"/>
        <v>22500.592540776252</v>
      </c>
      <c r="V686" s="39">
        <f t="shared" ca="1" si="90"/>
        <v>0.14803021408405428</v>
      </c>
      <c r="W686" s="48">
        <f t="shared" ca="1" si="91"/>
        <v>2.0639948025019939</v>
      </c>
    </row>
    <row r="687" spans="17:23" x14ac:dyDescent="0.2">
      <c r="Q687">
        <f t="shared" si="85"/>
        <v>671</v>
      </c>
      <c r="R687" s="48">
        <f t="shared" ca="1" si="86"/>
        <v>0.3</v>
      </c>
      <c r="S687">
        <f t="shared" ca="1" si="87"/>
        <v>170.02872338003095</v>
      </c>
      <c r="T687" s="61">
        <f t="shared" ca="1" si="88"/>
        <v>14400</v>
      </c>
      <c r="U687" s="61">
        <f t="shared" ca="1" si="89"/>
        <v>3216.085092817335</v>
      </c>
      <c r="V687" s="39">
        <f t="shared" ca="1" si="90"/>
        <v>2.1158454558008782E-2</v>
      </c>
      <c r="W687" s="48">
        <f t="shared" ca="1" si="91"/>
        <v>0.1851012267745622</v>
      </c>
    </row>
    <row r="688" spans="17:23" x14ac:dyDescent="0.2">
      <c r="Q688">
        <f t="shared" si="85"/>
        <v>672</v>
      </c>
      <c r="R688" s="48">
        <f t="shared" ca="1" si="86"/>
        <v>0.5</v>
      </c>
      <c r="S688">
        <f t="shared" ca="1" si="87"/>
        <v>233.02255117698218</v>
      </c>
      <c r="T688" s="61">
        <f t="shared" ca="1" si="88"/>
        <v>24000</v>
      </c>
      <c r="U688" s="61">
        <f t="shared" ca="1" si="89"/>
        <v>41209.020470792871</v>
      </c>
      <c r="V688" s="39">
        <f t="shared" ca="1" si="90"/>
        <v>0.27111197678153204</v>
      </c>
      <c r="W688" s="48">
        <f t="shared" ca="1" si="91"/>
        <v>5.9991687627436852</v>
      </c>
    </row>
    <row r="689" spans="17:23" x14ac:dyDescent="0.2">
      <c r="Q689">
        <f t="shared" si="85"/>
        <v>673</v>
      </c>
      <c r="R689" s="48">
        <f t="shared" ca="1" si="86"/>
        <v>0.4</v>
      </c>
      <c r="S689">
        <f t="shared" ca="1" si="87"/>
        <v>205.59635321723655</v>
      </c>
      <c r="T689" s="61">
        <f t="shared" ca="1" si="88"/>
        <v>19200</v>
      </c>
      <c r="U689" s="61">
        <f t="shared" ca="1" si="89"/>
        <v>26686.249544273545</v>
      </c>
      <c r="V689" s="39">
        <f t="shared" ca="1" si="90"/>
        <v>0.17556743121232596</v>
      </c>
      <c r="W689" s="48">
        <f t="shared" ca="1" si="91"/>
        <v>2.7135189739986485</v>
      </c>
    </row>
    <row r="690" spans="17:23" x14ac:dyDescent="0.2">
      <c r="Q690">
        <f t="shared" si="85"/>
        <v>674</v>
      </c>
      <c r="R690" s="48">
        <f t="shared" ca="1" si="86"/>
        <v>0.4</v>
      </c>
      <c r="S690">
        <f t="shared" ca="1" si="87"/>
        <v>198.35182844465859</v>
      </c>
      <c r="T690" s="61">
        <f t="shared" ca="1" si="88"/>
        <v>19200</v>
      </c>
      <c r="U690" s="61">
        <f t="shared" ca="1" si="89"/>
        <v>23208.877653436124</v>
      </c>
      <c r="V690" s="39">
        <f t="shared" ca="1" si="90"/>
        <v>0.15268998456207977</v>
      </c>
      <c r="W690" s="48">
        <f t="shared" ca="1" si="91"/>
        <v>2.1663367692572897</v>
      </c>
    </row>
    <row r="691" spans="17:23" x14ac:dyDescent="0.2">
      <c r="Q691">
        <f t="shared" si="85"/>
        <v>675</v>
      </c>
      <c r="R691" s="48">
        <f t="shared" ca="1" si="86"/>
        <v>0.3</v>
      </c>
      <c r="S691">
        <f t="shared" ca="1" si="87"/>
        <v>200.7548129458105</v>
      </c>
      <c r="T691" s="61">
        <f t="shared" ca="1" si="88"/>
        <v>14400</v>
      </c>
      <c r="U691" s="61">
        <f t="shared" ca="1" si="89"/>
        <v>20422.69524965388</v>
      </c>
      <c r="V691" s="39">
        <f t="shared" ca="1" si="90"/>
        <v>0.13435983716877553</v>
      </c>
      <c r="W691" s="48">
        <f t="shared" ca="1" si="91"/>
        <v>1.7802903968762958</v>
      </c>
    </row>
    <row r="692" spans="17:23" x14ac:dyDescent="0.2">
      <c r="Q692">
        <f t="shared" si="85"/>
        <v>676</v>
      </c>
      <c r="R692" s="48">
        <f t="shared" ca="1" si="86"/>
        <v>0.35</v>
      </c>
      <c r="S692">
        <f t="shared" ca="1" si="87"/>
        <v>196.35121284588925</v>
      </c>
      <c r="T692" s="61">
        <f t="shared" ca="1" si="88"/>
        <v>16800</v>
      </c>
      <c r="U692" s="61">
        <f t="shared" ca="1" si="89"/>
        <v>20102.63067986241</v>
      </c>
      <c r="V692" s="39">
        <f t="shared" ca="1" si="90"/>
        <v>0.13225414920962111</v>
      </c>
      <c r="W692" s="48">
        <f t="shared" ca="1" si="91"/>
        <v>1.7387042504589285</v>
      </c>
    </row>
    <row r="693" spans="17:23" x14ac:dyDescent="0.2">
      <c r="Q693">
        <f t="shared" si="85"/>
        <v>677</v>
      </c>
      <c r="R693" s="48">
        <f t="shared" ca="1" si="86"/>
        <v>0.35</v>
      </c>
      <c r="S693">
        <f t="shared" ca="1" si="87"/>
        <v>210.40106575710661</v>
      </c>
      <c r="T693" s="61">
        <f t="shared" ca="1" si="88"/>
        <v>16800</v>
      </c>
      <c r="U693" s="61">
        <f t="shared" ca="1" si="89"/>
        <v>27408.554193695436</v>
      </c>
      <c r="V693" s="39">
        <f t="shared" ca="1" si="90"/>
        <v>0.18031943548483839</v>
      </c>
      <c r="W693" s="48">
        <f t="shared" ca="1" si="91"/>
        <v>2.8370408088062971</v>
      </c>
    </row>
    <row r="694" spans="17:23" x14ac:dyDescent="0.2">
      <c r="Q694">
        <f t="shared" si="85"/>
        <v>678</v>
      </c>
      <c r="R694" s="48">
        <f t="shared" ca="1" si="86"/>
        <v>0.45</v>
      </c>
      <c r="S694">
        <f t="shared" ca="1" si="87"/>
        <v>158.42739763705879</v>
      </c>
      <c r="T694" s="61">
        <f t="shared" ca="1" si="88"/>
        <v>21600</v>
      </c>
      <c r="U694" s="61">
        <f t="shared" ca="1" si="89"/>
        <v>7708.0549603058662</v>
      </c>
      <c r="V694" s="39">
        <f t="shared" ca="1" si="90"/>
        <v>5.0710887896749123E-2</v>
      </c>
      <c r="W694" s="48">
        <f t="shared" ca="1" si="91"/>
        <v>0.49366390697521489</v>
      </c>
    </row>
    <row r="695" spans="17:23" x14ac:dyDescent="0.2">
      <c r="Q695">
        <f t="shared" si="85"/>
        <v>679</v>
      </c>
      <c r="R695" s="48">
        <f t="shared" ca="1" si="86"/>
        <v>0.35</v>
      </c>
      <c r="S695">
        <f t="shared" ca="1" si="87"/>
        <v>200.99604609720487</v>
      </c>
      <c r="T695" s="61">
        <f t="shared" ca="1" si="88"/>
        <v>16800</v>
      </c>
      <c r="U695" s="61">
        <f t="shared" ca="1" si="89"/>
        <v>22517.94397054653</v>
      </c>
      <c r="V695" s="39">
        <f t="shared" ca="1" si="90"/>
        <v>0.1481443682272798</v>
      </c>
      <c r="W695" s="48">
        <f t="shared" ca="1" si="91"/>
        <v>2.0664668697611712</v>
      </c>
    </row>
    <row r="696" spans="17:23" x14ac:dyDescent="0.2">
      <c r="Q696">
        <f t="shared" si="85"/>
        <v>680</v>
      </c>
      <c r="R696" s="48">
        <f t="shared" ca="1" si="86"/>
        <v>0.3</v>
      </c>
      <c r="S696">
        <f t="shared" ca="1" si="87"/>
        <v>177.34504640100914</v>
      </c>
      <c r="T696" s="61">
        <f t="shared" ca="1" si="88"/>
        <v>14400</v>
      </c>
      <c r="U696" s="61">
        <f t="shared" ca="1" si="89"/>
        <v>7313.2259845651197</v>
      </c>
      <c r="V696" s="39">
        <f t="shared" ca="1" si="90"/>
        <v>4.8113328845823158E-2</v>
      </c>
      <c r="W696" s="48">
        <f t="shared" ca="1" si="91"/>
        <v>0.46397457435041511</v>
      </c>
    </row>
    <row r="697" spans="17:23" x14ac:dyDescent="0.2">
      <c r="Q697">
        <f t="shared" si="85"/>
        <v>681</v>
      </c>
      <c r="R697" s="48">
        <f t="shared" ca="1" si="86"/>
        <v>0.3</v>
      </c>
      <c r="S697">
        <f t="shared" ca="1" si="87"/>
        <v>185.02622117718155</v>
      </c>
      <c r="T697" s="61">
        <f t="shared" ca="1" si="88"/>
        <v>14400</v>
      </c>
      <c r="U697" s="61">
        <f t="shared" ca="1" si="89"/>
        <v>11614.68385922167</v>
      </c>
      <c r="V697" s="39">
        <f t="shared" ca="1" si="90"/>
        <v>7.6412393810668888E-2</v>
      </c>
      <c r="W697" s="48">
        <f t="shared" ca="1" si="91"/>
        <v>0.81711621753381669</v>
      </c>
    </row>
    <row r="698" spans="17:23" x14ac:dyDescent="0.2">
      <c r="Q698">
        <f t="shared" si="85"/>
        <v>682</v>
      </c>
      <c r="R698" s="48">
        <f t="shared" ca="1" si="86"/>
        <v>0.35</v>
      </c>
      <c r="S698">
        <f t="shared" ca="1" si="87"/>
        <v>192.58805537605022</v>
      </c>
      <c r="T698" s="61">
        <f t="shared" ca="1" si="88"/>
        <v>16800</v>
      </c>
      <c r="U698" s="61">
        <f t="shared" ca="1" si="89"/>
        <v>18145.788795546116</v>
      </c>
      <c r="V698" s="39">
        <f t="shared" ca="1" si="90"/>
        <v>0.11938018944438233</v>
      </c>
      <c r="W698" s="48">
        <f t="shared" ca="1" si="91"/>
        <v>1.496105229106178</v>
      </c>
    </row>
    <row r="699" spans="17:23" x14ac:dyDescent="0.2">
      <c r="Q699">
        <f t="shared" si="85"/>
        <v>683</v>
      </c>
      <c r="R699" s="48">
        <f t="shared" ca="1" si="86"/>
        <v>0.35</v>
      </c>
      <c r="S699">
        <f t="shared" ca="1" si="87"/>
        <v>209.12986701172602</v>
      </c>
      <c r="T699" s="61">
        <f t="shared" ca="1" si="88"/>
        <v>16800</v>
      </c>
      <c r="U699" s="61">
        <f t="shared" ca="1" si="89"/>
        <v>26747.530846097528</v>
      </c>
      <c r="V699" s="39">
        <f t="shared" ca="1" si="90"/>
        <v>0.17597059767169426</v>
      </c>
      <c r="W699" s="48">
        <f t="shared" ca="1" si="91"/>
        <v>2.7238616392954245</v>
      </c>
    </row>
    <row r="700" spans="17:23" x14ac:dyDescent="0.2">
      <c r="Q700">
        <f t="shared" si="85"/>
        <v>684</v>
      </c>
      <c r="R700" s="48">
        <f t="shared" ca="1" si="86"/>
        <v>0.45</v>
      </c>
      <c r="S700">
        <f t="shared" ca="1" si="87"/>
        <v>187.38191142795947</v>
      </c>
      <c r="T700" s="61">
        <f t="shared" ca="1" si="88"/>
        <v>21600</v>
      </c>
      <c r="U700" s="61">
        <f t="shared" ca="1" si="89"/>
        <v>20448.041028302163</v>
      </c>
      <c r="V700" s="39">
        <f t="shared" ca="1" si="90"/>
        <v>0.13452658571251422</v>
      </c>
      <c r="W700" s="48">
        <f t="shared" ca="1" si="91"/>
        <v>1.7836071161554905</v>
      </c>
    </row>
    <row r="701" spans="17:23" x14ac:dyDescent="0.2">
      <c r="Q701">
        <f t="shared" si="85"/>
        <v>685</v>
      </c>
      <c r="R701" s="48">
        <f t="shared" ca="1" si="86"/>
        <v>0.4</v>
      </c>
      <c r="S701">
        <f t="shared" ca="1" si="87"/>
        <v>174.34020481446859</v>
      </c>
      <c r="T701" s="61">
        <f t="shared" ca="1" si="88"/>
        <v>19200</v>
      </c>
      <c r="U701" s="61">
        <f t="shared" ca="1" si="89"/>
        <v>11683.298310944923</v>
      </c>
      <c r="V701" s="39">
        <f t="shared" ca="1" si="90"/>
        <v>7.6863804677269235E-2</v>
      </c>
      <c r="W701" s="48">
        <f t="shared" ca="1" si="91"/>
        <v>0.82330640801204735</v>
      </c>
    </row>
    <row r="702" spans="17:23" x14ac:dyDescent="0.2">
      <c r="Q702">
        <f t="shared" si="85"/>
        <v>686</v>
      </c>
      <c r="R702" s="48">
        <f t="shared" ca="1" si="86"/>
        <v>0.4</v>
      </c>
      <c r="S702">
        <f t="shared" ca="1" si="87"/>
        <v>174.88918096174018</v>
      </c>
      <c r="T702" s="61">
        <f t="shared" ca="1" si="88"/>
        <v>19200</v>
      </c>
      <c r="U702" s="61">
        <f t="shared" ca="1" si="89"/>
        <v>11946.806861635287</v>
      </c>
      <c r="V702" s="39">
        <f t="shared" ca="1" si="90"/>
        <v>7.8597413563390048E-2</v>
      </c>
      <c r="W702" s="48">
        <f t="shared" ca="1" si="91"/>
        <v>0.84725154244801737</v>
      </c>
    </row>
    <row r="703" spans="17:23" x14ac:dyDescent="0.2">
      <c r="Q703">
        <f t="shared" si="85"/>
        <v>687</v>
      </c>
      <c r="R703" s="48">
        <f t="shared" ca="1" si="86"/>
        <v>0.35</v>
      </c>
      <c r="S703">
        <f t="shared" ca="1" si="87"/>
        <v>230.18719960816696</v>
      </c>
      <c r="T703" s="61">
        <f t="shared" ca="1" si="88"/>
        <v>16800</v>
      </c>
      <c r="U703" s="61">
        <f t="shared" ca="1" si="89"/>
        <v>37697.343796246816</v>
      </c>
      <c r="V703" s="39">
        <f t="shared" ca="1" si="90"/>
        <v>0.24800884076478169</v>
      </c>
      <c r="W703" s="48">
        <f t="shared" ca="1" si="91"/>
        <v>5.0315946337543567</v>
      </c>
    </row>
    <row r="704" spans="17:23" x14ac:dyDescent="0.2">
      <c r="Q704">
        <f t="shared" si="85"/>
        <v>688</v>
      </c>
      <c r="R704" s="48">
        <f t="shared" ca="1" si="86"/>
        <v>0.35</v>
      </c>
      <c r="S704">
        <f t="shared" ca="1" si="87"/>
        <v>164.81058659781922</v>
      </c>
      <c r="T704" s="61">
        <f t="shared" ca="1" si="88"/>
        <v>16800</v>
      </c>
      <c r="U704" s="61">
        <f t="shared" ca="1" si="89"/>
        <v>3701.5050308659956</v>
      </c>
      <c r="V704" s="39">
        <f t="shared" ca="1" si="90"/>
        <v>2.435200678201313E-2</v>
      </c>
      <c r="W704" s="48">
        <f t="shared" ca="1" si="91"/>
        <v>0.21549955855948655</v>
      </c>
    </row>
    <row r="705" spans="17:23" x14ac:dyDescent="0.2">
      <c r="Q705">
        <f t="shared" si="85"/>
        <v>689</v>
      </c>
      <c r="R705" s="48">
        <f t="shared" ca="1" si="86"/>
        <v>0.45</v>
      </c>
      <c r="S705">
        <f t="shared" ca="1" si="87"/>
        <v>149.50875612431261</v>
      </c>
      <c r="T705" s="61">
        <f t="shared" ca="1" si="88"/>
        <v>21600</v>
      </c>
      <c r="U705" s="61">
        <f t="shared" ca="1" si="89"/>
        <v>3783.8526946975471</v>
      </c>
      <c r="V705" s="39">
        <f t="shared" ca="1" si="90"/>
        <v>2.4893767728273335E-2</v>
      </c>
      <c r="W705" s="48">
        <f t="shared" ca="1" si="91"/>
        <v>0.22072364575641501</v>
      </c>
    </row>
    <row r="706" spans="17:23" x14ac:dyDescent="0.2">
      <c r="Q706">
        <f t="shared" si="85"/>
        <v>690</v>
      </c>
      <c r="R706" s="48">
        <f t="shared" ca="1" si="86"/>
        <v>0.45</v>
      </c>
      <c r="S706">
        <f t="shared" ca="1" si="87"/>
        <v>156.50116837935417</v>
      </c>
      <c r="T706" s="61">
        <f t="shared" ca="1" si="88"/>
        <v>21600</v>
      </c>
      <c r="U706" s="61">
        <f t="shared" ca="1" si="89"/>
        <v>6860.5140869158331</v>
      </c>
      <c r="V706" s="39">
        <f t="shared" ca="1" si="90"/>
        <v>4.5134961098130484E-2</v>
      </c>
      <c r="W706" s="48">
        <f t="shared" ca="1" si="91"/>
        <v>0.43057051419237791</v>
      </c>
    </row>
    <row r="707" spans="17:23" x14ac:dyDescent="0.2">
      <c r="Q707">
        <f t="shared" si="85"/>
        <v>691</v>
      </c>
      <c r="R707" s="48">
        <f t="shared" ca="1" si="86"/>
        <v>0.35</v>
      </c>
      <c r="S707">
        <f t="shared" ca="1" si="87"/>
        <v>186.55741040387321</v>
      </c>
      <c r="T707" s="61">
        <f t="shared" ca="1" si="88"/>
        <v>16800</v>
      </c>
      <c r="U707" s="61">
        <f t="shared" ca="1" si="89"/>
        <v>15009.853410014068</v>
      </c>
      <c r="V707" s="39">
        <f t="shared" ca="1" si="90"/>
        <v>9.8749035592197817E-2</v>
      </c>
      <c r="W707" s="48">
        <f t="shared" ca="1" si="91"/>
        <v>1.1465071213041957</v>
      </c>
    </row>
    <row r="708" spans="17:23" x14ac:dyDescent="0.2">
      <c r="Q708">
        <f t="shared" si="85"/>
        <v>692</v>
      </c>
      <c r="R708" s="48">
        <f t="shared" ca="1" si="86"/>
        <v>0.45</v>
      </c>
      <c r="S708">
        <f t="shared" ca="1" si="87"/>
        <v>211.0916629881261</v>
      </c>
      <c r="T708" s="61">
        <f t="shared" ca="1" si="88"/>
        <v>21600</v>
      </c>
      <c r="U708" s="61">
        <f t="shared" ca="1" si="89"/>
        <v>30880.331714775486</v>
      </c>
      <c r="V708" s="39">
        <f t="shared" ca="1" si="90"/>
        <v>0.20316007707089134</v>
      </c>
      <c r="W708" s="48">
        <f t="shared" ca="1" si="91"/>
        <v>3.4824156566932425</v>
      </c>
    </row>
    <row r="709" spans="17:23" x14ac:dyDescent="0.2">
      <c r="Q709">
        <f t="shared" si="85"/>
        <v>693</v>
      </c>
      <c r="R709" s="48">
        <f t="shared" ca="1" si="86"/>
        <v>0.35</v>
      </c>
      <c r="S709">
        <f t="shared" ca="1" si="87"/>
        <v>192.52283163147715</v>
      </c>
      <c r="T709" s="61">
        <f t="shared" ca="1" si="88"/>
        <v>16800</v>
      </c>
      <c r="U709" s="61">
        <f t="shared" ca="1" si="89"/>
        <v>18111.872448368114</v>
      </c>
      <c r="V709" s="39">
        <f t="shared" ca="1" si="90"/>
        <v>0.11915705558136917</v>
      </c>
      <c r="W709" s="48">
        <f t="shared" ca="1" si="91"/>
        <v>1.4920722746599049</v>
      </c>
    </row>
    <row r="710" spans="17:23" x14ac:dyDescent="0.2">
      <c r="Q710">
        <f t="shared" si="85"/>
        <v>694</v>
      </c>
      <c r="R710" s="48">
        <f t="shared" ca="1" si="86"/>
        <v>0.3</v>
      </c>
      <c r="S710">
        <f t="shared" ca="1" si="87"/>
        <v>186.17512372640374</v>
      </c>
      <c r="T710" s="61">
        <f t="shared" ca="1" si="88"/>
        <v>14400</v>
      </c>
      <c r="U710" s="61">
        <f t="shared" ca="1" si="89"/>
        <v>12258.069286786094</v>
      </c>
      <c r="V710" s="39">
        <f t="shared" ca="1" si="90"/>
        <v>8.0645192676224303E-2</v>
      </c>
      <c r="W710" s="48">
        <f t="shared" ca="1" si="91"/>
        <v>0.87589089755160221</v>
      </c>
    </row>
    <row r="711" spans="17:23" x14ac:dyDescent="0.2">
      <c r="Q711">
        <f t="shared" si="85"/>
        <v>695</v>
      </c>
      <c r="R711" s="48">
        <f t="shared" ca="1" si="86"/>
        <v>0.3</v>
      </c>
      <c r="S711">
        <f t="shared" ca="1" si="87"/>
        <v>182.38028751453905</v>
      </c>
      <c r="T711" s="61">
        <f t="shared" ca="1" si="88"/>
        <v>14400</v>
      </c>
      <c r="U711" s="61">
        <f t="shared" ca="1" si="89"/>
        <v>10132.961008141867</v>
      </c>
      <c r="V711" s="39">
        <f t="shared" ca="1" si="90"/>
        <v>6.6664217158828074E-2</v>
      </c>
      <c r="W711" s="48">
        <f t="shared" ca="1" si="91"/>
        <v>0.68785837131855576</v>
      </c>
    </row>
    <row r="712" spans="17:23" x14ac:dyDescent="0.2">
      <c r="Q712">
        <f t="shared" si="85"/>
        <v>696</v>
      </c>
      <c r="R712" s="48">
        <f t="shared" ca="1" si="86"/>
        <v>0.3</v>
      </c>
      <c r="S712">
        <f t="shared" ca="1" si="87"/>
        <v>157.31964982303032</v>
      </c>
      <c r="T712" s="61">
        <f t="shared" ca="1" si="88"/>
        <v>14400</v>
      </c>
      <c r="U712" s="61">
        <f t="shared" ca="1" si="89"/>
        <v>-3900.9960991030239</v>
      </c>
      <c r="V712" s="39">
        <f t="shared" ca="1" si="90"/>
        <v>-2.5664448020414631E-2</v>
      </c>
      <c r="W712" s="48">
        <f t="shared" ca="1" si="91"/>
        <v>-0.19013283594735086</v>
      </c>
    </row>
    <row r="713" spans="17:23" x14ac:dyDescent="0.2">
      <c r="Q713">
        <f t="shared" si="85"/>
        <v>697</v>
      </c>
      <c r="R713" s="48">
        <f t="shared" ca="1" si="86"/>
        <v>0.45</v>
      </c>
      <c r="S713">
        <f t="shared" ca="1" si="87"/>
        <v>180.95251549102346</v>
      </c>
      <c r="T713" s="61">
        <f t="shared" ca="1" si="88"/>
        <v>21600</v>
      </c>
      <c r="U713" s="61">
        <f t="shared" ca="1" si="89"/>
        <v>17619.106816050324</v>
      </c>
      <c r="V713" s="39">
        <f t="shared" ca="1" si="90"/>
        <v>0.11591517642138371</v>
      </c>
      <c r="W713" s="48">
        <f t="shared" ca="1" si="91"/>
        <v>1.4341191097094277</v>
      </c>
    </row>
    <row r="714" spans="17:23" x14ac:dyDescent="0.2">
      <c r="Q714">
        <f t="shared" si="85"/>
        <v>698</v>
      </c>
      <c r="R714" s="48">
        <f t="shared" ca="1" si="86"/>
        <v>0.5</v>
      </c>
      <c r="S714">
        <f t="shared" ca="1" si="87"/>
        <v>213.5172703001823</v>
      </c>
      <c r="T714" s="61">
        <f t="shared" ca="1" si="88"/>
        <v>24000</v>
      </c>
      <c r="U714" s="61">
        <f t="shared" ca="1" si="89"/>
        <v>33406.90812007292</v>
      </c>
      <c r="V714" s="39">
        <f t="shared" ca="1" si="90"/>
        <v>0.21978229026363763</v>
      </c>
      <c r="W714" s="48">
        <f t="shared" ca="1" si="91"/>
        <v>4.0100898445779283</v>
      </c>
    </row>
    <row r="715" spans="17:23" x14ac:dyDescent="0.2">
      <c r="Q715">
        <f t="shared" si="85"/>
        <v>699</v>
      </c>
      <c r="R715" s="48">
        <f t="shared" ca="1" si="86"/>
        <v>0.3</v>
      </c>
      <c r="S715">
        <f t="shared" ca="1" si="87"/>
        <v>156.92249763299668</v>
      </c>
      <c r="T715" s="61">
        <f t="shared" ca="1" si="88"/>
        <v>14400</v>
      </c>
      <c r="U715" s="61">
        <f t="shared" ca="1" si="89"/>
        <v>-4123.4013255218597</v>
      </c>
      <c r="V715" s="39">
        <f t="shared" ca="1" si="90"/>
        <v>-2.712764029948592E-2</v>
      </c>
      <c r="W715" s="48">
        <f t="shared" ca="1" si="91"/>
        <v>-0.1999450945143435</v>
      </c>
    </row>
    <row r="716" spans="17:23" x14ac:dyDescent="0.2">
      <c r="Q716">
        <f t="shared" si="85"/>
        <v>700</v>
      </c>
      <c r="R716" s="48">
        <f t="shared" ca="1" si="86"/>
        <v>0.35</v>
      </c>
      <c r="S716">
        <f t="shared" ca="1" si="87"/>
        <v>188.24094822214536</v>
      </c>
      <c r="T716" s="61">
        <f t="shared" ca="1" si="88"/>
        <v>16800</v>
      </c>
      <c r="U716" s="61">
        <f t="shared" ca="1" si="89"/>
        <v>15885.293075515588</v>
      </c>
      <c r="V716" s="39">
        <f t="shared" ca="1" si="90"/>
        <v>0.10450850707576045</v>
      </c>
      <c r="W716" s="48">
        <f t="shared" ca="1" si="91"/>
        <v>1.2394897782661825</v>
      </c>
    </row>
    <row r="717" spans="17:23" x14ac:dyDescent="0.2">
      <c r="Q717">
        <f t="shared" si="85"/>
        <v>701</v>
      </c>
      <c r="R717" s="48">
        <f t="shared" ca="1" si="86"/>
        <v>0.3</v>
      </c>
      <c r="S717">
        <f t="shared" ca="1" si="87"/>
        <v>199.05914317059984</v>
      </c>
      <c r="T717" s="61">
        <f t="shared" ca="1" si="88"/>
        <v>14400</v>
      </c>
      <c r="U717" s="61">
        <f t="shared" ca="1" si="89"/>
        <v>19473.120175535911</v>
      </c>
      <c r="V717" s="39">
        <f t="shared" ca="1" si="90"/>
        <v>0.12811263273378889</v>
      </c>
      <c r="W717" s="48">
        <f t="shared" ca="1" si="91"/>
        <v>1.6584998523444301</v>
      </c>
    </row>
    <row r="718" spans="17:23" x14ac:dyDescent="0.2">
      <c r="Q718">
        <f t="shared" si="85"/>
        <v>702</v>
      </c>
      <c r="R718" s="48">
        <f t="shared" ca="1" si="86"/>
        <v>0.35</v>
      </c>
      <c r="S718">
        <f t="shared" ca="1" si="87"/>
        <v>204.18243813435905</v>
      </c>
      <c r="T718" s="61">
        <f t="shared" ca="1" si="88"/>
        <v>16800</v>
      </c>
      <c r="U718" s="61">
        <f t="shared" ca="1" si="89"/>
        <v>24174.867829866704</v>
      </c>
      <c r="V718" s="39">
        <f t="shared" ca="1" si="90"/>
        <v>0.15904518309122831</v>
      </c>
      <c r="W718" s="48">
        <f t="shared" ca="1" si="91"/>
        <v>2.3107409014168674</v>
      </c>
    </row>
    <row r="719" spans="17:23" x14ac:dyDescent="0.2">
      <c r="Q719">
        <f t="shared" si="85"/>
        <v>703</v>
      </c>
      <c r="R719" s="48">
        <f t="shared" ca="1" si="86"/>
        <v>0.217</v>
      </c>
      <c r="S719">
        <f t="shared" ca="1" si="87"/>
        <v>184.21745680729657</v>
      </c>
      <c r="T719" s="61">
        <f t="shared" ca="1" si="88"/>
        <v>10416</v>
      </c>
      <c r="U719" s="61">
        <f t="shared" ca="1" si="89"/>
        <v>6793.8149440905727</v>
      </c>
      <c r="V719" s="39">
        <f t="shared" ca="1" si="90"/>
        <v>4.4696150947964294E-2</v>
      </c>
      <c r="W719" s="48">
        <f t="shared" ca="1" si="91"/>
        <v>0.42570593083267005</v>
      </c>
    </row>
    <row r="720" spans="17:23" x14ac:dyDescent="0.2">
      <c r="Q720">
        <f t="shared" si="85"/>
        <v>704</v>
      </c>
      <c r="R720" s="48">
        <f t="shared" ca="1" si="86"/>
        <v>0.217</v>
      </c>
      <c r="S720">
        <f t="shared" ca="1" si="87"/>
        <v>191.18891695494912</v>
      </c>
      <c r="T720" s="61">
        <f t="shared" ca="1" si="88"/>
        <v>10416</v>
      </c>
      <c r="U720" s="61">
        <f t="shared" ca="1" si="89"/>
        <v>11160.737580580129</v>
      </c>
      <c r="V720" s="39">
        <f t="shared" ca="1" si="90"/>
        <v>7.3425905135395583E-2</v>
      </c>
      <c r="W720" s="48">
        <f t="shared" ca="1" si="91"/>
        <v>0.77662469642512666</v>
      </c>
    </row>
    <row r="721" spans="17:23" x14ac:dyDescent="0.2">
      <c r="Q721">
        <f t="shared" si="85"/>
        <v>705</v>
      </c>
      <c r="R721" s="48">
        <f t="shared" ca="1" si="86"/>
        <v>0.3</v>
      </c>
      <c r="S721">
        <f t="shared" ca="1" si="87"/>
        <v>224.43010464197673</v>
      </c>
      <c r="T721" s="61">
        <f t="shared" ca="1" si="88"/>
        <v>14400</v>
      </c>
      <c r="U721" s="61">
        <f t="shared" ca="1" si="89"/>
        <v>33680.858599506966</v>
      </c>
      <c r="V721" s="39">
        <f t="shared" ca="1" si="90"/>
        <v>0.22158459604938793</v>
      </c>
      <c r="W721" s="48">
        <f t="shared" ca="1" si="91"/>
        <v>4.0704505743106623</v>
      </c>
    </row>
    <row r="722" spans="17:23" x14ac:dyDescent="0.2">
      <c r="Q722">
        <f t="shared" si="85"/>
        <v>706</v>
      </c>
      <c r="R722" s="48">
        <f t="shared" ca="1" si="86"/>
        <v>0.3</v>
      </c>
      <c r="S722">
        <f t="shared" ca="1" si="87"/>
        <v>200.34513410357005</v>
      </c>
      <c r="T722" s="61">
        <f t="shared" ca="1" si="88"/>
        <v>14400</v>
      </c>
      <c r="U722" s="61">
        <f t="shared" ca="1" si="89"/>
        <v>20193.275097999227</v>
      </c>
      <c r="V722" s="39">
        <f t="shared" ca="1" si="90"/>
        <v>0.13285049406578439</v>
      </c>
      <c r="W722" s="48">
        <f t="shared" ca="1" si="91"/>
        <v>1.7504260001731606</v>
      </c>
    </row>
    <row r="723" spans="17:23" x14ac:dyDescent="0.2">
      <c r="Q723">
        <f t="shared" ref="Q723:Q786" si="92">Q722+1</f>
        <v>707</v>
      </c>
      <c r="R723" s="48">
        <f t="shared" ref="R723:R786" ca="1" si="93">LOOKUP(RAND(),$U$6:$U$12,$S$6:$S$12)</f>
        <v>0.4</v>
      </c>
      <c r="S723">
        <f t="shared" ref="S723:S786" ca="1" si="94">_xlfn.NORM.INV(RAND(),$Q$5,$Q$10)</f>
        <v>192.10865767412758</v>
      </c>
      <c r="T723" s="61">
        <f t="shared" ref="T723:T786" ca="1" si="95">($B$8-$B$7)*($E$6*R723)</f>
        <v>19200</v>
      </c>
      <c r="U723" s="61">
        <f t="shared" ref="U723:U786" ca="1" si="96">T723+((S723-$B$7)*($E$6*(1-R723)))</f>
        <v>20212.155683581241</v>
      </c>
      <c r="V723" s="39">
        <f t="shared" ref="V723:V786" ca="1" si="97">U723/$E$4</f>
        <v>0.13297470844461343</v>
      </c>
      <c r="W723" s="48">
        <f t="shared" ref="W723:W786" ca="1" si="98">(1+V723)^($J$29/$J$30)-1</f>
        <v>1.7528730843401217</v>
      </c>
    </row>
    <row r="724" spans="17:23" x14ac:dyDescent="0.2">
      <c r="Q724">
        <f t="shared" si="92"/>
        <v>708</v>
      </c>
      <c r="R724" s="48">
        <f t="shared" ca="1" si="93"/>
        <v>0.45</v>
      </c>
      <c r="S724">
        <f t="shared" ca="1" si="94"/>
        <v>157.1564673729554</v>
      </c>
      <c r="T724" s="61">
        <f t="shared" ca="1" si="95"/>
        <v>21600</v>
      </c>
      <c r="U724" s="61">
        <f t="shared" ca="1" si="96"/>
        <v>7148.8456441003764</v>
      </c>
      <c r="V724" s="39">
        <f t="shared" ca="1" si="97"/>
        <v>4.7031879237502475E-2</v>
      </c>
      <c r="W724" s="48">
        <f t="shared" ca="1" si="98"/>
        <v>0.45176728935498356</v>
      </c>
    </row>
    <row r="725" spans="17:23" x14ac:dyDescent="0.2">
      <c r="Q725">
        <f t="shared" si="92"/>
        <v>709</v>
      </c>
      <c r="R725" s="48">
        <f t="shared" ca="1" si="93"/>
        <v>0.3</v>
      </c>
      <c r="S725">
        <f t="shared" ca="1" si="94"/>
        <v>204.51707799244684</v>
      </c>
      <c r="T725" s="61">
        <f t="shared" ca="1" si="95"/>
        <v>14400</v>
      </c>
      <c r="U725" s="61">
        <f t="shared" ca="1" si="96"/>
        <v>22529.56367577023</v>
      </c>
      <c r="V725" s="39">
        <f t="shared" ca="1" si="97"/>
        <v>0.14822081365638309</v>
      </c>
      <c r="W725" s="48">
        <f t="shared" ca="1" si="98"/>
        <v>2.06812331264307</v>
      </c>
    </row>
    <row r="726" spans="17:23" x14ac:dyDescent="0.2">
      <c r="Q726">
        <f t="shared" si="92"/>
        <v>710</v>
      </c>
      <c r="R726" s="48">
        <f t="shared" ca="1" si="93"/>
        <v>0.4</v>
      </c>
      <c r="S726">
        <f t="shared" ca="1" si="94"/>
        <v>179.65652014933571</v>
      </c>
      <c r="T726" s="61">
        <f t="shared" ca="1" si="95"/>
        <v>19200</v>
      </c>
      <c r="U726" s="61">
        <f t="shared" ca="1" si="96"/>
        <v>14235.129671681138</v>
      </c>
      <c r="V726" s="39">
        <f t="shared" ca="1" si="97"/>
        <v>9.3652168892639068E-2</v>
      </c>
      <c r="W726" s="48">
        <f t="shared" ca="1" si="98"/>
        <v>1.0670627547032194</v>
      </c>
    </row>
    <row r="727" spans="17:23" x14ac:dyDescent="0.2">
      <c r="Q727">
        <f t="shared" si="92"/>
        <v>711</v>
      </c>
      <c r="R727" s="48">
        <f t="shared" ca="1" si="93"/>
        <v>0.217</v>
      </c>
      <c r="S727">
        <f t="shared" ca="1" si="94"/>
        <v>192.92073167841843</v>
      </c>
      <c r="T727" s="61">
        <f t="shared" ca="1" si="95"/>
        <v>10416</v>
      </c>
      <c r="U727" s="61">
        <f t="shared" ca="1" si="96"/>
        <v>12245.546323361308</v>
      </c>
      <c r="V727" s="39">
        <f t="shared" ca="1" si="97"/>
        <v>8.0562804758955969E-2</v>
      </c>
      <c r="W727" s="48">
        <f t="shared" ca="1" si="98"/>
        <v>0.87473118434854435</v>
      </c>
    </row>
    <row r="728" spans="17:23" x14ac:dyDescent="0.2">
      <c r="Q728">
        <f t="shared" si="92"/>
        <v>712</v>
      </c>
      <c r="R728" s="48">
        <f t="shared" ca="1" si="93"/>
        <v>0.45</v>
      </c>
      <c r="S728">
        <f t="shared" ca="1" si="94"/>
        <v>213.1300710244162</v>
      </c>
      <c r="T728" s="61">
        <f t="shared" ca="1" si="95"/>
        <v>21600</v>
      </c>
      <c r="U728" s="61">
        <f t="shared" ca="1" si="96"/>
        <v>31777.231250743127</v>
      </c>
      <c r="V728" s="39">
        <f t="shared" ca="1" si="97"/>
        <v>0.20906073191278374</v>
      </c>
      <c r="W728" s="48">
        <f t="shared" ca="1" si="98"/>
        <v>3.6638635114256113</v>
      </c>
    </row>
    <row r="729" spans="17:23" x14ac:dyDescent="0.2">
      <c r="Q729">
        <f t="shared" si="92"/>
        <v>713</v>
      </c>
      <c r="R729" s="48">
        <f t="shared" ca="1" si="93"/>
        <v>0.3</v>
      </c>
      <c r="S729">
        <f t="shared" ca="1" si="94"/>
        <v>175.46811805069797</v>
      </c>
      <c r="T729" s="61">
        <f t="shared" ca="1" si="95"/>
        <v>14400</v>
      </c>
      <c r="U729" s="61">
        <f t="shared" ca="1" si="96"/>
        <v>6262.1461083908616</v>
      </c>
      <c r="V729" s="39">
        <f t="shared" ca="1" si="97"/>
        <v>4.1198329660466194E-2</v>
      </c>
      <c r="W729" s="48">
        <f t="shared" ca="1" si="98"/>
        <v>0.38744528153142421</v>
      </c>
    </row>
    <row r="730" spans="17:23" x14ac:dyDescent="0.2">
      <c r="Q730">
        <f t="shared" si="92"/>
        <v>714</v>
      </c>
      <c r="R730" s="48">
        <f t="shared" ca="1" si="93"/>
        <v>0.3</v>
      </c>
      <c r="S730">
        <f t="shared" ca="1" si="94"/>
        <v>178.42849062732134</v>
      </c>
      <c r="T730" s="61">
        <f t="shared" ca="1" si="95"/>
        <v>14400</v>
      </c>
      <c r="U730" s="61">
        <f t="shared" ca="1" si="96"/>
        <v>7919.9547512999488</v>
      </c>
      <c r="V730" s="39">
        <f t="shared" ca="1" si="97"/>
        <v>5.2104965469078612E-2</v>
      </c>
      <c r="W730" s="48">
        <f t="shared" ca="1" si="98"/>
        <v>0.50981442397474619</v>
      </c>
    </row>
    <row r="731" spans="17:23" x14ac:dyDescent="0.2">
      <c r="Q731">
        <f t="shared" si="92"/>
        <v>715</v>
      </c>
      <c r="R731" s="48">
        <f t="shared" ca="1" si="93"/>
        <v>0.3</v>
      </c>
      <c r="S731">
        <f t="shared" ca="1" si="94"/>
        <v>173.39943166252746</v>
      </c>
      <c r="T731" s="61">
        <f t="shared" ca="1" si="95"/>
        <v>14400</v>
      </c>
      <c r="U731" s="61">
        <f t="shared" ca="1" si="96"/>
        <v>5103.6817310153783</v>
      </c>
      <c r="V731" s="39">
        <f t="shared" ca="1" si="97"/>
        <v>3.3576853493522227E-2</v>
      </c>
      <c r="W731" s="48">
        <f t="shared" ca="1" si="98"/>
        <v>0.3071813440866058</v>
      </c>
    </row>
    <row r="732" spans="17:23" x14ac:dyDescent="0.2">
      <c r="Q732">
        <f t="shared" si="92"/>
        <v>716</v>
      </c>
      <c r="R732" s="48">
        <f t="shared" ca="1" si="93"/>
        <v>0.45</v>
      </c>
      <c r="S732">
        <f t="shared" ca="1" si="94"/>
        <v>210.62385310240222</v>
      </c>
      <c r="T732" s="61">
        <f t="shared" ca="1" si="95"/>
        <v>21600</v>
      </c>
      <c r="U732" s="61">
        <f t="shared" ca="1" si="96"/>
        <v>30674.495365056981</v>
      </c>
      <c r="V732" s="39">
        <f t="shared" ca="1" si="97"/>
        <v>0.20180589055958539</v>
      </c>
      <c r="W732" s="48">
        <f t="shared" ca="1" si="98"/>
        <v>3.4416579192207326</v>
      </c>
    </row>
    <row r="733" spans="17:23" x14ac:dyDescent="0.2">
      <c r="Q733">
        <f t="shared" si="92"/>
        <v>717</v>
      </c>
      <c r="R733" s="48">
        <f t="shared" ca="1" si="93"/>
        <v>0.45</v>
      </c>
      <c r="S733">
        <f t="shared" ca="1" si="94"/>
        <v>208.2840923350966</v>
      </c>
      <c r="T733" s="61">
        <f t="shared" ca="1" si="95"/>
        <v>21600</v>
      </c>
      <c r="U733" s="61">
        <f t="shared" ca="1" si="96"/>
        <v>29645.000627442507</v>
      </c>
      <c r="V733" s="39">
        <f t="shared" ca="1" si="97"/>
        <v>0.19503289886475333</v>
      </c>
      <c r="W733" s="48">
        <f t="shared" ca="1" si="98"/>
        <v>3.2426446074353148</v>
      </c>
    </row>
    <row r="734" spans="17:23" x14ac:dyDescent="0.2">
      <c r="Q734">
        <f t="shared" si="92"/>
        <v>718</v>
      </c>
      <c r="R734" s="48">
        <f t="shared" ca="1" si="93"/>
        <v>0.35</v>
      </c>
      <c r="S734">
        <f t="shared" ca="1" si="94"/>
        <v>181.8182735117116</v>
      </c>
      <c r="T734" s="61">
        <f t="shared" ca="1" si="95"/>
        <v>16800</v>
      </c>
      <c r="U734" s="61">
        <f t="shared" ca="1" si="96"/>
        <v>12545.50222609003</v>
      </c>
      <c r="V734" s="39">
        <f t="shared" ca="1" si="97"/>
        <v>8.2536198855855461E-2</v>
      </c>
      <c r="W734" s="48">
        <f t="shared" ca="1" si="98"/>
        <v>0.902682646963193</v>
      </c>
    </row>
    <row r="735" spans="17:23" x14ac:dyDescent="0.2">
      <c r="Q735">
        <f t="shared" si="92"/>
        <v>719</v>
      </c>
      <c r="R735" s="48">
        <f t="shared" ca="1" si="93"/>
        <v>0.35</v>
      </c>
      <c r="S735">
        <f t="shared" ca="1" si="94"/>
        <v>170.61938761615752</v>
      </c>
      <c r="T735" s="61">
        <f t="shared" ca="1" si="95"/>
        <v>16800</v>
      </c>
      <c r="U735" s="61">
        <f t="shared" ca="1" si="96"/>
        <v>6722.0815604019135</v>
      </c>
      <c r="V735" s="39">
        <f t="shared" ca="1" si="97"/>
        <v>4.4224220792117852E-2</v>
      </c>
      <c r="W735" s="48">
        <f t="shared" ca="1" si="98"/>
        <v>0.42049037538825895</v>
      </c>
    </row>
    <row r="736" spans="17:23" x14ac:dyDescent="0.2">
      <c r="Q736">
        <f t="shared" si="92"/>
        <v>720</v>
      </c>
      <c r="R736" s="48">
        <f t="shared" ca="1" si="93"/>
        <v>0.5</v>
      </c>
      <c r="S736">
        <f t="shared" ca="1" si="94"/>
        <v>170.81701285404185</v>
      </c>
      <c r="T736" s="61">
        <f t="shared" ca="1" si="95"/>
        <v>24000</v>
      </c>
      <c r="U736" s="61">
        <f t="shared" ca="1" si="96"/>
        <v>16326.80514161674</v>
      </c>
      <c r="V736" s="39">
        <f t="shared" ca="1" si="97"/>
        <v>0.10741319172116276</v>
      </c>
      <c r="W736" s="48">
        <f t="shared" ca="1" si="98"/>
        <v>1.2877093124072458</v>
      </c>
    </row>
    <row r="737" spans="17:23" x14ac:dyDescent="0.2">
      <c r="Q737">
        <f t="shared" si="92"/>
        <v>721</v>
      </c>
      <c r="R737" s="48">
        <f t="shared" ca="1" si="93"/>
        <v>0.217</v>
      </c>
      <c r="S737">
        <f t="shared" ca="1" si="94"/>
        <v>225.78245716550515</v>
      </c>
      <c r="T737" s="61">
        <f t="shared" ca="1" si="95"/>
        <v>10416</v>
      </c>
      <c r="U737" s="61">
        <f t="shared" ca="1" si="96"/>
        <v>32830.131168472421</v>
      </c>
      <c r="V737" s="39">
        <f t="shared" ca="1" si="97"/>
        <v>0.21598770505573961</v>
      </c>
      <c r="W737" s="48">
        <f t="shared" ca="1" si="98"/>
        <v>3.8850616189272342</v>
      </c>
    </row>
    <row r="738" spans="17:23" x14ac:dyDescent="0.2">
      <c r="Q738">
        <f t="shared" si="92"/>
        <v>722</v>
      </c>
      <c r="R738" s="48">
        <f t="shared" ca="1" si="93"/>
        <v>0.45</v>
      </c>
      <c r="S738">
        <f t="shared" ca="1" si="94"/>
        <v>185.20658176621566</v>
      </c>
      <c r="T738" s="61">
        <f t="shared" ca="1" si="95"/>
        <v>21600</v>
      </c>
      <c r="U738" s="61">
        <f t="shared" ca="1" si="96"/>
        <v>19490.895977134893</v>
      </c>
      <c r="V738" s="39">
        <f t="shared" ca="1" si="97"/>
        <v>0.12822957879694008</v>
      </c>
      <c r="W738" s="48">
        <f t="shared" ca="1" si="98"/>
        <v>1.6607360501393704</v>
      </c>
    </row>
    <row r="739" spans="17:23" x14ac:dyDescent="0.2">
      <c r="Q739">
        <f t="shared" si="92"/>
        <v>723</v>
      </c>
      <c r="R739" s="48">
        <f t="shared" ca="1" si="93"/>
        <v>0.4</v>
      </c>
      <c r="S739">
        <f t="shared" ca="1" si="94"/>
        <v>223.94126757954538</v>
      </c>
      <c r="T739" s="61">
        <f t="shared" ca="1" si="95"/>
        <v>19200</v>
      </c>
      <c r="U739" s="61">
        <f t="shared" ca="1" si="96"/>
        <v>35491.808438181783</v>
      </c>
      <c r="V739" s="39">
        <f t="shared" ca="1" si="97"/>
        <v>0.23349873972488014</v>
      </c>
      <c r="W739" s="48">
        <f t="shared" ca="1" si="98"/>
        <v>4.4857524302151255</v>
      </c>
    </row>
    <row r="740" spans="17:23" x14ac:dyDescent="0.2">
      <c r="Q740">
        <f t="shared" si="92"/>
        <v>724</v>
      </c>
      <c r="R740" s="48">
        <f t="shared" ca="1" si="93"/>
        <v>0.35</v>
      </c>
      <c r="S740">
        <f t="shared" ca="1" si="94"/>
        <v>197.86119085675628</v>
      </c>
      <c r="T740" s="61">
        <f t="shared" ca="1" si="95"/>
        <v>16800</v>
      </c>
      <c r="U740" s="61">
        <f t="shared" ca="1" si="96"/>
        <v>20887.819245513267</v>
      </c>
      <c r="V740" s="39">
        <f t="shared" ca="1" si="97"/>
        <v>0.13741986345732413</v>
      </c>
      <c r="W740" s="48">
        <f t="shared" ca="1" si="98"/>
        <v>1.8417108783510336</v>
      </c>
    </row>
    <row r="741" spans="17:23" x14ac:dyDescent="0.2">
      <c r="Q741">
        <f t="shared" si="92"/>
        <v>725</v>
      </c>
      <c r="R741" s="48">
        <f t="shared" ca="1" si="93"/>
        <v>0.45</v>
      </c>
      <c r="S741">
        <f t="shared" ca="1" si="94"/>
        <v>209.82991703995214</v>
      </c>
      <c r="T741" s="61">
        <f t="shared" ca="1" si="95"/>
        <v>21600</v>
      </c>
      <c r="U741" s="61">
        <f t="shared" ca="1" si="96"/>
        <v>30325.163497578942</v>
      </c>
      <c r="V741" s="39">
        <f t="shared" ca="1" si="97"/>
        <v>0.19950765458933514</v>
      </c>
      <c r="W741" s="48">
        <f t="shared" ca="1" si="98"/>
        <v>3.3732298488068215</v>
      </c>
    </row>
    <row r="742" spans="17:23" x14ac:dyDescent="0.2">
      <c r="Q742">
        <f t="shared" si="92"/>
        <v>726</v>
      </c>
      <c r="R742" s="48">
        <f t="shared" ca="1" si="93"/>
        <v>0.45</v>
      </c>
      <c r="S742">
        <f t="shared" ca="1" si="94"/>
        <v>194.49522394736496</v>
      </c>
      <c r="T742" s="61">
        <f t="shared" ca="1" si="95"/>
        <v>21600</v>
      </c>
      <c r="U742" s="61">
        <f t="shared" ca="1" si="96"/>
        <v>23577.898536840585</v>
      </c>
      <c r="V742" s="39">
        <f t="shared" ca="1" si="97"/>
        <v>0.15511775353184595</v>
      </c>
      <c r="W742" s="48">
        <f t="shared" ca="1" si="98"/>
        <v>2.2208354929157661</v>
      </c>
    </row>
    <row r="743" spans="17:23" x14ac:dyDescent="0.2">
      <c r="Q743">
        <f t="shared" si="92"/>
        <v>727</v>
      </c>
      <c r="R743" s="48">
        <f t="shared" ca="1" si="93"/>
        <v>0.3</v>
      </c>
      <c r="S743">
        <f t="shared" ca="1" si="94"/>
        <v>168.50587310914756</v>
      </c>
      <c r="T743" s="61">
        <f t="shared" ca="1" si="95"/>
        <v>14400</v>
      </c>
      <c r="U743" s="61">
        <f t="shared" ca="1" si="96"/>
        <v>2363.2889411226315</v>
      </c>
      <c r="V743" s="39">
        <f t="shared" ca="1" si="97"/>
        <v>1.5547953560017312E-2</v>
      </c>
      <c r="W743" s="48">
        <f t="shared" ca="1" si="98"/>
        <v>0.13330805517368138</v>
      </c>
    </row>
    <row r="744" spans="17:23" x14ac:dyDescent="0.2">
      <c r="Q744">
        <f t="shared" si="92"/>
        <v>728</v>
      </c>
      <c r="R744" s="48">
        <f t="shared" ca="1" si="93"/>
        <v>0.3</v>
      </c>
      <c r="S744">
        <f t="shared" ca="1" si="94"/>
        <v>170.88928950312612</v>
      </c>
      <c r="T744" s="61">
        <f t="shared" ca="1" si="95"/>
        <v>14400</v>
      </c>
      <c r="U744" s="61">
        <f t="shared" ca="1" si="96"/>
        <v>3698.0021217506292</v>
      </c>
      <c r="V744" s="39">
        <f t="shared" ca="1" si="97"/>
        <v>2.4328961327306772E-2</v>
      </c>
      <c r="W744" s="48">
        <f t="shared" ca="1" si="98"/>
        <v>0.21527777136084469</v>
      </c>
    </row>
    <row r="745" spans="17:23" x14ac:dyDescent="0.2">
      <c r="Q745">
        <f t="shared" si="92"/>
        <v>729</v>
      </c>
      <c r="R745" s="48">
        <f t="shared" ca="1" si="93"/>
        <v>0.35</v>
      </c>
      <c r="S745">
        <f t="shared" ca="1" si="94"/>
        <v>208.91804062780008</v>
      </c>
      <c r="T745" s="61">
        <f t="shared" ca="1" si="95"/>
        <v>16800</v>
      </c>
      <c r="U745" s="61">
        <f t="shared" ca="1" si="96"/>
        <v>26637.381126456043</v>
      </c>
      <c r="V745" s="39">
        <f t="shared" ca="1" si="97"/>
        <v>0.1752459284635266</v>
      </c>
      <c r="W745" s="48">
        <f t="shared" ca="1" si="98"/>
        <v>2.7052893334788077</v>
      </c>
    </row>
    <row r="746" spans="17:23" x14ac:dyDescent="0.2">
      <c r="Q746">
        <f t="shared" si="92"/>
        <v>730</v>
      </c>
      <c r="R746" s="48">
        <f t="shared" ca="1" si="93"/>
        <v>0.35</v>
      </c>
      <c r="S746">
        <f t="shared" ca="1" si="94"/>
        <v>151.13014563906628</v>
      </c>
      <c r="T746" s="61">
        <f t="shared" ca="1" si="95"/>
        <v>16800</v>
      </c>
      <c r="U746" s="61">
        <f t="shared" ca="1" si="96"/>
        <v>-3412.3242676855334</v>
      </c>
      <c r="V746" s="39">
        <f t="shared" ca="1" si="97"/>
        <v>-2.2449501761089036E-2</v>
      </c>
      <c r="W746" s="48">
        <f t="shared" ca="1" si="98"/>
        <v>-0.16820181778780918</v>
      </c>
    </row>
    <row r="747" spans="17:23" x14ac:dyDescent="0.2">
      <c r="Q747">
        <f t="shared" si="92"/>
        <v>731</v>
      </c>
      <c r="R747" s="48">
        <f t="shared" ca="1" si="93"/>
        <v>0.4</v>
      </c>
      <c r="S747">
        <f t="shared" ca="1" si="94"/>
        <v>201.81388616044347</v>
      </c>
      <c r="T747" s="61">
        <f t="shared" ca="1" si="95"/>
        <v>19200</v>
      </c>
      <c r="U747" s="61">
        <f t="shared" ca="1" si="96"/>
        <v>24870.665357012869</v>
      </c>
      <c r="V747" s="39">
        <f t="shared" ca="1" si="97"/>
        <v>0.16362279840140045</v>
      </c>
      <c r="W747" s="48">
        <f t="shared" ca="1" si="98"/>
        <v>2.4183005273970934</v>
      </c>
    </row>
    <row r="748" spans="17:23" x14ac:dyDescent="0.2">
      <c r="Q748">
        <f t="shared" si="92"/>
        <v>732</v>
      </c>
      <c r="R748" s="48">
        <f t="shared" ca="1" si="93"/>
        <v>0.3</v>
      </c>
      <c r="S748">
        <f t="shared" ca="1" si="94"/>
        <v>172.43301119065345</v>
      </c>
      <c r="T748" s="61">
        <f t="shared" ca="1" si="95"/>
        <v>14400</v>
      </c>
      <c r="U748" s="61">
        <f t="shared" ca="1" si="96"/>
        <v>4562.486266765929</v>
      </c>
      <c r="V748" s="39">
        <f t="shared" ca="1" si="97"/>
        <v>3.0016357018196903E-2</v>
      </c>
      <c r="W748" s="48">
        <f t="shared" ca="1" si="98"/>
        <v>0.27110110619296024</v>
      </c>
    </row>
    <row r="749" spans="17:23" x14ac:dyDescent="0.2">
      <c r="Q749">
        <f t="shared" si="92"/>
        <v>733</v>
      </c>
      <c r="R749" s="48">
        <f t="shared" ca="1" si="93"/>
        <v>0.35</v>
      </c>
      <c r="S749">
        <f t="shared" ca="1" si="94"/>
        <v>185.33505789835453</v>
      </c>
      <c r="T749" s="61">
        <f t="shared" ca="1" si="95"/>
        <v>16800</v>
      </c>
      <c r="U749" s="61">
        <f t="shared" ca="1" si="96"/>
        <v>14374.230107144358</v>
      </c>
      <c r="V749" s="39">
        <f t="shared" ca="1" si="97"/>
        <v>9.4567303336476033E-2</v>
      </c>
      <c r="W749" s="48">
        <f t="shared" ca="1" si="98"/>
        <v>1.0811339852722543</v>
      </c>
    </row>
    <row r="750" spans="17:23" x14ac:dyDescent="0.2">
      <c r="Q750">
        <f t="shared" si="92"/>
        <v>734</v>
      </c>
      <c r="R750" s="48">
        <f t="shared" ca="1" si="93"/>
        <v>0.3</v>
      </c>
      <c r="S750">
        <f t="shared" ca="1" si="94"/>
        <v>166.00687762028173</v>
      </c>
      <c r="T750" s="61">
        <f t="shared" ca="1" si="95"/>
        <v>14400</v>
      </c>
      <c r="U750" s="61">
        <f t="shared" ca="1" si="96"/>
        <v>963.85146735776652</v>
      </c>
      <c r="V750" s="39">
        <f t="shared" ca="1" si="97"/>
        <v>6.3411280747221483E-3</v>
      </c>
      <c r="W750" s="48">
        <f t="shared" ca="1" si="98"/>
        <v>5.2608329319484781E-2</v>
      </c>
    </row>
    <row r="751" spans="17:23" x14ac:dyDescent="0.2">
      <c r="Q751">
        <f t="shared" si="92"/>
        <v>735</v>
      </c>
      <c r="R751" s="48">
        <f t="shared" ca="1" si="93"/>
        <v>0.35</v>
      </c>
      <c r="S751">
        <f t="shared" ca="1" si="94"/>
        <v>228.19902550252428</v>
      </c>
      <c r="T751" s="61">
        <f t="shared" ca="1" si="95"/>
        <v>16800</v>
      </c>
      <c r="U751" s="61">
        <f t="shared" ca="1" si="96"/>
        <v>36663.493261312629</v>
      </c>
      <c r="V751" s="39">
        <f t="shared" ca="1" si="97"/>
        <v>0.24120719250863573</v>
      </c>
      <c r="W751" s="48">
        <f t="shared" ca="1" si="98"/>
        <v>4.770074373782796</v>
      </c>
    </row>
    <row r="752" spans="17:23" x14ac:dyDescent="0.2">
      <c r="Q752">
        <f t="shared" si="92"/>
        <v>736</v>
      </c>
      <c r="R752" s="48">
        <f t="shared" ca="1" si="93"/>
        <v>0.3</v>
      </c>
      <c r="S752">
        <f t="shared" ca="1" si="94"/>
        <v>194.05401367607371</v>
      </c>
      <c r="T752" s="61">
        <f t="shared" ca="1" si="95"/>
        <v>14400</v>
      </c>
      <c r="U752" s="61">
        <f t="shared" ca="1" si="96"/>
        <v>16670.247658601278</v>
      </c>
      <c r="V752" s="39">
        <f t="shared" ca="1" si="97"/>
        <v>0.1096726819644821</v>
      </c>
      <c r="W752" s="48">
        <f t="shared" ca="1" si="98"/>
        <v>1.3258452320934846</v>
      </c>
    </row>
    <row r="753" spans="17:23" x14ac:dyDescent="0.2">
      <c r="Q753">
        <f t="shared" si="92"/>
        <v>737</v>
      </c>
      <c r="R753" s="48">
        <f t="shared" ca="1" si="93"/>
        <v>0.4</v>
      </c>
      <c r="S753">
        <f t="shared" ca="1" si="94"/>
        <v>185.97643047620141</v>
      </c>
      <c r="T753" s="61">
        <f t="shared" ca="1" si="95"/>
        <v>19200</v>
      </c>
      <c r="U753" s="61">
        <f t="shared" ca="1" si="96"/>
        <v>17268.686628576681</v>
      </c>
      <c r="V753" s="39">
        <f t="shared" ca="1" si="97"/>
        <v>0.11360978045116238</v>
      </c>
      <c r="W753" s="48">
        <f t="shared" ca="1" si="98"/>
        <v>1.3936290774024451</v>
      </c>
    </row>
    <row r="754" spans="17:23" x14ac:dyDescent="0.2">
      <c r="Q754">
        <f t="shared" si="92"/>
        <v>738</v>
      </c>
      <c r="R754" s="48">
        <f t="shared" ca="1" si="93"/>
        <v>0.35</v>
      </c>
      <c r="S754">
        <f t="shared" ca="1" si="94"/>
        <v>187.85867609750645</v>
      </c>
      <c r="T754" s="61">
        <f t="shared" ca="1" si="95"/>
        <v>16800</v>
      </c>
      <c r="U754" s="61">
        <f t="shared" ca="1" si="96"/>
        <v>15686.511570703353</v>
      </c>
      <c r="V754" s="39">
        <f t="shared" ca="1" si="97"/>
        <v>0.10320073401778522</v>
      </c>
      <c r="W754" s="48">
        <f t="shared" ca="1" si="98"/>
        <v>1.21807246514149</v>
      </c>
    </row>
    <row r="755" spans="17:23" x14ac:dyDescent="0.2">
      <c r="Q755">
        <f t="shared" si="92"/>
        <v>739</v>
      </c>
      <c r="R755" s="48">
        <f t="shared" ca="1" si="93"/>
        <v>0.35</v>
      </c>
      <c r="S755">
        <f t="shared" ca="1" si="94"/>
        <v>202.8849144700385</v>
      </c>
      <c r="T755" s="61">
        <f t="shared" ca="1" si="95"/>
        <v>16800</v>
      </c>
      <c r="U755" s="61">
        <f t="shared" ca="1" si="96"/>
        <v>23500.155524420017</v>
      </c>
      <c r="V755" s="39">
        <f t="shared" ca="1" si="97"/>
        <v>0.15460628634486853</v>
      </c>
      <c r="W755" s="48">
        <f t="shared" ca="1" si="98"/>
        <v>2.2092861636546957</v>
      </c>
    </row>
    <row r="756" spans="17:23" x14ac:dyDescent="0.2">
      <c r="Q756">
        <f t="shared" si="92"/>
        <v>740</v>
      </c>
      <c r="R756" s="48">
        <f t="shared" ca="1" si="93"/>
        <v>0.4</v>
      </c>
      <c r="S756">
        <f t="shared" ca="1" si="94"/>
        <v>183.65396774698456</v>
      </c>
      <c r="T756" s="61">
        <f t="shared" ca="1" si="95"/>
        <v>19200</v>
      </c>
      <c r="U756" s="61">
        <f t="shared" ca="1" si="96"/>
        <v>16153.90451855259</v>
      </c>
      <c r="V756" s="39">
        <f t="shared" ca="1" si="97"/>
        <v>0.10627568762205651</v>
      </c>
      <c r="W756" s="48">
        <f t="shared" ca="1" si="98"/>
        <v>1.2687187085219938</v>
      </c>
    </row>
    <row r="757" spans="17:23" x14ac:dyDescent="0.2">
      <c r="Q757">
        <f t="shared" si="92"/>
        <v>741</v>
      </c>
      <c r="R757" s="48">
        <f t="shared" ca="1" si="93"/>
        <v>0.3</v>
      </c>
      <c r="S757">
        <f t="shared" ca="1" si="94"/>
        <v>198.72169086883574</v>
      </c>
      <c r="T757" s="61">
        <f t="shared" ca="1" si="95"/>
        <v>14400</v>
      </c>
      <c r="U757" s="61">
        <f t="shared" ca="1" si="96"/>
        <v>19284.146886548013</v>
      </c>
      <c r="V757" s="39">
        <f t="shared" ca="1" si="97"/>
        <v>0.12686938741150008</v>
      </c>
      <c r="W757" s="48">
        <f t="shared" ca="1" si="98"/>
        <v>1.6348286619763406</v>
      </c>
    </row>
    <row r="758" spans="17:23" x14ac:dyDescent="0.2">
      <c r="Q758">
        <f t="shared" si="92"/>
        <v>742</v>
      </c>
      <c r="R758" s="48">
        <f t="shared" ca="1" si="93"/>
        <v>0.5</v>
      </c>
      <c r="S758">
        <f t="shared" ca="1" si="94"/>
        <v>186.46512678090238</v>
      </c>
      <c r="T758" s="61">
        <f t="shared" ca="1" si="95"/>
        <v>24000</v>
      </c>
      <c r="U758" s="61">
        <f t="shared" ca="1" si="96"/>
        <v>22586.050712360953</v>
      </c>
      <c r="V758" s="39">
        <f t="shared" ca="1" si="97"/>
        <v>0.14859243889711155</v>
      </c>
      <c r="W758" s="48">
        <f t="shared" ca="1" si="98"/>
        <v>2.0761869829596185</v>
      </c>
    </row>
    <row r="759" spans="17:23" x14ac:dyDescent="0.2">
      <c r="Q759">
        <f t="shared" si="92"/>
        <v>743</v>
      </c>
      <c r="R759" s="48">
        <f t="shared" ca="1" si="93"/>
        <v>0.35</v>
      </c>
      <c r="S759">
        <f t="shared" ca="1" si="94"/>
        <v>199.68211525241199</v>
      </c>
      <c r="T759" s="61">
        <f t="shared" ca="1" si="95"/>
        <v>16800</v>
      </c>
      <c r="U759" s="61">
        <f t="shared" ca="1" si="96"/>
        <v>21834.699931254236</v>
      </c>
      <c r="V759" s="39">
        <f t="shared" ca="1" si="97"/>
        <v>0.1436493416529884</v>
      </c>
      <c r="W759" s="48">
        <f t="shared" ca="1" si="98"/>
        <v>1.9704350558640398</v>
      </c>
    </row>
    <row r="760" spans="17:23" x14ac:dyDescent="0.2">
      <c r="Q760">
        <f t="shared" si="92"/>
        <v>744</v>
      </c>
      <c r="R760" s="48">
        <f t="shared" ca="1" si="93"/>
        <v>0.35</v>
      </c>
      <c r="S760">
        <f t="shared" ca="1" si="94"/>
        <v>185.33414362298916</v>
      </c>
      <c r="T760" s="61">
        <f t="shared" ca="1" si="95"/>
        <v>16800</v>
      </c>
      <c r="U760" s="61">
        <f t="shared" ca="1" si="96"/>
        <v>14373.754683954363</v>
      </c>
      <c r="V760" s="39">
        <f t="shared" ca="1" si="97"/>
        <v>9.4564175552331334E-2</v>
      </c>
      <c r="W760" s="48">
        <f t="shared" ca="1" si="98"/>
        <v>1.0810857493837673</v>
      </c>
    </row>
    <row r="761" spans="17:23" x14ac:dyDescent="0.2">
      <c r="Q761">
        <f t="shared" si="92"/>
        <v>745</v>
      </c>
      <c r="R761" s="48">
        <f t="shared" ca="1" si="93"/>
        <v>0.35</v>
      </c>
      <c r="S761">
        <f t="shared" ca="1" si="94"/>
        <v>179.73963416192316</v>
      </c>
      <c r="T761" s="61">
        <f t="shared" ca="1" si="95"/>
        <v>16800</v>
      </c>
      <c r="U761" s="61">
        <f t="shared" ca="1" si="96"/>
        <v>11464.609764200046</v>
      </c>
      <c r="V761" s="39">
        <f t="shared" ca="1" si="97"/>
        <v>7.5425064238158201E-2</v>
      </c>
      <c r="W761" s="48">
        <f t="shared" ca="1" si="98"/>
        <v>0.80364116450719059</v>
      </c>
    </row>
    <row r="762" spans="17:23" x14ac:dyDescent="0.2">
      <c r="Q762">
        <f t="shared" si="92"/>
        <v>746</v>
      </c>
      <c r="R762" s="48">
        <f t="shared" ca="1" si="93"/>
        <v>0.4</v>
      </c>
      <c r="S762">
        <f t="shared" ca="1" si="94"/>
        <v>194.08820018662672</v>
      </c>
      <c r="T762" s="61">
        <f t="shared" ca="1" si="95"/>
        <v>19200</v>
      </c>
      <c r="U762" s="61">
        <f t="shared" ca="1" si="96"/>
        <v>21162.336089580826</v>
      </c>
      <c r="V762" s="39">
        <f t="shared" ca="1" si="97"/>
        <v>0.13922589532618965</v>
      </c>
      <c r="W762" s="48">
        <f t="shared" ca="1" si="98"/>
        <v>1.8785168012813331</v>
      </c>
    </row>
    <row r="763" spans="17:23" x14ac:dyDescent="0.2">
      <c r="Q763">
        <f t="shared" si="92"/>
        <v>747</v>
      </c>
      <c r="R763" s="48">
        <f t="shared" ca="1" si="93"/>
        <v>0.5</v>
      </c>
      <c r="S763">
        <f t="shared" ca="1" si="94"/>
        <v>174.22095772031531</v>
      </c>
      <c r="T763" s="61">
        <f t="shared" ca="1" si="95"/>
        <v>24000</v>
      </c>
      <c r="U763" s="61">
        <f t="shared" ca="1" si="96"/>
        <v>17688.383088126124</v>
      </c>
      <c r="V763" s="39">
        <f t="shared" ca="1" si="97"/>
        <v>0.11637094136925082</v>
      </c>
      <c r="W763" s="48">
        <f t="shared" ca="1" si="98"/>
        <v>1.4421944837910434</v>
      </c>
    </row>
    <row r="764" spans="17:23" x14ac:dyDescent="0.2">
      <c r="Q764">
        <f t="shared" si="92"/>
        <v>748</v>
      </c>
      <c r="R764" s="48">
        <f t="shared" ca="1" si="93"/>
        <v>0.35</v>
      </c>
      <c r="S764">
        <f t="shared" ca="1" si="94"/>
        <v>160.44640090128075</v>
      </c>
      <c r="T764" s="61">
        <f t="shared" ca="1" si="95"/>
        <v>16800</v>
      </c>
      <c r="U764" s="61">
        <f t="shared" ca="1" si="96"/>
        <v>1432.1284686659928</v>
      </c>
      <c r="V764" s="39">
        <f t="shared" ca="1" si="97"/>
        <v>9.421897820171006E-3</v>
      </c>
      <c r="W764" s="48">
        <f t="shared" ca="1" si="98"/>
        <v>7.9031937711206979E-2</v>
      </c>
    </row>
    <row r="765" spans="17:23" x14ac:dyDescent="0.2">
      <c r="Q765">
        <f t="shared" si="92"/>
        <v>749</v>
      </c>
      <c r="R765" s="48">
        <f t="shared" ca="1" si="93"/>
        <v>0.217</v>
      </c>
      <c r="S765">
        <f t="shared" ca="1" si="94"/>
        <v>170.76855524584616</v>
      </c>
      <c r="T765" s="61">
        <f t="shared" ca="1" si="95"/>
        <v>10416</v>
      </c>
      <c r="U765" s="61">
        <f t="shared" ca="1" si="96"/>
        <v>-1630.5769940019654</v>
      </c>
      <c r="V765" s="39">
        <f t="shared" ca="1" si="97"/>
        <v>-1.0727480223697142E-2</v>
      </c>
      <c r="W765" s="48">
        <f t="shared" ca="1" si="98"/>
        <v>-8.3764505658730726E-2</v>
      </c>
    </row>
    <row r="766" spans="17:23" x14ac:dyDescent="0.2">
      <c r="Q766">
        <f t="shared" si="92"/>
        <v>750</v>
      </c>
      <c r="R766" s="48">
        <f t="shared" ca="1" si="93"/>
        <v>0.15</v>
      </c>
      <c r="S766">
        <f t="shared" ca="1" si="94"/>
        <v>187.61676740639032</v>
      </c>
      <c r="T766" s="61">
        <f t="shared" ca="1" si="95"/>
        <v>7200</v>
      </c>
      <c r="U766" s="61">
        <f t="shared" ca="1" si="96"/>
        <v>5579.4018363454197</v>
      </c>
      <c r="V766" s="39">
        <f t="shared" ca="1" si="97"/>
        <v>3.6706591028588288E-2</v>
      </c>
      <c r="W766" s="48">
        <f t="shared" ca="1" si="98"/>
        <v>0.33963478861037943</v>
      </c>
    </row>
    <row r="767" spans="17:23" x14ac:dyDescent="0.2">
      <c r="Q767">
        <f t="shared" si="92"/>
        <v>751</v>
      </c>
      <c r="R767" s="48">
        <f t="shared" ca="1" si="93"/>
        <v>0.4</v>
      </c>
      <c r="S767">
        <f t="shared" ca="1" si="94"/>
        <v>184.46134541579485</v>
      </c>
      <c r="T767" s="61">
        <f t="shared" ca="1" si="95"/>
        <v>19200</v>
      </c>
      <c r="U767" s="61">
        <f t="shared" ca="1" si="96"/>
        <v>16541.445799581528</v>
      </c>
      <c r="V767" s="39">
        <f t="shared" ca="1" si="97"/>
        <v>0.10882530131303637</v>
      </c>
      <c r="W767" s="48">
        <f t="shared" ca="1" si="98"/>
        <v>1.3114782391624114</v>
      </c>
    </row>
    <row r="768" spans="17:23" x14ac:dyDescent="0.2">
      <c r="Q768">
        <f t="shared" si="92"/>
        <v>752</v>
      </c>
      <c r="R768" s="48">
        <f t="shared" ca="1" si="93"/>
        <v>0.5</v>
      </c>
      <c r="S768">
        <f t="shared" ca="1" si="94"/>
        <v>191.14013074885651</v>
      </c>
      <c r="T768" s="61">
        <f t="shared" ca="1" si="95"/>
        <v>24000</v>
      </c>
      <c r="U768" s="61">
        <f t="shared" ca="1" si="96"/>
        <v>24456.052299542604</v>
      </c>
      <c r="V768" s="39">
        <f t="shared" ca="1" si="97"/>
        <v>0.16089508091804344</v>
      </c>
      <c r="W768" s="48">
        <f t="shared" ca="1" si="98"/>
        <v>2.3538449929663736</v>
      </c>
    </row>
    <row r="769" spans="17:23" x14ac:dyDescent="0.2">
      <c r="Q769">
        <f t="shared" si="92"/>
        <v>753</v>
      </c>
      <c r="R769" s="48">
        <f t="shared" ca="1" si="93"/>
        <v>0.3</v>
      </c>
      <c r="S769">
        <f t="shared" ca="1" si="94"/>
        <v>206.40927714204872</v>
      </c>
      <c r="T769" s="61">
        <f t="shared" ca="1" si="95"/>
        <v>14400</v>
      </c>
      <c r="U769" s="61">
        <f t="shared" ca="1" si="96"/>
        <v>23589.195199547285</v>
      </c>
      <c r="V769" s="39">
        <f t="shared" ca="1" si="97"/>
        <v>0.15519207368123214</v>
      </c>
      <c r="W769" s="48">
        <f t="shared" ca="1" si="98"/>
        <v>2.2225167284549583</v>
      </c>
    </row>
    <row r="770" spans="17:23" x14ac:dyDescent="0.2">
      <c r="Q770">
        <f t="shared" si="92"/>
        <v>754</v>
      </c>
      <c r="R770" s="48">
        <f t="shared" ca="1" si="93"/>
        <v>0.5</v>
      </c>
      <c r="S770">
        <f t="shared" ca="1" si="94"/>
        <v>210.07981310514629</v>
      </c>
      <c r="T770" s="61">
        <f t="shared" ca="1" si="95"/>
        <v>24000</v>
      </c>
      <c r="U770" s="61">
        <f t="shared" ca="1" si="96"/>
        <v>32031.925242058514</v>
      </c>
      <c r="V770" s="39">
        <f t="shared" ca="1" si="97"/>
        <v>0.21073635027670076</v>
      </c>
      <c r="W770" s="48">
        <f t="shared" ca="1" si="98"/>
        <v>3.7165493588450458</v>
      </c>
    </row>
    <row r="771" spans="17:23" x14ac:dyDescent="0.2">
      <c r="Q771">
        <f t="shared" si="92"/>
        <v>755</v>
      </c>
      <c r="R771" s="48">
        <f t="shared" ca="1" si="93"/>
        <v>0.4</v>
      </c>
      <c r="S771">
        <f t="shared" ca="1" si="94"/>
        <v>170.10229972433706</v>
      </c>
      <c r="T771" s="61">
        <f t="shared" ca="1" si="95"/>
        <v>19200</v>
      </c>
      <c r="U771" s="61">
        <f t="shared" ca="1" si="96"/>
        <v>9649.103867681788</v>
      </c>
      <c r="V771" s="39">
        <f t="shared" ca="1" si="97"/>
        <v>6.3480946497906504E-2</v>
      </c>
      <c r="W771" s="48">
        <f t="shared" ca="1" si="98"/>
        <v>0.6474326750121655</v>
      </c>
    </row>
    <row r="772" spans="17:23" x14ac:dyDescent="0.2">
      <c r="Q772">
        <f t="shared" si="92"/>
        <v>756</v>
      </c>
      <c r="R772" s="48">
        <f t="shared" ca="1" si="93"/>
        <v>0.35</v>
      </c>
      <c r="S772">
        <f t="shared" ca="1" si="94"/>
        <v>209.53898195317228</v>
      </c>
      <c r="T772" s="61">
        <f t="shared" ca="1" si="95"/>
        <v>16800</v>
      </c>
      <c r="U772" s="61">
        <f t="shared" ca="1" si="96"/>
        <v>26960.270615649584</v>
      </c>
      <c r="V772" s="39">
        <f t="shared" ca="1" si="97"/>
        <v>0.17737020141874726</v>
      </c>
      <c r="W772" s="48">
        <f t="shared" ca="1" si="98"/>
        <v>2.7599627775517788</v>
      </c>
    </row>
    <row r="773" spans="17:23" x14ac:dyDescent="0.2">
      <c r="Q773">
        <f t="shared" si="92"/>
        <v>757</v>
      </c>
      <c r="R773" s="48">
        <f t="shared" ca="1" si="93"/>
        <v>0.3</v>
      </c>
      <c r="S773">
        <f t="shared" ca="1" si="94"/>
        <v>175.29012228441843</v>
      </c>
      <c r="T773" s="61">
        <f t="shared" ca="1" si="95"/>
        <v>14400</v>
      </c>
      <c r="U773" s="61">
        <f t="shared" ca="1" si="96"/>
        <v>6162.468479274321</v>
      </c>
      <c r="V773" s="39">
        <f t="shared" ca="1" si="97"/>
        <v>4.054255578469948E-2</v>
      </c>
      <c r="W773" s="48">
        <f t="shared" ca="1" si="98"/>
        <v>0.38037324538595385</v>
      </c>
    </row>
    <row r="774" spans="17:23" x14ac:dyDescent="0.2">
      <c r="Q774">
        <f t="shared" si="92"/>
        <v>758</v>
      </c>
      <c r="R774" s="48">
        <f t="shared" ca="1" si="93"/>
        <v>0.35</v>
      </c>
      <c r="S774">
        <f t="shared" ca="1" si="94"/>
        <v>170.83320695966984</v>
      </c>
      <c r="T774" s="61">
        <f t="shared" ca="1" si="95"/>
        <v>16800</v>
      </c>
      <c r="U774" s="61">
        <f t="shared" ca="1" si="96"/>
        <v>6833.2676190283164</v>
      </c>
      <c r="V774" s="39">
        <f t="shared" ca="1" si="97"/>
        <v>4.4955708019923137E-2</v>
      </c>
      <c r="W774" s="48">
        <f t="shared" ca="1" si="98"/>
        <v>0.42858158630569942</v>
      </c>
    </row>
    <row r="775" spans="17:23" x14ac:dyDescent="0.2">
      <c r="Q775">
        <f t="shared" si="92"/>
        <v>759</v>
      </c>
      <c r="R775" s="48">
        <f t="shared" ca="1" si="93"/>
        <v>0.35</v>
      </c>
      <c r="S775">
        <f t="shared" ca="1" si="94"/>
        <v>167.80934457639532</v>
      </c>
      <c r="T775" s="61">
        <f t="shared" ca="1" si="95"/>
        <v>16800</v>
      </c>
      <c r="U775" s="61">
        <f t="shared" ca="1" si="96"/>
        <v>5260.8591797255649</v>
      </c>
      <c r="V775" s="39">
        <f t="shared" ca="1" si="97"/>
        <v>3.4610915656089244E-2</v>
      </c>
      <c r="W775" s="48">
        <f t="shared" ca="1" si="98"/>
        <v>0.3178268265089057</v>
      </c>
    </row>
    <row r="776" spans="17:23" x14ac:dyDescent="0.2">
      <c r="Q776">
        <f t="shared" si="92"/>
        <v>760</v>
      </c>
      <c r="R776" s="48">
        <f t="shared" ca="1" si="93"/>
        <v>0.35</v>
      </c>
      <c r="S776">
        <f t="shared" ca="1" si="94"/>
        <v>193.78438405184249</v>
      </c>
      <c r="T776" s="61">
        <f t="shared" ca="1" si="95"/>
        <v>16800</v>
      </c>
      <c r="U776" s="61">
        <f t="shared" ca="1" si="96"/>
        <v>18767.879706958098</v>
      </c>
      <c r="V776" s="39">
        <f t="shared" ca="1" si="97"/>
        <v>0.12347289280893485</v>
      </c>
      <c r="W776" s="48">
        <f t="shared" ca="1" si="98"/>
        <v>1.5710993120038048</v>
      </c>
    </row>
    <row r="777" spans="17:23" x14ac:dyDescent="0.2">
      <c r="Q777">
        <f t="shared" si="92"/>
        <v>761</v>
      </c>
      <c r="R777" s="48">
        <f t="shared" ca="1" si="93"/>
        <v>0.35</v>
      </c>
      <c r="S777">
        <f t="shared" ca="1" si="94"/>
        <v>162.6538833378907</v>
      </c>
      <c r="T777" s="61">
        <f t="shared" ca="1" si="95"/>
        <v>16800</v>
      </c>
      <c r="U777" s="61">
        <f t="shared" ca="1" si="96"/>
        <v>2580.0193357031658</v>
      </c>
      <c r="V777" s="39">
        <f t="shared" ca="1" si="97"/>
        <v>1.6973811419099774E-2</v>
      </c>
      <c r="W777" s="48">
        <f t="shared" ca="1" si="98"/>
        <v>0.14627904006478132</v>
      </c>
    </row>
    <row r="778" spans="17:23" x14ac:dyDescent="0.2">
      <c r="Q778">
        <f t="shared" si="92"/>
        <v>762</v>
      </c>
      <c r="R778" s="48">
        <f t="shared" ca="1" si="93"/>
        <v>0.45</v>
      </c>
      <c r="S778">
        <f t="shared" ca="1" si="94"/>
        <v>190.96369096492396</v>
      </c>
      <c r="T778" s="61">
        <f t="shared" ca="1" si="95"/>
        <v>21600</v>
      </c>
      <c r="U778" s="61">
        <f t="shared" ca="1" si="96"/>
        <v>22024.024024566541</v>
      </c>
      <c r="V778" s="39">
        <f t="shared" ca="1" si="97"/>
        <v>0.14489489489846408</v>
      </c>
      <c r="W778" s="48">
        <f t="shared" ca="1" si="98"/>
        <v>1.9967772562271118</v>
      </c>
    </row>
    <row r="779" spans="17:23" x14ac:dyDescent="0.2">
      <c r="Q779">
        <f t="shared" si="92"/>
        <v>763</v>
      </c>
      <c r="R779" s="48">
        <f t="shared" ca="1" si="93"/>
        <v>0.35</v>
      </c>
      <c r="S779">
        <f t="shared" ca="1" si="94"/>
        <v>193.91684756507829</v>
      </c>
      <c r="T779" s="61">
        <f t="shared" ca="1" si="95"/>
        <v>16800</v>
      </c>
      <c r="U779" s="61">
        <f t="shared" ca="1" si="96"/>
        <v>18836.760733840707</v>
      </c>
      <c r="V779" s="39">
        <f t="shared" ca="1" si="97"/>
        <v>0.12392605745947834</v>
      </c>
      <c r="W779" s="48">
        <f t="shared" ca="1" si="98"/>
        <v>1.5795232574803162</v>
      </c>
    </row>
    <row r="780" spans="17:23" x14ac:dyDescent="0.2">
      <c r="Q780">
        <f t="shared" si="92"/>
        <v>764</v>
      </c>
      <c r="R780" s="48">
        <f t="shared" ca="1" si="93"/>
        <v>0.4</v>
      </c>
      <c r="S780">
        <f t="shared" ca="1" si="94"/>
        <v>210.9788015980622</v>
      </c>
      <c r="T780" s="61">
        <f t="shared" ca="1" si="95"/>
        <v>19200</v>
      </c>
      <c r="U780" s="61">
        <f t="shared" ca="1" si="96"/>
        <v>29269.824767069858</v>
      </c>
      <c r="V780" s="39">
        <f t="shared" ca="1" si="97"/>
        <v>0.19256463662545958</v>
      </c>
      <c r="W780" s="48">
        <f t="shared" ca="1" si="98"/>
        <v>3.1720874950895466</v>
      </c>
    </row>
    <row r="781" spans="17:23" x14ac:dyDescent="0.2">
      <c r="Q781">
        <f t="shared" si="92"/>
        <v>765</v>
      </c>
      <c r="R781" s="48">
        <f t="shared" ca="1" si="93"/>
        <v>0.3</v>
      </c>
      <c r="S781">
        <f t="shared" ca="1" si="94"/>
        <v>184.62239456184292</v>
      </c>
      <c r="T781" s="61">
        <f t="shared" ca="1" si="95"/>
        <v>14400</v>
      </c>
      <c r="U781" s="61">
        <f t="shared" ca="1" si="96"/>
        <v>11388.540954632037</v>
      </c>
      <c r="V781" s="39">
        <f t="shared" ca="1" si="97"/>
        <v>7.4924611543631822E-2</v>
      </c>
      <c r="W781" s="48">
        <f t="shared" ca="1" si="98"/>
        <v>0.79684451499843911</v>
      </c>
    </row>
    <row r="782" spans="17:23" x14ac:dyDescent="0.2">
      <c r="Q782">
        <f t="shared" si="92"/>
        <v>766</v>
      </c>
      <c r="R782" s="48">
        <f t="shared" ca="1" si="93"/>
        <v>0.5</v>
      </c>
      <c r="S782">
        <f t="shared" ca="1" si="94"/>
        <v>203.61783650178069</v>
      </c>
      <c r="T782" s="61">
        <f t="shared" ca="1" si="95"/>
        <v>24000</v>
      </c>
      <c r="U782" s="61">
        <f t="shared" ca="1" si="96"/>
        <v>29447.134600712274</v>
      </c>
      <c r="V782" s="39">
        <f t="shared" ca="1" si="97"/>
        <v>0.19373114868889654</v>
      </c>
      <c r="W782" s="48">
        <f t="shared" ca="1" si="98"/>
        <v>3.2053038424061375</v>
      </c>
    </row>
    <row r="783" spans="17:23" x14ac:dyDescent="0.2">
      <c r="Q783">
        <f t="shared" si="92"/>
        <v>767</v>
      </c>
      <c r="R783" s="48">
        <f t="shared" ca="1" si="93"/>
        <v>0.45</v>
      </c>
      <c r="S783">
        <f t="shared" ca="1" si="94"/>
        <v>184.60084588056799</v>
      </c>
      <c r="T783" s="61">
        <f t="shared" ca="1" si="95"/>
        <v>21600</v>
      </c>
      <c r="U783" s="61">
        <f t="shared" ca="1" si="96"/>
        <v>19224.372187449913</v>
      </c>
      <c r="V783" s="39">
        <f t="shared" ca="1" si="97"/>
        <v>0.12647613281217049</v>
      </c>
      <c r="W783" s="48">
        <f t="shared" ca="1" si="98"/>
        <v>1.6273797279422135</v>
      </c>
    </row>
    <row r="784" spans="17:23" x14ac:dyDescent="0.2">
      <c r="Q784">
        <f t="shared" si="92"/>
        <v>768</v>
      </c>
      <c r="R784" s="48">
        <f t="shared" ca="1" si="93"/>
        <v>0.4</v>
      </c>
      <c r="S784">
        <f t="shared" ca="1" si="94"/>
        <v>185.21788984423119</v>
      </c>
      <c r="T784" s="61">
        <f t="shared" ca="1" si="95"/>
        <v>19200</v>
      </c>
      <c r="U784" s="61">
        <f t="shared" ca="1" si="96"/>
        <v>16904.587125230973</v>
      </c>
      <c r="V784" s="39">
        <f t="shared" ca="1" si="97"/>
        <v>0.11121438898178272</v>
      </c>
      <c r="W784" s="48">
        <f t="shared" ca="1" si="98"/>
        <v>1.3521851393389746</v>
      </c>
    </row>
    <row r="785" spans="17:23" x14ac:dyDescent="0.2">
      <c r="Q785">
        <f t="shared" si="92"/>
        <v>769</v>
      </c>
      <c r="R785" s="48">
        <f t="shared" ca="1" si="93"/>
        <v>0.3</v>
      </c>
      <c r="S785">
        <f t="shared" ca="1" si="94"/>
        <v>140.04455792506511</v>
      </c>
      <c r="T785" s="61">
        <f t="shared" ca="1" si="95"/>
        <v>14400</v>
      </c>
      <c r="U785" s="61">
        <f t="shared" ca="1" si="96"/>
        <v>-13575.04756196354</v>
      </c>
      <c r="V785" s="39">
        <f t="shared" ca="1" si="97"/>
        <v>-8.9309523433970653E-2</v>
      </c>
      <c r="W785" s="48">
        <f t="shared" ca="1" si="98"/>
        <v>-0.53177779696335448</v>
      </c>
    </row>
    <row r="786" spans="17:23" x14ac:dyDescent="0.2">
      <c r="Q786">
        <f t="shared" si="92"/>
        <v>770</v>
      </c>
      <c r="R786" s="48">
        <f t="shared" ca="1" si="93"/>
        <v>0.35</v>
      </c>
      <c r="S786">
        <f t="shared" ca="1" si="94"/>
        <v>171.37350576014788</v>
      </c>
      <c r="T786" s="61">
        <f t="shared" ca="1" si="95"/>
        <v>16800</v>
      </c>
      <c r="U786" s="61">
        <f t="shared" ca="1" si="96"/>
        <v>7114.2229952768976</v>
      </c>
      <c r="V786" s="39">
        <f t="shared" ca="1" si="97"/>
        <v>4.6804098653137484E-2</v>
      </c>
      <c r="W786" s="48">
        <f t="shared" ca="1" si="98"/>
        <v>0.44920753527164137</v>
      </c>
    </row>
    <row r="787" spans="17:23" x14ac:dyDescent="0.2">
      <c r="Q787">
        <f t="shared" ref="Q787:Q850" si="99">Q786+1</f>
        <v>771</v>
      </c>
      <c r="R787" s="48">
        <f t="shared" ref="R787:R850" ca="1" si="100">LOOKUP(RAND(),$U$6:$U$12,$S$6:$S$12)</f>
        <v>0.45</v>
      </c>
      <c r="S787">
        <f t="shared" ref="S787:S850" ca="1" si="101">_xlfn.NORM.INV(RAND(),$Q$5,$Q$10)</f>
        <v>176.79834069114779</v>
      </c>
      <c r="T787" s="61">
        <f t="shared" ref="T787:T850" ca="1" si="102">($B$8-$B$7)*($E$6*R787)</f>
        <v>21600</v>
      </c>
      <c r="U787" s="61">
        <f t="shared" ref="U787:U850" ca="1" si="103">T787+((S787-$B$7)*($E$6*(1-R787)))</f>
        <v>15791.269904105025</v>
      </c>
      <c r="V787" s="39">
        <f t="shared" ref="V787:V850" ca="1" si="104">U787/$E$4</f>
        <v>0.10388993357963833</v>
      </c>
      <c r="W787" s="48">
        <f t="shared" ref="W787:W850" ca="1" si="105">(1+V787)^($J$29/$J$30)-1</f>
        <v>1.2293369507780976</v>
      </c>
    </row>
    <row r="788" spans="17:23" x14ac:dyDescent="0.2">
      <c r="Q788">
        <f t="shared" si="99"/>
        <v>772</v>
      </c>
      <c r="R788" s="48">
        <f t="shared" ca="1" si="100"/>
        <v>0.217</v>
      </c>
      <c r="S788">
        <f t="shared" ca="1" si="101"/>
        <v>210.03313641676758</v>
      </c>
      <c r="T788" s="61">
        <f t="shared" ca="1" si="102"/>
        <v>10416</v>
      </c>
      <c r="U788" s="61">
        <f t="shared" ca="1" si="103"/>
        <v>22964.756651463209</v>
      </c>
      <c r="V788" s="39">
        <f t="shared" ca="1" si="104"/>
        <v>0.15108392533857373</v>
      </c>
      <c r="W788" s="48">
        <f t="shared" ca="1" si="105"/>
        <v>2.1307297374358058</v>
      </c>
    </row>
    <row r="789" spans="17:23" x14ac:dyDescent="0.2">
      <c r="Q789">
        <f t="shared" si="99"/>
        <v>773</v>
      </c>
      <c r="R789" s="48">
        <f t="shared" ca="1" si="100"/>
        <v>0.4</v>
      </c>
      <c r="S789">
        <f t="shared" ca="1" si="101"/>
        <v>173.80240305833863</v>
      </c>
      <c r="T789" s="61">
        <f t="shared" ca="1" si="102"/>
        <v>19200</v>
      </c>
      <c r="U789" s="61">
        <f t="shared" ca="1" si="103"/>
        <v>11425.15346800254</v>
      </c>
      <c r="V789" s="39">
        <f t="shared" ca="1" si="104"/>
        <v>7.5165483342121975E-2</v>
      </c>
      <c r="W789" s="48">
        <f t="shared" ca="1" si="105"/>
        <v>0.80011298750808524</v>
      </c>
    </row>
    <row r="790" spans="17:23" x14ac:dyDescent="0.2">
      <c r="Q790">
        <f t="shared" si="99"/>
        <v>774</v>
      </c>
      <c r="R790" s="48">
        <f t="shared" ca="1" si="100"/>
        <v>0.35</v>
      </c>
      <c r="S790">
        <f t="shared" ca="1" si="101"/>
        <v>189.12095546004579</v>
      </c>
      <c r="T790" s="61">
        <f t="shared" ca="1" si="102"/>
        <v>16800</v>
      </c>
      <c r="U790" s="61">
        <f t="shared" ca="1" si="103"/>
        <v>16342.896839223811</v>
      </c>
      <c r="V790" s="39">
        <f t="shared" ca="1" si="104"/>
        <v>0.10751905815278823</v>
      </c>
      <c r="W790" s="48">
        <f t="shared" ca="1" si="105"/>
        <v>1.2894838180918926</v>
      </c>
    </row>
    <row r="791" spans="17:23" x14ac:dyDescent="0.2">
      <c r="Q791">
        <f t="shared" si="99"/>
        <v>775</v>
      </c>
      <c r="R791" s="48">
        <f t="shared" ca="1" si="100"/>
        <v>0.35</v>
      </c>
      <c r="S791">
        <f t="shared" ca="1" si="101"/>
        <v>190.18705499062676</v>
      </c>
      <c r="T791" s="61">
        <f t="shared" ca="1" si="102"/>
        <v>16800</v>
      </c>
      <c r="U791" s="61">
        <f t="shared" ca="1" si="103"/>
        <v>16897.268595125915</v>
      </c>
      <c r="V791" s="39">
        <f t="shared" ca="1" si="104"/>
        <v>0.11116624075740734</v>
      </c>
      <c r="W791" s="48">
        <f t="shared" ca="1" si="105"/>
        <v>1.3513585926981579</v>
      </c>
    </row>
    <row r="792" spans="17:23" x14ac:dyDescent="0.2">
      <c r="Q792">
        <f t="shared" si="99"/>
        <v>776</v>
      </c>
      <c r="R792" s="48">
        <f t="shared" ca="1" si="100"/>
        <v>0.35</v>
      </c>
      <c r="S792">
        <f t="shared" ca="1" si="101"/>
        <v>184.58789651282632</v>
      </c>
      <c r="T792" s="61">
        <f t="shared" ca="1" si="102"/>
        <v>16800</v>
      </c>
      <c r="U792" s="61">
        <f t="shared" ca="1" si="103"/>
        <v>13985.706186669686</v>
      </c>
      <c r="V792" s="39">
        <f t="shared" ca="1" si="104"/>
        <v>9.2011224912300571E-2</v>
      </c>
      <c r="W792" s="48">
        <f t="shared" ca="1" si="105"/>
        <v>1.0420401475555452</v>
      </c>
    </row>
    <row r="793" spans="17:23" x14ac:dyDescent="0.2">
      <c r="Q793">
        <f t="shared" si="99"/>
        <v>777</v>
      </c>
      <c r="R793" s="48">
        <f t="shared" ca="1" si="100"/>
        <v>0.35</v>
      </c>
      <c r="S793">
        <f t="shared" ca="1" si="101"/>
        <v>207.02828534118098</v>
      </c>
      <c r="T793" s="61">
        <f t="shared" ca="1" si="102"/>
        <v>16800</v>
      </c>
      <c r="U793" s="61">
        <f t="shared" ca="1" si="103"/>
        <v>25654.708377414107</v>
      </c>
      <c r="V793" s="39">
        <f t="shared" ca="1" si="104"/>
        <v>0.16878097616719806</v>
      </c>
      <c r="W793" s="48">
        <f t="shared" ca="1" si="105"/>
        <v>2.5431617329085801</v>
      </c>
    </row>
    <row r="794" spans="17:23" x14ac:dyDescent="0.2">
      <c r="Q794">
        <f t="shared" si="99"/>
        <v>778</v>
      </c>
      <c r="R794" s="48">
        <f t="shared" ca="1" si="100"/>
        <v>0.35</v>
      </c>
      <c r="S794">
        <f t="shared" ca="1" si="101"/>
        <v>196.52314751046563</v>
      </c>
      <c r="T794" s="61">
        <f t="shared" ca="1" si="102"/>
        <v>16800</v>
      </c>
      <c r="U794" s="61">
        <f t="shared" ca="1" si="103"/>
        <v>20192.036705442129</v>
      </c>
      <c r="V794" s="39">
        <f t="shared" ca="1" si="104"/>
        <v>0.1328423467463298</v>
      </c>
      <c r="W794" s="48">
        <f t="shared" ca="1" si="105"/>
        <v>1.7502655606520681</v>
      </c>
    </row>
    <row r="795" spans="17:23" x14ac:dyDescent="0.2">
      <c r="Q795">
        <f t="shared" si="99"/>
        <v>779</v>
      </c>
      <c r="R795" s="48">
        <f t="shared" ca="1" si="100"/>
        <v>0.4</v>
      </c>
      <c r="S795">
        <f t="shared" ca="1" si="101"/>
        <v>176.72317635430835</v>
      </c>
      <c r="T795" s="61">
        <f t="shared" ca="1" si="102"/>
        <v>19200</v>
      </c>
      <c r="U795" s="61">
        <f t="shared" ca="1" si="103"/>
        <v>12827.124650068008</v>
      </c>
      <c r="V795" s="39">
        <f t="shared" ca="1" si="104"/>
        <v>8.4388977960973735E-2</v>
      </c>
      <c r="W795" s="48">
        <f t="shared" ca="1" si="105"/>
        <v>0.92925756581132535</v>
      </c>
    </row>
    <row r="796" spans="17:23" x14ac:dyDescent="0.2">
      <c r="Q796">
        <f t="shared" si="99"/>
        <v>780</v>
      </c>
      <c r="R796" s="48">
        <f t="shared" ca="1" si="100"/>
        <v>0.45</v>
      </c>
      <c r="S796">
        <f t="shared" ca="1" si="101"/>
        <v>163.2786299349462</v>
      </c>
      <c r="T796" s="61">
        <f t="shared" ca="1" si="102"/>
        <v>21600</v>
      </c>
      <c r="U796" s="61">
        <f t="shared" ca="1" si="103"/>
        <v>9842.5971713763247</v>
      </c>
      <c r="V796" s="39">
        <f t="shared" ca="1" si="104"/>
        <v>6.4753928759054766E-2</v>
      </c>
      <c r="W796" s="48">
        <f t="shared" ca="1" si="105"/>
        <v>0.66349578333104575</v>
      </c>
    </row>
    <row r="797" spans="17:23" x14ac:dyDescent="0.2">
      <c r="Q797">
        <f t="shared" si="99"/>
        <v>781</v>
      </c>
      <c r="R797" s="48">
        <f t="shared" ca="1" si="100"/>
        <v>0.35</v>
      </c>
      <c r="S797">
        <f t="shared" ca="1" si="101"/>
        <v>204.98435711549536</v>
      </c>
      <c r="T797" s="61">
        <f t="shared" ca="1" si="102"/>
        <v>16800</v>
      </c>
      <c r="U797" s="61">
        <f t="shared" ca="1" si="103"/>
        <v>24591.865700057584</v>
      </c>
      <c r="V797" s="39">
        <f t="shared" ca="1" si="104"/>
        <v>0.16178859013195779</v>
      </c>
      <c r="W797" s="48">
        <f t="shared" ca="1" si="105"/>
        <v>2.3748401020235645</v>
      </c>
    </row>
    <row r="798" spans="17:23" x14ac:dyDescent="0.2">
      <c r="Q798">
        <f t="shared" si="99"/>
        <v>782</v>
      </c>
      <c r="R798" s="48">
        <f t="shared" ca="1" si="100"/>
        <v>0.35</v>
      </c>
      <c r="S798">
        <f t="shared" ca="1" si="101"/>
        <v>190.39660892443294</v>
      </c>
      <c r="T798" s="61">
        <f t="shared" ca="1" si="102"/>
        <v>16800</v>
      </c>
      <c r="U798" s="61">
        <f t="shared" ca="1" si="103"/>
        <v>17006.23664070513</v>
      </c>
      <c r="V798" s="39">
        <f t="shared" ca="1" si="104"/>
        <v>0.1118831357941127</v>
      </c>
      <c r="W798" s="48">
        <f t="shared" ca="1" si="105"/>
        <v>1.3636916903013283</v>
      </c>
    </row>
    <row r="799" spans="17:23" x14ac:dyDescent="0.2">
      <c r="Q799">
        <f t="shared" si="99"/>
        <v>783</v>
      </c>
      <c r="R799" s="48">
        <f t="shared" ca="1" si="100"/>
        <v>0.4</v>
      </c>
      <c r="S799">
        <f t="shared" ca="1" si="101"/>
        <v>199.98082486127629</v>
      </c>
      <c r="T799" s="61">
        <f t="shared" ca="1" si="102"/>
        <v>19200</v>
      </c>
      <c r="U799" s="61">
        <f t="shared" ca="1" si="103"/>
        <v>23990.795933412621</v>
      </c>
      <c r="V799" s="39">
        <f t="shared" ca="1" si="104"/>
        <v>0.15783418377245145</v>
      </c>
      <c r="W799" s="48">
        <f t="shared" ca="1" si="105"/>
        <v>2.282787404803281</v>
      </c>
    </row>
    <row r="800" spans="17:23" x14ac:dyDescent="0.2">
      <c r="Q800">
        <f t="shared" si="99"/>
        <v>784</v>
      </c>
      <c r="R800" s="48">
        <f t="shared" ca="1" si="100"/>
        <v>0.3</v>
      </c>
      <c r="S800">
        <f t="shared" ca="1" si="101"/>
        <v>167.23733891719735</v>
      </c>
      <c r="T800" s="61">
        <f t="shared" ca="1" si="102"/>
        <v>14400</v>
      </c>
      <c r="U800" s="61">
        <f t="shared" ca="1" si="103"/>
        <v>1652.9097936305152</v>
      </c>
      <c r="V800" s="39">
        <f t="shared" ca="1" si="104"/>
        <v>1.0874406537042863E-2</v>
      </c>
      <c r="W800" s="48">
        <f t="shared" ca="1" si="105"/>
        <v>9.1690473405540152E-2</v>
      </c>
    </row>
    <row r="801" spans="17:23" x14ac:dyDescent="0.2">
      <c r="Q801">
        <f t="shared" si="99"/>
        <v>785</v>
      </c>
      <c r="R801" s="48">
        <f t="shared" ca="1" si="100"/>
        <v>0.35</v>
      </c>
      <c r="S801">
        <f t="shared" ca="1" si="101"/>
        <v>180.70710537278899</v>
      </c>
      <c r="T801" s="61">
        <f t="shared" ca="1" si="102"/>
        <v>16800</v>
      </c>
      <c r="U801" s="61">
        <f t="shared" ca="1" si="103"/>
        <v>11967.694793850274</v>
      </c>
      <c r="V801" s="39">
        <f t="shared" ca="1" si="104"/>
        <v>7.8734834170067589E-2</v>
      </c>
      <c r="W801" s="48">
        <f t="shared" ca="1" si="105"/>
        <v>0.8491613764373549</v>
      </c>
    </row>
    <row r="802" spans="17:23" x14ac:dyDescent="0.2">
      <c r="Q802">
        <f t="shared" si="99"/>
        <v>786</v>
      </c>
      <c r="R802" s="48">
        <f t="shared" ca="1" si="100"/>
        <v>0.45</v>
      </c>
      <c r="S802">
        <f t="shared" ca="1" si="101"/>
        <v>187.09299140930176</v>
      </c>
      <c r="T802" s="61">
        <f t="shared" ca="1" si="102"/>
        <v>21600</v>
      </c>
      <c r="U802" s="61">
        <f t="shared" ca="1" si="103"/>
        <v>20320.916220092775</v>
      </c>
      <c r="V802" s="39">
        <f t="shared" ca="1" si="104"/>
        <v>0.13369023829008406</v>
      </c>
      <c r="W802" s="48">
        <f t="shared" ca="1" si="105"/>
        <v>1.7670065754670579</v>
      </c>
    </row>
    <row r="803" spans="17:23" x14ac:dyDescent="0.2">
      <c r="Q803">
        <f t="shared" si="99"/>
        <v>787</v>
      </c>
      <c r="R803" s="48">
        <f t="shared" ca="1" si="100"/>
        <v>0.3</v>
      </c>
      <c r="S803">
        <f t="shared" ca="1" si="101"/>
        <v>166.00899017867792</v>
      </c>
      <c r="T803" s="61">
        <f t="shared" ca="1" si="102"/>
        <v>14400</v>
      </c>
      <c r="U803" s="61">
        <f t="shared" ca="1" si="103"/>
        <v>965.03450005963532</v>
      </c>
      <c r="V803" s="39">
        <f t="shared" ca="1" si="104"/>
        <v>6.3489111846028639E-3</v>
      </c>
      <c r="W803" s="48">
        <f t="shared" ca="1" si="105"/>
        <v>5.2674363232788401E-2</v>
      </c>
    </row>
    <row r="804" spans="17:23" x14ac:dyDescent="0.2">
      <c r="Q804">
        <f t="shared" si="99"/>
        <v>788</v>
      </c>
      <c r="R804" s="48">
        <f t="shared" ca="1" si="100"/>
        <v>0.45</v>
      </c>
      <c r="S804">
        <f t="shared" ca="1" si="101"/>
        <v>169.92521037613605</v>
      </c>
      <c r="T804" s="61">
        <f t="shared" ca="1" si="102"/>
        <v>21600</v>
      </c>
      <c r="U804" s="61">
        <f t="shared" ca="1" si="103"/>
        <v>12767.092565499861</v>
      </c>
      <c r="V804" s="39">
        <f t="shared" ca="1" si="104"/>
        <v>8.399403003618329E-2</v>
      </c>
      <c r="W804" s="48">
        <f t="shared" ca="1" si="105"/>
        <v>0.92356559117880521</v>
      </c>
    </row>
    <row r="805" spans="17:23" x14ac:dyDescent="0.2">
      <c r="Q805">
        <f t="shared" si="99"/>
        <v>789</v>
      </c>
      <c r="R805" s="48">
        <f t="shared" ca="1" si="100"/>
        <v>0.217</v>
      </c>
      <c r="S805">
        <f t="shared" ca="1" si="101"/>
        <v>176.64670536056946</v>
      </c>
      <c r="T805" s="61">
        <f t="shared" ca="1" si="102"/>
        <v>10416</v>
      </c>
      <c r="U805" s="61">
        <f t="shared" ca="1" si="103"/>
        <v>2051.496237860707</v>
      </c>
      <c r="V805" s="39">
        <f t="shared" ca="1" si="104"/>
        <v>1.3496685775399388E-2</v>
      </c>
      <c r="W805" s="48">
        <f t="shared" ca="1" si="105"/>
        <v>0.1148734898733681</v>
      </c>
    </row>
    <row r="806" spans="17:23" x14ac:dyDescent="0.2">
      <c r="Q806">
        <f t="shared" si="99"/>
        <v>790</v>
      </c>
      <c r="R806" s="48">
        <f t="shared" ca="1" si="100"/>
        <v>0.4</v>
      </c>
      <c r="S806">
        <f t="shared" ca="1" si="101"/>
        <v>211.47038319388304</v>
      </c>
      <c r="T806" s="61">
        <f t="shared" ca="1" si="102"/>
        <v>19200</v>
      </c>
      <c r="U806" s="61">
        <f t="shared" ca="1" si="103"/>
        <v>29505.78393306386</v>
      </c>
      <c r="V806" s="39">
        <f t="shared" ca="1" si="104"/>
        <v>0.19411699955963066</v>
      </c>
      <c r="W806" s="48">
        <f t="shared" ca="1" si="105"/>
        <v>3.2163418287024488</v>
      </c>
    </row>
    <row r="807" spans="17:23" x14ac:dyDescent="0.2">
      <c r="Q807">
        <f t="shared" si="99"/>
        <v>791</v>
      </c>
      <c r="R807" s="48">
        <f t="shared" ca="1" si="100"/>
        <v>0.35</v>
      </c>
      <c r="S807">
        <f t="shared" ca="1" si="101"/>
        <v>180.30522752612282</v>
      </c>
      <c r="T807" s="61">
        <f t="shared" ca="1" si="102"/>
        <v>16800</v>
      </c>
      <c r="U807" s="61">
        <f t="shared" ca="1" si="103"/>
        <v>11758.718313583868</v>
      </c>
      <c r="V807" s="39">
        <f t="shared" ca="1" si="104"/>
        <v>7.7359988905157023E-2</v>
      </c>
      <c r="W807" s="48">
        <f t="shared" ca="1" si="105"/>
        <v>0.83013189696187228</v>
      </c>
    </row>
    <row r="808" spans="17:23" x14ac:dyDescent="0.2">
      <c r="Q808">
        <f t="shared" si="99"/>
        <v>792</v>
      </c>
      <c r="R808" s="48">
        <f t="shared" ca="1" si="100"/>
        <v>0.217</v>
      </c>
      <c r="S808">
        <f t="shared" ca="1" si="101"/>
        <v>175.52145788055265</v>
      </c>
      <c r="T808" s="61">
        <f t="shared" ca="1" si="102"/>
        <v>10416</v>
      </c>
      <c r="U808" s="61">
        <f t="shared" ca="1" si="103"/>
        <v>1346.641216378177</v>
      </c>
      <c r="V808" s="39">
        <f t="shared" ca="1" si="104"/>
        <v>8.859481686698532E-3</v>
      </c>
      <c r="W808" s="48">
        <f t="shared" ca="1" si="105"/>
        <v>7.4165182869221136E-2</v>
      </c>
    </row>
    <row r="809" spans="17:23" x14ac:dyDescent="0.2">
      <c r="Q809">
        <f t="shared" si="99"/>
        <v>793</v>
      </c>
      <c r="R809" s="48">
        <f t="shared" ca="1" si="100"/>
        <v>0.4</v>
      </c>
      <c r="S809">
        <f t="shared" ca="1" si="101"/>
        <v>212.47259067663424</v>
      </c>
      <c r="T809" s="61">
        <f t="shared" ca="1" si="102"/>
        <v>19200</v>
      </c>
      <c r="U809" s="61">
        <f t="shared" ca="1" si="103"/>
        <v>29986.843524784435</v>
      </c>
      <c r="V809" s="39">
        <f t="shared" ca="1" si="104"/>
        <v>0.19728186529463446</v>
      </c>
      <c r="W809" s="48">
        <f t="shared" ca="1" si="105"/>
        <v>3.307841594251232</v>
      </c>
    </row>
    <row r="810" spans="17:23" x14ac:dyDescent="0.2">
      <c r="Q810">
        <f t="shared" si="99"/>
        <v>794</v>
      </c>
      <c r="R810" s="48">
        <f t="shared" ca="1" si="100"/>
        <v>0.217</v>
      </c>
      <c r="S810">
        <f t="shared" ca="1" si="101"/>
        <v>179.97832281615763</v>
      </c>
      <c r="T810" s="61">
        <f t="shared" ca="1" si="102"/>
        <v>10416</v>
      </c>
      <c r="U810" s="61">
        <f t="shared" ca="1" si="103"/>
        <v>4138.4214120411389</v>
      </c>
      <c r="V810" s="39">
        <f t="shared" ca="1" si="104"/>
        <v>2.7226456658165386E-2</v>
      </c>
      <c r="W810" s="48">
        <f t="shared" ca="1" si="105"/>
        <v>0.24344280733332391</v>
      </c>
    </row>
    <row r="811" spans="17:23" x14ac:dyDescent="0.2">
      <c r="Q811">
        <f t="shared" si="99"/>
        <v>795</v>
      </c>
      <c r="R811" s="48">
        <f t="shared" ca="1" si="100"/>
        <v>0.4</v>
      </c>
      <c r="S811">
        <f t="shared" ca="1" si="101"/>
        <v>193.77732801808244</v>
      </c>
      <c r="T811" s="61">
        <f t="shared" ca="1" si="102"/>
        <v>19200</v>
      </c>
      <c r="U811" s="61">
        <f t="shared" ca="1" si="103"/>
        <v>21013.117448679572</v>
      </c>
      <c r="V811" s="39">
        <f t="shared" ca="1" si="104"/>
        <v>0.13824419374131297</v>
      </c>
      <c r="W811" s="48">
        <f t="shared" ca="1" si="105"/>
        <v>1.8584587647294404</v>
      </c>
    </row>
    <row r="812" spans="17:23" x14ac:dyDescent="0.2">
      <c r="Q812">
        <f t="shared" si="99"/>
        <v>796</v>
      </c>
      <c r="R812" s="48">
        <f t="shared" ca="1" si="100"/>
        <v>0.35</v>
      </c>
      <c r="S812">
        <f t="shared" ca="1" si="101"/>
        <v>207.28492484920835</v>
      </c>
      <c r="T812" s="61">
        <f t="shared" ca="1" si="102"/>
        <v>16800</v>
      </c>
      <c r="U812" s="61">
        <f t="shared" ca="1" si="103"/>
        <v>25788.160921588344</v>
      </c>
      <c r="V812" s="39">
        <f t="shared" ca="1" si="104"/>
        <v>0.16965895343150225</v>
      </c>
      <c r="W812" s="48">
        <f t="shared" ca="1" si="105"/>
        <v>2.5648079318631316</v>
      </c>
    </row>
    <row r="813" spans="17:23" x14ac:dyDescent="0.2">
      <c r="Q813">
        <f t="shared" si="99"/>
        <v>797</v>
      </c>
      <c r="R813" s="48">
        <f t="shared" ca="1" si="100"/>
        <v>0.35</v>
      </c>
      <c r="S813">
        <f t="shared" ca="1" si="101"/>
        <v>183.3814352892104</v>
      </c>
      <c r="T813" s="61">
        <f t="shared" ca="1" si="102"/>
        <v>16800</v>
      </c>
      <c r="U813" s="61">
        <f t="shared" ca="1" si="103"/>
        <v>13358.346350389409</v>
      </c>
      <c r="V813" s="39">
        <f t="shared" ca="1" si="104"/>
        <v>8.7883857568351376E-2</v>
      </c>
      <c r="W813" s="48">
        <f t="shared" ca="1" si="105"/>
        <v>0.98027263673603149</v>
      </c>
    </row>
    <row r="814" spans="17:23" x14ac:dyDescent="0.2">
      <c r="Q814">
        <f t="shared" si="99"/>
        <v>798</v>
      </c>
      <c r="R814" s="48">
        <f t="shared" ca="1" si="100"/>
        <v>0.3</v>
      </c>
      <c r="S814">
        <f t="shared" ca="1" si="101"/>
        <v>197.78525893262341</v>
      </c>
      <c r="T814" s="61">
        <f t="shared" ca="1" si="102"/>
        <v>14400</v>
      </c>
      <c r="U814" s="61">
        <f t="shared" ca="1" si="103"/>
        <v>18759.745002269108</v>
      </c>
      <c r="V814" s="39">
        <f t="shared" ca="1" si="104"/>
        <v>0.12341937501492835</v>
      </c>
      <c r="W814" s="48">
        <f t="shared" ca="1" si="105"/>
        <v>1.5701060558795019</v>
      </c>
    </row>
    <row r="815" spans="17:23" x14ac:dyDescent="0.2">
      <c r="Q815">
        <f t="shared" si="99"/>
        <v>799</v>
      </c>
      <c r="R815" s="48">
        <f t="shared" ca="1" si="100"/>
        <v>0.45</v>
      </c>
      <c r="S815">
        <f t="shared" ca="1" si="101"/>
        <v>181.61072250646683</v>
      </c>
      <c r="T815" s="61">
        <f t="shared" ca="1" si="102"/>
        <v>21600</v>
      </c>
      <c r="U815" s="61">
        <f t="shared" ca="1" si="103"/>
        <v>17908.717902845405</v>
      </c>
      <c r="V815" s="39">
        <f t="shared" ca="1" si="104"/>
        <v>0.11782051251871976</v>
      </c>
      <c r="W815" s="48">
        <f t="shared" ca="1" si="105"/>
        <v>1.4680347701590595</v>
      </c>
    </row>
    <row r="816" spans="17:23" x14ac:dyDescent="0.2">
      <c r="Q816">
        <f t="shared" si="99"/>
        <v>800</v>
      </c>
      <c r="R816" s="48">
        <f t="shared" ca="1" si="100"/>
        <v>0.15</v>
      </c>
      <c r="S816">
        <f t="shared" ca="1" si="101"/>
        <v>187.69596475041558</v>
      </c>
      <c r="T816" s="61">
        <f t="shared" ca="1" si="102"/>
        <v>7200</v>
      </c>
      <c r="U816" s="61">
        <f t="shared" ca="1" si="103"/>
        <v>5633.2560302825968</v>
      </c>
      <c r="V816" s="39">
        <f t="shared" ca="1" si="104"/>
        <v>3.7060894936069719E-2</v>
      </c>
      <c r="W816" s="48">
        <f t="shared" ca="1" si="105"/>
        <v>0.34335283348361023</v>
      </c>
    </row>
    <row r="817" spans="17:23" x14ac:dyDescent="0.2">
      <c r="Q817">
        <f t="shared" si="99"/>
        <v>801</v>
      </c>
      <c r="R817" s="48">
        <f t="shared" ca="1" si="100"/>
        <v>0.4</v>
      </c>
      <c r="S817">
        <f t="shared" ca="1" si="101"/>
        <v>172.41974409982822</v>
      </c>
      <c r="T817" s="61">
        <f t="shared" ca="1" si="102"/>
        <v>19200</v>
      </c>
      <c r="U817" s="61">
        <f t="shared" ca="1" si="103"/>
        <v>10761.477167917546</v>
      </c>
      <c r="V817" s="39">
        <f t="shared" ca="1" si="104"/>
        <v>7.0799191894194383E-2</v>
      </c>
      <c r="W817" s="48">
        <f t="shared" ca="1" si="105"/>
        <v>0.7416671912080377</v>
      </c>
    </row>
    <row r="818" spans="17:23" x14ac:dyDescent="0.2">
      <c r="Q818">
        <f t="shared" si="99"/>
        <v>802</v>
      </c>
      <c r="R818" s="48">
        <f t="shared" ca="1" si="100"/>
        <v>0.4</v>
      </c>
      <c r="S818">
        <f t="shared" ca="1" si="101"/>
        <v>214.44852449925469</v>
      </c>
      <c r="T818" s="61">
        <f t="shared" ca="1" si="102"/>
        <v>19200</v>
      </c>
      <c r="U818" s="61">
        <f t="shared" ca="1" si="103"/>
        <v>30935.291759642249</v>
      </c>
      <c r="V818" s="39">
        <f t="shared" ca="1" si="104"/>
        <v>0.20352165631343586</v>
      </c>
      <c r="W818" s="48">
        <f t="shared" ca="1" si="105"/>
        <v>3.4933536246964305</v>
      </c>
    </row>
    <row r="819" spans="17:23" x14ac:dyDescent="0.2">
      <c r="Q819">
        <f t="shared" si="99"/>
        <v>803</v>
      </c>
      <c r="R819" s="48">
        <f t="shared" ca="1" si="100"/>
        <v>0.15</v>
      </c>
      <c r="S819">
        <f t="shared" ca="1" si="101"/>
        <v>190.51238760178489</v>
      </c>
      <c r="T819" s="61">
        <f t="shared" ca="1" si="102"/>
        <v>7200</v>
      </c>
      <c r="U819" s="61">
        <f t="shared" ca="1" si="103"/>
        <v>7548.4235692137281</v>
      </c>
      <c r="V819" s="39">
        <f t="shared" ca="1" si="104"/>
        <v>4.9660681376406106E-2</v>
      </c>
      <c r="W819" s="48">
        <f t="shared" ca="1" si="105"/>
        <v>0.48159739637152921</v>
      </c>
    </row>
    <row r="820" spans="17:23" x14ac:dyDescent="0.2">
      <c r="Q820">
        <f t="shared" si="99"/>
        <v>804</v>
      </c>
      <c r="R820" s="48">
        <f t="shared" ca="1" si="100"/>
        <v>0.3</v>
      </c>
      <c r="S820">
        <f t="shared" ca="1" si="101"/>
        <v>189.65387652414887</v>
      </c>
      <c r="T820" s="61">
        <f t="shared" ca="1" si="102"/>
        <v>14400</v>
      </c>
      <c r="U820" s="61">
        <f t="shared" ca="1" si="103"/>
        <v>14206.170853523367</v>
      </c>
      <c r="V820" s="39">
        <f t="shared" ca="1" si="104"/>
        <v>9.3461650352127418E-2</v>
      </c>
      <c r="W820" s="48">
        <f t="shared" ca="1" si="105"/>
        <v>1.0641438289153902</v>
      </c>
    </row>
    <row r="821" spans="17:23" x14ac:dyDescent="0.2">
      <c r="Q821">
        <f t="shared" si="99"/>
        <v>805</v>
      </c>
      <c r="R821" s="48">
        <f t="shared" ca="1" si="100"/>
        <v>0.4</v>
      </c>
      <c r="S821">
        <f t="shared" ca="1" si="101"/>
        <v>212.68125155571357</v>
      </c>
      <c r="T821" s="61">
        <f t="shared" ca="1" si="102"/>
        <v>19200</v>
      </c>
      <c r="U821" s="61">
        <f t="shared" ca="1" si="103"/>
        <v>30087.000746742517</v>
      </c>
      <c r="V821" s="39">
        <f t="shared" ca="1" si="104"/>
        <v>0.19794079438646392</v>
      </c>
      <c r="W821" s="48">
        <f t="shared" ca="1" si="105"/>
        <v>3.3271094021919847</v>
      </c>
    </row>
    <row r="822" spans="17:23" x14ac:dyDescent="0.2">
      <c r="Q822">
        <f t="shared" si="99"/>
        <v>806</v>
      </c>
      <c r="R822" s="48">
        <f t="shared" ca="1" si="100"/>
        <v>0.5</v>
      </c>
      <c r="S822">
        <f t="shared" ca="1" si="101"/>
        <v>197.32943869587922</v>
      </c>
      <c r="T822" s="61">
        <f t="shared" ca="1" si="102"/>
        <v>24000</v>
      </c>
      <c r="U822" s="61">
        <f t="shared" ca="1" si="103"/>
        <v>26931.775478351687</v>
      </c>
      <c r="V822" s="39">
        <f t="shared" ca="1" si="104"/>
        <v>0.17718273341020846</v>
      </c>
      <c r="W822" s="48">
        <f t="shared" ca="1" si="105"/>
        <v>2.755109533149946</v>
      </c>
    </row>
    <row r="823" spans="17:23" x14ac:dyDescent="0.2">
      <c r="Q823">
        <f t="shared" si="99"/>
        <v>807</v>
      </c>
      <c r="R823" s="48">
        <f t="shared" ca="1" si="100"/>
        <v>0.45</v>
      </c>
      <c r="S823">
        <f t="shared" ca="1" si="101"/>
        <v>195.39874447289435</v>
      </c>
      <c r="T823" s="61">
        <f t="shared" ca="1" si="102"/>
        <v>21600</v>
      </c>
      <c r="U823" s="61">
        <f t="shared" ca="1" si="103"/>
        <v>23975.447568073516</v>
      </c>
      <c r="V823" s="39">
        <f t="shared" ca="1" si="104"/>
        <v>0.15773320768469418</v>
      </c>
      <c r="W823" s="48">
        <f t="shared" ca="1" si="105"/>
        <v>2.2804659479453013</v>
      </c>
    </row>
    <row r="824" spans="17:23" x14ac:dyDescent="0.2">
      <c r="Q824">
        <f t="shared" si="99"/>
        <v>808</v>
      </c>
      <c r="R824" s="48">
        <f t="shared" ca="1" si="100"/>
        <v>0.45</v>
      </c>
      <c r="S824">
        <f t="shared" ca="1" si="101"/>
        <v>243.10332418629801</v>
      </c>
      <c r="T824" s="61">
        <f t="shared" ca="1" si="102"/>
        <v>21600</v>
      </c>
      <c r="U824" s="61">
        <f t="shared" ca="1" si="103"/>
        <v>44965.462641971128</v>
      </c>
      <c r="V824" s="39">
        <f t="shared" ca="1" si="104"/>
        <v>0.2958254121182311</v>
      </c>
      <c r="W824" s="48">
        <f t="shared" ca="1" si="105"/>
        <v>7.1823321698047646</v>
      </c>
    </row>
    <row r="825" spans="17:23" x14ac:dyDescent="0.2">
      <c r="Q825">
        <f t="shared" si="99"/>
        <v>809</v>
      </c>
      <c r="R825" s="48">
        <f t="shared" ca="1" si="100"/>
        <v>0.3</v>
      </c>
      <c r="S825">
        <f t="shared" ca="1" si="101"/>
        <v>196.3588603627006</v>
      </c>
      <c r="T825" s="61">
        <f t="shared" ca="1" si="102"/>
        <v>14400</v>
      </c>
      <c r="U825" s="61">
        <f t="shared" ca="1" si="103"/>
        <v>17960.961803112335</v>
      </c>
      <c r="V825" s="39">
        <f t="shared" ca="1" si="104"/>
        <v>0.11816422238889694</v>
      </c>
      <c r="W825" s="48">
        <f t="shared" ca="1" si="105"/>
        <v>1.4741968368224212</v>
      </c>
    </row>
    <row r="826" spans="17:23" x14ac:dyDescent="0.2">
      <c r="Q826">
        <f t="shared" si="99"/>
        <v>810</v>
      </c>
      <c r="R826" s="48">
        <f t="shared" ca="1" si="100"/>
        <v>0.45</v>
      </c>
      <c r="S826">
        <f t="shared" ca="1" si="101"/>
        <v>181.67046633027226</v>
      </c>
      <c r="T826" s="61">
        <f t="shared" ca="1" si="102"/>
        <v>21600</v>
      </c>
      <c r="U826" s="61">
        <f t="shared" ca="1" si="103"/>
        <v>17935.005185319795</v>
      </c>
      <c r="V826" s="39">
        <f t="shared" ca="1" si="104"/>
        <v>0.1179934551665776</v>
      </c>
      <c r="W826" s="48">
        <f t="shared" ca="1" si="105"/>
        <v>1.4711336202422127</v>
      </c>
    </row>
    <row r="827" spans="17:23" x14ac:dyDescent="0.2">
      <c r="Q827">
        <f t="shared" si="99"/>
        <v>811</v>
      </c>
      <c r="R827" s="48">
        <f t="shared" ca="1" si="100"/>
        <v>0.217</v>
      </c>
      <c r="S827">
        <f t="shared" ca="1" si="101"/>
        <v>175.72593937400521</v>
      </c>
      <c r="T827" s="61">
        <f t="shared" ca="1" si="102"/>
        <v>10416</v>
      </c>
      <c r="U827" s="61">
        <f t="shared" ca="1" si="103"/>
        <v>1474.7284238768625</v>
      </c>
      <c r="V827" s="39">
        <f t="shared" ca="1" si="104"/>
        <v>9.7021606834004105E-3</v>
      </c>
      <c r="W827" s="48">
        <f t="shared" ca="1" si="105"/>
        <v>8.1464344709759606E-2</v>
      </c>
    </row>
    <row r="828" spans="17:23" x14ac:dyDescent="0.2">
      <c r="Q828">
        <f t="shared" si="99"/>
        <v>812</v>
      </c>
      <c r="R828" s="48">
        <f t="shared" ca="1" si="100"/>
        <v>0.45</v>
      </c>
      <c r="S828">
        <f t="shared" ca="1" si="101"/>
        <v>207.6844722690048</v>
      </c>
      <c r="T828" s="61">
        <f t="shared" ca="1" si="102"/>
        <v>21600</v>
      </c>
      <c r="U828" s="61">
        <f t="shared" ca="1" si="103"/>
        <v>29381.167798362112</v>
      </c>
      <c r="V828" s="39">
        <f t="shared" ca="1" si="104"/>
        <v>0.19329715656817179</v>
      </c>
      <c r="W828" s="48">
        <f t="shared" ca="1" si="105"/>
        <v>3.1929189650855392</v>
      </c>
    </row>
    <row r="829" spans="17:23" x14ac:dyDescent="0.2">
      <c r="Q829">
        <f t="shared" si="99"/>
        <v>813</v>
      </c>
      <c r="R829" s="48">
        <f t="shared" ca="1" si="100"/>
        <v>0.15</v>
      </c>
      <c r="S829">
        <f t="shared" ca="1" si="101"/>
        <v>188.73279526775286</v>
      </c>
      <c r="T829" s="61">
        <f t="shared" ca="1" si="102"/>
        <v>7200</v>
      </c>
      <c r="U829" s="61">
        <f t="shared" ca="1" si="103"/>
        <v>6338.3007820719467</v>
      </c>
      <c r="V829" s="39">
        <f t="shared" ca="1" si="104"/>
        <v>4.1699347250473334E-2</v>
      </c>
      <c r="W829" s="48">
        <f t="shared" ca="1" si="105"/>
        <v>0.39286977083211139</v>
      </c>
    </row>
    <row r="830" spans="17:23" x14ac:dyDescent="0.2">
      <c r="Q830">
        <f t="shared" si="99"/>
        <v>814</v>
      </c>
      <c r="R830" s="48">
        <f t="shared" ca="1" si="100"/>
        <v>0.3</v>
      </c>
      <c r="S830">
        <f t="shared" ca="1" si="101"/>
        <v>163.63544254324279</v>
      </c>
      <c r="T830" s="61">
        <f t="shared" ca="1" si="102"/>
        <v>14400</v>
      </c>
      <c r="U830" s="61">
        <f t="shared" ca="1" si="103"/>
        <v>-364.15217578403826</v>
      </c>
      <c r="V830" s="39">
        <f t="shared" ca="1" si="104"/>
        <v>-2.3957379985791991E-3</v>
      </c>
      <c r="W830" s="48">
        <f t="shared" ca="1" si="105"/>
        <v>-1.9267376341054687E-2</v>
      </c>
    </row>
    <row r="831" spans="17:23" x14ac:dyDescent="0.2">
      <c r="Q831">
        <f t="shared" si="99"/>
        <v>815</v>
      </c>
      <c r="R831" s="48">
        <f t="shared" ca="1" si="100"/>
        <v>0.35</v>
      </c>
      <c r="S831">
        <f t="shared" ca="1" si="101"/>
        <v>186.36854926372726</v>
      </c>
      <c r="T831" s="61">
        <f t="shared" ca="1" si="102"/>
        <v>16800</v>
      </c>
      <c r="U831" s="61">
        <f t="shared" ca="1" si="103"/>
        <v>14911.645617138176</v>
      </c>
      <c r="V831" s="39">
        <f t="shared" ca="1" si="104"/>
        <v>9.8102931691698522E-2</v>
      </c>
      <c r="W831" s="48">
        <f t="shared" ca="1" si="105"/>
        <v>1.1362904679462353</v>
      </c>
    </row>
    <row r="832" spans="17:23" x14ac:dyDescent="0.2">
      <c r="Q832">
        <f t="shared" si="99"/>
        <v>816</v>
      </c>
      <c r="R832" s="48">
        <f t="shared" ca="1" si="100"/>
        <v>0.35</v>
      </c>
      <c r="S832">
        <f t="shared" ca="1" si="101"/>
        <v>179.62664781291147</v>
      </c>
      <c r="T832" s="61">
        <f t="shared" ca="1" si="102"/>
        <v>16800</v>
      </c>
      <c r="U832" s="61">
        <f t="shared" ca="1" si="103"/>
        <v>11405.856862713965</v>
      </c>
      <c r="V832" s="39">
        <f t="shared" ca="1" si="104"/>
        <v>7.5038531991539245E-2</v>
      </c>
      <c r="W832" s="48">
        <f t="shared" ca="1" si="105"/>
        <v>0.79838969180414243</v>
      </c>
    </row>
    <row r="833" spans="17:23" x14ac:dyDescent="0.2">
      <c r="Q833">
        <f t="shared" si="99"/>
        <v>817</v>
      </c>
      <c r="R833" s="48">
        <f t="shared" ca="1" si="100"/>
        <v>0.4</v>
      </c>
      <c r="S833">
        <f t="shared" ca="1" si="101"/>
        <v>175.00049550888016</v>
      </c>
      <c r="T833" s="61">
        <f t="shared" ca="1" si="102"/>
        <v>19200</v>
      </c>
      <c r="U833" s="61">
        <f t="shared" ca="1" si="103"/>
        <v>12000.237844262479</v>
      </c>
      <c r="V833" s="39">
        <f t="shared" ca="1" si="104"/>
        <v>7.8948933185937362E-2</v>
      </c>
      <c r="W833" s="48">
        <f t="shared" ca="1" si="105"/>
        <v>0.85214031550985547</v>
      </c>
    </row>
    <row r="834" spans="17:23" x14ac:dyDescent="0.2">
      <c r="Q834">
        <f t="shared" si="99"/>
        <v>818</v>
      </c>
      <c r="R834" s="48">
        <f t="shared" ca="1" si="100"/>
        <v>0.3</v>
      </c>
      <c r="S834">
        <f t="shared" ca="1" si="101"/>
        <v>181.02038499988603</v>
      </c>
      <c r="T834" s="61">
        <f t="shared" ca="1" si="102"/>
        <v>14400</v>
      </c>
      <c r="U834" s="61">
        <f t="shared" ca="1" si="103"/>
        <v>9371.4155999361792</v>
      </c>
      <c r="V834" s="39">
        <f t="shared" ca="1" si="104"/>
        <v>6.1654049999580129E-2</v>
      </c>
      <c r="W834" s="48">
        <f t="shared" ca="1" si="105"/>
        <v>0.62461765705562255</v>
      </c>
    </row>
    <row r="835" spans="17:23" x14ac:dyDescent="0.2">
      <c r="Q835">
        <f t="shared" si="99"/>
        <v>819</v>
      </c>
      <c r="R835" s="48">
        <f t="shared" ca="1" si="100"/>
        <v>0.45</v>
      </c>
      <c r="S835">
        <f t="shared" ca="1" si="101"/>
        <v>177.59135732569234</v>
      </c>
      <c r="T835" s="61">
        <f t="shared" ca="1" si="102"/>
        <v>21600</v>
      </c>
      <c r="U835" s="61">
        <f t="shared" ca="1" si="103"/>
        <v>16140.197223304629</v>
      </c>
      <c r="V835" s="39">
        <f t="shared" ca="1" si="104"/>
        <v>0.10618550804805676</v>
      </c>
      <c r="W835" s="48">
        <f t="shared" ca="1" si="105"/>
        <v>1.2672190929452207</v>
      </c>
    </row>
    <row r="836" spans="17:23" x14ac:dyDescent="0.2">
      <c r="Q836">
        <f t="shared" si="99"/>
        <v>820</v>
      </c>
      <c r="R836" s="48">
        <f t="shared" ca="1" si="100"/>
        <v>0.35</v>
      </c>
      <c r="S836">
        <f t="shared" ca="1" si="101"/>
        <v>180.20817254075175</v>
      </c>
      <c r="T836" s="61">
        <f t="shared" ca="1" si="102"/>
        <v>16800</v>
      </c>
      <c r="U836" s="61">
        <f t="shared" ca="1" si="103"/>
        <v>11708.249721190909</v>
      </c>
      <c r="V836" s="39">
        <f t="shared" ca="1" si="104"/>
        <v>7.7027958692045456E-2</v>
      </c>
      <c r="W836" s="48">
        <f t="shared" ca="1" si="105"/>
        <v>0.8255620290388539</v>
      </c>
    </row>
    <row r="837" spans="17:23" x14ac:dyDescent="0.2">
      <c r="Q837">
        <f t="shared" si="99"/>
        <v>821</v>
      </c>
      <c r="R837" s="48">
        <f t="shared" ca="1" si="100"/>
        <v>0.35</v>
      </c>
      <c r="S837">
        <f t="shared" ca="1" si="101"/>
        <v>181.8557746357755</v>
      </c>
      <c r="T837" s="61">
        <f t="shared" ca="1" si="102"/>
        <v>16800</v>
      </c>
      <c r="U837" s="61">
        <f t="shared" ca="1" si="103"/>
        <v>12565.002810603262</v>
      </c>
      <c r="V837" s="39">
        <f t="shared" ca="1" si="104"/>
        <v>8.2664492175021462E-2</v>
      </c>
      <c r="W837" s="48">
        <f t="shared" ca="1" si="105"/>
        <v>0.90451239516143001</v>
      </c>
    </row>
    <row r="838" spans="17:23" x14ac:dyDescent="0.2">
      <c r="Q838">
        <f t="shared" si="99"/>
        <v>822</v>
      </c>
      <c r="R838" s="48">
        <f t="shared" ca="1" si="100"/>
        <v>0.3</v>
      </c>
      <c r="S838">
        <f t="shared" ca="1" si="101"/>
        <v>192.75869442354474</v>
      </c>
      <c r="T838" s="61">
        <f t="shared" ca="1" si="102"/>
        <v>14400</v>
      </c>
      <c r="U838" s="61">
        <f t="shared" ca="1" si="103"/>
        <v>15944.868877185054</v>
      </c>
      <c r="V838" s="39">
        <f t="shared" ca="1" si="104"/>
        <v>0.10490045313937535</v>
      </c>
      <c r="W838" s="48">
        <f t="shared" ca="1" si="105"/>
        <v>1.2459438633694528</v>
      </c>
    </row>
    <row r="839" spans="17:23" x14ac:dyDescent="0.2">
      <c r="Q839">
        <f t="shared" si="99"/>
        <v>823</v>
      </c>
      <c r="R839" s="48">
        <f t="shared" ca="1" si="100"/>
        <v>0.45</v>
      </c>
      <c r="S839">
        <f t="shared" ca="1" si="101"/>
        <v>189.92064795306405</v>
      </c>
      <c r="T839" s="61">
        <f t="shared" ca="1" si="102"/>
        <v>21600</v>
      </c>
      <c r="U839" s="61">
        <f t="shared" ca="1" si="103"/>
        <v>21565.08509934818</v>
      </c>
      <c r="V839" s="39">
        <f t="shared" ca="1" si="104"/>
        <v>0.14187555986413275</v>
      </c>
      <c r="W839" s="48">
        <f t="shared" ca="1" si="105"/>
        <v>1.9332718029729152</v>
      </c>
    </row>
    <row r="840" spans="17:23" x14ac:dyDescent="0.2">
      <c r="Q840">
        <f t="shared" si="99"/>
        <v>824</v>
      </c>
      <c r="R840" s="48">
        <f t="shared" ca="1" si="100"/>
        <v>0.35</v>
      </c>
      <c r="S840">
        <f t="shared" ca="1" si="101"/>
        <v>192.00544491158041</v>
      </c>
      <c r="T840" s="61">
        <f t="shared" ca="1" si="102"/>
        <v>16800</v>
      </c>
      <c r="U840" s="61">
        <f t="shared" ca="1" si="103"/>
        <v>17842.831354021815</v>
      </c>
      <c r="V840" s="39">
        <f t="shared" ca="1" si="104"/>
        <v>0.11738704838172247</v>
      </c>
      <c r="W840" s="48">
        <f t="shared" ca="1" si="105"/>
        <v>1.4602827660583158</v>
      </c>
    </row>
    <row r="841" spans="17:23" x14ac:dyDescent="0.2">
      <c r="Q841">
        <f t="shared" si="99"/>
        <v>825</v>
      </c>
      <c r="R841" s="48">
        <f t="shared" ca="1" si="100"/>
        <v>0.3</v>
      </c>
      <c r="S841">
        <f t="shared" ca="1" si="101"/>
        <v>186.00111733221988</v>
      </c>
      <c r="T841" s="61">
        <f t="shared" ca="1" si="102"/>
        <v>14400</v>
      </c>
      <c r="U841" s="61">
        <f t="shared" ca="1" si="103"/>
        <v>12160.625706043131</v>
      </c>
      <c r="V841" s="39">
        <f t="shared" ca="1" si="104"/>
        <v>8.0004116487125854E-2</v>
      </c>
      <c r="W841" s="48">
        <f t="shared" ca="1" si="105"/>
        <v>0.86688351640243755</v>
      </c>
    </row>
    <row r="842" spans="17:23" x14ac:dyDescent="0.2">
      <c r="Q842">
        <f t="shared" si="99"/>
        <v>826</v>
      </c>
      <c r="R842" s="48">
        <f t="shared" ca="1" si="100"/>
        <v>0.35</v>
      </c>
      <c r="S842">
        <f t="shared" ca="1" si="101"/>
        <v>197.81092459016099</v>
      </c>
      <c r="T842" s="61">
        <f t="shared" ca="1" si="102"/>
        <v>16800</v>
      </c>
      <c r="U842" s="61">
        <f t="shared" ca="1" si="103"/>
        <v>20861.680786883717</v>
      </c>
      <c r="V842" s="39">
        <f t="shared" ca="1" si="104"/>
        <v>0.13724789991370867</v>
      </c>
      <c r="W842" s="48">
        <f t="shared" ca="1" si="105"/>
        <v>1.8382279674065094</v>
      </c>
    </row>
    <row r="843" spans="17:23" x14ac:dyDescent="0.2">
      <c r="Q843">
        <f t="shared" si="99"/>
        <v>827</v>
      </c>
      <c r="R843" s="48">
        <f t="shared" ca="1" si="100"/>
        <v>0.3</v>
      </c>
      <c r="S843">
        <f t="shared" ca="1" si="101"/>
        <v>179.61726286600333</v>
      </c>
      <c r="T843" s="61">
        <f t="shared" ca="1" si="102"/>
        <v>14400</v>
      </c>
      <c r="U843" s="61">
        <f t="shared" ca="1" si="103"/>
        <v>8585.6672049618646</v>
      </c>
      <c r="V843" s="39">
        <f t="shared" ca="1" si="104"/>
        <v>5.6484652664222791E-2</v>
      </c>
      <c r="W843" s="48">
        <f t="shared" ca="1" si="105"/>
        <v>0.56155399611352963</v>
      </c>
    </row>
    <row r="844" spans="17:23" x14ac:dyDescent="0.2">
      <c r="Q844">
        <f t="shared" si="99"/>
        <v>828</v>
      </c>
      <c r="R844" s="48">
        <f t="shared" ca="1" si="100"/>
        <v>0.35</v>
      </c>
      <c r="S844">
        <f t="shared" ca="1" si="101"/>
        <v>166.25717215256046</v>
      </c>
      <c r="T844" s="61">
        <f t="shared" ca="1" si="102"/>
        <v>16800</v>
      </c>
      <c r="U844" s="61">
        <f t="shared" ca="1" si="103"/>
        <v>4453.7295193314385</v>
      </c>
      <c r="V844" s="39">
        <f t="shared" ca="1" si="104"/>
        <v>2.9300852100864729E-2</v>
      </c>
      <c r="W844" s="48">
        <f t="shared" ca="1" si="105"/>
        <v>0.26395685877527408</v>
      </c>
    </row>
    <row r="845" spans="17:23" x14ac:dyDescent="0.2">
      <c r="Q845">
        <f t="shared" si="99"/>
        <v>829</v>
      </c>
      <c r="R845" s="48">
        <f t="shared" ca="1" si="100"/>
        <v>0.4</v>
      </c>
      <c r="S845">
        <f t="shared" ca="1" si="101"/>
        <v>178.26481792657427</v>
      </c>
      <c r="T845" s="61">
        <f t="shared" ca="1" si="102"/>
        <v>19200</v>
      </c>
      <c r="U845" s="61">
        <f t="shared" ca="1" si="103"/>
        <v>13567.112604755648</v>
      </c>
      <c r="V845" s="39">
        <f t="shared" ca="1" si="104"/>
        <v>8.925731976812927E-2</v>
      </c>
      <c r="W845" s="48">
        <f t="shared" ca="1" si="105"/>
        <v>1.0006425727544488</v>
      </c>
    </row>
    <row r="846" spans="17:23" x14ac:dyDescent="0.2">
      <c r="Q846">
        <f t="shared" si="99"/>
        <v>830</v>
      </c>
      <c r="R846" s="48">
        <f t="shared" ca="1" si="100"/>
        <v>0.45</v>
      </c>
      <c r="S846">
        <f t="shared" ca="1" si="101"/>
        <v>182.74324012748559</v>
      </c>
      <c r="T846" s="61">
        <f t="shared" ca="1" si="102"/>
        <v>21600</v>
      </c>
      <c r="U846" s="61">
        <f t="shared" ca="1" si="103"/>
        <v>18407.025656093661</v>
      </c>
      <c r="V846" s="39">
        <f t="shared" ca="1" si="104"/>
        <v>0.12109885300061619</v>
      </c>
      <c r="W846" s="48">
        <f t="shared" ca="1" si="105"/>
        <v>1.5273608613804388</v>
      </c>
    </row>
    <row r="847" spans="17:23" x14ac:dyDescent="0.2">
      <c r="Q847">
        <f t="shared" si="99"/>
        <v>831</v>
      </c>
      <c r="R847" s="48">
        <f t="shared" ca="1" si="100"/>
        <v>0.217</v>
      </c>
      <c r="S847">
        <f t="shared" ca="1" si="101"/>
        <v>188.70512733951458</v>
      </c>
      <c r="T847" s="61">
        <f t="shared" ca="1" si="102"/>
        <v>10416</v>
      </c>
      <c r="U847" s="61">
        <f t="shared" ca="1" si="103"/>
        <v>9604.8917654719298</v>
      </c>
      <c r="V847" s="39">
        <f t="shared" ca="1" si="104"/>
        <v>6.3190077404420592E-2</v>
      </c>
      <c r="W847" s="48">
        <f t="shared" ca="1" si="105"/>
        <v>0.64378149216376546</v>
      </c>
    </row>
    <row r="848" spans="17:23" x14ac:dyDescent="0.2">
      <c r="Q848">
        <f t="shared" si="99"/>
        <v>832</v>
      </c>
      <c r="R848" s="48">
        <f t="shared" ca="1" si="100"/>
        <v>0.4</v>
      </c>
      <c r="S848">
        <f t="shared" ca="1" si="101"/>
        <v>212.67408651707765</v>
      </c>
      <c r="T848" s="61">
        <f t="shared" ca="1" si="102"/>
        <v>19200</v>
      </c>
      <c r="U848" s="61">
        <f t="shared" ca="1" si="103"/>
        <v>30083.561528197275</v>
      </c>
      <c r="V848" s="39">
        <f t="shared" ca="1" si="104"/>
        <v>0.19791816794866629</v>
      </c>
      <c r="W848" s="48">
        <f t="shared" ca="1" si="105"/>
        <v>3.3264465298599051</v>
      </c>
    </row>
    <row r="849" spans="17:23" x14ac:dyDescent="0.2">
      <c r="Q849">
        <f t="shared" si="99"/>
        <v>833</v>
      </c>
      <c r="R849" s="48">
        <f t="shared" ca="1" si="100"/>
        <v>0.4</v>
      </c>
      <c r="S849">
        <f t="shared" ca="1" si="101"/>
        <v>219.52185936811</v>
      </c>
      <c r="T849" s="61">
        <f t="shared" ca="1" si="102"/>
        <v>19200</v>
      </c>
      <c r="U849" s="61">
        <f t="shared" ca="1" si="103"/>
        <v>33370.492496692801</v>
      </c>
      <c r="V849" s="39">
        <f t="shared" ca="1" si="104"/>
        <v>0.21954271379403159</v>
      </c>
      <c r="W849" s="48">
        <f t="shared" ca="1" si="105"/>
        <v>4.0021138577055853</v>
      </c>
    </row>
    <row r="850" spans="17:23" x14ac:dyDescent="0.2">
      <c r="Q850">
        <f t="shared" si="99"/>
        <v>834</v>
      </c>
      <c r="R850" s="48">
        <f t="shared" ca="1" si="100"/>
        <v>0.3</v>
      </c>
      <c r="S850">
        <f t="shared" ca="1" si="101"/>
        <v>197.0311922883115</v>
      </c>
      <c r="T850" s="61">
        <f t="shared" ca="1" si="102"/>
        <v>14400</v>
      </c>
      <c r="U850" s="61">
        <f t="shared" ca="1" si="103"/>
        <v>18337.46768145444</v>
      </c>
      <c r="V850" s="39">
        <f t="shared" ca="1" si="104"/>
        <v>0.12064123474641079</v>
      </c>
      <c r="W850" s="48">
        <f t="shared" ca="1" si="105"/>
        <v>1.5190052775801663</v>
      </c>
    </row>
    <row r="851" spans="17:23" x14ac:dyDescent="0.2">
      <c r="Q851">
        <f t="shared" ref="Q851:Q914" si="106">Q850+1</f>
        <v>835</v>
      </c>
      <c r="R851" s="48">
        <f t="shared" ref="R851:R914" ca="1" si="107">LOOKUP(RAND(),$U$6:$U$12,$S$6:$S$12)</f>
        <v>0.35</v>
      </c>
      <c r="S851">
        <f t="shared" ref="S851:S914" ca="1" si="108">_xlfn.NORM.INV(RAND(),$Q$5,$Q$10)</f>
        <v>185.2399890588681</v>
      </c>
      <c r="T851" s="61">
        <f t="shared" ref="T851:T914" ca="1" si="109">($B$8-$B$7)*($E$6*R851)</f>
        <v>16800</v>
      </c>
      <c r="U851" s="61">
        <f t="shared" ref="U851:U914" ca="1" si="110">T851+((S851-$B$7)*($E$6*(1-R851)))</f>
        <v>14324.794310611414</v>
      </c>
      <c r="V851" s="39">
        <f t="shared" ref="V851:V914" ca="1" si="111">U851/$E$4</f>
        <v>9.4242067832969831E-2</v>
      </c>
      <c r="W851" s="48">
        <f t="shared" ref="W851:W914" ca="1" si="112">(1+V851)^($J$29/$J$30)-1</f>
        <v>1.0761235312696753</v>
      </c>
    </row>
    <row r="852" spans="17:23" x14ac:dyDescent="0.2">
      <c r="Q852">
        <f t="shared" si="106"/>
        <v>836</v>
      </c>
      <c r="R852" s="48">
        <f t="shared" ca="1" si="107"/>
        <v>0.5</v>
      </c>
      <c r="S852">
        <f t="shared" ca="1" si="108"/>
        <v>183.9360141643931</v>
      </c>
      <c r="T852" s="61">
        <f t="shared" ca="1" si="109"/>
        <v>24000</v>
      </c>
      <c r="U852" s="61">
        <f t="shared" ca="1" si="110"/>
        <v>21574.40566575724</v>
      </c>
      <c r="V852" s="39">
        <f t="shared" ca="1" si="111"/>
        <v>0.14193687937998184</v>
      </c>
      <c r="W852" s="48">
        <f t="shared" ca="1" si="112"/>
        <v>1.9345496990038265</v>
      </c>
    </row>
    <row r="853" spans="17:23" x14ac:dyDescent="0.2">
      <c r="Q853">
        <f t="shared" si="106"/>
        <v>837</v>
      </c>
      <c r="R853" s="48">
        <f t="shared" ca="1" si="107"/>
        <v>0.35</v>
      </c>
      <c r="S853">
        <f t="shared" ca="1" si="108"/>
        <v>199.72590451954932</v>
      </c>
      <c r="T853" s="61">
        <f t="shared" ca="1" si="109"/>
        <v>16800</v>
      </c>
      <c r="U853" s="61">
        <f t="shared" ca="1" si="110"/>
        <v>21857.470350165644</v>
      </c>
      <c r="V853" s="39">
        <f t="shared" ca="1" si="111"/>
        <v>0.14379914704056346</v>
      </c>
      <c r="W853" s="48">
        <f t="shared" ca="1" si="112"/>
        <v>1.9735925113386519</v>
      </c>
    </row>
    <row r="854" spans="17:23" x14ac:dyDescent="0.2">
      <c r="Q854">
        <f t="shared" si="106"/>
        <v>838</v>
      </c>
      <c r="R854" s="48">
        <f t="shared" ca="1" si="107"/>
        <v>0.35</v>
      </c>
      <c r="S854">
        <f t="shared" ca="1" si="108"/>
        <v>198.59323464704221</v>
      </c>
      <c r="T854" s="61">
        <f t="shared" ca="1" si="109"/>
        <v>16800</v>
      </c>
      <c r="U854" s="61">
        <f t="shared" ca="1" si="110"/>
        <v>21268.482016461949</v>
      </c>
      <c r="V854" s="39">
        <f t="shared" ca="1" si="111"/>
        <v>0.13992422379251282</v>
      </c>
      <c r="W854" s="48">
        <f t="shared" ca="1" si="112"/>
        <v>1.8928599900161003</v>
      </c>
    </row>
    <row r="855" spans="17:23" x14ac:dyDescent="0.2">
      <c r="Q855">
        <f t="shared" si="106"/>
        <v>839</v>
      </c>
      <c r="R855" s="48">
        <f t="shared" ca="1" si="107"/>
        <v>0.4</v>
      </c>
      <c r="S855">
        <f t="shared" ca="1" si="108"/>
        <v>175.97246673424937</v>
      </c>
      <c r="T855" s="61">
        <f t="shared" ca="1" si="109"/>
        <v>19200</v>
      </c>
      <c r="U855" s="61">
        <f t="shared" ca="1" si="110"/>
        <v>12466.784032439697</v>
      </c>
      <c r="V855" s="39">
        <f t="shared" ca="1" si="111"/>
        <v>8.2018316002892735E-2</v>
      </c>
      <c r="W855" s="48">
        <f t="shared" ca="1" si="112"/>
        <v>0.89531214303252127</v>
      </c>
    </row>
    <row r="856" spans="17:23" x14ac:dyDescent="0.2">
      <c r="Q856">
        <f t="shared" si="106"/>
        <v>840</v>
      </c>
      <c r="R856" s="48">
        <f t="shared" ca="1" si="107"/>
        <v>0.3</v>
      </c>
      <c r="S856">
        <f t="shared" ca="1" si="108"/>
        <v>213.48637503049997</v>
      </c>
      <c r="T856" s="61">
        <f t="shared" ca="1" si="109"/>
        <v>14400</v>
      </c>
      <c r="U856" s="61">
        <f t="shared" ca="1" si="110"/>
        <v>27552.370017079986</v>
      </c>
      <c r="V856" s="39">
        <f t="shared" ca="1" si="111"/>
        <v>0.18126559221763147</v>
      </c>
      <c r="W856" s="48">
        <f t="shared" ca="1" si="112"/>
        <v>2.8620602937649369</v>
      </c>
    </row>
    <row r="857" spans="17:23" x14ac:dyDescent="0.2">
      <c r="Q857">
        <f t="shared" si="106"/>
        <v>841</v>
      </c>
      <c r="R857" s="48">
        <f t="shared" ca="1" si="107"/>
        <v>0.3</v>
      </c>
      <c r="S857">
        <f t="shared" ca="1" si="108"/>
        <v>197.32808649594512</v>
      </c>
      <c r="T857" s="61">
        <f t="shared" ca="1" si="109"/>
        <v>14400</v>
      </c>
      <c r="U857" s="61">
        <f t="shared" ca="1" si="110"/>
        <v>18503.728437729264</v>
      </c>
      <c r="V857" s="39">
        <f t="shared" ca="1" si="111"/>
        <v>0.12173505551137673</v>
      </c>
      <c r="W857" s="48">
        <f t="shared" ca="1" si="112"/>
        <v>1.5390175578080543</v>
      </c>
    </row>
    <row r="858" spans="17:23" x14ac:dyDescent="0.2">
      <c r="Q858">
        <f t="shared" si="106"/>
        <v>842</v>
      </c>
      <c r="R858" s="48">
        <f t="shared" ca="1" si="107"/>
        <v>0.45</v>
      </c>
      <c r="S858">
        <f t="shared" ca="1" si="108"/>
        <v>199.67614292539486</v>
      </c>
      <c r="T858" s="61">
        <f t="shared" ca="1" si="109"/>
        <v>21600</v>
      </c>
      <c r="U858" s="61">
        <f t="shared" ca="1" si="110"/>
        <v>25857.502887173738</v>
      </c>
      <c r="V858" s="39">
        <f t="shared" ca="1" si="111"/>
        <v>0.17011515057351143</v>
      </c>
      <c r="W858" s="48">
        <f t="shared" ca="1" si="112"/>
        <v>2.576101004437072</v>
      </c>
    </row>
    <row r="859" spans="17:23" x14ac:dyDescent="0.2">
      <c r="Q859">
        <f t="shared" si="106"/>
        <v>843</v>
      </c>
      <c r="R859" s="48">
        <f t="shared" ca="1" si="107"/>
        <v>0.45</v>
      </c>
      <c r="S859">
        <f t="shared" ca="1" si="108"/>
        <v>190.67985125332953</v>
      </c>
      <c r="T859" s="61">
        <f t="shared" ca="1" si="109"/>
        <v>21600</v>
      </c>
      <c r="U859" s="61">
        <f t="shared" ca="1" si="110"/>
        <v>21899.134551464995</v>
      </c>
      <c r="V859" s="39">
        <f t="shared" ca="1" si="111"/>
        <v>0.14407325362805917</v>
      </c>
      <c r="W859" s="48">
        <f t="shared" ca="1" si="112"/>
        <v>1.9793774876310337</v>
      </c>
    </row>
    <row r="860" spans="17:23" x14ac:dyDescent="0.2">
      <c r="Q860">
        <f t="shared" si="106"/>
        <v>844</v>
      </c>
      <c r="R860" s="48">
        <f t="shared" ca="1" si="107"/>
        <v>0.217</v>
      </c>
      <c r="S860">
        <f t="shared" ca="1" si="108"/>
        <v>213.00761007768534</v>
      </c>
      <c r="T860" s="61">
        <f t="shared" ca="1" si="109"/>
        <v>10416</v>
      </c>
      <c r="U860" s="61">
        <f t="shared" ca="1" si="110"/>
        <v>24827.9669526621</v>
      </c>
      <c r="V860" s="39">
        <f t="shared" ca="1" si="111"/>
        <v>0.1633418878464612</v>
      </c>
      <c r="W860" s="48">
        <f t="shared" ca="1" si="112"/>
        <v>2.4116128752367154</v>
      </c>
    </row>
    <row r="861" spans="17:23" x14ac:dyDescent="0.2">
      <c r="Q861">
        <f t="shared" si="106"/>
        <v>845</v>
      </c>
      <c r="R861" s="48">
        <f t="shared" ca="1" si="107"/>
        <v>0.217</v>
      </c>
      <c r="S861">
        <f t="shared" ca="1" si="108"/>
        <v>152.23492119756372</v>
      </c>
      <c r="T861" s="61">
        <f t="shared" ca="1" si="109"/>
        <v>10416</v>
      </c>
      <c r="U861" s="61">
        <f t="shared" ca="1" si="110"/>
        <v>-13240.045361846085</v>
      </c>
      <c r="V861" s="39">
        <f t="shared" ca="1" si="111"/>
        <v>-8.7105561591092659E-2</v>
      </c>
      <c r="W861" s="48">
        <f t="shared" ca="1" si="112"/>
        <v>-0.52250725800581177</v>
      </c>
    </row>
    <row r="862" spans="17:23" x14ac:dyDescent="0.2">
      <c r="Q862">
        <f t="shared" si="106"/>
        <v>846</v>
      </c>
      <c r="R862" s="48">
        <f t="shared" ca="1" si="107"/>
        <v>0.4</v>
      </c>
      <c r="S862">
        <f t="shared" ca="1" si="108"/>
        <v>169.17660106584458</v>
      </c>
      <c r="T862" s="61">
        <f t="shared" ca="1" si="109"/>
        <v>19200</v>
      </c>
      <c r="U862" s="61">
        <f t="shared" ca="1" si="110"/>
        <v>9204.7685116053981</v>
      </c>
      <c r="V862" s="39">
        <f t="shared" ca="1" si="111"/>
        <v>6.0557687576351306E-2</v>
      </c>
      <c r="W862" s="48">
        <f t="shared" ca="1" si="112"/>
        <v>0.61105925751143864</v>
      </c>
    </row>
    <row r="863" spans="17:23" x14ac:dyDescent="0.2">
      <c r="Q863">
        <f t="shared" si="106"/>
        <v>847</v>
      </c>
      <c r="R863" s="48">
        <f t="shared" ca="1" si="107"/>
        <v>0.217</v>
      </c>
      <c r="S863">
        <f t="shared" ca="1" si="108"/>
        <v>173.51347548985333</v>
      </c>
      <c r="T863" s="61">
        <f t="shared" ca="1" si="109"/>
        <v>10416</v>
      </c>
      <c r="U863" s="61">
        <f t="shared" ca="1" si="110"/>
        <v>88.841046844128869</v>
      </c>
      <c r="V863" s="39">
        <f t="shared" ca="1" si="111"/>
        <v>5.8448057134295305E-4</v>
      </c>
      <c r="W863" s="48">
        <f t="shared" ca="1" si="112"/>
        <v>4.7506506762884371E-3</v>
      </c>
    </row>
    <row r="864" spans="17:23" x14ac:dyDescent="0.2">
      <c r="Q864">
        <f t="shared" si="106"/>
        <v>848</v>
      </c>
      <c r="R864" s="48">
        <f t="shared" ca="1" si="107"/>
        <v>0.4</v>
      </c>
      <c r="S864">
        <f t="shared" ca="1" si="108"/>
        <v>183.68655870980882</v>
      </c>
      <c r="T864" s="61">
        <f t="shared" ca="1" si="109"/>
        <v>19200</v>
      </c>
      <c r="U864" s="61">
        <f t="shared" ca="1" si="110"/>
        <v>16169.548180708234</v>
      </c>
      <c r="V864" s="39">
        <f t="shared" ca="1" si="111"/>
        <v>0.10637860645202786</v>
      </c>
      <c r="W864" s="48">
        <f t="shared" ca="1" si="112"/>
        <v>1.2704312304240997</v>
      </c>
    </row>
    <row r="865" spans="17:23" x14ac:dyDescent="0.2">
      <c r="Q865">
        <f t="shared" si="106"/>
        <v>849</v>
      </c>
      <c r="R865" s="48">
        <f t="shared" ca="1" si="107"/>
        <v>0.5</v>
      </c>
      <c r="S865">
        <f t="shared" ca="1" si="108"/>
        <v>218.25154298528756</v>
      </c>
      <c r="T865" s="61">
        <f t="shared" ca="1" si="109"/>
        <v>24000</v>
      </c>
      <c r="U865" s="61">
        <f t="shared" ca="1" si="110"/>
        <v>35300.617194115024</v>
      </c>
      <c r="V865" s="39">
        <f t="shared" ca="1" si="111"/>
        <v>0.23224090259286201</v>
      </c>
      <c r="W865" s="48">
        <f t="shared" ca="1" si="112"/>
        <v>4.440543102730218</v>
      </c>
    </row>
    <row r="866" spans="17:23" x14ac:dyDescent="0.2">
      <c r="Q866">
        <f t="shared" si="106"/>
        <v>850</v>
      </c>
      <c r="R866" s="48">
        <f t="shared" ca="1" si="107"/>
        <v>0.3</v>
      </c>
      <c r="S866">
        <f t="shared" ca="1" si="108"/>
        <v>183.21739924833622</v>
      </c>
      <c r="T866" s="61">
        <f t="shared" ca="1" si="109"/>
        <v>14400</v>
      </c>
      <c r="U866" s="61">
        <f t="shared" ca="1" si="110"/>
        <v>10601.743579068283</v>
      </c>
      <c r="V866" s="39">
        <f t="shared" ca="1" si="111"/>
        <v>6.9748313020186067E-2</v>
      </c>
      <c r="W866" s="48">
        <f t="shared" ca="1" si="112"/>
        <v>0.72785142095561373</v>
      </c>
    </row>
    <row r="867" spans="17:23" x14ac:dyDescent="0.2">
      <c r="Q867">
        <f t="shared" si="106"/>
        <v>851</v>
      </c>
      <c r="R867" s="48">
        <f t="shared" ca="1" si="107"/>
        <v>0.217</v>
      </c>
      <c r="S867">
        <f t="shared" ca="1" si="108"/>
        <v>185.6670553848073</v>
      </c>
      <c r="T867" s="61">
        <f t="shared" ca="1" si="109"/>
        <v>10416</v>
      </c>
      <c r="U867" s="61">
        <f t="shared" ca="1" si="110"/>
        <v>7701.8434930432923</v>
      </c>
      <c r="V867" s="39">
        <f t="shared" ca="1" si="111"/>
        <v>5.0670022980547978E-2</v>
      </c>
      <c r="W867" s="48">
        <f t="shared" ca="1" si="112"/>
        <v>0.49319277718978882</v>
      </c>
    </row>
    <row r="868" spans="17:23" x14ac:dyDescent="0.2">
      <c r="Q868">
        <f t="shared" si="106"/>
        <v>852</v>
      </c>
      <c r="R868" s="48">
        <f t="shared" ca="1" si="107"/>
        <v>0.4</v>
      </c>
      <c r="S868">
        <f t="shared" ca="1" si="108"/>
        <v>221.01830024603444</v>
      </c>
      <c r="T868" s="61">
        <f t="shared" ca="1" si="109"/>
        <v>19200</v>
      </c>
      <c r="U868" s="61">
        <f t="shared" ca="1" si="110"/>
        <v>34088.784118096533</v>
      </c>
      <c r="V868" s="39">
        <f t="shared" ca="1" si="111"/>
        <v>0.22426831656642457</v>
      </c>
      <c r="W868" s="48">
        <f t="shared" ca="1" si="112"/>
        <v>4.1615121070928938</v>
      </c>
    </row>
    <row r="869" spans="17:23" x14ac:dyDescent="0.2">
      <c r="Q869">
        <f t="shared" si="106"/>
        <v>853</v>
      </c>
      <c r="R869" s="48">
        <f t="shared" ca="1" si="107"/>
        <v>0.4</v>
      </c>
      <c r="S869">
        <f t="shared" ca="1" si="108"/>
        <v>173.2318821632316</v>
      </c>
      <c r="T869" s="61">
        <f t="shared" ca="1" si="109"/>
        <v>19200</v>
      </c>
      <c r="U869" s="61">
        <f t="shared" ca="1" si="110"/>
        <v>11151.303438351169</v>
      </c>
      <c r="V869" s="39">
        <f t="shared" ca="1" si="111"/>
        <v>7.3363838410205065E-2</v>
      </c>
      <c r="W869" s="48">
        <f t="shared" ca="1" si="112"/>
        <v>0.7757916417206292</v>
      </c>
    </row>
    <row r="870" spans="17:23" x14ac:dyDescent="0.2">
      <c r="Q870">
        <f t="shared" si="106"/>
        <v>854</v>
      </c>
      <c r="R870" s="48">
        <f t="shared" ca="1" si="107"/>
        <v>0.45</v>
      </c>
      <c r="S870">
        <f t="shared" ca="1" si="108"/>
        <v>214.10018690077629</v>
      </c>
      <c r="T870" s="61">
        <f t="shared" ca="1" si="109"/>
        <v>21600</v>
      </c>
      <c r="U870" s="61">
        <f t="shared" ca="1" si="110"/>
        <v>32204.082236341572</v>
      </c>
      <c r="V870" s="39">
        <f t="shared" ca="1" si="111"/>
        <v>0.21186896208119455</v>
      </c>
      <c r="W870" s="48">
        <f t="shared" ca="1" si="112"/>
        <v>3.7524565228559439</v>
      </c>
    </row>
    <row r="871" spans="17:23" x14ac:dyDescent="0.2">
      <c r="Q871">
        <f t="shared" si="106"/>
        <v>855</v>
      </c>
      <c r="R871" s="48">
        <f t="shared" ca="1" si="107"/>
        <v>0.3</v>
      </c>
      <c r="S871">
        <f t="shared" ca="1" si="108"/>
        <v>174.92722746735919</v>
      </c>
      <c r="T871" s="61">
        <f t="shared" ca="1" si="109"/>
        <v>14400</v>
      </c>
      <c r="U871" s="61">
        <f t="shared" ca="1" si="110"/>
        <v>5959.2473817211448</v>
      </c>
      <c r="V871" s="39">
        <f t="shared" ca="1" si="111"/>
        <v>3.9205574879744375E-2</v>
      </c>
      <c r="W871" s="48">
        <f t="shared" ca="1" si="112"/>
        <v>0.36605272388948196</v>
      </c>
    </row>
    <row r="872" spans="17:23" x14ac:dyDescent="0.2">
      <c r="Q872">
        <f t="shared" si="106"/>
        <v>856</v>
      </c>
      <c r="R872" s="48">
        <f t="shared" ca="1" si="107"/>
        <v>0.45</v>
      </c>
      <c r="S872">
        <f t="shared" ca="1" si="108"/>
        <v>189.58467523479337</v>
      </c>
      <c r="T872" s="61">
        <f t="shared" ca="1" si="109"/>
        <v>21600</v>
      </c>
      <c r="U872" s="61">
        <f t="shared" ca="1" si="110"/>
        <v>21417.257103309083</v>
      </c>
      <c r="V872" s="39">
        <f t="shared" ca="1" si="111"/>
        <v>0.14090300725861238</v>
      </c>
      <c r="W872" s="48">
        <f t="shared" ca="1" si="112"/>
        <v>1.9130689785154003</v>
      </c>
    </row>
    <row r="873" spans="17:23" x14ac:dyDescent="0.2">
      <c r="Q873">
        <f t="shared" si="106"/>
        <v>857</v>
      </c>
      <c r="R873" s="48">
        <f t="shared" ca="1" si="107"/>
        <v>0.3</v>
      </c>
      <c r="S873">
        <f t="shared" ca="1" si="108"/>
        <v>160.05535519551356</v>
      </c>
      <c r="T873" s="61">
        <f t="shared" ca="1" si="109"/>
        <v>14400</v>
      </c>
      <c r="U873" s="61">
        <f t="shared" ca="1" si="110"/>
        <v>-2369.0010905124072</v>
      </c>
      <c r="V873" s="39">
        <f t="shared" ca="1" si="111"/>
        <v>-1.5585533490213205E-2</v>
      </c>
      <c r="W873" s="48">
        <f t="shared" ca="1" si="112"/>
        <v>-0.11962865822888979</v>
      </c>
    </row>
    <row r="874" spans="17:23" x14ac:dyDescent="0.2">
      <c r="Q874">
        <f t="shared" si="106"/>
        <v>858</v>
      </c>
      <c r="R874" s="48">
        <f t="shared" ca="1" si="107"/>
        <v>0.4</v>
      </c>
      <c r="S874">
        <f t="shared" ca="1" si="108"/>
        <v>179.11064544790099</v>
      </c>
      <c r="T874" s="61">
        <f t="shared" ca="1" si="109"/>
        <v>19200</v>
      </c>
      <c r="U874" s="61">
        <f t="shared" ca="1" si="110"/>
        <v>13973.109814992476</v>
      </c>
      <c r="V874" s="39">
        <f t="shared" ca="1" si="111"/>
        <v>9.1928354046003136E-2</v>
      </c>
      <c r="W874" s="48">
        <f t="shared" ca="1" si="112"/>
        <v>1.0407835326062287</v>
      </c>
    </row>
    <row r="875" spans="17:23" x14ac:dyDescent="0.2">
      <c r="Q875">
        <f t="shared" si="106"/>
        <v>859</v>
      </c>
      <c r="R875" s="48">
        <f t="shared" ca="1" si="107"/>
        <v>0.35</v>
      </c>
      <c r="S875">
        <f t="shared" ca="1" si="108"/>
        <v>187.41031928374846</v>
      </c>
      <c r="T875" s="61">
        <f t="shared" ca="1" si="109"/>
        <v>16800</v>
      </c>
      <c r="U875" s="61">
        <f t="shared" ca="1" si="110"/>
        <v>15453.366027549202</v>
      </c>
      <c r="V875" s="39">
        <f t="shared" ca="1" si="111"/>
        <v>0.10166688176019212</v>
      </c>
      <c r="W875" s="48">
        <f t="shared" ca="1" si="112"/>
        <v>1.1931816625502991</v>
      </c>
    </row>
    <row r="876" spans="17:23" x14ac:dyDescent="0.2">
      <c r="Q876">
        <f t="shared" si="106"/>
        <v>860</v>
      </c>
      <c r="R876" s="48">
        <f t="shared" ca="1" si="107"/>
        <v>0.3</v>
      </c>
      <c r="S876">
        <f t="shared" ca="1" si="108"/>
        <v>204.76689716735652</v>
      </c>
      <c r="T876" s="61">
        <f t="shared" ca="1" si="109"/>
        <v>14400</v>
      </c>
      <c r="U876" s="61">
        <f t="shared" ca="1" si="110"/>
        <v>22669.462413719652</v>
      </c>
      <c r="V876" s="39">
        <f t="shared" ca="1" si="111"/>
        <v>0.14914120009026086</v>
      </c>
      <c r="W876" s="48">
        <f t="shared" ca="1" si="112"/>
        <v>2.0881281936408036</v>
      </c>
    </row>
    <row r="877" spans="17:23" x14ac:dyDescent="0.2">
      <c r="Q877">
        <f t="shared" si="106"/>
        <v>861</v>
      </c>
      <c r="R877" s="48">
        <f t="shared" ca="1" si="107"/>
        <v>0.35</v>
      </c>
      <c r="S877">
        <f t="shared" ca="1" si="108"/>
        <v>178.13453462572241</v>
      </c>
      <c r="T877" s="61">
        <f t="shared" ca="1" si="109"/>
        <v>16800</v>
      </c>
      <c r="U877" s="61">
        <f t="shared" ca="1" si="110"/>
        <v>10629.958005375653</v>
      </c>
      <c r="V877" s="39">
        <f t="shared" ca="1" si="111"/>
        <v>6.9933934245892448E-2</v>
      </c>
      <c r="W877" s="48">
        <f t="shared" ca="1" si="112"/>
        <v>0.73028474934604382</v>
      </c>
    </row>
    <row r="878" spans="17:23" x14ac:dyDescent="0.2">
      <c r="Q878">
        <f t="shared" si="106"/>
        <v>862</v>
      </c>
      <c r="R878" s="48">
        <f t="shared" ca="1" si="107"/>
        <v>0.45</v>
      </c>
      <c r="S878">
        <f t="shared" ca="1" si="108"/>
        <v>195.4597022000851</v>
      </c>
      <c r="T878" s="61">
        <f t="shared" ca="1" si="109"/>
        <v>21600</v>
      </c>
      <c r="U878" s="61">
        <f t="shared" ca="1" si="110"/>
        <v>24002.268968037446</v>
      </c>
      <c r="V878" s="39">
        <f t="shared" ca="1" si="111"/>
        <v>0.15790966426340425</v>
      </c>
      <c r="W878" s="48">
        <f t="shared" ca="1" si="112"/>
        <v>2.2845236542688623</v>
      </c>
    </row>
    <row r="879" spans="17:23" x14ac:dyDescent="0.2">
      <c r="Q879">
        <f t="shared" si="106"/>
        <v>863</v>
      </c>
      <c r="R879" s="48">
        <f t="shared" ca="1" si="107"/>
        <v>0.45</v>
      </c>
      <c r="S879">
        <f t="shared" ca="1" si="108"/>
        <v>215.71809632825892</v>
      </c>
      <c r="T879" s="61">
        <f t="shared" ca="1" si="109"/>
        <v>21600</v>
      </c>
      <c r="U879" s="61">
        <f t="shared" ca="1" si="110"/>
        <v>32915.962384433929</v>
      </c>
      <c r="V879" s="39">
        <f t="shared" ca="1" si="111"/>
        <v>0.21655238410811795</v>
      </c>
      <c r="W879" s="48">
        <f t="shared" ca="1" si="112"/>
        <v>3.9034922434287189</v>
      </c>
    </row>
    <row r="880" spans="17:23" x14ac:dyDescent="0.2">
      <c r="Q880">
        <f t="shared" si="106"/>
        <v>864</v>
      </c>
      <c r="R880" s="48">
        <f t="shared" ca="1" si="107"/>
        <v>0.217</v>
      </c>
      <c r="S880">
        <f t="shared" ca="1" si="108"/>
        <v>184.35786128293776</v>
      </c>
      <c r="T880" s="61">
        <f t="shared" ca="1" si="109"/>
        <v>10416</v>
      </c>
      <c r="U880" s="61">
        <f t="shared" ca="1" si="110"/>
        <v>6881.7643076322147</v>
      </c>
      <c r="V880" s="39">
        <f t="shared" ca="1" si="111"/>
        <v>4.5274765181790889E-2</v>
      </c>
      <c r="W880" s="48">
        <f t="shared" ca="1" si="112"/>
        <v>0.43212341482039007</v>
      </c>
    </row>
    <row r="881" spans="17:23" x14ac:dyDescent="0.2">
      <c r="Q881">
        <f t="shared" si="106"/>
        <v>865</v>
      </c>
      <c r="R881" s="48">
        <f t="shared" ca="1" si="107"/>
        <v>0.4</v>
      </c>
      <c r="S881">
        <f t="shared" ca="1" si="108"/>
        <v>204.69003756609658</v>
      </c>
      <c r="T881" s="61">
        <f t="shared" ca="1" si="109"/>
        <v>19200</v>
      </c>
      <c r="U881" s="61">
        <f t="shared" ca="1" si="110"/>
        <v>26251.218031726356</v>
      </c>
      <c r="V881" s="39">
        <f t="shared" ca="1" si="111"/>
        <v>0.17270538178767339</v>
      </c>
      <c r="W881" s="48">
        <f t="shared" ca="1" si="112"/>
        <v>2.6408182828444864</v>
      </c>
    </row>
    <row r="882" spans="17:23" x14ac:dyDescent="0.2">
      <c r="Q882">
        <f t="shared" si="106"/>
        <v>866</v>
      </c>
      <c r="R882" s="48">
        <f t="shared" ca="1" si="107"/>
        <v>0.3</v>
      </c>
      <c r="S882">
        <f t="shared" ca="1" si="108"/>
        <v>179.94470342803513</v>
      </c>
      <c r="T882" s="61">
        <f t="shared" ca="1" si="109"/>
        <v>14400</v>
      </c>
      <c r="U882" s="61">
        <f t="shared" ca="1" si="110"/>
        <v>8769.0339196996702</v>
      </c>
      <c r="V882" s="39">
        <f t="shared" ca="1" si="111"/>
        <v>5.7691012629603092E-2</v>
      </c>
      <c r="W882" s="48">
        <f t="shared" ca="1" si="112"/>
        <v>0.57607560773034439</v>
      </c>
    </row>
    <row r="883" spans="17:23" x14ac:dyDescent="0.2">
      <c r="Q883">
        <f t="shared" si="106"/>
        <v>867</v>
      </c>
      <c r="R883" s="48">
        <f t="shared" ca="1" si="107"/>
        <v>0.3</v>
      </c>
      <c r="S883">
        <f t="shared" ca="1" si="108"/>
        <v>221.83605552058413</v>
      </c>
      <c r="T883" s="61">
        <f t="shared" ca="1" si="109"/>
        <v>14400</v>
      </c>
      <c r="U883" s="61">
        <f t="shared" ca="1" si="110"/>
        <v>32228.191091527111</v>
      </c>
      <c r="V883" s="39">
        <f t="shared" ca="1" si="111"/>
        <v>0.21202757297057309</v>
      </c>
      <c r="W883" s="48">
        <f t="shared" ca="1" si="112"/>
        <v>3.7575040417006029</v>
      </c>
    </row>
    <row r="884" spans="17:23" x14ac:dyDescent="0.2">
      <c r="Q884">
        <f t="shared" si="106"/>
        <v>868</v>
      </c>
      <c r="R884" s="48">
        <f t="shared" ca="1" si="107"/>
        <v>0.3</v>
      </c>
      <c r="S884">
        <f t="shared" ca="1" si="108"/>
        <v>195.70147364515609</v>
      </c>
      <c r="T884" s="61">
        <f t="shared" ca="1" si="109"/>
        <v>14400</v>
      </c>
      <c r="U884" s="61">
        <f t="shared" ca="1" si="110"/>
        <v>17592.825241287406</v>
      </c>
      <c r="V884" s="39">
        <f t="shared" ca="1" si="111"/>
        <v>0.11574227132425925</v>
      </c>
      <c r="W884" s="48">
        <f t="shared" ca="1" si="112"/>
        <v>1.4310616584720015</v>
      </c>
    </row>
    <row r="885" spans="17:23" x14ac:dyDescent="0.2">
      <c r="Q885">
        <f t="shared" si="106"/>
        <v>869</v>
      </c>
      <c r="R885" s="48">
        <f t="shared" ca="1" si="107"/>
        <v>0.35</v>
      </c>
      <c r="S885">
        <f t="shared" ca="1" si="108"/>
        <v>203.15087013079949</v>
      </c>
      <c r="T885" s="61">
        <f t="shared" ca="1" si="109"/>
        <v>16800</v>
      </c>
      <c r="U885" s="61">
        <f t="shared" ca="1" si="110"/>
        <v>23638.452468015734</v>
      </c>
      <c r="V885" s="39">
        <f t="shared" ca="1" si="111"/>
        <v>0.15551613465799824</v>
      </c>
      <c r="W885" s="48">
        <f t="shared" ca="1" si="112"/>
        <v>2.2298564785790664</v>
      </c>
    </row>
    <row r="886" spans="17:23" x14ac:dyDescent="0.2">
      <c r="Q886">
        <f t="shared" si="106"/>
        <v>870</v>
      </c>
      <c r="R886" s="48">
        <f t="shared" ca="1" si="107"/>
        <v>0.3</v>
      </c>
      <c r="S886">
        <f t="shared" ca="1" si="108"/>
        <v>180.41442863898817</v>
      </c>
      <c r="T886" s="61">
        <f t="shared" ca="1" si="109"/>
        <v>14400</v>
      </c>
      <c r="U886" s="61">
        <f t="shared" ca="1" si="110"/>
        <v>9032.0800378333752</v>
      </c>
      <c r="V886" s="39">
        <f t="shared" ca="1" si="111"/>
        <v>5.9421579196272202E-2</v>
      </c>
      <c r="W886" s="48">
        <f t="shared" ca="1" si="112"/>
        <v>0.5971140932689496</v>
      </c>
    </row>
    <row r="887" spans="17:23" x14ac:dyDescent="0.2">
      <c r="Q887">
        <f t="shared" si="106"/>
        <v>871</v>
      </c>
      <c r="R887" s="48">
        <f t="shared" ca="1" si="107"/>
        <v>0.35</v>
      </c>
      <c r="S887">
        <f t="shared" ca="1" si="108"/>
        <v>197.30710361592591</v>
      </c>
      <c r="T887" s="61">
        <f t="shared" ca="1" si="109"/>
        <v>16800</v>
      </c>
      <c r="U887" s="61">
        <f t="shared" ca="1" si="110"/>
        <v>20599.693880281473</v>
      </c>
      <c r="V887" s="39">
        <f t="shared" ca="1" si="111"/>
        <v>0.13552430184395706</v>
      </c>
      <c r="W887" s="48">
        <f t="shared" ca="1" si="112"/>
        <v>1.8035248014324874</v>
      </c>
    </row>
    <row r="888" spans="17:23" x14ac:dyDescent="0.2">
      <c r="Q888">
        <f t="shared" si="106"/>
        <v>872</v>
      </c>
      <c r="R888" s="48">
        <f t="shared" ca="1" si="107"/>
        <v>0.3</v>
      </c>
      <c r="S888">
        <f t="shared" ca="1" si="108"/>
        <v>233.11308356451585</v>
      </c>
      <c r="T888" s="61">
        <f t="shared" ca="1" si="109"/>
        <v>14400</v>
      </c>
      <c r="U888" s="61">
        <f t="shared" ca="1" si="110"/>
        <v>38543.326796128873</v>
      </c>
      <c r="V888" s="39">
        <f t="shared" ca="1" si="111"/>
        <v>0.2535745183955847</v>
      </c>
      <c r="W888" s="48">
        <f t="shared" ca="1" si="112"/>
        <v>5.2532647686063756</v>
      </c>
    </row>
    <row r="889" spans="17:23" x14ac:dyDescent="0.2">
      <c r="Q889">
        <f t="shared" si="106"/>
        <v>873</v>
      </c>
      <c r="R889" s="48">
        <f t="shared" ca="1" si="107"/>
        <v>0.35</v>
      </c>
      <c r="S889">
        <f t="shared" ca="1" si="108"/>
        <v>178.27161747185482</v>
      </c>
      <c r="T889" s="61">
        <f t="shared" ca="1" si="109"/>
        <v>16800</v>
      </c>
      <c r="U889" s="61">
        <f t="shared" ca="1" si="110"/>
        <v>10701.241085364509</v>
      </c>
      <c r="V889" s="39">
        <f t="shared" ca="1" si="111"/>
        <v>7.0402901877398089E-2</v>
      </c>
      <c r="W889" s="48">
        <f t="shared" ca="1" si="112"/>
        <v>0.73644588457375226</v>
      </c>
    </row>
    <row r="890" spans="17:23" x14ac:dyDescent="0.2">
      <c r="Q890">
        <f t="shared" si="106"/>
        <v>874</v>
      </c>
      <c r="R890" s="48">
        <f t="shared" ca="1" si="107"/>
        <v>0.45</v>
      </c>
      <c r="S890">
        <f t="shared" ca="1" si="108"/>
        <v>195.84657110049088</v>
      </c>
      <c r="T890" s="61">
        <f t="shared" ca="1" si="109"/>
        <v>21600</v>
      </c>
      <c r="U890" s="61">
        <f t="shared" ca="1" si="110"/>
        <v>24172.491284215987</v>
      </c>
      <c r="V890" s="39">
        <f t="shared" ca="1" si="111"/>
        <v>0.15902954792247359</v>
      </c>
      <c r="W890" s="48">
        <f t="shared" ca="1" si="112"/>
        <v>2.3103786693270991</v>
      </c>
    </row>
    <row r="891" spans="17:23" x14ac:dyDescent="0.2">
      <c r="Q891">
        <f t="shared" si="106"/>
        <v>875</v>
      </c>
      <c r="R891" s="48">
        <f t="shared" ca="1" si="107"/>
        <v>0.35</v>
      </c>
      <c r="S891">
        <f t="shared" ca="1" si="108"/>
        <v>178.72029266811501</v>
      </c>
      <c r="T891" s="61">
        <f t="shared" ca="1" si="109"/>
        <v>16800</v>
      </c>
      <c r="U891" s="61">
        <f t="shared" ca="1" si="110"/>
        <v>10934.552187419804</v>
      </c>
      <c r="V891" s="39">
        <f t="shared" ca="1" si="111"/>
        <v>7.1937843338288177E-2</v>
      </c>
      <c r="W891" s="48">
        <f t="shared" ca="1" si="112"/>
        <v>0.75674612884994197</v>
      </c>
    </row>
    <row r="892" spans="17:23" x14ac:dyDescent="0.2">
      <c r="Q892">
        <f t="shared" si="106"/>
        <v>876</v>
      </c>
      <c r="R892" s="48">
        <f t="shared" ca="1" si="107"/>
        <v>0.3</v>
      </c>
      <c r="S892">
        <f t="shared" ca="1" si="108"/>
        <v>186.33058489498174</v>
      </c>
      <c r="T892" s="61">
        <f t="shared" ca="1" si="109"/>
        <v>14400</v>
      </c>
      <c r="U892" s="61">
        <f t="shared" ca="1" si="110"/>
        <v>12345.127541189775</v>
      </c>
      <c r="V892" s="39">
        <f t="shared" ca="1" si="111"/>
        <v>8.1217944349932736E-2</v>
      </c>
      <c r="W892" s="48">
        <f t="shared" ca="1" si="112"/>
        <v>0.88397049452767296</v>
      </c>
    </row>
    <row r="893" spans="17:23" x14ac:dyDescent="0.2">
      <c r="Q893">
        <f t="shared" si="106"/>
        <v>877</v>
      </c>
      <c r="R893" s="48">
        <f t="shared" ca="1" si="107"/>
        <v>0.217</v>
      </c>
      <c r="S893">
        <f t="shared" ca="1" si="108"/>
        <v>195.27307855692848</v>
      </c>
      <c r="T893" s="61">
        <f t="shared" ca="1" si="109"/>
        <v>10416</v>
      </c>
      <c r="U893" s="61">
        <f t="shared" ca="1" si="110"/>
        <v>13719.056408060002</v>
      </c>
      <c r="V893" s="39">
        <f t="shared" ca="1" si="111"/>
        <v>9.0256950053026322E-2</v>
      </c>
      <c r="W893" s="48">
        <f t="shared" ca="1" si="112"/>
        <v>1.0155834539416499</v>
      </c>
    </row>
    <row r="894" spans="17:23" x14ac:dyDescent="0.2">
      <c r="Q894">
        <f t="shared" si="106"/>
        <v>878</v>
      </c>
      <c r="R894" s="48">
        <f t="shared" ca="1" si="107"/>
        <v>0.3</v>
      </c>
      <c r="S894">
        <f t="shared" ca="1" si="108"/>
        <v>189.40818192960066</v>
      </c>
      <c r="T894" s="61">
        <f t="shared" ca="1" si="109"/>
        <v>14400</v>
      </c>
      <c r="U894" s="61">
        <f t="shared" ca="1" si="110"/>
        <v>14068.581880576368</v>
      </c>
      <c r="V894" s="39">
        <f t="shared" ca="1" si="111"/>
        <v>9.2556459740634006E-2</v>
      </c>
      <c r="W894" s="48">
        <f t="shared" ca="1" si="112"/>
        <v>1.0503247601181216</v>
      </c>
    </row>
    <row r="895" spans="17:23" x14ac:dyDescent="0.2">
      <c r="Q895">
        <f t="shared" si="106"/>
        <v>879</v>
      </c>
      <c r="R895" s="48">
        <f t="shared" ca="1" si="107"/>
        <v>0.35</v>
      </c>
      <c r="S895">
        <f t="shared" ca="1" si="108"/>
        <v>151.20297889563938</v>
      </c>
      <c r="T895" s="61">
        <f t="shared" ca="1" si="109"/>
        <v>16800</v>
      </c>
      <c r="U895" s="61">
        <f t="shared" ca="1" si="110"/>
        <v>-3374.4509742675255</v>
      </c>
      <c r="V895" s="39">
        <f t="shared" ca="1" si="111"/>
        <v>-2.2200335357023194E-2</v>
      </c>
      <c r="W895" s="48">
        <f t="shared" ca="1" si="112"/>
        <v>-0.16648057467721189</v>
      </c>
    </row>
    <row r="896" spans="17:23" x14ac:dyDescent="0.2">
      <c r="Q896">
        <f t="shared" si="106"/>
        <v>880</v>
      </c>
      <c r="R896" s="48">
        <f t="shared" ca="1" si="107"/>
        <v>0.35</v>
      </c>
      <c r="S896">
        <f t="shared" ca="1" si="108"/>
        <v>172.1680798902461</v>
      </c>
      <c r="T896" s="61">
        <f t="shared" ca="1" si="109"/>
        <v>16800</v>
      </c>
      <c r="U896" s="61">
        <f t="shared" ca="1" si="110"/>
        <v>7527.4015429279752</v>
      </c>
      <c r="V896" s="39">
        <f t="shared" ca="1" si="111"/>
        <v>4.9522378571894572E-2</v>
      </c>
      <c r="W896" s="48">
        <f t="shared" ca="1" si="112"/>
        <v>0.48001473076906898</v>
      </c>
    </row>
    <row r="897" spans="17:23" x14ac:dyDescent="0.2">
      <c r="Q897">
        <f t="shared" si="106"/>
        <v>881</v>
      </c>
      <c r="R897" s="48">
        <f t="shared" ca="1" si="107"/>
        <v>0.217</v>
      </c>
      <c r="S897">
        <f t="shared" ca="1" si="108"/>
        <v>168.71060566670079</v>
      </c>
      <c r="T897" s="61">
        <f t="shared" ca="1" si="109"/>
        <v>10416</v>
      </c>
      <c r="U897" s="61">
        <f t="shared" ca="1" si="110"/>
        <v>-2919.6766103786267</v>
      </c>
      <c r="V897" s="39">
        <f t="shared" ca="1" si="111"/>
        <v>-1.9208398752490967E-2</v>
      </c>
      <c r="W897" s="48">
        <f t="shared" ca="1" si="112"/>
        <v>-0.14556705029909001</v>
      </c>
    </row>
    <row r="898" spans="17:23" x14ac:dyDescent="0.2">
      <c r="Q898">
        <f t="shared" si="106"/>
        <v>882</v>
      </c>
      <c r="R898" s="48">
        <f t="shared" ca="1" si="107"/>
        <v>0.35</v>
      </c>
      <c r="S898">
        <f t="shared" ca="1" si="108"/>
        <v>210.52430112249135</v>
      </c>
      <c r="T898" s="61">
        <f t="shared" ca="1" si="109"/>
        <v>16800</v>
      </c>
      <c r="U898" s="61">
        <f t="shared" ca="1" si="110"/>
        <v>27472.636583695501</v>
      </c>
      <c r="V898" s="39">
        <f t="shared" ca="1" si="111"/>
        <v>0.18074103015589146</v>
      </c>
      <c r="W898" s="48">
        <f t="shared" ca="1" si="112"/>
        <v>2.8481715459628179</v>
      </c>
    </row>
    <row r="899" spans="17:23" x14ac:dyDescent="0.2">
      <c r="Q899">
        <f t="shared" si="106"/>
        <v>883</v>
      </c>
      <c r="R899" s="48">
        <f t="shared" ca="1" si="107"/>
        <v>0.35</v>
      </c>
      <c r="S899">
        <f t="shared" ca="1" si="108"/>
        <v>187.88436489387556</v>
      </c>
      <c r="T899" s="61">
        <f t="shared" ca="1" si="109"/>
        <v>16800</v>
      </c>
      <c r="U899" s="61">
        <f t="shared" ca="1" si="110"/>
        <v>15699.869744815289</v>
      </c>
      <c r="V899" s="39">
        <f t="shared" ca="1" si="111"/>
        <v>0.10328861674220585</v>
      </c>
      <c r="W899" s="48">
        <f t="shared" ca="1" si="112"/>
        <v>1.2195060653769141</v>
      </c>
    </row>
    <row r="900" spans="17:23" x14ac:dyDescent="0.2">
      <c r="Q900">
        <f t="shared" si="106"/>
        <v>884</v>
      </c>
      <c r="R900" s="48">
        <f t="shared" ca="1" si="107"/>
        <v>0.15</v>
      </c>
      <c r="S900">
        <f t="shared" ca="1" si="108"/>
        <v>171.19022215406409</v>
      </c>
      <c r="T900" s="61">
        <f t="shared" ca="1" si="109"/>
        <v>7200</v>
      </c>
      <c r="U900" s="61">
        <f t="shared" ca="1" si="110"/>
        <v>-5590.6489352364206</v>
      </c>
      <c r="V900" s="39">
        <f t="shared" ca="1" si="111"/>
        <v>-3.6780585100239606E-2</v>
      </c>
      <c r="W900" s="48">
        <f t="shared" ca="1" si="112"/>
        <v>-0.2621067900618379</v>
      </c>
    </row>
    <row r="901" spans="17:23" x14ac:dyDescent="0.2">
      <c r="Q901">
        <f t="shared" si="106"/>
        <v>885</v>
      </c>
      <c r="R901" s="48">
        <f t="shared" ca="1" si="107"/>
        <v>0.217</v>
      </c>
      <c r="S901">
        <f t="shared" ca="1" si="108"/>
        <v>194.3209756357428</v>
      </c>
      <c r="T901" s="61">
        <f t="shared" ca="1" si="109"/>
        <v>10416</v>
      </c>
      <c r="U901" s="61">
        <f t="shared" ca="1" si="110"/>
        <v>13122.659138229288</v>
      </c>
      <c r="V901" s="39">
        <f t="shared" ca="1" si="111"/>
        <v>8.6333283804140057E-2</v>
      </c>
      <c r="W901" s="48">
        <f t="shared" ca="1" si="112"/>
        <v>0.95749466004291151</v>
      </c>
    </row>
    <row r="902" spans="17:23" x14ac:dyDescent="0.2">
      <c r="Q902">
        <f t="shared" si="106"/>
        <v>886</v>
      </c>
      <c r="R902" s="48">
        <f t="shared" ca="1" si="107"/>
        <v>0.4</v>
      </c>
      <c r="S902">
        <f t="shared" ca="1" si="108"/>
        <v>174.93556298003463</v>
      </c>
      <c r="T902" s="61">
        <f t="shared" ca="1" si="109"/>
        <v>19200</v>
      </c>
      <c r="U902" s="61">
        <f t="shared" ca="1" si="110"/>
        <v>11969.070230416623</v>
      </c>
      <c r="V902" s="39">
        <f t="shared" ca="1" si="111"/>
        <v>7.8743883094846201E-2</v>
      </c>
      <c r="W902" s="48">
        <f t="shared" ca="1" si="112"/>
        <v>0.84928719664353669</v>
      </c>
    </row>
    <row r="903" spans="17:23" x14ac:dyDescent="0.2">
      <c r="Q903">
        <f t="shared" si="106"/>
        <v>887</v>
      </c>
      <c r="R903" s="48">
        <f t="shared" ca="1" si="107"/>
        <v>0.4</v>
      </c>
      <c r="S903">
        <f t="shared" ca="1" si="108"/>
        <v>196.80278336600119</v>
      </c>
      <c r="T903" s="61">
        <f t="shared" ca="1" si="109"/>
        <v>19200</v>
      </c>
      <c r="U903" s="61">
        <f t="shared" ca="1" si="110"/>
        <v>22465.336015680572</v>
      </c>
      <c r="V903" s="39">
        <f t="shared" ca="1" si="111"/>
        <v>0.14779826326105638</v>
      </c>
      <c r="W903" s="48">
        <f t="shared" ca="1" si="112"/>
        <v>2.0589771682009936</v>
      </c>
    </row>
    <row r="904" spans="17:23" x14ac:dyDescent="0.2">
      <c r="Q904">
        <f t="shared" si="106"/>
        <v>888</v>
      </c>
      <c r="R904" s="48">
        <f t="shared" ca="1" si="107"/>
        <v>0.5</v>
      </c>
      <c r="S904">
        <f t="shared" ca="1" si="108"/>
        <v>159.74876043191875</v>
      </c>
      <c r="T904" s="61">
        <f t="shared" ca="1" si="109"/>
        <v>24000</v>
      </c>
      <c r="U904" s="61">
        <f t="shared" ca="1" si="110"/>
        <v>11899.504172767502</v>
      </c>
      <c r="V904" s="39">
        <f t="shared" ca="1" si="111"/>
        <v>7.8286211662944083E-2</v>
      </c>
      <c r="W904" s="48">
        <f t="shared" ca="1" si="112"/>
        <v>0.84293293469397912</v>
      </c>
    </row>
    <row r="905" spans="17:23" x14ac:dyDescent="0.2">
      <c r="Q905">
        <f t="shared" si="106"/>
        <v>889</v>
      </c>
      <c r="R905" s="48">
        <f t="shared" ca="1" si="107"/>
        <v>0.5</v>
      </c>
      <c r="S905">
        <f t="shared" ca="1" si="108"/>
        <v>192.14675744491294</v>
      </c>
      <c r="T905" s="61">
        <f t="shared" ca="1" si="109"/>
        <v>24000</v>
      </c>
      <c r="U905" s="61">
        <f t="shared" ca="1" si="110"/>
        <v>24858.702977965175</v>
      </c>
      <c r="V905" s="39">
        <f t="shared" ca="1" si="111"/>
        <v>0.16354409853924456</v>
      </c>
      <c r="W905" s="48">
        <f t="shared" ca="1" si="112"/>
        <v>2.4164257577749768</v>
      </c>
    </row>
    <row r="906" spans="17:23" x14ac:dyDescent="0.2">
      <c r="Q906">
        <f t="shared" si="106"/>
        <v>890</v>
      </c>
      <c r="R906" s="48">
        <f t="shared" ca="1" si="107"/>
        <v>0.35</v>
      </c>
      <c r="S906">
        <f t="shared" ca="1" si="108"/>
        <v>185.42279508046238</v>
      </c>
      <c r="T906" s="61">
        <f t="shared" ca="1" si="109"/>
        <v>16800</v>
      </c>
      <c r="U906" s="61">
        <f t="shared" ca="1" si="110"/>
        <v>14419.853441840438</v>
      </c>
      <c r="V906" s="39">
        <f t="shared" ca="1" si="111"/>
        <v>9.4867456854213411E-2</v>
      </c>
      <c r="W906" s="48">
        <f t="shared" ca="1" si="112"/>
        <v>1.0857674389939485</v>
      </c>
    </row>
    <row r="907" spans="17:23" x14ac:dyDescent="0.2">
      <c r="Q907">
        <f t="shared" si="106"/>
        <v>891</v>
      </c>
      <c r="R907" s="48">
        <f t="shared" ca="1" si="107"/>
        <v>0.35</v>
      </c>
      <c r="S907">
        <f t="shared" ca="1" si="108"/>
        <v>208.89974521370152</v>
      </c>
      <c r="T907" s="61">
        <f t="shared" ca="1" si="109"/>
        <v>16800</v>
      </c>
      <c r="U907" s="61">
        <f t="shared" ca="1" si="110"/>
        <v>26627.86751112479</v>
      </c>
      <c r="V907" s="39">
        <f t="shared" ca="1" si="111"/>
        <v>0.17518333888897888</v>
      </c>
      <c r="W907" s="48">
        <f t="shared" ca="1" si="112"/>
        <v>2.7036890626609522</v>
      </c>
    </row>
    <row r="908" spans="17:23" x14ac:dyDescent="0.2">
      <c r="Q908">
        <f t="shared" si="106"/>
        <v>892</v>
      </c>
      <c r="R908" s="48">
        <f t="shared" ca="1" si="107"/>
        <v>0.4</v>
      </c>
      <c r="S908">
        <f t="shared" ca="1" si="108"/>
        <v>226.08664786446079</v>
      </c>
      <c r="T908" s="61">
        <f t="shared" ca="1" si="109"/>
        <v>19200</v>
      </c>
      <c r="U908" s="61">
        <f t="shared" ca="1" si="110"/>
        <v>36521.59097494118</v>
      </c>
      <c r="V908" s="39">
        <f t="shared" ca="1" si="111"/>
        <v>0.24027362483513934</v>
      </c>
      <c r="W908" s="48">
        <f t="shared" ca="1" si="112"/>
        <v>4.7349666979777556</v>
      </c>
    </row>
    <row r="909" spans="17:23" x14ac:dyDescent="0.2">
      <c r="Q909">
        <f t="shared" si="106"/>
        <v>893</v>
      </c>
      <c r="R909" s="48">
        <f t="shared" ca="1" si="107"/>
        <v>0.217</v>
      </c>
      <c r="S909">
        <f t="shared" ca="1" si="108"/>
        <v>188.42233652013761</v>
      </c>
      <c r="T909" s="61">
        <f t="shared" ca="1" si="109"/>
        <v>10416</v>
      </c>
      <c r="U909" s="61">
        <f t="shared" ca="1" si="110"/>
        <v>9427.7515962141952</v>
      </c>
      <c r="V909" s="39">
        <f t="shared" ca="1" si="111"/>
        <v>6.2024681554040756E-2</v>
      </c>
      <c r="W909" s="48">
        <f t="shared" ca="1" si="112"/>
        <v>0.62922372156554318</v>
      </c>
    </row>
    <row r="910" spans="17:23" x14ac:dyDescent="0.2">
      <c r="Q910">
        <f t="shared" si="106"/>
        <v>894</v>
      </c>
      <c r="R910" s="48">
        <f t="shared" ca="1" si="107"/>
        <v>0.3</v>
      </c>
      <c r="S910">
        <f t="shared" ca="1" si="108"/>
        <v>159.97843072508459</v>
      </c>
      <c r="T910" s="61">
        <f t="shared" ca="1" si="109"/>
        <v>14400</v>
      </c>
      <c r="U910" s="61">
        <f t="shared" ca="1" si="110"/>
        <v>-2412.0787939526272</v>
      </c>
      <c r="V910" s="39">
        <f t="shared" ca="1" si="111"/>
        <v>-1.5868939433898863E-2</v>
      </c>
      <c r="W910" s="48">
        <f t="shared" ca="1" si="112"/>
        <v>-0.12168233785847937</v>
      </c>
    </row>
    <row r="911" spans="17:23" x14ac:dyDescent="0.2">
      <c r="Q911">
        <f t="shared" si="106"/>
        <v>895</v>
      </c>
      <c r="R911" s="48">
        <f t="shared" ca="1" si="107"/>
        <v>0.35</v>
      </c>
      <c r="S911">
        <f t="shared" ca="1" si="108"/>
        <v>217.86751200762893</v>
      </c>
      <c r="T911" s="61">
        <f t="shared" ca="1" si="109"/>
        <v>16800</v>
      </c>
      <c r="U911" s="61">
        <f t="shared" ca="1" si="110"/>
        <v>31291.106243967042</v>
      </c>
      <c r="V911" s="39">
        <f t="shared" ca="1" si="111"/>
        <v>0.20586254107873053</v>
      </c>
      <c r="W911" s="48">
        <f t="shared" ca="1" si="112"/>
        <v>3.5647345243915769</v>
      </c>
    </row>
    <row r="912" spans="17:23" x14ac:dyDescent="0.2">
      <c r="Q912">
        <f t="shared" si="106"/>
        <v>896</v>
      </c>
      <c r="R912" s="48">
        <f t="shared" ca="1" si="107"/>
        <v>0.3</v>
      </c>
      <c r="S912">
        <f t="shared" ca="1" si="108"/>
        <v>200.883165099552</v>
      </c>
      <c r="T912" s="61">
        <f t="shared" ca="1" si="109"/>
        <v>14400</v>
      </c>
      <c r="U912" s="61">
        <f t="shared" ca="1" si="110"/>
        <v>20494.572455749119</v>
      </c>
      <c r="V912" s="39">
        <f t="shared" ca="1" si="111"/>
        <v>0.13483271352466525</v>
      </c>
      <c r="W912" s="48">
        <f t="shared" ca="1" si="112"/>
        <v>1.7897051957187458</v>
      </c>
    </row>
    <row r="913" spans="17:23" x14ac:dyDescent="0.2">
      <c r="Q913">
        <f t="shared" si="106"/>
        <v>897</v>
      </c>
      <c r="R913" s="48">
        <f t="shared" ca="1" si="107"/>
        <v>0.35</v>
      </c>
      <c r="S913">
        <f t="shared" ca="1" si="108"/>
        <v>187.78162369631525</v>
      </c>
      <c r="T913" s="61">
        <f t="shared" ca="1" si="109"/>
        <v>16800</v>
      </c>
      <c r="U913" s="61">
        <f t="shared" ca="1" si="110"/>
        <v>15646.444322083931</v>
      </c>
      <c r="V913" s="39">
        <f t="shared" ca="1" si="111"/>
        <v>0.1029371336979206</v>
      </c>
      <c r="W913" s="48">
        <f t="shared" ca="1" si="112"/>
        <v>1.2137773132003633</v>
      </c>
    </row>
    <row r="914" spans="17:23" x14ac:dyDescent="0.2">
      <c r="Q914">
        <f t="shared" si="106"/>
        <v>898</v>
      </c>
      <c r="R914" s="48">
        <f t="shared" ca="1" si="107"/>
        <v>0.35</v>
      </c>
      <c r="S914">
        <f t="shared" ca="1" si="108"/>
        <v>196.2849259070741</v>
      </c>
      <c r="T914" s="61">
        <f t="shared" ca="1" si="109"/>
        <v>16800</v>
      </c>
      <c r="U914" s="61">
        <f t="shared" ca="1" si="110"/>
        <v>20068.16147167853</v>
      </c>
      <c r="V914" s="39">
        <f t="shared" ca="1" si="111"/>
        <v>0.13202737810314821</v>
      </c>
      <c r="W914" s="48">
        <f t="shared" ca="1" si="112"/>
        <v>1.7342583469543547</v>
      </c>
    </row>
    <row r="915" spans="17:23" x14ac:dyDescent="0.2">
      <c r="Q915">
        <f t="shared" ref="Q915:Q978" si="113">Q914+1</f>
        <v>899</v>
      </c>
      <c r="R915" s="48">
        <f t="shared" ref="R915:R978" ca="1" si="114">LOOKUP(RAND(),$U$6:$U$12,$S$6:$S$12)</f>
        <v>0.4</v>
      </c>
      <c r="S915">
        <f t="shared" ref="S915:S978" ca="1" si="115">_xlfn.NORM.INV(RAND(),$Q$5,$Q$10)</f>
        <v>172.50275516658547</v>
      </c>
      <c r="T915" s="61">
        <f t="shared" ref="T915:T978" ca="1" si="116">($B$8-$B$7)*($E$6*R915)</f>
        <v>19200</v>
      </c>
      <c r="U915" s="61">
        <f t="shared" ref="U915:U978" ca="1" si="117">T915+((S915-$B$7)*($E$6*(1-R915)))</f>
        <v>10801.322479961027</v>
      </c>
      <c r="V915" s="39">
        <f t="shared" ref="V915:V978" ca="1" si="118">U915/$E$4</f>
        <v>7.1061332105006758E-2</v>
      </c>
      <c r="W915" s="48">
        <f t="shared" ref="W915:W978" ca="1" si="119">(1+V915)^($J$29/$J$30)-1</f>
        <v>0.74512857039037916</v>
      </c>
    </row>
    <row r="916" spans="17:23" x14ac:dyDescent="0.2">
      <c r="Q916">
        <f t="shared" si="113"/>
        <v>900</v>
      </c>
      <c r="R916" s="48">
        <f t="shared" ca="1" si="114"/>
        <v>0.3</v>
      </c>
      <c r="S916">
        <f t="shared" ca="1" si="115"/>
        <v>193.68686559747937</v>
      </c>
      <c r="T916" s="61">
        <f t="shared" ca="1" si="116"/>
        <v>14400</v>
      </c>
      <c r="U916" s="61">
        <f t="shared" ca="1" si="117"/>
        <v>16464.644734588444</v>
      </c>
      <c r="V916" s="39">
        <f t="shared" ca="1" si="118"/>
        <v>0.10832003114860819</v>
      </c>
      <c r="W916" s="48">
        <f t="shared" ca="1" si="119"/>
        <v>1.3029486693627281</v>
      </c>
    </row>
    <row r="917" spans="17:23" x14ac:dyDescent="0.2">
      <c r="Q917">
        <f t="shared" si="113"/>
        <v>901</v>
      </c>
      <c r="R917" s="48">
        <f t="shared" ca="1" si="114"/>
        <v>0.217</v>
      </c>
      <c r="S917">
        <f t="shared" ca="1" si="115"/>
        <v>181.84487075915987</v>
      </c>
      <c r="T917" s="61">
        <f t="shared" ca="1" si="116"/>
        <v>10416</v>
      </c>
      <c r="U917" s="61">
        <f t="shared" ca="1" si="117"/>
        <v>5307.6270435377455</v>
      </c>
      <c r="V917" s="39">
        <f t="shared" ca="1" si="118"/>
        <v>3.4918598970643061E-2</v>
      </c>
      <c r="W917" s="48">
        <f t="shared" ca="1" si="119"/>
        <v>0.32100900720728553</v>
      </c>
    </row>
    <row r="918" spans="17:23" x14ac:dyDescent="0.2">
      <c r="Q918">
        <f t="shared" si="113"/>
        <v>902</v>
      </c>
      <c r="R918" s="48">
        <f t="shared" ca="1" si="114"/>
        <v>0.35</v>
      </c>
      <c r="S918">
        <f t="shared" ca="1" si="115"/>
        <v>218.502442924115</v>
      </c>
      <c r="T918" s="61">
        <f t="shared" ca="1" si="116"/>
        <v>16800</v>
      </c>
      <c r="U918" s="61">
        <f t="shared" ca="1" si="117"/>
        <v>31621.270320539799</v>
      </c>
      <c r="V918" s="39">
        <f t="shared" ca="1" si="118"/>
        <v>0.20803467316144605</v>
      </c>
      <c r="W918" s="48">
        <f t="shared" ca="1" si="119"/>
        <v>3.6318568667902271</v>
      </c>
    </row>
    <row r="919" spans="17:23" x14ac:dyDescent="0.2">
      <c r="Q919">
        <f t="shared" si="113"/>
        <v>903</v>
      </c>
      <c r="R919" s="48">
        <f t="shared" ca="1" si="114"/>
        <v>0.45</v>
      </c>
      <c r="S919">
        <f t="shared" ca="1" si="115"/>
        <v>201.96563552379232</v>
      </c>
      <c r="T919" s="61">
        <f t="shared" ca="1" si="116"/>
        <v>21600</v>
      </c>
      <c r="U919" s="61">
        <f t="shared" ca="1" si="117"/>
        <v>26864.879630468618</v>
      </c>
      <c r="V919" s="39">
        <f t="shared" ca="1" si="118"/>
        <v>0.17674262914781985</v>
      </c>
      <c r="W919" s="48">
        <f t="shared" ca="1" si="119"/>
        <v>2.7437375186446848</v>
      </c>
    </row>
    <row r="920" spans="17:23" x14ac:dyDescent="0.2">
      <c r="Q920">
        <f t="shared" si="113"/>
        <v>904</v>
      </c>
      <c r="R920" s="48">
        <f t="shared" ca="1" si="114"/>
        <v>0.15</v>
      </c>
      <c r="S920">
        <f t="shared" ca="1" si="115"/>
        <v>181.01160196463093</v>
      </c>
      <c r="T920" s="61">
        <f t="shared" ca="1" si="116"/>
        <v>7200</v>
      </c>
      <c r="U920" s="61">
        <f t="shared" ca="1" si="117"/>
        <v>1087.8893359490303</v>
      </c>
      <c r="V920" s="39">
        <f t="shared" ca="1" si="118"/>
        <v>7.1571666838751991E-3</v>
      </c>
      <c r="W920" s="48">
        <f t="shared" ca="1" si="119"/>
        <v>5.9551615297865901E-2</v>
      </c>
    </row>
    <row r="921" spans="17:23" x14ac:dyDescent="0.2">
      <c r="Q921">
        <f t="shared" si="113"/>
        <v>905</v>
      </c>
      <c r="R921" s="48">
        <f t="shared" ca="1" si="114"/>
        <v>0.4</v>
      </c>
      <c r="S921">
        <f t="shared" ca="1" si="115"/>
        <v>192.73847043182025</v>
      </c>
      <c r="T921" s="61">
        <f t="shared" ca="1" si="116"/>
        <v>19200</v>
      </c>
      <c r="U921" s="61">
        <f t="shared" ca="1" si="117"/>
        <v>20514.465807273718</v>
      </c>
      <c r="V921" s="39">
        <f t="shared" ca="1" si="118"/>
        <v>0.13496359083732709</v>
      </c>
      <c r="W921" s="48">
        <f t="shared" ca="1" si="119"/>
        <v>1.792315849457049</v>
      </c>
    </row>
    <row r="922" spans="17:23" x14ac:dyDescent="0.2">
      <c r="Q922">
        <f t="shared" si="113"/>
        <v>906</v>
      </c>
      <c r="R922" s="48">
        <f t="shared" ca="1" si="114"/>
        <v>0.217</v>
      </c>
      <c r="S922">
        <f t="shared" ca="1" si="115"/>
        <v>174.67645596391301</v>
      </c>
      <c r="T922" s="61">
        <f t="shared" ca="1" si="116"/>
        <v>10416</v>
      </c>
      <c r="U922" s="61">
        <f t="shared" ca="1" si="117"/>
        <v>817.33201579511297</v>
      </c>
      <c r="V922" s="39">
        <f t="shared" ca="1" si="118"/>
        <v>5.3771843144415328E-3</v>
      </c>
      <c r="W922" s="48">
        <f t="shared" ca="1" si="119"/>
        <v>4.4458004961918984E-2</v>
      </c>
    </row>
    <row r="923" spans="17:23" x14ac:dyDescent="0.2">
      <c r="Q923">
        <f t="shared" si="113"/>
        <v>907</v>
      </c>
      <c r="R923" s="48">
        <f t="shared" ca="1" si="114"/>
        <v>0.4</v>
      </c>
      <c r="S923">
        <f t="shared" ca="1" si="115"/>
        <v>201.93201223500222</v>
      </c>
      <c r="T923" s="61">
        <f t="shared" ca="1" si="116"/>
        <v>19200</v>
      </c>
      <c r="U923" s="61">
        <f t="shared" ca="1" si="117"/>
        <v>24927.365872801063</v>
      </c>
      <c r="V923" s="39">
        <f t="shared" ca="1" si="118"/>
        <v>0.16399582811053331</v>
      </c>
      <c r="W923" s="48">
        <f t="shared" ca="1" si="119"/>
        <v>2.4271990284073781</v>
      </c>
    </row>
    <row r="924" spans="17:23" x14ac:dyDescent="0.2">
      <c r="Q924">
        <f t="shared" si="113"/>
        <v>908</v>
      </c>
      <c r="R924" s="48">
        <f t="shared" ca="1" si="114"/>
        <v>0.45</v>
      </c>
      <c r="S924">
        <f t="shared" ca="1" si="115"/>
        <v>213.41147115097274</v>
      </c>
      <c r="T924" s="61">
        <f t="shared" ca="1" si="116"/>
        <v>21600</v>
      </c>
      <c r="U924" s="61">
        <f t="shared" ca="1" si="117"/>
        <v>31901.047306428009</v>
      </c>
      <c r="V924" s="39">
        <f t="shared" ca="1" si="118"/>
        <v>0.20987531122650005</v>
      </c>
      <c r="W924" s="48">
        <f t="shared" ca="1" si="119"/>
        <v>3.6894112209302357</v>
      </c>
    </row>
    <row r="925" spans="17:23" x14ac:dyDescent="0.2">
      <c r="Q925">
        <f t="shared" si="113"/>
        <v>909</v>
      </c>
      <c r="R925" s="48">
        <f t="shared" ca="1" si="114"/>
        <v>0.4</v>
      </c>
      <c r="S925">
        <f t="shared" ca="1" si="115"/>
        <v>222.42920785869677</v>
      </c>
      <c r="T925" s="61">
        <f t="shared" ca="1" si="116"/>
        <v>19200</v>
      </c>
      <c r="U925" s="61">
        <f t="shared" ca="1" si="117"/>
        <v>34766.019772174448</v>
      </c>
      <c r="V925" s="39">
        <f t="shared" ca="1" si="118"/>
        <v>0.22872381429062136</v>
      </c>
      <c r="W925" s="48">
        <f t="shared" ca="1" si="119"/>
        <v>4.3158604122690374</v>
      </c>
    </row>
    <row r="926" spans="17:23" x14ac:dyDescent="0.2">
      <c r="Q926">
        <f t="shared" si="113"/>
        <v>910</v>
      </c>
      <c r="R926" s="48">
        <f t="shared" ca="1" si="114"/>
        <v>0.4</v>
      </c>
      <c r="S926">
        <f t="shared" ca="1" si="115"/>
        <v>164.4481590413491</v>
      </c>
      <c r="T926" s="61">
        <f t="shared" ca="1" si="116"/>
        <v>19200</v>
      </c>
      <c r="U926" s="61">
        <f t="shared" ca="1" si="117"/>
        <v>6935.1163398475692</v>
      </c>
      <c r="V926" s="39">
        <f t="shared" ca="1" si="118"/>
        <v>4.5625765393734009E-2</v>
      </c>
      <c r="W926" s="48">
        <f t="shared" ca="1" si="119"/>
        <v>0.43602873169352629</v>
      </c>
    </row>
    <row r="927" spans="17:23" x14ac:dyDescent="0.2">
      <c r="Q927">
        <f t="shared" si="113"/>
        <v>911</v>
      </c>
      <c r="R927" s="48">
        <f t="shared" ca="1" si="114"/>
        <v>0.4</v>
      </c>
      <c r="S927">
        <f t="shared" ca="1" si="115"/>
        <v>213.65164739682689</v>
      </c>
      <c r="T927" s="61">
        <f t="shared" ca="1" si="116"/>
        <v>19200</v>
      </c>
      <c r="U927" s="61">
        <f t="shared" ca="1" si="117"/>
        <v>30552.790750476906</v>
      </c>
      <c r="V927" s="39">
        <f t="shared" ca="1" si="118"/>
        <v>0.20100520230576913</v>
      </c>
      <c r="W927" s="48">
        <f t="shared" ca="1" si="119"/>
        <v>3.4177123045781181</v>
      </c>
    </row>
    <row r="928" spans="17:23" x14ac:dyDescent="0.2">
      <c r="Q928">
        <f t="shared" si="113"/>
        <v>912</v>
      </c>
      <c r="R928" s="48">
        <f t="shared" ca="1" si="114"/>
        <v>0.4</v>
      </c>
      <c r="S928">
        <f t="shared" ca="1" si="115"/>
        <v>207.10777409576176</v>
      </c>
      <c r="T928" s="61">
        <f t="shared" ca="1" si="116"/>
        <v>19200</v>
      </c>
      <c r="U928" s="61">
        <f t="shared" ca="1" si="117"/>
        <v>27411.731565965641</v>
      </c>
      <c r="V928" s="39">
        <f t="shared" ca="1" si="118"/>
        <v>0.18034033924977397</v>
      </c>
      <c r="W928" s="48">
        <f t="shared" ca="1" si="119"/>
        <v>2.8375920340156524</v>
      </c>
    </row>
    <row r="929" spans="17:23" x14ac:dyDescent="0.2">
      <c r="Q929">
        <f t="shared" si="113"/>
        <v>913</v>
      </c>
      <c r="R929" s="48">
        <f t="shared" ca="1" si="114"/>
        <v>0.3</v>
      </c>
      <c r="S929">
        <f t="shared" ca="1" si="115"/>
        <v>224.43034402781169</v>
      </c>
      <c r="T929" s="61">
        <f t="shared" ca="1" si="116"/>
        <v>14400</v>
      </c>
      <c r="U929" s="61">
        <f t="shared" ca="1" si="117"/>
        <v>33680.992655574548</v>
      </c>
      <c r="V929" s="39">
        <f t="shared" ca="1" si="118"/>
        <v>0.22158547799720096</v>
      </c>
      <c r="W929" s="48">
        <f t="shared" ca="1" si="119"/>
        <v>4.0704802668512778</v>
      </c>
    </row>
    <row r="930" spans="17:23" x14ac:dyDescent="0.2">
      <c r="Q930">
        <f t="shared" si="113"/>
        <v>914</v>
      </c>
      <c r="R930" s="48">
        <f t="shared" ca="1" si="114"/>
        <v>0.45</v>
      </c>
      <c r="S930">
        <f t="shared" ca="1" si="115"/>
        <v>194.72172430736632</v>
      </c>
      <c r="T930" s="61">
        <f t="shared" ca="1" si="116"/>
        <v>21600</v>
      </c>
      <c r="U930" s="61">
        <f t="shared" ca="1" si="117"/>
        <v>23677.55869524118</v>
      </c>
      <c r="V930" s="39">
        <f t="shared" ca="1" si="118"/>
        <v>0.15577341246869197</v>
      </c>
      <c r="W930" s="48">
        <f t="shared" ca="1" si="119"/>
        <v>2.235694070365482</v>
      </c>
    </row>
    <row r="931" spans="17:23" x14ac:dyDescent="0.2">
      <c r="Q931">
        <f t="shared" si="113"/>
        <v>915</v>
      </c>
      <c r="R931" s="48">
        <f t="shared" ca="1" si="114"/>
        <v>0.3</v>
      </c>
      <c r="S931">
        <f t="shared" ca="1" si="115"/>
        <v>173.06854964889089</v>
      </c>
      <c r="T931" s="61">
        <f t="shared" ca="1" si="116"/>
        <v>14400</v>
      </c>
      <c r="U931" s="61">
        <f t="shared" ca="1" si="117"/>
        <v>4918.3878033789006</v>
      </c>
      <c r="V931" s="39">
        <f t="shared" ca="1" si="118"/>
        <v>3.2357814495913823E-2</v>
      </c>
      <c r="W931" s="48">
        <f t="shared" ca="1" si="119"/>
        <v>0.29472844879791849</v>
      </c>
    </row>
    <row r="932" spans="17:23" x14ac:dyDescent="0.2">
      <c r="Q932">
        <f t="shared" si="113"/>
        <v>916</v>
      </c>
      <c r="R932" s="48">
        <f t="shared" ca="1" si="114"/>
        <v>0.4</v>
      </c>
      <c r="S932">
        <f t="shared" ca="1" si="115"/>
        <v>173.62835627666473</v>
      </c>
      <c r="T932" s="61">
        <f t="shared" ca="1" si="116"/>
        <v>19200</v>
      </c>
      <c r="U932" s="61">
        <f t="shared" ca="1" si="117"/>
        <v>11341.611012799072</v>
      </c>
      <c r="V932" s="39">
        <f t="shared" ca="1" si="118"/>
        <v>7.4615861926309687E-2</v>
      </c>
      <c r="W932" s="48">
        <f t="shared" ca="1" si="119"/>
        <v>0.79266259446240439</v>
      </c>
    </row>
    <row r="933" spans="17:23" x14ac:dyDescent="0.2">
      <c r="Q933">
        <f t="shared" si="113"/>
        <v>917</v>
      </c>
      <c r="R933" s="48">
        <f t="shared" ca="1" si="114"/>
        <v>0.35</v>
      </c>
      <c r="S933">
        <f t="shared" ca="1" si="115"/>
        <v>186.55180152035996</v>
      </c>
      <c r="T933" s="61">
        <f t="shared" ca="1" si="116"/>
        <v>16800</v>
      </c>
      <c r="U933" s="61">
        <f t="shared" ca="1" si="117"/>
        <v>15006.936790587179</v>
      </c>
      <c r="V933" s="39">
        <f t="shared" ca="1" si="118"/>
        <v>9.8729847306494603E-2</v>
      </c>
      <c r="W933" s="48">
        <f t="shared" ca="1" si="119"/>
        <v>1.1462030864405199</v>
      </c>
    </row>
    <row r="934" spans="17:23" x14ac:dyDescent="0.2">
      <c r="Q934">
        <f t="shared" si="113"/>
        <v>918</v>
      </c>
      <c r="R934" s="48">
        <f t="shared" ca="1" si="114"/>
        <v>0.4</v>
      </c>
      <c r="S934">
        <f t="shared" ca="1" si="115"/>
        <v>208.35868527505215</v>
      </c>
      <c r="T934" s="61">
        <f t="shared" ca="1" si="116"/>
        <v>19200</v>
      </c>
      <c r="U934" s="61">
        <f t="shared" ca="1" si="117"/>
        <v>28012.168932025033</v>
      </c>
      <c r="V934" s="39">
        <f t="shared" ca="1" si="118"/>
        <v>0.18429058507911206</v>
      </c>
      <c r="W934" s="48">
        <f t="shared" ca="1" si="119"/>
        <v>2.9430133231222189</v>
      </c>
    </row>
    <row r="935" spans="17:23" x14ac:dyDescent="0.2">
      <c r="Q935">
        <f t="shared" si="113"/>
        <v>919</v>
      </c>
      <c r="R935" s="48">
        <f t="shared" ca="1" si="114"/>
        <v>0.3</v>
      </c>
      <c r="S935">
        <f t="shared" ca="1" si="115"/>
        <v>208.57632192654623</v>
      </c>
      <c r="T935" s="61">
        <f t="shared" ca="1" si="116"/>
        <v>14400</v>
      </c>
      <c r="U935" s="61">
        <f t="shared" ca="1" si="117"/>
        <v>24802.740278865887</v>
      </c>
      <c r="V935" s="39">
        <f t="shared" ca="1" si="118"/>
        <v>0.16317592288727559</v>
      </c>
      <c r="W935" s="48">
        <f t="shared" ca="1" si="119"/>
        <v>2.4076671317509208</v>
      </c>
    </row>
    <row r="936" spans="17:23" x14ac:dyDescent="0.2">
      <c r="Q936">
        <f t="shared" si="113"/>
        <v>920</v>
      </c>
      <c r="R936" s="48">
        <f t="shared" ca="1" si="114"/>
        <v>0.45</v>
      </c>
      <c r="S936">
        <f t="shared" ca="1" si="115"/>
        <v>208.56714135289371</v>
      </c>
      <c r="T936" s="61">
        <f t="shared" ca="1" si="116"/>
        <v>21600</v>
      </c>
      <c r="U936" s="61">
        <f t="shared" ca="1" si="117"/>
        <v>29769.542195273236</v>
      </c>
      <c r="V936" s="39">
        <f t="shared" ca="1" si="118"/>
        <v>0.19585225128469233</v>
      </c>
      <c r="W936" s="48">
        <f t="shared" ca="1" si="119"/>
        <v>3.2662965489032656</v>
      </c>
    </row>
    <row r="937" spans="17:23" x14ac:dyDescent="0.2">
      <c r="Q937">
        <f t="shared" si="113"/>
        <v>921</v>
      </c>
      <c r="R937" s="48">
        <f t="shared" ca="1" si="114"/>
        <v>0.45</v>
      </c>
      <c r="S937">
        <f t="shared" ca="1" si="115"/>
        <v>218.84877119162334</v>
      </c>
      <c r="T937" s="61">
        <f t="shared" ca="1" si="116"/>
        <v>21600</v>
      </c>
      <c r="U937" s="61">
        <f t="shared" ca="1" si="117"/>
        <v>34293.459324314274</v>
      </c>
      <c r="V937" s="39">
        <f t="shared" ca="1" si="118"/>
        <v>0.22561486397575181</v>
      </c>
      <c r="W937" s="48">
        <f t="shared" ca="1" si="119"/>
        <v>4.2077396925892758</v>
      </c>
    </row>
    <row r="938" spans="17:23" x14ac:dyDescent="0.2">
      <c r="Q938">
        <f t="shared" si="113"/>
        <v>922</v>
      </c>
      <c r="R938" s="48">
        <f t="shared" ca="1" si="114"/>
        <v>0.3</v>
      </c>
      <c r="S938">
        <f t="shared" ca="1" si="115"/>
        <v>189.78850258805107</v>
      </c>
      <c r="T938" s="61">
        <f t="shared" ca="1" si="116"/>
        <v>14400</v>
      </c>
      <c r="U938" s="61">
        <f t="shared" ca="1" si="117"/>
        <v>14281.561449308601</v>
      </c>
      <c r="V938" s="39">
        <f t="shared" ca="1" si="118"/>
        <v>9.3957641113872378E-2</v>
      </c>
      <c r="W938" s="48">
        <f t="shared" ca="1" si="119"/>
        <v>1.0717504335743042</v>
      </c>
    </row>
    <row r="939" spans="17:23" x14ac:dyDescent="0.2">
      <c r="Q939">
        <f t="shared" si="113"/>
        <v>923</v>
      </c>
      <c r="R939" s="48">
        <f t="shared" ca="1" si="114"/>
        <v>0.217</v>
      </c>
      <c r="S939">
        <f t="shared" ca="1" si="115"/>
        <v>204.95789277717523</v>
      </c>
      <c r="T939" s="61">
        <f t="shared" ca="1" si="116"/>
        <v>10416</v>
      </c>
      <c r="U939" s="61">
        <f t="shared" ca="1" si="117"/>
        <v>19785.624035622564</v>
      </c>
      <c r="V939" s="39">
        <f t="shared" ca="1" si="118"/>
        <v>0.13016857918172739</v>
      </c>
      <c r="W939" s="48">
        <f t="shared" ca="1" si="119"/>
        <v>1.6980539815362947</v>
      </c>
    </row>
    <row r="940" spans="17:23" x14ac:dyDescent="0.2">
      <c r="Q940">
        <f t="shared" si="113"/>
        <v>924</v>
      </c>
      <c r="R940" s="48">
        <f t="shared" ca="1" si="114"/>
        <v>0.45</v>
      </c>
      <c r="S940">
        <f t="shared" ca="1" si="115"/>
        <v>179.74157382135647</v>
      </c>
      <c r="T940" s="61">
        <f t="shared" ca="1" si="116"/>
        <v>21600</v>
      </c>
      <c r="U940" s="61">
        <f t="shared" ca="1" si="117"/>
        <v>17086.292481396846</v>
      </c>
      <c r="V940" s="39">
        <f t="shared" ca="1" si="118"/>
        <v>0.11240981895655819</v>
      </c>
      <c r="W940" s="48">
        <f t="shared" ca="1" si="119"/>
        <v>1.3727885816137753</v>
      </c>
    </row>
    <row r="941" spans="17:23" x14ac:dyDescent="0.2">
      <c r="Q941">
        <f t="shared" si="113"/>
        <v>925</v>
      </c>
      <c r="R941" s="48">
        <f t="shared" ca="1" si="114"/>
        <v>0.45</v>
      </c>
      <c r="S941">
        <f t="shared" ca="1" si="115"/>
        <v>205.76337680705757</v>
      </c>
      <c r="T941" s="61">
        <f t="shared" ca="1" si="116"/>
        <v>21600</v>
      </c>
      <c r="U941" s="61">
        <f t="shared" ca="1" si="117"/>
        <v>28535.885795105329</v>
      </c>
      <c r="V941" s="39">
        <f t="shared" ca="1" si="118"/>
        <v>0.18773609075727191</v>
      </c>
      <c r="W941" s="48">
        <f t="shared" ca="1" si="119"/>
        <v>3.0370287547260171</v>
      </c>
    </row>
    <row r="942" spans="17:23" x14ac:dyDescent="0.2">
      <c r="Q942">
        <f t="shared" si="113"/>
        <v>926</v>
      </c>
      <c r="R942" s="48">
        <f t="shared" ca="1" si="114"/>
        <v>0.4</v>
      </c>
      <c r="S942">
        <f t="shared" ca="1" si="115"/>
        <v>196.51279273803846</v>
      </c>
      <c r="T942" s="61">
        <f t="shared" ca="1" si="116"/>
        <v>19200</v>
      </c>
      <c r="U942" s="61">
        <f t="shared" ca="1" si="117"/>
        <v>22326.140514258459</v>
      </c>
      <c r="V942" s="39">
        <f t="shared" ca="1" si="118"/>
        <v>0.14688250338327932</v>
      </c>
      <c r="W942" s="48">
        <f t="shared" ca="1" si="119"/>
        <v>2.0392374522925216</v>
      </c>
    </row>
    <row r="943" spans="17:23" x14ac:dyDescent="0.2">
      <c r="Q943">
        <f t="shared" si="113"/>
        <v>927</v>
      </c>
      <c r="R943" s="48">
        <f t="shared" ca="1" si="114"/>
        <v>0.15</v>
      </c>
      <c r="S943">
        <f t="shared" ca="1" si="115"/>
        <v>165.42254170273998</v>
      </c>
      <c r="T943" s="61">
        <f t="shared" ca="1" si="116"/>
        <v>7200</v>
      </c>
      <c r="U943" s="61">
        <f t="shared" ca="1" si="117"/>
        <v>-9512.6716421368146</v>
      </c>
      <c r="V943" s="39">
        <f t="shared" ca="1" si="118"/>
        <v>-6.2583366066689572E-2</v>
      </c>
      <c r="W943" s="48">
        <f t="shared" ca="1" si="119"/>
        <v>-0.407971449948757</v>
      </c>
    </row>
    <row r="944" spans="17:23" x14ac:dyDescent="0.2">
      <c r="Q944">
        <f t="shared" si="113"/>
        <v>928</v>
      </c>
      <c r="R944" s="48">
        <f t="shared" ca="1" si="114"/>
        <v>0.35</v>
      </c>
      <c r="S944">
        <f t="shared" ca="1" si="115"/>
        <v>201.43603467663618</v>
      </c>
      <c r="T944" s="61">
        <f t="shared" ca="1" si="116"/>
        <v>16800</v>
      </c>
      <c r="U944" s="61">
        <f t="shared" ca="1" si="117"/>
        <v>22746.738031850815</v>
      </c>
      <c r="V944" s="39">
        <f t="shared" ca="1" si="118"/>
        <v>0.14964959231480798</v>
      </c>
      <c r="W944" s="48">
        <f t="shared" ca="1" si="119"/>
        <v>2.0992272077975889</v>
      </c>
    </row>
    <row r="945" spans="17:23" x14ac:dyDescent="0.2">
      <c r="Q945">
        <f t="shared" si="113"/>
        <v>929</v>
      </c>
      <c r="R945" s="48">
        <f t="shared" ca="1" si="114"/>
        <v>0.3</v>
      </c>
      <c r="S945">
        <f t="shared" ca="1" si="115"/>
        <v>204.4060124373633</v>
      </c>
      <c r="T945" s="61">
        <f t="shared" ca="1" si="116"/>
        <v>14400</v>
      </c>
      <c r="U945" s="61">
        <f t="shared" ca="1" si="117"/>
        <v>22467.366964923451</v>
      </c>
      <c r="V945" s="39">
        <f t="shared" ca="1" si="118"/>
        <v>0.14781162476923324</v>
      </c>
      <c r="W945" s="48">
        <f t="shared" ca="1" si="119"/>
        <v>2.0592660129523064</v>
      </c>
    </row>
    <row r="946" spans="17:23" x14ac:dyDescent="0.2">
      <c r="Q946">
        <f t="shared" si="113"/>
        <v>930</v>
      </c>
      <c r="R946" s="48">
        <f t="shared" ca="1" si="114"/>
        <v>0.3</v>
      </c>
      <c r="S946">
        <f t="shared" ca="1" si="115"/>
        <v>180.59079540829805</v>
      </c>
      <c r="T946" s="61">
        <f t="shared" ca="1" si="116"/>
        <v>14400</v>
      </c>
      <c r="U946" s="61">
        <f t="shared" ca="1" si="117"/>
        <v>9130.8454286469077</v>
      </c>
      <c r="V946" s="39">
        <f t="shared" ca="1" si="118"/>
        <v>6.0071351504255972E-2</v>
      </c>
      <c r="W946" s="48">
        <f t="shared" ca="1" si="119"/>
        <v>0.60507671163977594</v>
      </c>
    </row>
    <row r="947" spans="17:23" x14ac:dyDescent="0.2">
      <c r="Q947">
        <f t="shared" si="113"/>
        <v>931</v>
      </c>
      <c r="R947" s="48">
        <f t="shared" ca="1" si="114"/>
        <v>0.4</v>
      </c>
      <c r="S947">
        <f t="shared" ca="1" si="115"/>
        <v>206.95702039225012</v>
      </c>
      <c r="T947" s="61">
        <f t="shared" ca="1" si="116"/>
        <v>19200</v>
      </c>
      <c r="U947" s="61">
        <f t="shared" ca="1" si="117"/>
        <v>27339.369788280055</v>
      </c>
      <c r="V947" s="39">
        <f t="shared" ca="1" si="118"/>
        <v>0.17986427492289511</v>
      </c>
      <c r="W947" s="48">
        <f t="shared" ca="1" si="119"/>
        <v>2.8250555772492461</v>
      </c>
    </row>
    <row r="948" spans="17:23" x14ac:dyDescent="0.2">
      <c r="Q948">
        <f t="shared" si="113"/>
        <v>932</v>
      </c>
      <c r="R948" s="48">
        <f t="shared" ca="1" si="114"/>
        <v>0.3</v>
      </c>
      <c r="S948">
        <f t="shared" ca="1" si="115"/>
        <v>183.20860004458135</v>
      </c>
      <c r="T948" s="61">
        <f t="shared" ca="1" si="116"/>
        <v>14400</v>
      </c>
      <c r="U948" s="61">
        <f t="shared" ca="1" si="117"/>
        <v>10596.816024965554</v>
      </c>
      <c r="V948" s="39">
        <f t="shared" ca="1" si="118"/>
        <v>6.9715894901089176E-2</v>
      </c>
      <c r="W948" s="48">
        <f t="shared" ca="1" si="119"/>
        <v>0.72742675626360986</v>
      </c>
    </row>
    <row r="949" spans="17:23" x14ac:dyDescent="0.2">
      <c r="Q949">
        <f t="shared" si="113"/>
        <v>933</v>
      </c>
      <c r="R949" s="48">
        <f t="shared" ca="1" si="114"/>
        <v>0.35</v>
      </c>
      <c r="S949">
        <f t="shared" ca="1" si="115"/>
        <v>183.14726313470592</v>
      </c>
      <c r="T949" s="61">
        <f t="shared" ca="1" si="116"/>
        <v>16800</v>
      </c>
      <c r="U949" s="61">
        <f t="shared" ca="1" si="117"/>
        <v>13236.576830047081</v>
      </c>
      <c r="V949" s="39">
        <f t="shared" ca="1" si="118"/>
        <v>8.7082742302941316E-2</v>
      </c>
      <c r="W949" s="48">
        <f t="shared" ca="1" si="119"/>
        <v>0.96847538315460802</v>
      </c>
    </row>
    <row r="950" spans="17:23" x14ac:dyDescent="0.2">
      <c r="Q950">
        <f t="shared" si="113"/>
        <v>934</v>
      </c>
      <c r="R950" s="48">
        <f t="shared" ca="1" si="114"/>
        <v>0.3</v>
      </c>
      <c r="S950">
        <f t="shared" ca="1" si="115"/>
        <v>213.94135653788933</v>
      </c>
      <c r="T950" s="61">
        <f t="shared" ca="1" si="116"/>
        <v>14400</v>
      </c>
      <c r="U950" s="61">
        <f t="shared" ca="1" si="117"/>
        <v>27807.159661218029</v>
      </c>
      <c r="V950" s="39">
        <f t="shared" ca="1" si="118"/>
        <v>0.18294183987643439</v>
      </c>
      <c r="W950" s="48">
        <f t="shared" ca="1" si="119"/>
        <v>2.9067370914784236</v>
      </c>
    </row>
    <row r="951" spans="17:23" x14ac:dyDescent="0.2">
      <c r="Q951">
        <f t="shared" si="113"/>
        <v>935</v>
      </c>
      <c r="R951" s="48">
        <f t="shared" ca="1" si="114"/>
        <v>0.217</v>
      </c>
      <c r="S951">
        <f t="shared" ca="1" si="115"/>
        <v>167.41151633920393</v>
      </c>
      <c r="T951" s="61">
        <f t="shared" ca="1" si="116"/>
        <v>10416</v>
      </c>
      <c r="U951" s="61">
        <f t="shared" ca="1" si="117"/>
        <v>-3733.4261651226589</v>
      </c>
      <c r="V951" s="39">
        <f t="shared" ca="1" si="118"/>
        <v>-2.456201424422802E-2</v>
      </c>
      <c r="W951" s="48">
        <f t="shared" ca="1" si="119"/>
        <v>-0.1826703111625082</v>
      </c>
    </row>
    <row r="952" spans="17:23" x14ac:dyDescent="0.2">
      <c r="Q952">
        <f t="shared" si="113"/>
        <v>936</v>
      </c>
      <c r="R952" s="48">
        <f t="shared" ca="1" si="114"/>
        <v>0.4</v>
      </c>
      <c r="S952">
        <f t="shared" ca="1" si="115"/>
        <v>193.00223361167571</v>
      </c>
      <c r="T952" s="61">
        <f t="shared" ca="1" si="116"/>
        <v>19200</v>
      </c>
      <c r="U952" s="61">
        <f t="shared" ca="1" si="117"/>
        <v>20641.072133604339</v>
      </c>
      <c r="V952" s="39">
        <f t="shared" ca="1" si="118"/>
        <v>0.1357965271947654</v>
      </c>
      <c r="W952" s="48">
        <f t="shared" ca="1" si="119"/>
        <v>1.8089809614458359</v>
      </c>
    </row>
    <row r="953" spans="17:23" x14ac:dyDescent="0.2">
      <c r="Q953">
        <f t="shared" si="113"/>
        <v>937</v>
      </c>
      <c r="R953" s="48">
        <f t="shared" ca="1" si="114"/>
        <v>0.3</v>
      </c>
      <c r="S953">
        <f t="shared" ca="1" si="115"/>
        <v>144.46287151695358</v>
      </c>
      <c r="T953" s="61">
        <f t="shared" ca="1" si="116"/>
        <v>14400</v>
      </c>
      <c r="U953" s="61">
        <f t="shared" ca="1" si="117"/>
        <v>-11100.791950505994</v>
      </c>
      <c r="V953" s="39">
        <f t="shared" ca="1" si="118"/>
        <v>-7.3031525990171015E-2</v>
      </c>
      <c r="W953" s="48">
        <f t="shared" ca="1" si="119"/>
        <v>-0.45941963811332442</v>
      </c>
    </row>
    <row r="954" spans="17:23" x14ac:dyDescent="0.2">
      <c r="Q954">
        <f t="shared" si="113"/>
        <v>938</v>
      </c>
      <c r="R954" s="48">
        <f t="shared" ca="1" si="114"/>
        <v>0.35</v>
      </c>
      <c r="S954">
        <f t="shared" ca="1" si="115"/>
        <v>181.80142487680541</v>
      </c>
      <c r="T954" s="61">
        <f t="shared" ca="1" si="116"/>
        <v>16800</v>
      </c>
      <c r="U954" s="61">
        <f t="shared" ca="1" si="117"/>
        <v>12536.740935938815</v>
      </c>
      <c r="V954" s="39">
        <f t="shared" ca="1" si="118"/>
        <v>8.2478558789071149E-2</v>
      </c>
      <c r="W954" s="48">
        <f t="shared" ca="1" si="119"/>
        <v>0.90186107324571507</v>
      </c>
    </row>
    <row r="955" spans="17:23" x14ac:dyDescent="0.2">
      <c r="Q955">
        <f t="shared" si="113"/>
        <v>939</v>
      </c>
      <c r="R955" s="48">
        <f t="shared" ca="1" si="114"/>
        <v>0.3</v>
      </c>
      <c r="S955">
        <f t="shared" ca="1" si="115"/>
        <v>195.27552544366523</v>
      </c>
      <c r="T955" s="61">
        <f t="shared" ca="1" si="116"/>
        <v>14400</v>
      </c>
      <c r="U955" s="61">
        <f t="shared" ca="1" si="117"/>
        <v>17354.29424845253</v>
      </c>
      <c r="V955" s="39">
        <f t="shared" ca="1" si="118"/>
        <v>0.11417298847666138</v>
      </c>
      <c r="W955" s="48">
        <f t="shared" ca="1" si="119"/>
        <v>1.4034658823730344</v>
      </c>
    </row>
    <row r="956" spans="17:23" x14ac:dyDescent="0.2">
      <c r="Q956">
        <f t="shared" si="113"/>
        <v>940</v>
      </c>
      <c r="R956" s="48">
        <f t="shared" ca="1" si="114"/>
        <v>0.4</v>
      </c>
      <c r="S956">
        <f t="shared" ca="1" si="115"/>
        <v>190.80002663923017</v>
      </c>
      <c r="T956" s="61">
        <f t="shared" ca="1" si="116"/>
        <v>19200</v>
      </c>
      <c r="U956" s="61">
        <f t="shared" ca="1" si="117"/>
        <v>19584.012786830481</v>
      </c>
      <c r="V956" s="39">
        <f t="shared" ca="1" si="118"/>
        <v>0.12884218938704264</v>
      </c>
      <c r="W956" s="48">
        <f t="shared" ca="1" si="119"/>
        <v>1.6724771216804442</v>
      </c>
    </row>
    <row r="957" spans="17:23" x14ac:dyDescent="0.2">
      <c r="Q957">
        <f t="shared" si="113"/>
        <v>941</v>
      </c>
      <c r="R957" s="48">
        <f t="shared" ca="1" si="114"/>
        <v>0.5</v>
      </c>
      <c r="S957">
        <f t="shared" ca="1" si="115"/>
        <v>185.01199042541865</v>
      </c>
      <c r="T957" s="61">
        <f t="shared" ca="1" si="116"/>
        <v>24000</v>
      </c>
      <c r="U957" s="61">
        <f t="shared" ca="1" si="117"/>
        <v>22004.796170167458</v>
      </c>
      <c r="V957" s="39">
        <f t="shared" ca="1" si="118"/>
        <v>0.14476839585636486</v>
      </c>
      <c r="W957" s="48">
        <f t="shared" ca="1" si="119"/>
        <v>1.9940926176649993</v>
      </c>
    </row>
    <row r="958" spans="17:23" x14ac:dyDescent="0.2">
      <c r="Q958">
        <f t="shared" si="113"/>
        <v>942</v>
      </c>
      <c r="R958" s="48">
        <f t="shared" ca="1" si="114"/>
        <v>0.3</v>
      </c>
      <c r="S958">
        <f t="shared" ca="1" si="115"/>
        <v>160.66798985693492</v>
      </c>
      <c r="T958" s="61">
        <f t="shared" ca="1" si="116"/>
        <v>14400</v>
      </c>
      <c r="U958" s="61">
        <f t="shared" ca="1" si="117"/>
        <v>-2025.9256801164447</v>
      </c>
      <c r="V958" s="39">
        <f t="shared" ca="1" si="118"/>
        <v>-1.3328458421818715E-2</v>
      </c>
      <c r="W958" s="48">
        <f t="shared" ca="1" si="119"/>
        <v>-0.10312208886409213</v>
      </c>
    </row>
    <row r="959" spans="17:23" x14ac:dyDescent="0.2">
      <c r="Q959">
        <f t="shared" si="113"/>
        <v>943</v>
      </c>
      <c r="R959" s="48">
        <f t="shared" ca="1" si="114"/>
        <v>0.45</v>
      </c>
      <c r="S959">
        <f t="shared" ca="1" si="115"/>
        <v>180.3359271228922</v>
      </c>
      <c r="T959" s="61">
        <f t="shared" ca="1" si="116"/>
        <v>21600</v>
      </c>
      <c r="U959" s="61">
        <f t="shared" ca="1" si="117"/>
        <v>17347.807934072567</v>
      </c>
      <c r="V959" s="39">
        <f t="shared" ca="1" si="118"/>
        <v>0.11413031535574057</v>
      </c>
      <c r="W959" s="48">
        <f t="shared" ca="1" si="119"/>
        <v>1.4027193288449769</v>
      </c>
    </row>
    <row r="960" spans="17:23" x14ac:dyDescent="0.2">
      <c r="Q960">
        <f t="shared" si="113"/>
        <v>944</v>
      </c>
      <c r="R960" s="48">
        <f t="shared" ca="1" si="114"/>
        <v>0.3</v>
      </c>
      <c r="S960">
        <f t="shared" ca="1" si="115"/>
        <v>213.08005566956172</v>
      </c>
      <c r="T960" s="61">
        <f t="shared" ca="1" si="116"/>
        <v>14400</v>
      </c>
      <c r="U960" s="61">
        <f t="shared" ca="1" si="117"/>
        <v>27324.831174954561</v>
      </c>
      <c r="V960" s="39">
        <f t="shared" ca="1" si="118"/>
        <v>0.17976862615101685</v>
      </c>
      <c r="W960" s="48">
        <f t="shared" ca="1" si="119"/>
        <v>2.8225411430867902</v>
      </c>
    </row>
    <row r="961" spans="17:23" x14ac:dyDescent="0.2">
      <c r="Q961">
        <f t="shared" si="113"/>
        <v>945</v>
      </c>
      <c r="R961" s="48">
        <f t="shared" ca="1" si="114"/>
        <v>0.3</v>
      </c>
      <c r="S961">
        <f t="shared" ca="1" si="115"/>
        <v>190.9389901394114</v>
      </c>
      <c r="T961" s="61">
        <f t="shared" ca="1" si="116"/>
        <v>14400</v>
      </c>
      <c r="U961" s="61">
        <f t="shared" ca="1" si="117"/>
        <v>14925.834478070385</v>
      </c>
      <c r="V961" s="39">
        <f t="shared" ca="1" si="118"/>
        <v>9.8196279460989369E-2</v>
      </c>
      <c r="W961" s="48">
        <f t="shared" ca="1" si="119"/>
        <v>1.1377639091673593</v>
      </c>
    </row>
    <row r="962" spans="17:23" x14ac:dyDescent="0.2">
      <c r="Q962">
        <f t="shared" si="113"/>
        <v>946</v>
      </c>
      <c r="R962" s="48">
        <f t="shared" ca="1" si="114"/>
        <v>0.35</v>
      </c>
      <c r="S962">
        <f t="shared" ca="1" si="115"/>
        <v>200.21332833619169</v>
      </c>
      <c r="T962" s="61">
        <f t="shared" ca="1" si="116"/>
        <v>16800</v>
      </c>
      <c r="U962" s="61">
        <f t="shared" ca="1" si="117"/>
        <v>22110.930734819682</v>
      </c>
      <c r="V962" s="39">
        <f t="shared" ca="1" si="118"/>
        <v>0.14546664957118211</v>
      </c>
      <c r="W962" s="48">
        <f t="shared" ca="1" si="119"/>
        <v>2.0089377206899037</v>
      </c>
    </row>
    <row r="963" spans="17:23" x14ac:dyDescent="0.2">
      <c r="Q963">
        <f t="shared" si="113"/>
        <v>947</v>
      </c>
      <c r="R963" s="48">
        <f t="shared" ca="1" si="114"/>
        <v>0.3</v>
      </c>
      <c r="S963">
        <f t="shared" ca="1" si="115"/>
        <v>198.08605136448091</v>
      </c>
      <c r="T963" s="61">
        <f t="shared" ca="1" si="116"/>
        <v>14400</v>
      </c>
      <c r="U963" s="61">
        <f t="shared" ca="1" si="117"/>
        <v>18928.188764109309</v>
      </c>
      <c r="V963" s="39">
        <f t="shared" ca="1" si="118"/>
        <v>0.12452755765861387</v>
      </c>
      <c r="W963" s="48">
        <f t="shared" ca="1" si="119"/>
        <v>1.5907420043096456</v>
      </c>
    </row>
    <row r="964" spans="17:23" x14ac:dyDescent="0.2">
      <c r="Q964">
        <f t="shared" si="113"/>
        <v>948</v>
      </c>
      <c r="R964" s="48">
        <f t="shared" ca="1" si="114"/>
        <v>0.15</v>
      </c>
      <c r="S964">
        <f t="shared" ca="1" si="115"/>
        <v>202.10650415715327</v>
      </c>
      <c r="T964" s="61">
        <f t="shared" ca="1" si="116"/>
        <v>7200</v>
      </c>
      <c r="U964" s="61">
        <f t="shared" ca="1" si="117"/>
        <v>15432.422826864222</v>
      </c>
      <c r="V964" s="39">
        <f t="shared" ca="1" si="118"/>
        <v>0.10152909754515936</v>
      </c>
      <c r="W964" s="48">
        <f t="shared" ca="1" si="119"/>
        <v>1.19095778429012</v>
      </c>
    </row>
    <row r="965" spans="17:23" x14ac:dyDescent="0.2">
      <c r="Q965">
        <f t="shared" si="113"/>
        <v>949</v>
      </c>
      <c r="R965" s="48">
        <f t="shared" ca="1" si="114"/>
        <v>0.5</v>
      </c>
      <c r="S965">
        <f t="shared" ca="1" si="115"/>
        <v>176.39252829747628</v>
      </c>
      <c r="T965" s="61">
        <f t="shared" ca="1" si="116"/>
        <v>24000</v>
      </c>
      <c r="U965" s="61">
        <f t="shared" ca="1" si="117"/>
        <v>18557.01131899051</v>
      </c>
      <c r="V965" s="39">
        <f t="shared" ca="1" si="118"/>
        <v>0.1220856007828323</v>
      </c>
      <c r="W965" s="48">
        <f t="shared" ca="1" si="119"/>
        <v>1.5454604737967061</v>
      </c>
    </row>
    <row r="966" spans="17:23" x14ac:dyDescent="0.2">
      <c r="Q966">
        <f t="shared" si="113"/>
        <v>950</v>
      </c>
      <c r="R966" s="48">
        <f t="shared" ca="1" si="114"/>
        <v>0.45</v>
      </c>
      <c r="S966">
        <f t="shared" ca="1" si="115"/>
        <v>183.62397843375493</v>
      </c>
      <c r="T966" s="61">
        <f t="shared" ca="1" si="116"/>
        <v>21600</v>
      </c>
      <c r="U966" s="61">
        <f t="shared" ca="1" si="117"/>
        <v>18794.550510852168</v>
      </c>
      <c r="V966" s="39">
        <f t="shared" ca="1" si="118"/>
        <v>0.12364835862402743</v>
      </c>
      <c r="W966" s="48">
        <f t="shared" ca="1" si="119"/>
        <v>1.5743582065065369</v>
      </c>
    </row>
    <row r="967" spans="17:23" x14ac:dyDescent="0.2">
      <c r="Q967">
        <f t="shared" si="113"/>
        <v>951</v>
      </c>
      <c r="R967" s="48">
        <f t="shared" ca="1" si="114"/>
        <v>0.217</v>
      </c>
      <c r="S967">
        <f t="shared" ca="1" si="115"/>
        <v>209.2506249464048</v>
      </c>
      <c r="T967" s="61">
        <f t="shared" ca="1" si="116"/>
        <v>10416</v>
      </c>
      <c r="U967" s="61">
        <f t="shared" ca="1" si="117"/>
        <v>22474.591466427963</v>
      </c>
      <c r="V967" s="39">
        <f t="shared" ca="1" si="118"/>
        <v>0.14785915438439448</v>
      </c>
      <c r="W967" s="48">
        <f t="shared" ca="1" si="119"/>
        <v>2.0602936865858466</v>
      </c>
    </row>
    <row r="968" spans="17:23" x14ac:dyDescent="0.2">
      <c r="Q968">
        <f t="shared" si="113"/>
        <v>952</v>
      </c>
      <c r="R968" s="48">
        <f t="shared" ca="1" si="114"/>
        <v>0.4</v>
      </c>
      <c r="S968">
        <f t="shared" ca="1" si="115"/>
        <v>185.82957774054995</v>
      </c>
      <c r="T968" s="61">
        <f t="shared" ca="1" si="116"/>
        <v>19200</v>
      </c>
      <c r="U968" s="61">
        <f t="shared" ca="1" si="117"/>
        <v>17198.197315463978</v>
      </c>
      <c r="V968" s="39">
        <f t="shared" ca="1" si="118"/>
        <v>0.11314603497015775</v>
      </c>
      <c r="W968" s="48">
        <f t="shared" ca="1" si="119"/>
        <v>1.3855559671134627</v>
      </c>
    </row>
    <row r="969" spans="17:23" x14ac:dyDescent="0.2">
      <c r="Q969">
        <f t="shared" si="113"/>
        <v>953</v>
      </c>
      <c r="R969" s="48">
        <f t="shared" ca="1" si="114"/>
        <v>0.4</v>
      </c>
      <c r="S969">
        <f t="shared" ca="1" si="115"/>
        <v>173.90058471175968</v>
      </c>
      <c r="T969" s="61">
        <f t="shared" ca="1" si="116"/>
        <v>19200</v>
      </c>
      <c r="U969" s="61">
        <f t="shared" ca="1" si="117"/>
        <v>11472.280661644645</v>
      </c>
      <c r="V969" s="39">
        <f t="shared" ca="1" si="118"/>
        <v>7.5475530668714777E-2</v>
      </c>
      <c r="W969" s="48">
        <f t="shared" ca="1" si="119"/>
        <v>0.80432779863812343</v>
      </c>
    </row>
    <row r="970" spans="17:23" x14ac:dyDescent="0.2">
      <c r="Q970">
        <f t="shared" si="113"/>
        <v>954</v>
      </c>
      <c r="R970" s="48">
        <f t="shared" ca="1" si="114"/>
        <v>0.217</v>
      </c>
      <c r="S970">
        <f t="shared" ca="1" si="115"/>
        <v>214.01910025988698</v>
      </c>
      <c r="T970" s="61">
        <f t="shared" ca="1" si="116"/>
        <v>10416</v>
      </c>
      <c r="U970" s="61">
        <f t="shared" ca="1" si="117"/>
        <v>25461.564402793207</v>
      </c>
      <c r="V970" s="39">
        <f t="shared" ca="1" si="118"/>
        <v>0.16751029212363952</v>
      </c>
      <c r="W970" s="48">
        <f t="shared" ca="1" si="119"/>
        <v>2.5120375861585762</v>
      </c>
    </row>
    <row r="971" spans="17:23" x14ac:dyDescent="0.2">
      <c r="Q971">
        <f t="shared" si="113"/>
        <v>955</v>
      </c>
      <c r="R971" s="48">
        <f t="shared" ca="1" si="114"/>
        <v>0.3</v>
      </c>
      <c r="S971">
        <f t="shared" ca="1" si="115"/>
        <v>187.9562387878139</v>
      </c>
      <c r="T971" s="61">
        <f t="shared" ca="1" si="116"/>
        <v>14400</v>
      </c>
      <c r="U971" s="61">
        <f t="shared" ca="1" si="117"/>
        <v>13255.493721175786</v>
      </c>
      <c r="V971" s="39">
        <f t="shared" ca="1" si="118"/>
        <v>8.7207195534051221E-2</v>
      </c>
      <c r="W971" s="48">
        <f t="shared" ca="1" si="119"/>
        <v>0.97030403361672701</v>
      </c>
    </row>
    <row r="972" spans="17:23" x14ac:dyDescent="0.2">
      <c r="Q972">
        <f t="shared" si="113"/>
        <v>956</v>
      </c>
      <c r="R972" s="48">
        <f t="shared" ca="1" si="114"/>
        <v>0.217</v>
      </c>
      <c r="S972">
        <f t="shared" ca="1" si="115"/>
        <v>178.71931065939634</v>
      </c>
      <c r="T972" s="61">
        <f t="shared" ca="1" si="116"/>
        <v>10416</v>
      </c>
      <c r="U972" s="61">
        <f t="shared" ca="1" si="117"/>
        <v>3349.7761970458687</v>
      </c>
      <c r="V972" s="39">
        <f t="shared" ca="1" si="118"/>
        <v>2.2038001296354401E-2</v>
      </c>
      <c r="W972" s="48">
        <f t="shared" ca="1" si="119"/>
        <v>0.1934060787900389</v>
      </c>
    </row>
    <row r="973" spans="17:23" x14ac:dyDescent="0.2">
      <c r="Q973">
        <f t="shared" si="113"/>
        <v>957</v>
      </c>
      <c r="R973" s="48">
        <f t="shared" ca="1" si="114"/>
        <v>0.3</v>
      </c>
      <c r="S973">
        <f t="shared" ca="1" si="115"/>
        <v>181.37039000972183</v>
      </c>
      <c r="T973" s="61">
        <f t="shared" ca="1" si="116"/>
        <v>14400</v>
      </c>
      <c r="U973" s="61">
        <f t="shared" ca="1" si="117"/>
        <v>9567.4184054442248</v>
      </c>
      <c r="V973" s="39">
        <f t="shared" ca="1" si="118"/>
        <v>6.294354214108043E-2</v>
      </c>
      <c r="W973" s="48">
        <f t="shared" ca="1" si="119"/>
        <v>0.6406923739505852</v>
      </c>
    </row>
    <row r="974" spans="17:23" x14ac:dyDescent="0.2">
      <c r="Q974">
        <f t="shared" si="113"/>
        <v>958</v>
      </c>
      <c r="R974" s="48">
        <f t="shared" ca="1" si="114"/>
        <v>0.4</v>
      </c>
      <c r="S974">
        <f t="shared" ca="1" si="115"/>
        <v>186.86307698075925</v>
      </c>
      <c r="T974" s="61">
        <f t="shared" ca="1" si="116"/>
        <v>19200</v>
      </c>
      <c r="U974" s="61">
        <f t="shared" ca="1" si="117"/>
        <v>17694.276950764437</v>
      </c>
      <c r="V974" s="39">
        <f t="shared" ca="1" si="118"/>
        <v>0.11640971678134499</v>
      </c>
      <c r="W974" s="48">
        <f t="shared" ca="1" si="119"/>
        <v>1.4428826005413167</v>
      </c>
    </row>
    <row r="975" spans="17:23" x14ac:dyDescent="0.2">
      <c r="Q975">
        <f t="shared" si="113"/>
        <v>959</v>
      </c>
      <c r="R975" s="48">
        <f t="shared" ca="1" si="114"/>
        <v>0.4</v>
      </c>
      <c r="S975">
        <f t="shared" ca="1" si="115"/>
        <v>185.59353872705776</v>
      </c>
      <c r="T975" s="61">
        <f t="shared" ca="1" si="116"/>
        <v>19200</v>
      </c>
      <c r="U975" s="61">
        <f t="shared" ca="1" si="117"/>
        <v>17084.898588987726</v>
      </c>
      <c r="V975" s="39">
        <f t="shared" ca="1" si="118"/>
        <v>0.11240064861176136</v>
      </c>
      <c r="W975" s="48">
        <f t="shared" ca="1" si="119"/>
        <v>1.3726299288958992</v>
      </c>
    </row>
    <row r="976" spans="17:23" x14ac:dyDescent="0.2">
      <c r="Q976">
        <f t="shared" si="113"/>
        <v>960</v>
      </c>
      <c r="R976" s="48">
        <f t="shared" ca="1" si="114"/>
        <v>0.4</v>
      </c>
      <c r="S976">
        <f t="shared" ca="1" si="115"/>
        <v>204.70163633448067</v>
      </c>
      <c r="T976" s="61">
        <f t="shared" ca="1" si="116"/>
        <v>19200</v>
      </c>
      <c r="U976" s="61">
        <f t="shared" ca="1" si="117"/>
        <v>26256.785440550721</v>
      </c>
      <c r="V976" s="39">
        <f t="shared" ca="1" si="118"/>
        <v>0.17274200947730736</v>
      </c>
      <c r="W976" s="48">
        <f t="shared" ca="1" si="119"/>
        <v>2.6417407442208076</v>
      </c>
    </row>
    <row r="977" spans="17:23" x14ac:dyDescent="0.2">
      <c r="Q977">
        <f t="shared" si="113"/>
        <v>961</v>
      </c>
      <c r="R977" s="48">
        <f t="shared" ca="1" si="114"/>
        <v>0.4</v>
      </c>
      <c r="S977">
        <f t="shared" ca="1" si="115"/>
        <v>147.88448095532689</v>
      </c>
      <c r="T977" s="61">
        <f t="shared" ca="1" si="116"/>
        <v>19200</v>
      </c>
      <c r="U977" s="61">
        <f t="shared" ca="1" si="117"/>
        <v>-1015.4491414430922</v>
      </c>
      <c r="V977" s="39">
        <f t="shared" ca="1" si="118"/>
        <v>-6.6805864568624486E-3</v>
      </c>
      <c r="W977" s="48">
        <f t="shared" ca="1" si="119"/>
        <v>-5.2917232209055531E-2</v>
      </c>
    </row>
    <row r="978" spans="17:23" x14ac:dyDescent="0.2">
      <c r="Q978">
        <f t="shared" si="113"/>
        <v>962</v>
      </c>
      <c r="R978" s="48">
        <f t="shared" ca="1" si="114"/>
        <v>0.45</v>
      </c>
      <c r="S978">
        <f t="shared" ca="1" si="115"/>
        <v>187.30144367954227</v>
      </c>
      <c r="T978" s="61">
        <f t="shared" ca="1" si="116"/>
        <v>21600</v>
      </c>
      <c r="U978" s="61">
        <f t="shared" ca="1" si="117"/>
        <v>20412.635218998599</v>
      </c>
      <c r="V978" s="39">
        <f t="shared" ca="1" si="118"/>
        <v>0.13429365275656974</v>
      </c>
      <c r="W978" s="48">
        <f t="shared" ca="1" si="119"/>
        <v>1.7789749137186686</v>
      </c>
    </row>
    <row r="979" spans="17:23" x14ac:dyDescent="0.2">
      <c r="Q979">
        <f t="shared" ref="Q979:Q1042" si="120">Q978+1</f>
        <v>963</v>
      </c>
      <c r="R979" s="48">
        <f t="shared" ref="R979:R1042" ca="1" si="121">LOOKUP(RAND(),$U$6:$U$12,$S$6:$S$12)</f>
        <v>0.4</v>
      </c>
      <c r="S979">
        <f t="shared" ref="S979:S1042" ca="1" si="122">_xlfn.NORM.INV(RAND(),$Q$5,$Q$10)</f>
        <v>174.92152366088399</v>
      </c>
      <c r="T979" s="61">
        <f t="shared" ref="T979:T1016" ca="1" si="123">($B$8-$B$7)*($E$6*R979)</f>
        <v>19200</v>
      </c>
      <c r="U979" s="61">
        <f t="shared" ref="U979:U1016" ca="1" si="124">T979+((S979-$B$7)*($E$6*(1-R979)))</f>
        <v>11962.331357224317</v>
      </c>
      <c r="V979" s="39">
        <f t="shared" ref="V979:V1016" ca="1" si="125">U979/$E$4</f>
        <v>7.8699548402791558E-2</v>
      </c>
      <c r="W979" s="48">
        <f t="shared" ref="W979:W1016" ca="1" si="126">(1+V979)^($J$29/$J$30)-1</f>
        <v>0.84867081939212152</v>
      </c>
    </row>
    <row r="980" spans="17:23" x14ac:dyDescent="0.2">
      <c r="Q980">
        <f t="shared" si="120"/>
        <v>964</v>
      </c>
      <c r="R980" s="48">
        <f t="shared" ca="1" si="121"/>
        <v>0.3</v>
      </c>
      <c r="S980">
        <f t="shared" ca="1" si="122"/>
        <v>154.28587829822231</v>
      </c>
      <c r="T980" s="61">
        <f t="shared" ca="1" si="123"/>
        <v>14400</v>
      </c>
      <c r="U980" s="61">
        <f t="shared" ca="1" si="124"/>
        <v>-5599.9081529955038</v>
      </c>
      <c r="V980" s="39">
        <f t="shared" ca="1" si="125"/>
        <v>-3.6841501006549364E-2</v>
      </c>
      <c r="W980" s="48">
        <f t="shared" ca="1" si="126"/>
        <v>-0.26248521669420133</v>
      </c>
    </row>
    <row r="981" spans="17:23" x14ac:dyDescent="0.2">
      <c r="Q981">
        <f t="shared" si="120"/>
        <v>965</v>
      </c>
      <c r="R981" s="48">
        <f t="shared" ca="1" si="121"/>
        <v>0.45</v>
      </c>
      <c r="S981">
        <f t="shared" ca="1" si="122"/>
        <v>183.38236318334106</v>
      </c>
      <c r="T981" s="61">
        <f t="shared" ca="1" si="123"/>
        <v>21600</v>
      </c>
      <c r="U981" s="61">
        <f t="shared" ca="1" si="124"/>
        <v>18688.239800670064</v>
      </c>
      <c r="V981" s="39">
        <f t="shared" ca="1" si="125"/>
        <v>0.12294894605703989</v>
      </c>
      <c r="W981" s="48">
        <f t="shared" ca="1" si="126"/>
        <v>1.5613896591021632</v>
      </c>
    </row>
    <row r="982" spans="17:23" x14ac:dyDescent="0.2">
      <c r="Q982">
        <f t="shared" si="120"/>
        <v>966</v>
      </c>
      <c r="R982" s="48">
        <f t="shared" ca="1" si="121"/>
        <v>0.3</v>
      </c>
      <c r="S982">
        <f t="shared" ca="1" si="122"/>
        <v>162.5195424439502</v>
      </c>
      <c r="T982" s="61">
        <f t="shared" ca="1" si="123"/>
        <v>14400</v>
      </c>
      <c r="U982" s="61">
        <f t="shared" ca="1" si="124"/>
        <v>-989.05623138788724</v>
      </c>
      <c r="V982" s="39">
        <f t="shared" ca="1" si="125"/>
        <v>-6.5069488907097848E-3</v>
      </c>
      <c r="W982" s="48">
        <f t="shared" ca="1" si="126"/>
        <v>-5.1573561063587792E-2</v>
      </c>
    </row>
    <row r="983" spans="17:23" x14ac:dyDescent="0.2">
      <c r="Q983">
        <f t="shared" si="120"/>
        <v>967</v>
      </c>
      <c r="R983" s="48">
        <f t="shared" ca="1" si="121"/>
        <v>0.15</v>
      </c>
      <c r="S983">
        <f t="shared" ca="1" si="122"/>
        <v>194.25561937046979</v>
      </c>
      <c r="T983" s="61">
        <f t="shared" ca="1" si="123"/>
        <v>7200</v>
      </c>
      <c r="U983" s="61">
        <f t="shared" ca="1" si="124"/>
        <v>10093.821171919455</v>
      </c>
      <c r="V983" s="39">
        <f t="shared" ca="1" si="125"/>
        <v>6.6406718236312209E-2</v>
      </c>
      <c r="W983" s="48">
        <f t="shared" ca="1" si="126"/>
        <v>0.68455626313752904</v>
      </c>
    </row>
    <row r="984" spans="17:23" x14ac:dyDescent="0.2">
      <c r="Q984">
        <f t="shared" si="120"/>
        <v>968</v>
      </c>
      <c r="R984" s="48">
        <f t="shared" ca="1" si="121"/>
        <v>0.3</v>
      </c>
      <c r="S984">
        <f t="shared" ca="1" si="122"/>
        <v>181.38497013610967</v>
      </c>
      <c r="T984" s="61">
        <f t="shared" ca="1" si="123"/>
        <v>14400</v>
      </c>
      <c r="U984" s="61">
        <f t="shared" ca="1" si="124"/>
        <v>9575.5832762214159</v>
      </c>
      <c r="V984" s="39">
        <f t="shared" ca="1" si="125"/>
        <v>6.2997258396193523E-2</v>
      </c>
      <c r="W984" s="48">
        <f t="shared" ca="1" si="126"/>
        <v>0.6413650114504641</v>
      </c>
    </row>
    <row r="985" spans="17:23" x14ac:dyDescent="0.2">
      <c r="Q985">
        <f t="shared" si="120"/>
        <v>969</v>
      </c>
      <c r="R985" s="48">
        <f t="shared" ca="1" si="121"/>
        <v>0.4</v>
      </c>
      <c r="S985">
        <f t="shared" ca="1" si="122"/>
        <v>168.65673745698805</v>
      </c>
      <c r="T985" s="61">
        <f t="shared" ca="1" si="123"/>
        <v>19200</v>
      </c>
      <c r="U985" s="61">
        <f t="shared" ca="1" si="124"/>
        <v>8955.2339793542669</v>
      </c>
      <c r="V985" s="39">
        <f t="shared" ca="1" si="125"/>
        <v>5.8916013022067545E-2</v>
      </c>
      <c r="W985" s="48">
        <f t="shared" ca="1" si="126"/>
        <v>0.59094262229074079</v>
      </c>
    </row>
    <row r="986" spans="17:23" x14ac:dyDescent="0.2">
      <c r="Q986">
        <f t="shared" si="120"/>
        <v>970</v>
      </c>
      <c r="R986" s="48">
        <f t="shared" ca="1" si="121"/>
        <v>0.35</v>
      </c>
      <c r="S986">
        <f t="shared" ca="1" si="122"/>
        <v>181.41867896801139</v>
      </c>
      <c r="T986" s="61">
        <f t="shared" ca="1" si="123"/>
        <v>16800</v>
      </c>
      <c r="U986" s="61">
        <f t="shared" ca="1" si="124"/>
        <v>12337.713063365924</v>
      </c>
      <c r="V986" s="39">
        <f t="shared" ca="1" si="125"/>
        <v>8.116916489056529E-2</v>
      </c>
      <c r="W986" s="48">
        <f t="shared" ca="1" si="126"/>
        <v>0.88328119414269524</v>
      </c>
    </row>
    <row r="987" spans="17:23" x14ac:dyDescent="0.2">
      <c r="Q987">
        <f t="shared" si="120"/>
        <v>971</v>
      </c>
      <c r="R987" s="48">
        <f t="shared" ca="1" si="121"/>
        <v>0.3</v>
      </c>
      <c r="S987">
        <f t="shared" ca="1" si="122"/>
        <v>158.33446033278386</v>
      </c>
      <c r="T987" s="61">
        <f t="shared" ca="1" si="123"/>
        <v>14400</v>
      </c>
      <c r="U987" s="61">
        <f t="shared" ca="1" si="124"/>
        <v>-3332.7022136410378</v>
      </c>
      <c r="V987" s="39">
        <f t="shared" ca="1" si="125"/>
        <v>-2.1925672458164722E-2</v>
      </c>
      <c r="W987" s="48">
        <f t="shared" ca="1" si="126"/>
        <v>-0.16457958404965634</v>
      </c>
    </row>
    <row r="988" spans="17:23" x14ac:dyDescent="0.2">
      <c r="Q988">
        <f t="shared" si="120"/>
        <v>972</v>
      </c>
      <c r="R988" s="48">
        <f t="shared" ca="1" si="121"/>
        <v>0.217</v>
      </c>
      <c r="S988">
        <f t="shared" ca="1" si="122"/>
        <v>197.22745675583909</v>
      </c>
      <c r="T988" s="61">
        <f t="shared" ca="1" si="123"/>
        <v>10416</v>
      </c>
      <c r="U988" s="61">
        <f t="shared" ca="1" si="124"/>
        <v>14943.278911857604</v>
      </c>
      <c r="V988" s="39">
        <f t="shared" ca="1" si="125"/>
        <v>9.8311045472747396E-2</v>
      </c>
      <c r="W988" s="48">
        <f t="shared" ca="1" si="126"/>
        <v>1.1395766461218706</v>
      </c>
    </row>
    <row r="989" spans="17:23" x14ac:dyDescent="0.2">
      <c r="Q989">
        <f t="shared" si="120"/>
        <v>973</v>
      </c>
      <c r="R989" s="48">
        <f t="shared" ca="1" si="121"/>
        <v>0.4</v>
      </c>
      <c r="S989">
        <f t="shared" ca="1" si="122"/>
        <v>195.13124055010863</v>
      </c>
      <c r="T989" s="61">
        <f t="shared" ca="1" si="123"/>
        <v>19200</v>
      </c>
      <c r="U989" s="61">
        <f t="shared" ca="1" si="124"/>
        <v>21662.995464052143</v>
      </c>
      <c r="V989" s="39">
        <f t="shared" ca="1" si="125"/>
        <v>0.14251970700034305</v>
      </c>
      <c r="W989" s="48">
        <f t="shared" ca="1" si="126"/>
        <v>1.9467201890446137</v>
      </c>
    </row>
    <row r="990" spans="17:23" x14ac:dyDescent="0.2">
      <c r="Q990">
        <f t="shared" si="120"/>
        <v>974</v>
      </c>
      <c r="R990" s="48">
        <f t="shared" ca="1" si="121"/>
        <v>0.5</v>
      </c>
      <c r="S990">
        <f t="shared" ca="1" si="122"/>
        <v>167.91621486766007</v>
      </c>
      <c r="T990" s="61">
        <f t="shared" ca="1" si="123"/>
        <v>24000</v>
      </c>
      <c r="U990" s="61">
        <f t="shared" ca="1" si="124"/>
        <v>15166.485947064029</v>
      </c>
      <c r="V990" s="39">
        <f t="shared" ca="1" si="125"/>
        <v>9.9779512809631779E-2</v>
      </c>
      <c r="W990" s="48">
        <f t="shared" ca="1" si="126"/>
        <v>1.1628904118777914</v>
      </c>
    </row>
    <row r="991" spans="17:23" x14ac:dyDescent="0.2">
      <c r="Q991">
        <f t="shared" si="120"/>
        <v>975</v>
      </c>
      <c r="R991" s="48">
        <f t="shared" ca="1" si="121"/>
        <v>0.45</v>
      </c>
      <c r="S991">
        <f t="shared" ca="1" si="122"/>
        <v>172.55705175201552</v>
      </c>
      <c r="T991" s="61">
        <f t="shared" ca="1" si="123"/>
        <v>21600</v>
      </c>
      <c r="U991" s="61">
        <f t="shared" ca="1" si="124"/>
        <v>13925.10277088683</v>
      </c>
      <c r="V991" s="39">
        <f t="shared" ca="1" si="125"/>
        <v>9.1612518229518616E-2</v>
      </c>
      <c r="W991" s="48">
        <f t="shared" ca="1" si="126"/>
        <v>1.0360005597197874</v>
      </c>
    </row>
    <row r="992" spans="17:23" x14ac:dyDescent="0.2">
      <c r="Q992">
        <f t="shared" si="120"/>
        <v>976</v>
      </c>
      <c r="R992" s="48">
        <f t="shared" ca="1" si="121"/>
        <v>0.3</v>
      </c>
      <c r="S992">
        <f t="shared" ca="1" si="122"/>
        <v>209.45481982794399</v>
      </c>
      <c r="T992" s="61">
        <f t="shared" ca="1" si="123"/>
        <v>14400</v>
      </c>
      <c r="U992" s="61">
        <f t="shared" ca="1" si="124"/>
        <v>25294.699103648636</v>
      </c>
      <c r="V992" s="39">
        <f t="shared" ca="1" si="125"/>
        <v>0.16641249410295156</v>
      </c>
      <c r="W992" s="48">
        <f t="shared" ca="1" si="126"/>
        <v>2.4853413749379221</v>
      </c>
    </row>
    <row r="993" spans="17:23" x14ac:dyDescent="0.2">
      <c r="Q993">
        <f t="shared" si="120"/>
        <v>977</v>
      </c>
      <c r="R993" s="48">
        <f t="shared" ca="1" si="121"/>
        <v>0.4</v>
      </c>
      <c r="S993">
        <f t="shared" ca="1" si="122"/>
        <v>166.90119093721421</v>
      </c>
      <c r="T993" s="61">
        <f t="shared" ca="1" si="123"/>
        <v>19200</v>
      </c>
      <c r="U993" s="61">
        <f t="shared" ca="1" si="124"/>
        <v>8112.5716498628208</v>
      </c>
      <c r="V993" s="39">
        <f t="shared" ca="1" si="125"/>
        <v>5.3372181906992243E-2</v>
      </c>
      <c r="W993" s="48">
        <f t="shared" ca="1" si="126"/>
        <v>0.52462787008274225</v>
      </c>
    </row>
    <row r="994" spans="17:23" x14ac:dyDescent="0.2">
      <c r="Q994">
        <f t="shared" si="120"/>
        <v>978</v>
      </c>
      <c r="R994" s="48">
        <f t="shared" ca="1" si="121"/>
        <v>0.35</v>
      </c>
      <c r="S994">
        <f t="shared" ca="1" si="122"/>
        <v>208.80300945435113</v>
      </c>
      <c r="T994" s="61">
        <f t="shared" ca="1" si="123"/>
        <v>16800</v>
      </c>
      <c r="U994" s="61">
        <f t="shared" ca="1" si="124"/>
        <v>26577.564916262585</v>
      </c>
      <c r="V994" s="39">
        <f t="shared" ca="1" si="125"/>
        <v>0.17485240076488542</v>
      </c>
      <c r="W994" s="48">
        <f t="shared" ca="1" si="126"/>
        <v>2.6952378071300602</v>
      </c>
    </row>
    <row r="995" spans="17:23" x14ac:dyDescent="0.2">
      <c r="Q995">
        <f t="shared" si="120"/>
        <v>979</v>
      </c>
      <c r="R995" s="48">
        <f t="shared" ca="1" si="121"/>
        <v>0.35</v>
      </c>
      <c r="S995">
        <f t="shared" ca="1" si="122"/>
        <v>207.0077931087377</v>
      </c>
      <c r="T995" s="61">
        <f t="shared" ca="1" si="123"/>
        <v>16800</v>
      </c>
      <c r="U995" s="61">
        <f t="shared" ca="1" si="124"/>
        <v>25644.052416543604</v>
      </c>
      <c r="V995" s="39">
        <f t="shared" ca="1" si="125"/>
        <v>0.16871087116147107</v>
      </c>
      <c r="W995" s="48">
        <f t="shared" ca="1" si="126"/>
        <v>2.5414382991195952</v>
      </c>
    </row>
    <row r="996" spans="17:23" x14ac:dyDescent="0.2">
      <c r="Q996">
        <f t="shared" si="120"/>
        <v>980</v>
      </c>
      <c r="R996" s="48">
        <f t="shared" ca="1" si="121"/>
        <v>0.15</v>
      </c>
      <c r="S996">
        <f t="shared" ca="1" si="122"/>
        <v>196.52476290838956</v>
      </c>
      <c r="T996" s="61">
        <f t="shared" ca="1" si="123"/>
        <v>7200</v>
      </c>
      <c r="U996" s="61">
        <f t="shared" ca="1" si="124"/>
        <v>11636.838777704903</v>
      </c>
      <c r="V996" s="39">
        <f t="shared" ca="1" si="125"/>
        <v>7.6558149853321725E-2</v>
      </c>
      <c r="W996" s="48">
        <f t="shared" ca="1" si="126"/>
        <v>0.81911295071240264</v>
      </c>
    </row>
    <row r="997" spans="17:23" x14ac:dyDescent="0.2">
      <c r="Q997">
        <f t="shared" si="120"/>
        <v>981</v>
      </c>
      <c r="R997" s="48">
        <f t="shared" ca="1" si="121"/>
        <v>0.35</v>
      </c>
      <c r="S997">
        <f t="shared" ca="1" si="122"/>
        <v>173.15254241153391</v>
      </c>
      <c r="T997" s="61">
        <f t="shared" ca="1" si="123"/>
        <v>16800</v>
      </c>
      <c r="U997" s="61">
        <f t="shared" ca="1" si="124"/>
        <v>8039.3220539976355</v>
      </c>
      <c r="V997" s="39">
        <f t="shared" ca="1" si="125"/>
        <v>5.2890276671037073E-2</v>
      </c>
      <c r="W997" s="48">
        <f t="shared" ca="1" si="126"/>
        <v>0.51897957139142514</v>
      </c>
    </row>
    <row r="998" spans="17:23" x14ac:dyDescent="0.2">
      <c r="Q998">
        <f t="shared" si="120"/>
        <v>982</v>
      </c>
      <c r="R998" s="48">
        <f t="shared" ca="1" si="121"/>
        <v>0.3</v>
      </c>
      <c r="S998">
        <f t="shared" ca="1" si="122"/>
        <v>212.84574674479728</v>
      </c>
      <c r="T998" s="61">
        <f t="shared" ca="1" si="123"/>
        <v>14400</v>
      </c>
      <c r="U998" s="61">
        <f t="shared" ca="1" si="124"/>
        <v>27193.618177086479</v>
      </c>
      <c r="V998" s="39">
        <f t="shared" ca="1" si="125"/>
        <v>0.17890538274398998</v>
      </c>
      <c r="W998" s="48">
        <f t="shared" ca="1" si="126"/>
        <v>2.7999135014533376</v>
      </c>
    </row>
    <row r="999" spans="17:23" x14ac:dyDescent="0.2">
      <c r="Q999">
        <f t="shared" si="120"/>
        <v>983</v>
      </c>
      <c r="R999" s="48">
        <f t="shared" ca="1" si="121"/>
        <v>0.4</v>
      </c>
      <c r="S999">
        <f t="shared" ca="1" si="122"/>
        <v>173.64297949438068</v>
      </c>
      <c r="T999" s="61">
        <f t="shared" ca="1" si="123"/>
        <v>19200</v>
      </c>
      <c r="U999" s="61">
        <f t="shared" ca="1" si="124"/>
        <v>11348.630157302727</v>
      </c>
      <c r="V999" s="39">
        <f t="shared" ca="1" si="125"/>
        <v>7.4662040508570574E-2</v>
      </c>
      <c r="W999" s="48">
        <f t="shared" ca="1" si="126"/>
        <v>0.79328752624519971</v>
      </c>
    </row>
    <row r="1000" spans="17:23" x14ac:dyDescent="0.2">
      <c r="Q1000">
        <f t="shared" si="120"/>
        <v>984</v>
      </c>
      <c r="R1000" s="48">
        <f t="shared" ca="1" si="121"/>
        <v>0.3</v>
      </c>
      <c r="S1000">
        <f t="shared" ca="1" si="122"/>
        <v>212.27838929159407</v>
      </c>
      <c r="T1000" s="61">
        <f t="shared" ca="1" si="123"/>
        <v>14400</v>
      </c>
      <c r="U1000" s="61">
        <f t="shared" ca="1" si="124"/>
        <v>26875.898003292677</v>
      </c>
      <c r="V1000" s="39">
        <f t="shared" ca="1" si="125"/>
        <v>0.176815118442715</v>
      </c>
      <c r="W1000" s="48">
        <f t="shared" ca="1" si="126"/>
        <v>2.7456085163525259</v>
      </c>
    </row>
    <row r="1001" spans="17:23" x14ac:dyDescent="0.2">
      <c r="Q1001">
        <f t="shared" si="120"/>
        <v>985</v>
      </c>
      <c r="R1001" s="48">
        <f t="shared" ca="1" si="121"/>
        <v>0.3</v>
      </c>
      <c r="S1001">
        <f t="shared" ca="1" si="122"/>
        <v>204.31895544511477</v>
      </c>
      <c r="T1001" s="61">
        <f t="shared" ca="1" si="123"/>
        <v>14400</v>
      </c>
      <c r="U1001" s="61">
        <f t="shared" ca="1" si="124"/>
        <v>22418.61504926427</v>
      </c>
      <c r="V1001" s="39">
        <f t="shared" ca="1" si="125"/>
        <v>0.14749088848200179</v>
      </c>
      <c r="W1001" s="48">
        <f t="shared" ca="1" si="126"/>
        <v>2.0523390380505244</v>
      </c>
    </row>
    <row r="1002" spans="17:23" x14ac:dyDescent="0.2">
      <c r="Q1002">
        <f t="shared" si="120"/>
        <v>986</v>
      </c>
      <c r="R1002" s="48">
        <f t="shared" ca="1" si="121"/>
        <v>0.4</v>
      </c>
      <c r="S1002">
        <f t="shared" ca="1" si="122"/>
        <v>201.35853534828274</v>
      </c>
      <c r="T1002" s="61">
        <f t="shared" ca="1" si="123"/>
        <v>19200</v>
      </c>
      <c r="U1002" s="61">
        <f t="shared" ca="1" si="124"/>
        <v>24652.096967175716</v>
      </c>
      <c r="V1002" s="39">
        <f t="shared" ca="1" si="125"/>
        <v>0.16218484846826128</v>
      </c>
      <c r="W1002" s="48">
        <f t="shared" ca="1" si="126"/>
        <v>2.3841879486588065</v>
      </c>
    </row>
    <row r="1003" spans="17:23" x14ac:dyDescent="0.2">
      <c r="Q1003">
        <f t="shared" si="120"/>
        <v>987</v>
      </c>
      <c r="R1003" s="48">
        <f t="shared" ca="1" si="121"/>
        <v>0.5</v>
      </c>
      <c r="S1003">
        <f t="shared" ca="1" si="122"/>
        <v>224.64419140877504</v>
      </c>
      <c r="T1003" s="61">
        <f t="shared" ca="1" si="123"/>
        <v>24000</v>
      </c>
      <c r="U1003" s="61">
        <f t="shared" ca="1" si="124"/>
        <v>37857.676563510016</v>
      </c>
      <c r="V1003" s="39">
        <f t="shared" ca="1" si="125"/>
        <v>0.24906366160203958</v>
      </c>
      <c r="W1003" s="48">
        <f t="shared" ca="1" si="126"/>
        <v>5.0730689226122694</v>
      </c>
    </row>
    <row r="1004" spans="17:23" x14ac:dyDescent="0.2">
      <c r="Q1004">
        <f t="shared" si="120"/>
        <v>988</v>
      </c>
      <c r="R1004" s="48">
        <f t="shared" ca="1" si="121"/>
        <v>0.3</v>
      </c>
      <c r="S1004">
        <f t="shared" ca="1" si="122"/>
        <v>166.48927279822718</v>
      </c>
      <c r="T1004" s="61">
        <f t="shared" ca="1" si="123"/>
        <v>14400</v>
      </c>
      <c r="U1004" s="61">
        <f t="shared" ca="1" si="124"/>
        <v>1233.9927670072193</v>
      </c>
      <c r="V1004" s="39">
        <f t="shared" ca="1" si="125"/>
        <v>8.1183734671527591E-3</v>
      </c>
      <c r="W1004" s="48">
        <f t="shared" ca="1" si="126"/>
        <v>6.7781544892833612E-2</v>
      </c>
    </row>
    <row r="1005" spans="17:23" x14ac:dyDescent="0.2">
      <c r="Q1005">
        <f t="shared" si="120"/>
        <v>989</v>
      </c>
      <c r="R1005" s="48">
        <f t="shared" ca="1" si="121"/>
        <v>0.3</v>
      </c>
      <c r="S1005">
        <f t="shared" ca="1" si="122"/>
        <v>212.48774703812683</v>
      </c>
      <c r="T1005" s="61">
        <f t="shared" ca="1" si="123"/>
        <v>14400</v>
      </c>
      <c r="U1005" s="61">
        <f t="shared" ca="1" si="124"/>
        <v>26993.138341351023</v>
      </c>
      <c r="V1005" s="39">
        <f t="shared" ca="1" si="125"/>
        <v>0.17758643645625674</v>
      </c>
      <c r="W1005" s="48">
        <f t="shared" ca="1" si="126"/>
        <v>2.7655675829067983</v>
      </c>
    </row>
    <row r="1006" spans="17:23" x14ac:dyDescent="0.2">
      <c r="Q1006">
        <f t="shared" si="120"/>
        <v>990</v>
      </c>
      <c r="R1006" s="48">
        <f t="shared" ca="1" si="121"/>
        <v>0.4</v>
      </c>
      <c r="S1006">
        <f t="shared" ca="1" si="122"/>
        <v>200.50409927344646</v>
      </c>
      <c r="T1006" s="61">
        <f t="shared" ca="1" si="123"/>
        <v>19200</v>
      </c>
      <c r="U1006" s="61">
        <f t="shared" ca="1" si="124"/>
        <v>24241.967651254301</v>
      </c>
      <c r="V1006" s="39">
        <f t="shared" ca="1" si="125"/>
        <v>0.15948662928456778</v>
      </c>
      <c r="W1006" s="48">
        <f t="shared" ca="1" si="126"/>
        <v>2.320982579880325</v>
      </c>
    </row>
    <row r="1007" spans="17:23" x14ac:dyDescent="0.2">
      <c r="Q1007">
        <f t="shared" si="120"/>
        <v>991</v>
      </c>
      <c r="R1007" s="48">
        <f t="shared" ca="1" si="121"/>
        <v>0.45</v>
      </c>
      <c r="S1007">
        <f t="shared" ca="1" si="122"/>
        <v>173.7576674427437</v>
      </c>
      <c r="T1007" s="61">
        <f t="shared" ca="1" si="123"/>
        <v>21600</v>
      </c>
      <c r="U1007" s="61">
        <f t="shared" ca="1" si="124"/>
        <v>14453.373674807226</v>
      </c>
      <c r="V1007" s="39">
        <f t="shared" ca="1" si="125"/>
        <v>9.5087984702679124E-2</v>
      </c>
      <c r="W1007" s="48">
        <f t="shared" ca="1" si="126"/>
        <v>1.0891774765907249</v>
      </c>
    </row>
    <row r="1008" spans="17:23" x14ac:dyDescent="0.2">
      <c r="Q1008">
        <f t="shared" si="120"/>
        <v>992</v>
      </c>
      <c r="R1008" s="48">
        <f t="shared" ca="1" si="121"/>
        <v>0.35</v>
      </c>
      <c r="S1008">
        <f t="shared" ca="1" si="122"/>
        <v>180.30540020191145</v>
      </c>
      <c r="T1008" s="61">
        <f t="shared" ca="1" si="123"/>
        <v>16800</v>
      </c>
      <c r="U1008" s="61">
        <f t="shared" ca="1" si="124"/>
        <v>11758.808104993956</v>
      </c>
      <c r="V1008" s="39">
        <f t="shared" ca="1" si="125"/>
        <v>7.7360579638118127E-2</v>
      </c>
      <c r="W1008" s="48">
        <f t="shared" ca="1" si="126"/>
        <v>0.83014003639105249</v>
      </c>
    </row>
    <row r="1009" spans="17:23" x14ac:dyDescent="0.2">
      <c r="Q1009">
        <f t="shared" si="120"/>
        <v>993</v>
      </c>
      <c r="R1009" s="48">
        <f t="shared" ca="1" si="121"/>
        <v>0.35</v>
      </c>
      <c r="S1009">
        <f t="shared" ca="1" si="122"/>
        <v>170.54790308277509</v>
      </c>
      <c r="T1009" s="61">
        <f t="shared" ca="1" si="123"/>
        <v>16800</v>
      </c>
      <c r="U1009" s="61">
        <f t="shared" ca="1" si="124"/>
        <v>6684.9096030430483</v>
      </c>
      <c r="V1009" s="39">
        <f t="shared" ca="1" si="125"/>
        <v>4.3979668441072685E-2</v>
      </c>
      <c r="W1009" s="48">
        <f t="shared" ca="1" si="126"/>
        <v>0.41779428086930315</v>
      </c>
    </row>
    <row r="1010" spans="17:23" x14ac:dyDescent="0.2">
      <c r="Q1010">
        <f t="shared" si="120"/>
        <v>994</v>
      </c>
      <c r="R1010" s="48">
        <f t="shared" ca="1" si="121"/>
        <v>0.3</v>
      </c>
      <c r="S1010">
        <f t="shared" ca="1" si="122"/>
        <v>184.89521579079775</v>
      </c>
      <c r="T1010" s="61">
        <f t="shared" ca="1" si="123"/>
        <v>14400</v>
      </c>
      <c r="U1010" s="61">
        <f t="shared" ca="1" si="124"/>
        <v>11541.320842846741</v>
      </c>
      <c r="V1010" s="39">
        <f t="shared" ca="1" si="125"/>
        <v>7.5929742387149612E-2</v>
      </c>
      <c r="W1010" s="48">
        <f t="shared" ca="1" si="126"/>
        <v>0.81051801482039698</v>
      </c>
    </row>
    <row r="1011" spans="17:23" x14ac:dyDescent="0.2">
      <c r="Q1011">
        <f t="shared" si="120"/>
        <v>995</v>
      </c>
      <c r="R1011" s="48">
        <f t="shared" ca="1" si="121"/>
        <v>0.35</v>
      </c>
      <c r="S1011">
        <f t="shared" ca="1" si="122"/>
        <v>190.15671940523859</v>
      </c>
      <c r="T1011" s="61">
        <f t="shared" ca="1" si="123"/>
        <v>16800</v>
      </c>
      <c r="U1011" s="61">
        <f t="shared" ca="1" si="124"/>
        <v>16881.494090724067</v>
      </c>
      <c r="V1011" s="39">
        <f t="shared" ca="1" si="125"/>
        <v>0.11106246112318466</v>
      </c>
      <c r="W1011" s="48">
        <f t="shared" ca="1" si="126"/>
        <v>1.3495779036084148</v>
      </c>
    </row>
    <row r="1012" spans="17:23" x14ac:dyDescent="0.2">
      <c r="Q1012">
        <f t="shared" si="120"/>
        <v>996</v>
      </c>
      <c r="R1012" s="48">
        <f t="shared" ca="1" si="121"/>
        <v>0.3</v>
      </c>
      <c r="S1012">
        <f t="shared" ca="1" si="122"/>
        <v>166.3112859560141</v>
      </c>
      <c r="T1012" s="61">
        <f t="shared" ca="1" si="123"/>
        <v>14400</v>
      </c>
      <c r="U1012" s="61">
        <f t="shared" ca="1" si="124"/>
        <v>1134.3201353678978</v>
      </c>
      <c r="V1012" s="39">
        <f t="shared" ca="1" si="125"/>
        <v>7.4626324695256435E-3</v>
      </c>
      <c r="W1012" s="48">
        <f t="shared" ca="1" si="126"/>
        <v>6.2160988312525145E-2</v>
      </c>
    </row>
    <row r="1013" spans="17:23" x14ac:dyDescent="0.2">
      <c r="Q1013">
        <f t="shared" si="120"/>
        <v>997</v>
      </c>
      <c r="R1013" s="48">
        <f t="shared" ca="1" si="121"/>
        <v>0.4</v>
      </c>
      <c r="S1013">
        <f t="shared" ca="1" si="122"/>
        <v>201.38621266617443</v>
      </c>
      <c r="T1013" s="61">
        <f t="shared" ca="1" si="123"/>
        <v>19200</v>
      </c>
      <c r="U1013" s="61">
        <f t="shared" ca="1" si="124"/>
        <v>24665.382079763727</v>
      </c>
      <c r="V1013" s="39">
        <f t="shared" ca="1" si="125"/>
        <v>0.16227225052476135</v>
      </c>
      <c r="W1013" s="48">
        <f t="shared" ca="1" si="126"/>
        <v>2.3862528409266477</v>
      </c>
    </row>
    <row r="1014" spans="17:23" x14ac:dyDescent="0.2">
      <c r="Q1014">
        <f t="shared" si="120"/>
        <v>998</v>
      </c>
      <c r="R1014" s="48">
        <f t="shared" ca="1" si="121"/>
        <v>0.4</v>
      </c>
      <c r="S1014">
        <f t="shared" ca="1" si="122"/>
        <v>184.67180305932709</v>
      </c>
      <c r="T1014" s="61">
        <f t="shared" ca="1" si="123"/>
        <v>19200</v>
      </c>
      <c r="U1014" s="61">
        <f t="shared" ca="1" si="124"/>
        <v>16642.465468477003</v>
      </c>
      <c r="V1014" s="39">
        <f t="shared" ca="1" si="125"/>
        <v>0.10948990439787502</v>
      </c>
      <c r="W1014" s="48">
        <f t="shared" ca="1" si="126"/>
        <v>1.3227397085415902</v>
      </c>
    </row>
    <row r="1015" spans="17:23" x14ac:dyDescent="0.2">
      <c r="Q1015">
        <f t="shared" si="120"/>
        <v>999</v>
      </c>
      <c r="R1015" s="48">
        <f t="shared" ca="1" si="121"/>
        <v>0.3</v>
      </c>
      <c r="S1015">
        <f t="shared" ca="1" si="122"/>
        <v>176.76974687876574</v>
      </c>
      <c r="T1015" s="61">
        <f t="shared" ca="1" si="123"/>
        <v>14400</v>
      </c>
      <c r="U1015" s="61">
        <f t="shared" ca="1" si="124"/>
        <v>6991.0582521088163</v>
      </c>
      <c r="V1015" s="39">
        <f t="shared" ca="1" si="125"/>
        <v>4.599380429018958E-2</v>
      </c>
      <c r="W1015" s="48">
        <f t="shared" ca="1" si="126"/>
        <v>0.44013364968559343</v>
      </c>
    </row>
    <row r="1016" spans="17:23" x14ac:dyDescent="0.2">
      <c r="Q1016">
        <f t="shared" si="120"/>
        <v>1000</v>
      </c>
      <c r="R1016" s="48">
        <f t="shared" ca="1" si="121"/>
        <v>0.35</v>
      </c>
      <c r="S1016">
        <f t="shared" ca="1" si="122"/>
        <v>206.09132277701133</v>
      </c>
      <c r="T1016" s="61">
        <f t="shared" ca="1" si="123"/>
        <v>16800</v>
      </c>
      <c r="U1016" s="61">
        <f t="shared" ca="1" si="124"/>
        <v>25167.487844045892</v>
      </c>
      <c r="V1016" s="39">
        <f t="shared" ca="1" si="125"/>
        <v>0.16557557792135455</v>
      </c>
      <c r="W1016" s="48">
        <f t="shared" ca="1" si="126"/>
        <v>2.4651089598107268</v>
      </c>
    </row>
    <row r="1017" spans="17:23" x14ac:dyDescent="0.2">
      <c r="Q1017">
        <f t="shared" si="120"/>
        <v>1001</v>
      </c>
      <c r="R1017" s="48">
        <f t="shared" ca="1" si="121"/>
        <v>0.217</v>
      </c>
      <c r="S1017">
        <f t="shared" ca="1" si="122"/>
        <v>215.48485707836721</v>
      </c>
      <c r="T1017" s="61">
        <f t="shared" ref="T1017:T1018" ca="1" si="127">($B$8-$B$7)*($E$6*R1017)</f>
        <v>10416</v>
      </c>
      <c r="U1017" s="61">
        <f t="shared" ref="U1017:U1018" ca="1" si="128">T1017+((S1017-$B$7)*($E$6*(1-R1017)))</f>
        <v>26379.714473889224</v>
      </c>
      <c r="V1017" s="39">
        <f t="shared" ref="V1017:V1018" ca="1" si="129">U1017/$E$4</f>
        <v>0.17355075311769227</v>
      </c>
      <c r="W1017" s="48">
        <f t="shared" ref="W1017:W1018" ca="1" si="130">(1+V1017)^($J$29/$J$30)-1</f>
        <v>2.6621610781995551</v>
      </c>
    </row>
    <row r="1018" spans="17:23" x14ac:dyDescent="0.2">
      <c r="Q1018">
        <f t="shared" si="120"/>
        <v>1002</v>
      </c>
      <c r="R1018" s="48">
        <f t="shared" ca="1" si="121"/>
        <v>0.3</v>
      </c>
      <c r="S1018">
        <f t="shared" ca="1" si="122"/>
        <v>193.74772797206882</v>
      </c>
      <c r="T1018" s="61">
        <f t="shared" ca="1" si="127"/>
        <v>14400</v>
      </c>
      <c r="U1018" s="61">
        <f t="shared" ca="1" si="128"/>
        <v>16498.727664358536</v>
      </c>
      <c r="V1018" s="39">
        <f t="shared" ca="1" si="129"/>
        <v>0.1085442609497272</v>
      </c>
      <c r="W1018" s="48">
        <f t="shared" ca="1" si="130"/>
        <v>1.3067305270376841</v>
      </c>
    </row>
    <row r="1019" spans="17:23" x14ac:dyDescent="0.2">
      <c r="Q1019">
        <f t="shared" si="120"/>
        <v>1003</v>
      </c>
      <c r="R1019" s="48">
        <f t="shared" ca="1" si="121"/>
        <v>0.3</v>
      </c>
      <c r="S1019">
        <f t="shared" ca="1" si="122"/>
        <v>207.86838489325172</v>
      </c>
      <c r="T1019" s="61">
        <f t="shared" ref="T1019:T1080" ca="1" si="131">($B$8-$B$7)*($E$6*R1019)</f>
        <v>14400</v>
      </c>
      <c r="U1019" s="61">
        <f t="shared" ref="U1019:U1080" ca="1" si="132">T1019+((S1019-$B$7)*($E$6*(1-R1019)))</f>
        <v>24406.295540220963</v>
      </c>
      <c r="V1019" s="39">
        <f t="shared" ref="V1019:V1080" ca="1" si="133">U1019/$E$4</f>
        <v>0.16056773381724318</v>
      </c>
      <c r="W1019" s="48">
        <f t="shared" ref="W1019:W1080" ca="1" si="134">(1+V1019)^($J$29/$J$30)-1</f>
        <v>2.3461819108721458</v>
      </c>
    </row>
    <row r="1020" spans="17:23" x14ac:dyDescent="0.2">
      <c r="Q1020">
        <f t="shared" si="120"/>
        <v>1004</v>
      </c>
      <c r="R1020" s="48">
        <f t="shared" ca="1" si="121"/>
        <v>0.45</v>
      </c>
      <c r="S1020">
        <f t="shared" ca="1" si="122"/>
        <v>197.70099568431277</v>
      </c>
      <c r="T1020" s="61">
        <f t="shared" ca="1" si="131"/>
        <v>21600</v>
      </c>
      <c r="U1020" s="61">
        <f t="shared" ca="1" si="132"/>
        <v>24988.438101097621</v>
      </c>
      <c r="V1020" s="39">
        <f t="shared" ca="1" si="133"/>
        <v>0.16439761908616857</v>
      </c>
      <c r="W1020" s="48">
        <f t="shared" ca="1" si="134"/>
        <v>2.4368063315662738</v>
      </c>
    </row>
    <row r="1021" spans="17:23" x14ac:dyDescent="0.2">
      <c r="Q1021">
        <f t="shared" si="120"/>
        <v>1005</v>
      </c>
      <c r="R1021" s="48">
        <f t="shared" ca="1" si="121"/>
        <v>0.15</v>
      </c>
      <c r="S1021">
        <f t="shared" ca="1" si="122"/>
        <v>203.26583981986749</v>
      </c>
      <c r="T1021" s="61">
        <f t="shared" ca="1" si="131"/>
        <v>7200</v>
      </c>
      <c r="U1021" s="61">
        <f t="shared" ca="1" si="132"/>
        <v>16220.771077509897</v>
      </c>
      <c r="V1021" s="39">
        <f t="shared" ca="1" si="133"/>
        <v>0.10671559919414406</v>
      </c>
      <c r="W1021" s="48">
        <f t="shared" ca="1" si="134"/>
        <v>1.2760465677991131</v>
      </c>
    </row>
    <row r="1022" spans="17:23" x14ac:dyDescent="0.2">
      <c r="Q1022">
        <f t="shared" si="120"/>
        <v>1006</v>
      </c>
      <c r="R1022" s="48">
        <f t="shared" ca="1" si="121"/>
        <v>0.217</v>
      </c>
      <c r="S1022">
        <f t="shared" ca="1" si="122"/>
        <v>206.52541101436466</v>
      </c>
      <c r="T1022" s="61">
        <f t="shared" ca="1" si="131"/>
        <v>10416</v>
      </c>
      <c r="U1022" s="61">
        <f t="shared" ca="1" si="132"/>
        <v>20767.517459398026</v>
      </c>
      <c r="V1022" s="39">
        <f t="shared" ca="1" si="133"/>
        <v>0.13662840433814491</v>
      </c>
      <c r="W1022" s="48">
        <f t="shared" ca="1" si="134"/>
        <v>1.825711849158774</v>
      </c>
    </row>
    <row r="1023" spans="17:23" x14ac:dyDescent="0.2">
      <c r="Q1023">
        <f t="shared" si="120"/>
        <v>1007</v>
      </c>
      <c r="R1023" s="48">
        <f t="shared" ca="1" si="121"/>
        <v>0.45</v>
      </c>
      <c r="S1023">
        <f t="shared" ca="1" si="122"/>
        <v>181.93233909298678</v>
      </c>
      <c r="T1023" s="61">
        <f t="shared" ca="1" si="131"/>
        <v>21600</v>
      </c>
      <c r="U1023" s="61">
        <f t="shared" ca="1" si="132"/>
        <v>18050.229200914182</v>
      </c>
      <c r="V1023" s="39">
        <f t="shared" ca="1" si="133"/>
        <v>0.1187515079007512</v>
      </c>
      <c r="W1023" s="48">
        <f t="shared" ca="1" si="134"/>
        <v>1.484756970858752</v>
      </c>
    </row>
    <row r="1024" spans="17:23" x14ac:dyDescent="0.2">
      <c r="Q1024">
        <f t="shared" si="120"/>
        <v>1008</v>
      </c>
      <c r="R1024" s="48">
        <f t="shared" ca="1" si="121"/>
        <v>0.4</v>
      </c>
      <c r="S1024">
        <f t="shared" ca="1" si="122"/>
        <v>147.48828961440154</v>
      </c>
      <c r="T1024" s="61">
        <f t="shared" ca="1" si="131"/>
        <v>19200</v>
      </c>
      <c r="U1024" s="61">
        <f t="shared" ca="1" si="132"/>
        <v>-1205.6209850872619</v>
      </c>
      <c r="V1024" s="39">
        <f t="shared" ca="1" si="133"/>
        <v>-7.9317170071530399E-3</v>
      </c>
      <c r="W1024" s="48">
        <f t="shared" ca="1" si="134"/>
        <v>-6.2549702771733329E-2</v>
      </c>
    </row>
    <row r="1025" spans="17:23" x14ac:dyDescent="0.2">
      <c r="Q1025">
        <f t="shared" si="120"/>
        <v>1009</v>
      </c>
      <c r="R1025" s="48">
        <f t="shared" ca="1" si="121"/>
        <v>0.3</v>
      </c>
      <c r="S1025">
        <f t="shared" ca="1" si="122"/>
        <v>213.63340733254276</v>
      </c>
      <c r="T1025" s="61">
        <f t="shared" ca="1" si="131"/>
        <v>14400</v>
      </c>
      <c r="U1025" s="61">
        <f t="shared" ca="1" si="132"/>
        <v>27634.708106223945</v>
      </c>
      <c r="V1025" s="39">
        <f t="shared" ca="1" si="133"/>
        <v>0.18180729017252595</v>
      </c>
      <c r="W1025" s="48">
        <f t="shared" ca="1" si="134"/>
        <v>2.8764488506285506</v>
      </c>
    </row>
    <row r="1026" spans="17:23" x14ac:dyDescent="0.2">
      <c r="Q1026">
        <f t="shared" si="120"/>
        <v>1010</v>
      </c>
      <c r="R1026" s="48">
        <f t="shared" ca="1" si="121"/>
        <v>0.3</v>
      </c>
      <c r="S1026">
        <f t="shared" ca="1" si="122"/>
        <v>203.93827446227991</v>
      </c>
      <c r="T1026" s="61">
        <f t="shared" ca="1" si="131"/>
        <v>14400</v>
      </c>
      <c r="U1026" s="61">
        <f t="shared" ca="1" si="132"/>
        <v>22205.433698876746</v>
      </c>
      <c r="V1026" s="39">
        <f t="shared" ca="1" si="133"/>
        <v>0.14608837959787332</v>
      </c>
      <c r="W1026" s="48">
        <f t="shared" ca="1" si="134"/>
        <v>2.0222101735032583</v>
      </c>
    </row>
    <row r="1027" spans="17:23" x14ac:dyDescent="0.2">
      <c r="Q1027">
        <f t="shared" si="120"/>
        <v>1011</v>
      </c>
      <c r="R1027" s="48">
        <f t="shared" ca="1" si="121"/>
        <v>0.217</v>
      </c>
      <c r="S1027">
        <f t="shared" ca="1" si="122"/>
        <v>182.20477143210456</v>
      </c>
      <c r="T1027" s="61">
        <f t="shared" ca="1" si="131"/>
        <v>10416</v>
      </c>
      <c r="U1027" s="61">
        <f t="shared" ca="1" si="132"/>
        <v>5533.0688250702997</v>
      </c>
      <c r="V1027" s="39">
        <f t="shared" ca="1" si="133"/>
        <v>3.6401768585988814E-2</v>
      </c>
      <c r="W1027" s="48">
        <f t="shared" ca="1" si="134"/>
        <v>0.33644322243758018</v>
      </c>
    </row>
    <row r="1028" spans="17:23" x14ac:dyDescent="0.2">
      <c r="Q1028">
        <f t="shared" si="120"/>
        <v>1012</v>
      </c>
      <c r="R1028" s="48">
        <f t="shared" ca="1" si="121"/>
        <v>0.3</v>
      </c>
      <c r="S1028">
        <f t="shared" ca="1" si="122"/>
        <v>222.30465021292252</v>
      </c>
      <c r="T1028" s="61">
        <f t="shared" ca="1" si="131"/>
        <v>14400</v>
      </c>
      <c r="U1028" s="61">
        <f t="shared" ca="1" si="132"/>
        <v>32490.604119236614</v>
      </c>
      <c r="V1028" s="39">
        <f t="shared" ca="1" si="133"/>
        <v>0.21375397446866193</v>
      </c>
      <c r="W1028" s="48">
        <f t="shared" ca="1" si="134"/>
        <v>3.8127485505233771</v>
      </c>
    </row>
    <row r="1029" spans="17:23" x14ac:dyDescent="0.2">
      <c r="Q1029">
        <f t="shared" si="120"/>
        <v>1013</v>
      </c>
      <c r="R1029" s="48">
        <f t="shared" ca="1" si="121"/>
        <v>0.3</v>
      </c>
      <c r="S1029">
        <f t="shared" ca="1" si="122"/>
        <v>214.89410625122048</v>
      </c>
      <c r="T1029" s="61">
        <f t="shared" ca="1" si="131"/>
        <v>14400</v>
      </c>
      <c r="U1029" s="61">
        <f t="shared" ca="1" si="132"/>
        <v>28340.69950068347</v>
      </c>
      <c r="V1029" s="39">
        <f t="shared" ca="1" si="133"/>
        <v>0.18645197039923336</v>
      </c>
      <c r="W1029" s="48">
        <f t="shared" ca="1" si="134"/>
        <v>3.0017625297014714</v>
      </c>
    </row>
    <row r="1030" spans="17:23" x14ac:dyDescent="0.2">
      <c r="Q1030">
        <f t="shared" si="120"/>
        <v>1014</v>
      </c>
      <c r="R1030" s="48">
        <f t="shared" ca="1" si="121"/>
        <v>0.35</v>
      </c>
      <c r="S1030">
        <f t="shared" ca="1" si="122"/>
        <v>181.9302750329104</v>
      </c>
      <c r="T1030" s="61">
        <f t="shared" ca="1" si="131"/>
        <v>16800</v>
      </c>
      <c r="U1030" s="61">
        <f t="shared" ca="1" si="132"/>
        <v>12603.743017113409</v>
      </c>
      <c r="V1030" s="39">
        <f t="shared" ca="1" si="133"/>
        <v>8.2919361954693488E-2</v>
      </c>
      <c r="W1030" s="48">
        <f t="shared" ca="1" si="134"/>
        <v>0.90815198242182005</v>
      </c>
    </row>
    <row r="1031" spans="17:23" x14ac:dyDescent="0.2">
      <c r="Q1031">
        <f t="shared" si="120"/>
        <v>1015</v>
      </c>
      <c r="R1031" s="48">
        <f t="shared" ca="1" si="121"/>
        <v>0.35</v>
      </c>
      <c r="S1031">
        <f t="shared" ca="1" si="122"/>
        <v>195.60366643326057</v>
      </c>
      <c r="T1031" s="61">
        <f t="shared" ca="1" si="131"/>
        <v>16800</v>
      </c>
      <c r="U1031" s="61">
        <f t="shared" ca="1" si="132"/>
        <v>19713.906545295496</v>
      </c>
      <c r="V1031" s="39">
        <f t="shared" ca="1" si="133"/>
        <v>0.12969675358747038</v>
      </c>
      <c r="W1031" s="48">
        <f t="shared" ca="1" si="134"/>
        <v>1.688931254870857</v>
      </c>
    </row>
    <row r="1032" spans="17:23" x14ac:dyDescent="0.2">
      <c r="Q1032">
        <f t="shared" si="120"/>
        <v>1016</v>
      </c>
      <c r="R1032" s="48">
        <f t="shared" ca="1" si="121"/>
        <v>0.217</v>
      </c>
      <c r="S1032">
        <f t="shared" ca="1" si="122"/>
        <v>217.04173796334283</v>
      </c>
      <c r="T1032" s="61">
        <f t="shared" ca="1" si="131"/>
        <v>10416</v>
      </c>
      <c r="U1032" s="61">
        <f t="shared" ca="1" si="132"/>
        <v>27354.944660237947</v>
      </c>
      <c r="V1032" s="39">
        <f t="shared" ca="1" si="133"/>
        <v>0.17996674118577596</v>
      </c>
      <c r="W1032" s="48">
        <f t="shared" ca="1" si="134"/>
        <v>2.827750839649485</v>
      </c>
    </row>
    <row r="1033" spans="17:23" x14ac:dyDescent="0.2">
      <c r="Q1033">
        <f t="shared" si="120"/>
        <v>1017</v>
      </c>
      <c r="R1033" s="48">
        <f t="shared" ca="1" si="121"/>
        <v>0.3</v>
      </c>
      <c r="S1033">
        <f t="shared" ca="1" si="122"/>
        <v>148.25838445571299</v>
      </c>
      <c r="T1033" s="61">
        <f t="shared" ca="1" si="131"/>
        <v>14400</v>
      </c>
      <c r="U1033" s="61">
        <f t="shared" ca="1" si="132"/>
        <v>-8975.3047048007284</v>
      </c>
      <c r="V1033" s="39">
        <f t="shared" ca="1" si="133"/>
        <v>-5.9048057268425845E-2</v>
      </c>
      <c r="W1033" s="48">
        <f t="shared" ca="1" si="134"/>
        <v>-0.38961676684508295</v>
      </c>
    </row>
    <row r="1034" spans="17:23" x14ac:dyDescent="0.2">
      <c r="Q1034">
        <f t="shared" si="120"/>
        <v>1018</v>
      </c>
      <c r="R1034" s="48">
        <f t="shared" ca="1" si="121"/>
        <v>0.45</v>
      </c>
      <c r="S1034">
        <f t="shared" ca="1" si="122"/>
        <v>175.19254571780016</v>
      </c>
      <c r="T1034" s="61">
        <f t="shared" ca="1" si="131"/>
        <v>21600</v>
      </c>
      <c r="U1034" s="61">
        <f t="shared" ca="1" si="132"/>
        <v>15084.720115832068</v>
      </c>
      <c r="V1034" s="39">
        <f t="shared" ca="1" si="133"/>
        <v>9.9241579709421504E-2</v>
      </c>
      <c r="W1034" s="48">
        <f t="shared" ca="1" si="134"/>
        <v>1.1543243281748761</v>
      </c>
    </row>
    <row r="1035" spans="17:23" x14ac:dyDescent="0.2">
      <c r="Q1035">
        <f t="shared" si="120"/>
        <v>1019</v>
      </c>
      <c r="R1035" s="48">
        <f t="shared" ca="1" si="121"/>
        <v>0.35</v>
      </c>
      <c r="S1035">
        <f t="shared" ca="1" si="122"/>
        <v>225.59712412229618</v>
      </c>
      <c r="T1035" s="61">
        <f t="shared" ca="1" si="131"/>
        <v>16800</v>
      </c>
      <c r="U1035" s="61">
        <f t="shared" ca="1" si="132"/>
        <v>35310.504543594012</v>
      </c>
      <c r="V1035" s="39">
        <f t="shared" ca="1" si="133"/>
        <v>0.23230595094469744</v>
      </c>
      <c r="W1035" s="48">
        <f t="shared" ca="1" si="134"/>
        <v>4.4428730430543935</v>
      </c>
    </row>
    <row r="1036" spans="17:23" x14ac:dyDescent="0.2">
      <c r="Q1036">
        <f t="shared" si="120"/>
        <v>1020</v>
      </c>
      <c r="R1036" s="48">
        <f t="shared" ca="1" si="121"/>
        <v>0.3</v>
      </c>
      <c r="S1036">
        <f t="shared" ca="1" si="122"/>
        <v>193.15643498265777</v>
      </c>
      <c r="T1036" s="61">
        <f t="shared" ca="1" si="131"/>
        <v>14400</v>
      </c>
      <c r="U1036" s="61">
        <f t="shared" ca="1" si="132"/>
        <v>16167.603590288352</v>
      </c>
      <c r="V1036" s="39">
        <f t="shared" ca="1" si="133"/>
        <v>0.10636581309400232</v>
      </c>
      <c r="W1036" s="48">
        <f t="shared" ca="1" si="134"/>
        <v>1.2702182931786803</v>
      </c>
    </row>
    <row r="1037" spans="17:23" x14ac:dyDescent="0.2">
      <c r="Q1037">
        <f t="shared" si="120"/>
        <v>1021</v>
      </c>
      <c r="R1037" s="48">
        <f t="shared" ca="1" si="121"/>
        <v>0.217</v>
      </c>
      <c r="S1037">
        <f t="shared" ca="1" si="122"/>
        <v>170.80537573879232</v>
      </c>
      <c r="T1037" s="61">
        <f t="shared" ca="1" si="131"/>
        <v>10416</v>
      </c>
      <c r="U1037" s="61">
        <f t="shared" ca="1" si="132"/>
        <v>-1607.5126372204886</v>
      </c>
      <c r="V1037" s="39">
        <f t="shared" ca="1" si="133"/>
        <v>-1.057574103434532E-2</v>
      </c>
      <c r="W1037" s="48">
        <f t="shared" ca="1" si="134"/>
        <v>-8.2623977173388319E-2</v>
      </c>
    </row>
    <row r="1038" spans="17:23" x14ac:dyDescent="0.2">
      <c r="Q1038">
        <f t="shared" si="120"/>
        <v>1022</v>
      </c>
      <c r="R1038" s="48">
        <f t="shared" ca="1" si="121"/>
        <v>0.35</v>
      </c>
      <c r="S1038">
        <f t="shared" ca="1" si="122"/>
        <v>227.65037597284078</v>
      </c>
      <c r="T1038" s="61">
        <f t="shared" ca="1" si="131"/>
        <v>16800</v>
      </c>
      <c r="U1038" s="61">
        <f t="shared" ca="1" si="132"/>
        <v>36378.1955058772</v>
      </c>
      <c r="V1038" s="39">
        <f t="shared" ca="1" si="133"/>
        <v>0.23933023359129738</v>
      </c>
      <c r="W1038" s="48">
        <f t="shared" ca="1" si="134"/>
        <v>4.6996799788766657</v>
      </c>
    </row>
    <row r="1039" spans="17:23" x14ac:dyDescent="0.2">
      <c r="Q1039">
        <f t="shared" si="120"/>
        <v>1023</v>
      </c>
      <c r="R1039" s="48">
        <f t="shared" ca="1" si="121"/>
        <v>0.4</v>
      </c>
      <c r="S1039">
        <f t="shared" ca="1" si="122"/>
        <v>179.16804635161611</v>
      </c>
      <c r="T1039" s="61">
        <f t="shared" ca="1" si="131"/>
        <v>19200</v>
      </c>
      <c r="U1039" s="61">
        <f t="shared" ca="1" si="132"/>
        <v>14000.662248775734</v>
      </c>
      <c r="V1039" s="39">
        <f t="shared" ca="1" si="133"/>
        <v>9.2109620057735098E-2</v>
      </c>
      <c r="W1039" s="48">
        <f t="shared" ca="1" si="134"/>
        <v>1.0435330462397587</v>
      </c>
    </row>
    <row r="1040" spans="17:23" x14ac:dyDescent="0.2">
      <c r="Q1040">
        <f t="shared" si="120"/>
        <v>1024</v>
      </c>
      <c r="R1040" s="48">
        <f t="shared" ca="1" si="121"/>
        <v>0.35</v>
      </c>
      <c r="S1040">
        <f t="shared" ca="1" si="122"/>
        <v>198.45798660537568</v>
      </c>
      <c r="T1040" s="61">
        <f t="shared" ca="1" si="131"/>
        <v>16800</v>
      </c>
      <c r="U1040" s="61">
        <f t="shared" ca="1" si="132"/>
        <v>21198.153034795352</v>
      </c>
      <c r="V1040" s="39">
        <f t="shared" ca="1" si="133"/>
        <v>0.13946153312365364</v>
      </c>
      <c r="W1040" s="48">
        <f t="shared" ca="1" si="134"/>
        <v>1.8833496548553499</v>
      </c>
    </row>
    <row r="1041" spans="17:23" x14ac:dyDescent="0.2">
      <c r="Q1041">
        <f t="shared" si="120"/>
        <v>1025</v>
      </c>
      <c r="R1041" s="48">
        <f t="shared" ca="1" si="121"/>
        <v>0.35</v>
      </c>
      <c r="S1041">
        <f t="shared" ca="1" si="122"/>
        <v>188.08157172016121</v>
      </c>
      <c r="T1041" s="61">
        <f t="shared" ca="1" si="131"/>
        <v>16800</v>
      </c>
      <c r="U1041" s="61">
        <f t="shared" ca="1" si="132"/>
        <v>15802.417294483828</v>
      </c>
      <c r="V1041" s="39">
        <f t="shared" ca="1" si="133"/>
        <v>0.10396327167423572</v>
      </c>
      <c r="W1041" s="48">
        <f t="shared" ca="1" si="134"/>
        <v>1.230538557928357</v>
      </c>
    </row>
    <row r="1042" spans="17:23" x14ac:dyDescent="0.2">
      <c r="Q1042">
        <f t="shared" si="120"/>
        <v>1026</v>
      </c>
      <c r="R1042" s="48">
        <f t="shared" ca="1" si="121"/>
        <v>0.3</v>
      </c>
      <c r="S1042">
        <f t="shared" ca="1" si="122"/>
        <v>190.35403749061024</v>
      </c>
      <c r="T1042" s="61">
        <f t="shared" ca="1" si="131"/>
        <v>14400</v>
      </c>
      <c r="U1042" s="61">
        <f t="shared" ca="1" si="132"/>
        <v>14598.260994741733</v>
      </c>
      <c r="V1042" s="39">
        <f t="shared" ca="1" si="133"/>
        <v>9.6041190754879824E-2</v>
      </c>
      <c r="W1042" s="48">
        <f t="shared" ca="1" si="134"/>
        <v>1.1039732564029756</v>
      </c>
    </row>
    <row r="1043" spans="17:23" x14ac:dyDescent="0.2">
      <c r="Q1043">
        <f t="shared" ref="Q1043:Q1106" si="135">Q1042+1</f>
        <v>1027</v>
      </c>
      <c r="R1043" s="48">
        <f t="shared" ref="R1043:R1106" ca="1" si="136">LOOKUP(RAND(),$U$6:$U$12,$S$6:$S$12)</f>
        <v>0.4</v>
      </c>
      <c r="S1043">
        <f t="shared" ref="S1043:S1106" ca="1" si="137">_xlfn.NORM.INV(RAND(),$Q$5,$Q$10)</f>
        <v>190.50321229159084</v>
      </c>
      <c r="T1043" s="61">
        <f t="shared" ca="1" si="131"/>
        <v>19200</v>
      </c>
      <c r="U1043" s="61">
        <f t="shared" ca="1" si="132"/>
        <v>19441.541899963602</v>
      </c>
      <c r="V1043" s="39">
        <f t="shared" ca="1" si="133"/>
        <v>0.12790488092081317</v>
      </c>
      <c r="W1043" s="48">
        <f t="shared" ca="1" si="134"/>
        <v>1.6545313650479101</v>
      </c>
    </row>
    <row r="1044" spans="17:23" x14ac:dyDescent="0.2">
      <c r="Q1044">
        <f t="shared" si="135"/>
        <v>1028</v>
      </c>
      <c r="R1044" s="48">
        <f t="shared" ca="1" si="136"/>
        <v>0.4</v>
      </c>
      <c r="S1044">
        <f t="shared" ca="1" si="137"/>
        <v>193.10393773303187</v>
      </c>
      <c r="T1044" s="61">
        <f t="shared" ca="1" si="131"/>
        <v>19200</v>
      </c>
      <c r="U1044" s="61">
        <f t="shared" ca="1" si="132"/>
        <v>20689.890111855297</v>
      </c>
      <c r="V1044" s="39">
        <f t="shared" ca="1" si="133"/>
        <v>0.13611769810431115</v>
      </c>
      <c r="W1044" s="48">
        <f t="shared" ca="1" si="134"/>
        <v>1.8154300967329742</v>
      </c>
    </row>
    <row r="1045" spans="17:23" x14ac:dyDescent="0.2">
      <c r="Q1045">
        <f t="shared" si="135"/>
        <v>1029</v>
      </c>
      <c r="R1045" s="48">
        <f t="shared" ca="1" si="136"/>
        <v>0.35</v>
      </c>
      <c r="S1045">
        <f t="shared" ca="1" si="137"/>
        <v>222.61734786154847</v>
      </c>
      <c r="T1045" s="61">
        <f t="shared" ca="1" si="131"/>
        <v>16800</v>
      </c>
      <c r="U1045" s="61">
        <f t="shared" ca="1" si="132"/>
        <v>33761.020888005201</v>
      </c>
      <c r="V1045" s="39">
        <f t="shared" ca="1" si="133"/>
        <v>0.22211197952635001</v>
      </c>
      <c r="W1045" s="48">
        <f t="shared" ca="1" si="134"/>
        <v>4.0882332290102967</v>
      </c>
    </row>
    <row r="1046" spans="17:23" x14ac:dyDescent="0.2">
      <c r="Q1046">
        <f t="shared" si="135"/>
        <v>1030</v>
      </c>
      <c r="R1046" s="48">
        <f t="shared" ca="1" si="136"/>
        <v>0.35</v>
      </c>
      <c r="S1046">
        <f t="shared" ca="1" si="137"/>
        <v>183.75866000137583</v>
      </c>
      <c r="T1046" s="61">
        <f t="shared" ca="1" si="131"/>
        <v>16800</v>
      </c>
      <c r="U1046" s="61">
        <f t="shared" ca="1" si="132"/>
        <v>13554.503200715431</v>
      </c>
      <c r="V1046" s="39">
        <f t="shared" ca="1" si="133"/>
        <v>8.9174363162601522E-2</v>
      </c>
      <c r="W1046" s="48">
        <f t="shared" ca="1" si="134"/>
        <v>0.99940704432269234</v>
      </c>
    </row>
    <row r="1047" spans="17:23" x14ac:dyDescent="0.2">
      <c r="Q1047">
        <f t="shared" si="135"/>
        <v>1031</v>
      </c>
      <c r="R1047" s="48">
        <f t="shared" ca="1" si="136"/>
        <v>0.15</v>
      </c>
      <c r="S1047">
        <f t="shared" ca="1" si="137"/>
        <v>176.43933272510915</v>
      </c>
      <c r="T1047" s="61">
        <f t="shared" ca="1" si="131"/>
        <v>7200</v>
      </c>
      <c r="U1047" s="61">
        <f t="shared" ca="1" si="132"/>
        <v>-2021.253746925775</v>
      </c>
      <c r="V1047" s="39">
        <f t="shared" ca="1" si="133"/>
        <v>-1.3297722019248519E-2</v>
      </c>
      <c r="W1047" s="48">
        <f t="shared" ca="1" si="134"/>
        <v>-0.1028954459133451</v>
      </c>
    </row>
    <row r="1048" spans="17:23" x14ac:dyDescent="0.2">
      <c r="Q1048">
        <f t="shared" si="135"/>
        <v>1032</v>
      </c>
      <c r="R1048" s="48">
        <f t="shared" ca="1" si="136"/>
        <v>0.4</v>
      </c>
      <c r="S1048">
        <f t="shared" ca="1" si="137"/>
        <v>203.13600377159958</v>
      </c>
      <c r="T1048" s="61">
        <f t="shared" ca="1" si="131"/>
        <v>19200</v>
      </c>
      <c r="U1048" s="61">
        <f t="shared" ca="1" si="132"/>
        <v>25505.281810367796</v>
      </c>
      <c r="V1048" s="39">
        <f t="shared" ca="1" si="133"/>
        <v>0.16779790664715655</v>
      </c>
      <c r="W1048" s="48">
        <f t="shared" ca="1" si="134"/>
        <v>2.519061352024536</v>
      </c>
    </row>
    <row r="1049" spans="17:23" x14ac:dyDescent="0.2">
      <c r="Q1049">
        <f t="shared" si="135"/>
        <v>1033</v>
      </c>
      <c r="R1049" s="48">
        <f t="shared" ca="1" si="136"/>
        <v>0.4</v>
      </c>
      <c r="S1049">
        <f t="shared" ca="1" si="137"/>
        <v>221.46510539776887</v>
      </c>
      <c r="T1049" s="61">
        <f t="shared" ca="1" si="131"/>
        <v>19200</v>
      </c>
      <c r="U1049" s="61">
        <f t="shared" ca="1" si="132"/>
        <v>34303.250590929056</v>
      </c>
      <c r="V1049" s="39">
        <f t="shared" ca="1" si="133"/>
        <v>0.22567928020348063</v>
      </c>
      <c r="W1049" s="48">
        <f t="shared" ca="1" si="134"/>
        <v>4.209960199081773</v>
      </c>
    </row>
    <row r="1050" spans="17:23" x14ac:dyDescent="0.2">
      <c r="Q1050">
        <f t="shared" si="135"/>
        <v>1034</v>
      </c>
      <c r="R1050" s="48">
        <f t="shared" ca="1" si="136"/>
        <v>0.3</v>
      </c>
      <c r="S1050">
        <f t="shared" ca="1" si="137"/>
        <v>212.60985900396071</v>
      </c>
      <c r="T1050" s="61">
        <f t="shared" ca="1" si="131"/>
        <v>14400</v>
      </c>
      <c r="U1050" s="61">
        <f t="shared" ca="1" si="132"/>
        <v>27061.521042217995</v>
      </c>
      <c r="V1050" s="39">
        <f t="shared" ca="1" si="133"/>
        <v>0.17803632264617103</v>
      </c>
      <c r="W1050" s="48">
        <f t="shared" ca="1" si="134"/>
        <v>2.7772520969353258</v>
      </c>
    </row>
    <row r="1051" spans="17:23" x14ac:dyDescent="0.2">
      <c r="Q1051">
        <f t="shared" si="135"/>
        <v>1035</v>
      </c>
      <c r="R1051" s="48">
        <f t="shared" ca="1" si="136"/>
        <v>0.5</v>
      </c>
      <c r="S1051">
        <f t="shared" ca="1" si="137"/>
        <v>161.75035961415631</v>
      </c>
      <c r="T1051" s="61">
        <f t="shared" ca="1" si="131"/>
        <v>24000</v>
      </c>
      <c r="U1051" s="61">
        <f t="shared" ca="1" si="132"/>
        <v>12700.143845662524</v>
      </c>
      <c r="V1051" s="39">
        <f t="shared" ca="1" si="133"/>
        <v>8.3553577931990294E-2</v>
      </c>
      <c r="W1051" s="48">
        <f t="shared" ca="1" si="134"/>
        <v>0.91723518192183717</v>
      </c>
    </row>
    <row r="1052" spans="17:23" x14ac:dyDescent="0.2">
      <c r="Q1052">
        <f t="shared" si="135"/>
        <v>1036</v>
      </c>
      <c r="R1052" s="48">
        <f t="shared" ca="1" si="136"/>
        <v>0.5</v>
      </c>
      <c r="S1052">
        <f t="shared" ca="1" si="137"/>
        <v>210.79031600838897</v>
      </c>
      <c r="T1052" s="61">
        <f t="shared" ca="1" si="131"/>
        <v>24000</v>
      </c>
      <c r="U1052" s="61">
        <f t="shared" ca="1" si="132"/>
        <v>32316.126403355589</v>
      </c>
      <c r="V1052" s="39">
        <f t="shared" ca="1" si="133"/>
        <v>0.21260609475891834</v>
      </c>
      <c r="W1052" s="48">
        <f t="shared" ca="1" si="134"/>
        <v>3.7759543607842811</v>
      </c>
    </row>
    <row r="1053" spans="17:23" x14ac:dyDescent="0.2">
      <c r="Q1053">
        <f t="shared" si="135"/>
        <v>1037</v>
      </c>
      <c r="R1053" s="48">
        <f t="shared" ca="1" si="136"/>
        <v>0.45</v>
      </c>
      <c r="S1053">
        <f t="shared" ca="1" si="137"/>
        <v>203.23204595131992</v>
      </c>
      <c r="T1053" s="61">
        <f t="shared" ca="1" si="131"/>
        <v>21600</v>
      </c>
      <c r="U1053" s="61">
        <f t="shared" ca="1" si="132"/>
        <v>27422.100218580767</v>
      </c>
      <c r="V1053" s="39">
        <f t="shared" ca="1" si="133"/>
        <v>0.18040855406961032</v>
      </c>
      <c r="W1053" s="48">
        <f t="shared" ca="1" si="134"/>
        <v>2.8393913187006543</v>
      </c>
    </row>
    <row r="1054" spans="17:23" x14ac:dyDescent="0.2">
      <c r="Q1054">
        <f t="shared" si="135"/>
        <v>1038</v>
      </c>
      <c r="R1054" s="48">
        <f t="shared" ca="1" si="136"/>
        <v>0.217</v>
      </c>
      <c r="S1054">
        <f t="shared" ca="1" si="137"/>
        <v>185.67000776481157</v>
      </c>
      <c r="T1054" s="61">
        <f t="shared" ca="1" si="131"/>
        <v>10416</v>
      </c>
      <c r="U1054" s="61">
        <f t="shared" ca="1" si="132"/>
        <v>7703.6928638779691</v>
      </c>
      <c r="V1054" s="39">
        <f t="shared" ca="1" si="133"/>
        <v>5.0682189893934006E-2</v>
      </c>
      <c r="W1054" s="48">
        <f t="shared" ca="1" si="134"/>
        <v>0.49333303536611739</v>
      </c>
    </row>
    <row r="1055" spans="17:23" x14ac:dyDescent="0.2">
      <c r="Q1055">
        <f t="shared" si="135"/>
        <v>1039</v>
      </c>
      <c r="R1055" s="48">
        <f t="shared" ca="1" si="136"/>
        <v>0.3</v>
      </c>
      <c r="S1055">
        <f t="shared" ca="1" si="137"/>
        <v>186.00132861178594</v>
      </c>
      <c r="T1055" s="61">
        <f t="shared" ca="1" si="131"/>
        <v>14400</v>
      </c>
      <c r="U1055" s="61">
        <f t="shared" ca="1" si="132"/>
        <v>12160.744022600124</v>
      </c>
      <c r="V1055" s="39">
        <f t="shared" ca="1" si="133"/>
        <v>8.0004894885527131E-2</v>
      </c>
      <c r="W1055" s="48">
        <f t="shared" ca="1" si="134"/>
        <v>0.86689443018279366</v>
      </c>
    </row>
    <row r="1056" spans="17:23" x14ac:dyDescent="0.2">
      <c r="Q1056">
        <f t="shared" si="135"/>
        <v>1040</v>
      </c>
      <c r="R1056" s="48">
        <f t="shared" ca="1" si="136"/>
        <v>0.35</v>
      </c>
      <c r="S1056">
        <f t="shared" ca="1" si="137"/>
        <v>184.67026929074243</v>
      </c>
      <c r="T1056" s="61">
        <f t="shared" ca="1" si="131"/>
        <v>16800</v>
      </c>
      <c r="U1056" s="61">
        <f t="shared" ca="1" si="132"/>
        <v>14028.540031186061</v>
      </c>
      <c r="V1056" s="39">
        <f t="shared" ca="1" si="133"/>
        <v>9.2293026520960927E-2</v>
      </c>
      <c r="W1056" s="48">
        <f t="shared" ca="1" si="134"/>
        <v>1.0463183319626022</v>
      </c>
    </row>
    <row r="1057" spans="17:23" x14ac:dyDescent="0.2">
      <c r="Q1057">
        <f t="shared" si="135"/>
        <v>1041</v>
      </c>
      <c r="R1057" s="48">
        <f t="shared" ca="1" si="136"/>
        <v>0.35</v>
      </c>
      <c r="S1057">
        <f t="shared" ca="1" si="137"/>
        <v>207.1272682556291</v>
      </c>
      <c r="T1057" s="61">
        <f t="shared" ca="1" si="131"/>
        <v>16800</v>
      </c>
      <c r="U1057" s="61">
        <f t="shared" ca="1" si="132"/>
        <v>25706.179492927135</v>
      </c>
      <c r="V1057" s="39">
        <f t="shared" ca="1" si="133"/>
        <v>0.1691196019271522</v>
      </c>
      <c r="W1057" s="48">
        <f t="shared" ca="1" si="134"/>
        <v>2.5514967328629012</v>
      </c>
    </row>
    <row r="1058" spans="17:23" x14ac:dyDescent="0.2">
      <c r="Q1058">
        <f t="shared" si="135"/>
        <v>1042</v>
      </c>
      <c r="R1058" s="48">
        <f t="shared" ca="1" si="136"/>
        <v>0.35</v>
      </c>
      <c r="S1058">
        <f t="shared" ca="1" si="137"/>
        <v>168.49332468806813</v>
      </c>
      <c r="T1058" s="61">
        <f t="shared" ca="1" si="131"/>
        <v>16800</v>
      </c>
      <c r="U1058" s="61">
        <f t="shared" ca="1" si="132"/>
        <v>5616.5288377954275</v>
      </c>
      <c r="V1058" s="39">
        <f t="shared" ca="1" si="133"/>
        <v>3.6950847617075185E-2</v>
      </c>
      <c r="W1058" s="48">
        <f t="shared" ca="1" si="134"/>
        <v>0.34219703584888617</v>
      </c>
    </row>
    <row r="1059" spans="17:23" x14ac:dyDescent="0.2">
      <c r="Q1059">
        <f t="shared" si="135"/>
        <v>1043</v>
      </c>
      <c r="R1059" s="48">
        <f t="shared" ca="1" si="136"/>
        <v>0.5</v>
      </c>
      <c r="S1059">
        <f t="shared" ca="1" si="137"/>
        <v>174.37003924323977</v>
      </c>
      <c r="T1059" s="61">
        <f t="shared" ca="1" si="131"/>
        <v>24000</v>
      </c>
      <c r="U1059" s="61">
        <f t="shared" ca="1" si="132"/>
        <v>17748.015697295908</v>
      </c>
      <c r="V1059" s="39">
        <f t="shared" ca="1" si="133"/>
        <v>0.11676326116642045</v>
      </c>
      <c r="W1059" s="48">
        <f t="shared" ca="1" si="134"/>
        <v>1.4491645194688032</v>
      </c>
    </row>
    <row r="1060" spans="17:23" x14ac:dyDescent="0.2">
      <c r="Q1060">
        <f t="shared" si="135"/>
        <v>1044</v>
      </c>
      <c r="R1060" s="48">
        <f t="shared" ca="1" si="136"/>
        <v>0.4</v>
      </c>
      <c r="S1060">
        <f t="shared" ca="1" si="137"/>
        <v>191.99517529474696</v>
      </c>
      <c r="T1060" s="61">
        <f t="shared" ca="1" si="131"/>
        <v>19200</v>
      </c>
      <c r="U1060" s="61">
        <f t="shared" ca="1" si="132"/>
        <v>20157.684141478538</v>
      </c>
      <c r="V1060" s="39">
        <f t="shared" ca="1" si="133"/>
        <v>0.132616343036043</v>
      </c>
      <c r="W1060" s="48">
        <f t="shared" ca="1" si="134"/>
        <v>1.7458182954398107</v>
      </c>
    </row>
    <row r="1061" spans="17:23" x14ac:dyDescent="0.2">
      <c r="Q1061">
        <f t="shared" si="135"/>
        <v>1045</v>
      </c>
      <c r="R1061" s="48">
        <f t="shared" ca="1" si="136"/>
        <v>0.4</v>
      </c>
      <c r="S1061">
        <f t="shared" ca="1" si="137"/>
        <v>157.48839104867847</v>
      </c>
      <c r="T1061" s="61">
        <f t="shared" ca="1" si="131"/>
        <v>19200</v>
      </c>
      <c r="U1061" s="61">
        <f t="shared" ca="1" si="132"/>
        <v>3594.4277033656635</v>
      </c>
      <c r="V1061" s="39">
        <f t="shared" ca="1" si="133"/>
        <v>2.3647550680037259E-2</v>
      </c>
      <c r="W1061" s="48">
        <f t="shared" ca="1" si="134"/>
        <v>0.20873595526591626</v>
      </c>
    </row>
    <row r="1062" spans="17:23" x14ac:dyDescent="0.2">
      <c r="Q1062">
        <f t="shared" si="135"/>
        <v>1046</v>
      </c>
      <c r="R1062" s="48">
        <f t="shared" ca="1" si="136"/>
        <v>0.35</v>
      </c>
      <c r="S1062">
        <f t="shared" ca="1" si="137"/>
        <v>175.42381475605089</v>
      </c>
      <c r="T1062" s="61">
        <f t="shared" ca="1" si="131"/>
        <v>16800</v>
      </c>
      <c r="U1062" s="61">
        <f t="shared" ca="1" si="132"/>
        <v>9220.3836731464617</v>
      </c>
      <c r="V1062" s="39">
        <f t="shared" ca="1" si="133"/>
        <v>6.0660418902279356E-2</v>
      </c>
      <c r="W1062" s="48">
        <f t="shared" ca="1" si="134"/>
        <v>0.61232548005648013</v>
      </c>
    </row>
    <row r="1063" spans="17:23" x14ac:dyDescent="0.2">
      <c r="Q1063">
        <f t="shared" si="135"/>
        <v>1047</v>
      </c>
      <c r="R1063" s="48">
        <f t="shared" ca="1" si="136"/>
        <v>0.4</v>
      </c>
      <c r="S1063">
        <f t="shared" ca="1" si="137"/>
        <v>176.41527084820262</v>
      </c>
      <c r="T1063" s="61">
        <f t="shared" ca="1" si="131"/>
        <v>19200</v>
      </c>
      <c r="U1063" s="61">
        <f t="shared" ca="1" si="132"/>
        <v>12679.33000713726</v>
      </c>
      <c r="V1063" s="39">
        <f t="shared" ca="1" si="133"/>
        <v>8.3416644783797761E-2</v>
      </c>
      <c r="W1063" s="48">
        <f t="shared" ca="1" si="134"/>
        <v>0.91527083220877614</v>
      </c>
    </row>
    <row r="1064" spans="17:23" x14ac:dyDescent="0.2">
      <c r="Q1064">
        <f t="shared" si="135"/>
        <v>1048</v>
      </c>
      <c r="R1064" s="48">
        <f t="shared" ca="1" si="136"/>
        <v>0.217</v>
      </c>
      <c r="S1064">
        <f t="shared" ca="1" si="137"/>
        <v>189.76536706190475</v>
      </c>
      <c r="T1064" s="61">
        <f t="shared" ca="1" si="131"/>
        <v>10416</v>
      </c>
      <c r="U1064" s="61">
        <f t="shared" ca="1" si="132"/>
        <v>10269.025927577139</v>
      </c>
      <c r="V1064" s="39">
        <f t="shared" ca="1" si="133"/>
        <v>6.7559381102481178E-2</v>
      </c>
      <c r="W1064" s="48">
        <f t="shared" ca="1" si="134"/>
        <v>0.69938195007850723</v>
      </c>
    </row>
    <row r="1065" spans="17:23" x14ac:dyDescent="0.2">
      <c r="Q1065">
        <f t="shared" si="135"/>
        <v>1049</v>
      </c>
      <c r="R1065" s="48">
        <f t="shared" ca="1" si="136"/>
        <v>0.3</v>
      </c>
      <c r="S1065">
        <f t="shared" ca="1" si="137"/>
        <v>182.84738014318245</v>
      </c>
      <c r="T1065" s="61">
        <f t="shared" ca="1" si="131"/>
        <v>14400</v>
      </c>
      <c r="U1065" s="61">
        <f t="shared" ca="1" si="132"/>
        <v>10394.532880182171</v>
      </c>
      <c r="V1065" s="39">
        <f t="shared" ca="1" si="133"/>
        <v>6.83850847380406E-2</v>
      </c>
      <c r="W1065" s="48">
        <f t="shared" ca="1" si="134"/>
        <v>0.71007245149537912</v>
      </c>
    </row>
    <row r="1066" spans="17:23" x14ac:dyDescent="0.2">
      <c r="Q1066">
        <f t="shared" si="135"/>
        <v>1050</v>
      </c>
      <c r="R1066" s="48">
        <f t="shared" ca="1" si="136"/>
        <v>0.4</v>
      </c>
      <c r="S1066">
        <f t="shared" ca="1" si="137"/>
        <v>177.36185285851957</v>
      </c>
      <c r="T1066" s="61">
        <f t="shared" ca="1" si="131"/>
        <v>19200</v>
      </c>
      <c r="U1066" s="61">
        <f t="shared" ca="1" si="132"/>
        <v>13133.689372089393</v>
      </c>
      <c r="V1066" s="39">
        <f t="shared" ca="1" si="133"/>
        <v>8.6405851132167061E-2</v>
      </c>
      <c r="W1066" s="48">
        <f t="shared" ca="1" si="134"/>
        <v>0.95855552996166415</v>
      </c>
    </row>
    <row r="1067" spans="17:23" x14ac:dyDescent="0.2">
      <c r="Q1067">
        <f t="shared" si="135"/>
        <v>1051</v>
      </c>
      <c r="R1067" s="48">
        <f t="shared" ca="1" si="136"/>
        <v>0.45</v>
      </c>
      <c r="S1067">
        <f t="shared" ca="1" si="137"/>
        <v>181.31712030915043</v>
      </c>
      <c r="T1067" s="61">
        <f t="shared" ca="1" si="131"/>
        <v>21600</v>
      </c>
      <c r="U1067" s="61">
        <f t="shared" ca="1" si="132"/>
        <v>17779.532936026186</v>
      </c>
      <c r="V1067" s="39">
        <f t="shared" ca="1" si="133"/>
        <v>0.1169706114212249</v>
      </c>
      <c r="W1067" s="48">
        <f t="shared" ca="1" si="134"/>
        <v>1.4528553872177983</v>
      </c>
    </row>
    <row r="1068" spans="17:23" x14ac:dyDescent="0.2">
      <c r="Q1068">
        <f t="shared" si="135"/>
        <v>1052</v>
      </c>
      <c r="R1068" s="48">
        <f t="shared" ca="1" si="136"/>
        <v>0.45</v>
      </c>
      <c r="S1068">
        <f t="shared" ca="1" si="137"/>
        <v>176.98282053843266</v>
      </c>
      <c r="T1068" s="61">
        <f t="shared" ca="1" si="131"/>
        <v>21600</v>
      </c>
      <c r="U1068" s="61">
        <f t="shared" ca="1" si="132"/>
        <v>15872.441036910372</v>
      </c>
      <c r="V1068" s="39">
        <f t="shared" ca="1" si="133"/>
        <v>0.10442395419019981</v>
      </c>
      <c r="W1068" s="48">
        <f t="shared" ca="1" si="134"/>
        <v>1.2380995996731232</v>
      </c>
    </row>
    <row r="1069" spans="17:23" x14ac:dyDescent="0.2">
      <c r="Q1069">
        <f t="shared" si="135"/>
        <v>1053</v>
      </c>
      <c r="R1069" s="48">
        <f t="shared" ca="1" si="136"/>
        <v>0.35</v>
      </c>
      <c r="S1069">
        <f t="shared" ca="1" si="137"/>
        <v>156.29182825326529</v>
      </c>
      <c r="T1069" s="61">
        <f t="shared" ca="1" si="131"/>
        <v>16800</v>
      </c>
      <c r="U1069" s="61">
        <f t="shared" ca="1" si="132"/>
        <v>-728.24930830204539</v>
      </c>
      <c r="V1069" s="39">
        <f t="shared" ca="1" si="133"/>
        <v>-4.7911138704081931E-3</v>
      </c>
      <c r="W1069" s="48">
        <f t="shared" ca="1" si="134"/>
        <v>-3.8205674205952778E-2</v>
      </c>
    </row>
    <row r="1070" spans="17:23" x14ac:dyDescent="0.2">
      <c r="Q1070">
        <f t="shared" si="135"/>
        <v>1054</v>
      </c>
      <c r="R1070" s="48">
        <f t="shared" ca="1" si="136"/>
        <v>0.35</v>
      </c>
      <c r="S1070">
        <f t="shared" ca="1" si="137"/>
        <v>194.24474983555203</v>
      </c>
      <c r="T1070" s="61">
        <f t="shared" ca="1" si="131"/>
        <v>16800</v>
      </c>
      <c r="U1070" s="61">
        <f t="shared" ca="1" si="132"/>
        <v>19007.269914487057</v>
      </c>
      <c r="V1070" s="39">
        <f t="shared" ca="1" si="133"/>
        <v>0.12504782838478326</v>
      </c>
      <c r="W1070" s="48">
        <f t="shared" ca="1" si="134"/>
        <v>1.6004801957113535</v>
      </c>
    </row>
    <row r="1071" spans="17:23" x14ac:dyDescent="0.2">
      <c r="Q1071">
        <f t="shared" si="135"/>
        <v>1055</v>
      </c>
      <c r="R1071" s="48">
        <f t="shared" ca="1" si="136"/>
        <v>0.3</v>
      </c>
      <c r="S1071">
        <f t="shared" ca="1" si="137"/>
        <v>192.94152174307561</v>
      </c>
      <c r="T1071" s="61">
        <f t="shared" ca="1" si="131"/>
        <v>14400</v>
      </c>
      <c r="U1071" s="61">
        <f t="shared" ca="1" si="132"/>
        <v>16047.252176122343</v>
      </c>
      <c r="V1071" s="39">
        <f t="shared" ca="1" si="133"/>
        <v>0.1055740274744891</v>
      </c>
      <c r="W1071" s="48">
        <f t="shared" ca="1" si="134"/>
        <v>1.2570735550195438</v>
      </c>
    </row>
    <row r="1072" spans="17:23" x14ac:dyDescent="0.2">
      <c r="Q1072">
        <f t="shared" si="135"/>
        <v>1056</v>
      </c>
      <c r="R1072" s="48">
        <f t="shared" ca="1" si="136"/>
        <v>0.3</v>
      </c>
      <c r="S1072">
        <f t="shared" ca="1" si="137"/>
        <v>185.81353177593178</v>
      </c>
      <c r="T1072" s="61">
        <f t="shared" ca="1" si="131"/>
        <v>14400</v>
      </c>
      <c r="U1072" s="61">
        <f t="shared" ca="1" si="132"/>
        <v>12055.577794521796</v>
      </c>
      <c r="V1072" s="39">
        <f t="shared" ca="1" si="133"/>
        <v>7.9313011806064454E-2</v>
      </c>
      <c r="W1072" s="48">
        <f t="shared" ca="1" si="134"/>
        <v>0.85721570792037705</v>
      </c>
    </row>
    <row r="1073" spans="17:23" x14ac:dyDescent="0.2">
      <c r="Q1073">
        <f t="shared" si="135"/>
        <v>1057</v>
      </c>
      <c r="R1073" s="48">
        <f t="shared" ca="1" si="136"/>
        <v>0.217</v>
      </c>
      <c r="S1073">
        <f t="shared" ca="1" si="137"/>
        <v>185.24744017347243</v>
      </c>
      <c r="T1073" s="61">
        <f t="shared" ca="1" si="131"/>
        <v>10416</v>
      </c>
      <c r="U1073" s="61">
        <f t="shared" ca="1" si="132"/>
        <v>7438.9965246631282</v>
      </c>
      <c r="V1073" s="39">
        <f t="shared" ca="1" si="133"/>
        <v>4.8940766609625846E-2</v>
      </c>
      <c r="W1073" s="48">
        <f t="shared" ca="1" si="134"/>
        <v>0.47337527602057383</v>
      </c>
    </row>
    <row r="1074" spans="17:23" x14ac:dyDescent="0.2">
      <c r="Q1074">
        <f t="shared" si="135"/>
        <v>1058</v>
      </c>
      <c r="R1074" s="48">
        <f t="shared" ca="1" si="136"/>
        <v>0.35</v>
      </c>
      <c r="S1074">
        <f t="shared" ca="1" si="137"/>
        <v>160.08987773691351</v>
      </c>
      <c r="T1074" s="61">
        <f t="shared" ca="1" si="131"/>
        <v>16800</v>
      </c>
      <c r="U1074" s="61">
        <f t="shared" ca="1" si="132"/>
        <v>1246.7364231950232</v>
      </c>
      <c r="V1074" s="39">
        <f t="shared" ca="1" si="133"/>
        <v>8.2022133104935734E-3</v>
      </c>
      <c r="W1074" s="48">
        <f t="shared" ca="1" si="134"/>
        <v>6.8502038466217163E-2</v>
      </c>
    </row>
    <row r="1075" spans="17:23" x14ac:dyDescent="0.2">
      <c r="Q1075">
        <f t="shared" si="135"/>
        <v>1059</v>
      </c>
      <c r="R1075" s="48">
        <f t="shared" ca="1" si="136"/>
        <v>0.45</v>
      </c>
      <c r="S1075">
        <f t="shared" ca="1" si="137"/>
        <v>199.45558737895695</v>
      </c>
      <c r="T1075" s="61">
        <f t="shared" ca="1" si="131"/>
        <v>21600</v>
      </c>
      <c r="U1075" s="61">
        <f t="shared" ca="1" si="132"/>
        <v>25760.458446741057</v>
      </c>
      <c r="V1075" s="39">
        <f t="shared" ca="1" si="133"/>
        <v>0.16947670030750694</v>
      </c>
      <c r="W1075" s="48">
        <f t="shared" ca="1" si="134"/>
        <v>2.5603050389269941</v>
      </c>
    </row>
    <row r="1076" spans="17:23" x14ac:dyDescent="0.2">
      <c r="Q1076">
        <f t="shared" si="135"/>
        <v>1060</v>
      </c>
      <c r="R1076" s="48">
        <f t="shared" ca="1" si="136"/>
        <v>0.217</v>
      </c>
      <c r="S1076">
        <f t="shared" ca="1" si="137"/>
        <v>188.54098174540184</v>
      </c>
      <c r="T1076" s="61">
        <f t="shared" ca="1" si="131"/>
        <v>10416</v>
      </c>
      <c r="U1076" s="61">
        <f t="shared" ca="1" si="132"/>
        <v>9502.07096531971</v>
      </c>
      <c r="V1076" s="39">
        <f t="shared" ca="1" si="133"/>
        <v>6.2513624771840193E-2</v>
      </c>
      <c r="W1076" s="48">
        <f t="shared" ca="1" si="134"/>
        <v>0.63531762949448067</v>
      </c>
    </row>
    <row r="1077" spans="17:23" x14ac:dyDescent="0.2">
      <c r="Q1077">
        <f t="shared" si="135"/>
        <v>1061</v>
      </c>
      <c r="R1077" s="48">
        <f t="shared" ca="1" si="136"/>
        <v>0.35</v>
      </c>
      <c r="S1077">
        <f t="shared" ca="1" si="137"/>
        <v>194.43272036022503</v>
      </c>
      <c r="T1077" s="61">
        <f t="shared" ca="1" si="131"/>
        <v>16800</v>
      </c>
      <c r="U1077" s="61">
        <f t="shared" ca="1" si="132"/>
        <v>19105.014587317019</v>
      </c>
      <c r="V1077" s="39">
        <f t="shared" ca="1" si="133"/>
        <v>0.12569088544287513</v>
      </c>
      <c r="W1077" s="48">
        <f t="shared" ca="1" si="134"/>
        <v>1.6125609810822774</v>
      </c>
    </row>
    <row r="1078" spans="17:23" x14ac:dyDescent="0.2">
      <c r="Q1078">
        <f t="shared" si="135"/>
        <v>1062</v>
      </c>
      <c r="R1078" s="48">
        <f t="shared" ca="1" si="136"/>
        <v>0.4</v>
      </c>
      <c r="S1078">
        <f t="shared" ca="1" si="137"/>
        <v>198.45032474370129</v>
      </c>
      <c r="T1078" s="61">
        <f t="shared" ca="1" si="131"/>
        <v>19200</v>
      </c>
      <c r="U1078" s="61">
        <f t="shared" ca="1" si="132"/>
        <v>23256.15587697662</v>
      </c>
      <c r="V1078" s="39">
        <f t="shared" ca="1" si="133"/>
        <v>0.15300102550642514</v>
      </c>
      <c r="W1078" s="48">
        <f t="shared" ca="1" si="134"/>
        <v>2.1732735696938841</v>
      </c>
    </row>
    <row r="1079" spans="17:23" x14ac:dyDescent="0.2">
      <c r="Q1079">
        <f t="shared" si="135"/>
        <v>1063</v>
      </c>
      <c r="R1079" s="48">
        <f t="shared" ca="1" si="136"/>
        <v>0.5</v>
      </c>
      <c r="S1079">
        <f t="shared" ca="1" si="137"/>
        <v>192.80890679123667</v>
      </c>
      <c r="T1079" s="61">
        <f t="shared" ca="1" si="131"/>
        <v>24000</v>
      </c>
      <c r="U1079" s="61">
        <f t="shared" ca="1" si="132"/>
        <v>25123.562716494667</v>
      </c>
      <c r="V1079" s="39">
        <f t="shared" ca="1" si="133"/>
        <v>0.16528659681904387</v>
      </c>
      <c r="W1079" s="48">
        <f t="shared" ca="1" si="134"/>
        <v>2.4581468089139604</v>
      </c>
    </row>
    <row r="1080" spans="17:23" x14ac:dyDescent="0.2">
      <c r="Q1080">
        <f t="shared" si="135"/>
        <v>1064</v>
      </c>
      <c r="R1080" s="48">
        <f t="shared" ca="1" si="136"/>
        <v>0.4</v>
      </c>
      <c r="S1080">
        <f t="shared" ca="1" si="137"/>
        <v>213.4573496435053</v>
      </c>
      <c r="T1080" s="61">
        <f t="shared" ca="1" si="131"/>
        <v>19200</v>
      </c>
      <c r="U1080" s="61">
        <f t="shared" ca="1" si="132"/>
        <v>30459.527828882543</v>
      </c>
      <c r="V1080" s="39">
        <f t="shared" ca="1" si="133"/>
        <v>0.20039163045317462</v>
      </c>
      <c r="W1080" s="48">
        <f t="shared" ca="1" si="134"/>
        <v>3.3994393177039708</v>
      </c>
    </row>
    <row r="1081" spans="17:23" x14ac:dyDescent="0.2">
      <c r="Q1081">
        <f t="shared" si="135"/>
        <v>1065</v>
      </c>
      <c r="R1081" s="48">
        <f t="shared" ca="1" si="136"/>
        <v>0.4</v>
      </c>
      <c r="S1081">
        <f t="shared" ca="1" si="137"/>
        <v>214.62625425142249</v>
      </c>
      <c r="T1081" s="61">
        <f t="shared" ref="T1081:T1144" ca="1" si="138">($B$8-$B$7)*($E$6*R1081)</f>
        <v>19200</v>
      </c>
      <c r="U1081" s="61">
        <f t="shared" ref="U1081:U1144" ca="1" si="139">T1081+((S1081-$B$7)*($E$6*(1-R1081)))</f>
        <v>31020.602040682796</v>
      </c>
      <c r="V1081" s="39">
        <f t="shared" ref="V1081:V1144" ca="1" si="140">U1081/$E$4</f>
        <v>0.20408290816238681</v>
      </c>
      <c r="W1081" s="48">
        <f t="shared" ref="W1081:W1144" ca="1" si="141">(1+V1081)^($J$29/$J$30)-1</f>
        <v>3.5103781502002356</v>
      </c>
    </row>
    <row r="1082" spans="17:23" x14ac:dyDescent="0.2">
      <c r="Q1082">
        <f t="shared" si="135"/>
        <v>1066</v>
      </c>
      <c r="R1082" s="48">
        <f t="shared" ca="1" si="136"/>
        <v>0.35</v>
      </c>
      <c r="S1082">
        <f t="shared" ca="1" si="137"/>
        <v>181.98300888566143</v>
      </c>
      <c r="T1082" s="61">
        <f t="shared" ca="1" si="138"/>
        <v>16800</v>
      </c>
      <c r="U1082" s="61">
        <f t="shared" ca="1" si="139"/>
        <v>12631.164620543947</v>
      </c>
      <c r="V1082" s="39">
        <f t="shared" ca="1" si="140"/>
        <v>8.3099767240420702E-2</v>
      </c>
      <c r="W1082" s="48">
        <f t="shared" ca="1" si="141"/>
        <v>0.91073188738268773</v>
      </c>
    </row>
    <row r="1083" spans="17:23" x14ac:dyDescent="0.2">
      <c r="Q1083">
        <f t="shared" si="135"/>
        <v>1067</v>
      </c>
      <c r="R1083" s="48">
        <f t="shared" ca="1" si="136"/>
        <v>0.35</v>
      </c>
      <c r="S1083">
        <f t="shared" ca="1" si="137"/>
        <v>191.10395492418587</v>
      </c>
      <c r="T1083" s="61">
        <f t="shared" ca="1" si="138"/>
        <v>16800</v>
      </c>
      <c r="U1083" s="61">
        <f t="shared" ca="1" si="139"/>
        <v>17374.056560576653</v>
      </c>
      <c r="V1083" s="39">
        <f t="shared" ca="1" si="140"/>
        <v>0.11430300368800429</v>
      </c>
      <c r="W1083" s="48">
        <f t="shared" ca="1" si="141"/>
        <v>1.4057417135873149</v>
      </c>
    </row>
    <row r="1084" spans="17:23" x14ac:dyDescent="0.2">
      <c r="Q1084">
        <f t="shared" si="135"/>
        <v>1068</v>
      </c>
      <c r="R1084" s="48">
        <f t="shared" ca="1" si="136"/>
        <v>0.35</v>
      </c>
      <c r="S1084">
        <f t="shared" ca="1" si="137"/>
        <v>189.31108726576829</v>
      </c>
      <c r="T1084" s="61">
        <f t="shared" ca="1" si="138"/>
        <v>16800</v>
      </c>
      <c r="U1084" s="61">
        <f t="shared" ca="1" si="139"/>
        <v>16441.765378199514</v>
      </c>
      <c r="V1084" s="39">
        <f t="shared" ca="1" si="140"/>
        <v>0.10816950906710207</v>
      </c>
      <c r="W1084" s="48">
        <f t="shared" ca="1" si="141"/>
        <v>1.3004130156942786</v>
      </c>
    </row>
    <row r="1085" spans="17:23" x14ac:dyDescent="0.2">
      <c r="Q1085">
        <f t="shared" si="135"/>
        <v>1069</v>
      </c>
      <c r="R1085" s="48">
        <f t="shared" ca="1" si="136"/>
        <v>0.35</v>
      </c>
      <c r="S1085">
        <f t="shared" ca="1" si="137"/>
        <v>202.81392416511349</v>
      </c>
      <c r="T1085" s="61">
        <f t="shared" ca="1" si="138"/>
        <v>16800</v>
      </c>
      <c r="U1085" s="61">
        <f t="shared" ca="1" si="139"/>
        <v>23463.240565859014</v>
      </c>
      <c r="V1085" s="39">
        <f t="shared" ca="1" si="140"/>
        <v>0.15436342477538825</v>
      </c>
      <c r="W1085" s="48">
        <f t="shared" ca="1" si="141"/>
        <v>2.2038148842810563</v>
      </c>
    </row>
    <row r="1086" spans="17:23" x14ac:dyDescent="0.2">
      <c r="Q1086">
        <f t="shared" si="135"/>
        <v>1070</v>
      </c>
      <c r="R1086" s="48">
        <f t="shared" ca="1" si="136"/>
        <v>0.5</v>
      </c>
      <c r="S1086">
        <f t="shared" ca="1" si="137"/>
        <v>194.21566168451534</v>
      </c>
      <c r="T1086" s="61">
        <f t="shared" ca="1" si="138"/>
        <v>24000</v>
      </c>
      <c r="U1086" s="61">
        <f t="shared" ca="1" si="139"/>
        <v>25686.264673806138</v>
      </c>
      <c r="V1086" s="39">
        <f t="shared" ca="1" si="140"/>
        <v>0.16898858338030354</v>
      </c>
      <c r="W1086" s="48">
        <f t="shared" ca="1" si="141"/>
        <v>2.5482697804297842</v>
      </c>
    </row>
    <row r="1087" spans="17:23" x14ac:dyDescent="0.2">
      <c r="Q1087">
        <f t="shared" si="135"/>
        <v>1071</v>
      </c>
      <c r="R1087" s="48">
        <f t="shared" ca="1" si="136"/>
        <v>0.3</v>
      </c>
      <c r="S1087">
        <f t="shared" ca="1" si="137"/>
        <v>187.24509437875543</v>
      </c>
      <c r="T1087" s="61">
        <f t="shared" ca="1" si="138"/>
        <v>14400</v>
      </c>
      <c r="U1087" s="61">
        <f t="shared" ca="1" si="139"/>
        <v>12857.252852103038</v>
      </c>
      <c r="V1087" s="39">
        <f t="shared" ca="1" si="140"/>
        <v>8.4587189816467359E-2</v>
      </c>
      <c r="W1087" s="48">
        <f t="shared" ca="1" si="141"/>
        <v>0.93211974856202162</v>
      </c>
    </row>
    <row r="1088" spans="17:23" x14ac:dyDescent="0.2">
      <c r="Q1088">
        <f t="shared" si="135"/>
        <v>1072</v>
      </c>
      <c r="R1088" s="48">
        <f t="shared" ca="1" si="136"/>
        <v>0.15</v>
      </c>
      <c r="S1088">
        <f t="shared" ca="1" si="137"/>
        <v>182.75942386029232</v>
      </c>
      <c r="T1088" s="61">
        <f t="shared" ca="1" si="138"/>
        <v>7200</v>
      </c>
      <c r="U1088" s="61">
        <f t="shared" ca="1" si="139"/>
        <v>2276.408224998775</v>
      </c>
      <c r="V1088" s="39">
        <f t="shared" ca="1" si="140"/>
        <v>1.4976369901307731E-2</v>
      </c>
      <c r="W1088" s="48">
        <f t="shared" ca="1" si="141"/>
        <v>0.12814462011618133</v>
      </c>
    </row>
    <row r="1089" spans="17:23" x14ac:dyDescent="0.2">
      <c r="Q1089">
        <f t="shared" si="135"/>
        <v>1073</v>
      </c>
      <c r="R1089" s="48">
        <f t="shared" ca="1" si="136"/>
        <v>0.217</v>
      </c>
      <c r="S1089">
        <f t="shared" ca="1" si="137"/>
        <v>188.3867016754042</v>
      </c>
      <c r="T1089" s="61">
        <f t="shared" ca="1" si="138"/>
        <v>10416</v>
      </c>
      <c r="U1089" s="61">
        <f t="shared" ca="1" si="139"/>
        <v>9405.42992947319</v>
      </c>
      <c r="V1089" s="39">
        <f t="shared" ca="1" si="140"/>
        <v>6.1877828483376252E-2</v>
      </c>
      <c r="W1089" s="48">
        <f t="shared" ca="1" si="141"/>
        <v>0.6273973212042967</v>
      </c>
    </row>
    <row r="1090" spans="17:23" x14ac:dyDescent="0.2">
      <c r="Q1090">
        <f t="shared" si="135"/>
        <v>1074</v>
      </c>
      <c r="R1090" s="48">
        <f t="shared" ca="1" si="136"/>
        <v>0.35</v>
      </c>
      <c r="S1090">
        <f t="shared" ca="1" si="137"/>
        <v>176.66042928882129</v>
      </c>
      <c r="T1090" s="61">
        <f t="shared" ca="1" si="138"/>
        <v>16800</v>
      </c>
      <c r="U1090" s="61">
        <f t="shared" ca="1" si="139"/>
        <v>9863.4232301870725</v>
      </c>
      <c r="V1090" s="39">
        <f t="shared" ca="1" si="140"/>
        <v>6.4890942303862317E-2</v>
      </c>
      <c r="W1090" s="48">
        <f t="shared" ca="1" si="141"/>
        <v>0.66523284411884132</v>
      </c>
    </row>
    <row r="1091" spans="17:23" x14ac:dyDescent="0.2">
      <c r="Q1091">
        <f t="shared" si="135"/>
        <v>1075</v>
      </c>
      <c r="R1091" s="48">
        <f t="shared" ca="1" si="136"/>
        <v>0.35</v>
      </c>
      <c r="S1091">
        <f t="shared" ca="1" si="137"/>
        <v>203.52879320073524</v>
      </c>
      <c r="T1091" s="61">
        <f t="shared" ca="1" si="138"/>
        <v>16800</v>
      </c>
      <c r="U1091" s="61">
        <f t="shared" ca="1" si="139"/>
        <v>23834.972464382321</v>
      </c>
      <c r="V1091" s="39">
        <f t="shared" ca="1" si="140"/>
        <v>0.15680902937093633</v>
      </c>
      <c r="W1091" s="48">
        <f t="shared" ca="1" si="141"/>
        <v>2.2592857129120176</v>
      </c>
    </row>
    <row r="1092" spans="17:23" x14ac:dyDescent="0.2">
      <c r="Q1092">
        <f t="shared" si="135"/>
        <v>1076</v>
      </c>
      <c r="R1092" s="48">
        <f t="shared" ca="1" si="136"/>
        <v>0.3</v>
      </c>
      <c r="S1092">
        <f t="shared" ca="1" si="137"/>
        <v>201.38540365784669</v>
      </c>
      <c r="T1092" s="61">
        <f t="shared" ca="1" si="138"/>
        <v>14400</v>
      </c>
      <c r="U1092" s="61">
        <f t="shared" ca="1" si="139"/>
        <v>20775.826048394149</v>
      </c>
      <c r="V1092" s="39">
        <f t="shared" ca="1" si="140"/>
        <v>0.13668306610785624</v>
      </c>
      <c r="W1092" s="48">
        <f t="shared" ca="1" si="141"/>
        <v>1.8268142706423456</v>
      </c>
    </row>
    <row r="1093" spans="17:23" x14ac:dyDescent="0.2">
      <c r="Q1093">
        <f t="shared" si="135"/>
        <v>1077</v>
      </c>
      <c r="R1093" s="48">
        <f t="shared" ca="1" si="136"/>
        <v>0.4</v>
      </c>
      <c r="S1093">
        <f t="shared" ca="1" si="137"/>
        <v>205.1480358566449</v>
      </c>
      <c r="T1093" s="61">
        <f t="shared" ca="1" si="138"/>
        <v>19200</v>
      </c>
      <c r="U1093" s="61">
        <f t="shared" ca="1" si="139"/>
        <v>26471.057211189549</v>
      </c>
      <c r="V1093" s="39">
        <f t="shared" ca="1" si="140"/>
        <v>0.1741516921788786</v>
      </c>
      <c r="W1093" s="48">
        <f t="shared" ca="1" si="141"/>
        <v>2.6773994010813507</v>
      </c>
    </row>
    <row r="1094" spans="17:23" x14ac:dyDescent="0.2">
      <c r="Q1094">
        <f t="shared" si="135"/>
        <v>1078</v>
      </c>
      <c r="R1094" s="48">
        <f t="shared" ca="1" si="136"/>
        <v>0.3</v>
      </c>
      <c r="S1094">
        <f t="shared" ca="1" si="137"/>
        <v>208.00183490572275</v>
      </c>
      <c r="T1094" s="61">
        <f t="shared" ca="1" si="138"/>
        <v>14400</v>
      </c>
      <c r="U1094" s="61">
        <f t="shared" ca="1" si="139"/>
        <v>24481.027547204736</v>
      </c>
      <c r="V1094" s="39">
        <f t="shared" ca="1" si="140"/>
        <v>0.16105939175792588</v>
      </c>
      <c r="W1094" s="48">
        <f t="shared" ca="1" si="141"/>
        <v>2.3576972490270673</v>
      </c>
    </row>
    <row r="1095" spans="17:23" x14ac:dyDescent="0.2">
      <c r="Q1095">
        <f t="shared" si="135"/>
        <v>1079</v>
      </c>
      <c r="R1095" s="48">
        <f t="shared" ca="1" si="136"/>
        <v>0.3</v>
      </c>
      <c r="S1095">
        <f t="shared" ca="1" si="137"/>
        <v>175.3665576511392</v>
      </c>
      <c r="T1095" s="61">
        <f t="shared" ca="1" si="138"/>
        <v>14400</v>
      </c>
      <c r="U1095" s="61">
        <f t="shared" ca="1" si="139"/>
        <v>6205.2722846379547</v>
      </c>
      <c r="V1095" s="39">
        <f t="shared" ca="1" si="140"/>
        <v>4.0824159767354963E-2</v>
      </c>
      <c r="W1095" s="48">
        <f t="shared" ca="1" si="141"/>
        <v>0.38340625479526014</v>
      </c>
    </row>
    <row r="1096" spans="17:23" x14ac:dyDescent="0.2">
      <c r="Q1096">
        <f t="shared" si="135"/>
        <v>1080</v>
      </c>
      <c r="R1096" s="48">
        <f t="shared" ca="1" si="136"/>
        <v>0.5</v>
      </c>
      <c r="S1096">
        <f t="shared" ca="1" si="137"/>
        <v>200.67887367643104</v>
      </c>
      <c r="T1096" s="61">
        <f t="shared" ca="1" si="138"/>
        <v>24000</v>
      </c>
      <c r="U1096" s="61">
        <f t="shared" ca="1" si="139"/>
        <v>28271.549470572416</v>
      </c>
      <c r="V1096" s="39">
        <f t="shared" ca="1" si="140"/>
        <v>0.18599703599060799</v>
      </c>
      <c r="W1096" s="48">
        <f t="shared" ca="1" si="141"/>
        <v>2.9893334706032926</v>
      </c>
    </row>
    <row r="1097" spans="17:23" x14ac:dyDescent="0.2">
      <c r="Q1097">
        <f t="shared" si="135"/>
        <v>1081</v>
      </c>
      <c r="R1097" s="48">
        <f t="shared" ca="1" si="136"/>
        <v>0.4</v>
      </c>
      <c r="S1097">
        <f t="shared" ca="1" si="137"/>
        <v>188.26226814836699</v>
      </c>
      <c r="T1097" s="61">
        <f t="shared" ca="1" si="138"/>
        <v>19200</v>
      </c>
      <c r="U1097" s="61">
        <f t="shared" ca="1" si="139"/>
        <v>18365.888711216154</v>
      </c>
      <c r="V1097" s="39">
        <f t="shared" ca="1" si="140"/>
        <v>0.12082821520536943</v>
      </c>
      <c r="W1097" s="48">
        <f t="shared" ca="1" si="141"/>
        <v>1.5224163952957457</v>
      </c>
    </row>
    <row r="1098" spans="17:23" x14ac:dyDescent="0.2">
      <c r="Q1098">
        <f t="shared" si="135"/>
        <v>1082</v>
      </c>
      <c r="R1098" s="48">
        <f t="shared" ca="1" si="136"/>
        <v>0.35</v>
      </c>
      <c r="S1098">
        <f t="shared" ca="1" si="137"/>
        <v>152.7391940293997</v>
      </c>
      <c r="T1098" s="61">
        <f t="shared" ca="1" si="138"/>
        <v>16800</v>
      </c>
      <c r="U1098" s="61">
        <f t="shared" ca="1" si="139"/>
        <v>-2575.6191047121574</v>
      </c>
      <c r="V1098" s="39">
        <f t="shared" ca="1" si="140"/>
        <v>-1.6944862531001036E-2</v>
      </c>
      <c r="W1098" s="48">
        <f t="shared" ca="1" si="141"/>
        <v>-0.12944074475371226</v>
      </c>
    </row>
    <row r="1099" spans="17:23" x14ac:dyDescent="0.2">
      <c r="Q1099">
        <f t="shared" si="135"/>
        <v>1083</v>
      </c>
      <c r="R1099" s="48">
        <f t="shared" ca="1" si="136"/>
        <v>0.3</v>
      </c>
      <c r="S1099">
        <f t="shared" ca="1" si="137"/>
        <v>172.83283110294929</v>
      </c>
      <c r="T1099" s="61">
        <f t="shared" ca="1" si="138"/>
        <v>14400</v>
      </c>
      <c r="U1099" s="61">
        <f t="shared" ca="1" si="139"/>
        <v>4786.3854176515997</v>
      </c>
      <c r="V1099" s="39">
        <f t="shared" ca="1" si="140"/>
        <v>3.1489377747707895E-2</v>
      </c>
      <c r="W1099" s="48">
        <f t="shared" ca="1" si="141"/>
        <v>0.28592063152283886</v>
      </c>
    </row>
    <row r="1100" spans="17:23" x14ac:dyDescent="0.2">
      <c r="Q1100">
        <f t="shared" si="135"/>
        <v>1084</v>
      </c>
      <c r="R1100" s="48">
        <f t="shared" ca="1" si="136"/>
        <v>0.35</v>
      </c>
      <c r="S1100">
        <f t="shared" ca="1" si="137"/>
        <v>158.98617064009832</v>
      </c>
      <c r="T1100" s="61">
        <f t="shared" ca="1" si="138"/>
        <v>16800</v>
      </c>
      <c r="U1100" s="61">
        <f t="shared" ca="1" si="139"/>
        <v>672.8087328511283</v>
      </c>
      <c r="V1100" s="39">
        <f t="shared" ca="1" si="140"/>
        <v>4.4263732424416335E-3</v>
      </c>
      <c r="W1100" s="48">
        <f t="shared" ca="1" si="141"/>
        <v>3.6472975055354517E-2</v>
      </c>
    </row>
    <row r="1101" spans="17:23" x14ac:dyDescent="0.2">
      <c r="Q1101">
        <f t="shared" si="135"/>
        <v>1085</v>
      </c>
      <c r="R1101" s="48">
        <f t="shared" ca="1" si="136"/>
        <v>0.15</v>
      </c>
      <c r="S1101">
        <f t="shared" ca="1" si="137"/>
        <v>220.72724277712672</v>
      </c>
      <c r="T1101" s="61">
        <f t="shared" ca="1" si="138"/>
        <v>7200</v>
      </c>
      <c r="U1101" s="61">
        <f t="shared" ca="1" si="139"/>
        <v>28094.525088446168</v>
      </c>
      <c r="V1101" s="39">
        <f t="shared" ca="1" si="140"/>
        <v>0.18483240189767217</v>
      </c>
      <c r="W1101" s="48">
        <f t="shared" ca="1" si="141"/>
        <v>2.9576691167680798</v>
      </c>
    </row>
    <row r="1102" spans="17:23" x14ac:dyDescent="0.2">
      <c r="Q1102">
        <f t="shared" si="135"/>
        <v>1086</v>
      </c>
      <c r="R1102" s="48">
        <f t="shared" ca="1" si="136"/>
        <v>0.3</v>
      </c>
      <c r="S1102">
        <f t="shared" ca="1" si="137"/>
        <v>166.10101284055042</v>
      </c>
      <c r="T1102" s="61">
        <f t="shared" ca="1" si="138"/>
        <v>14400</v>
      </c>
      <c r="U1102" s="61">
        <f t="shared" ca="1" si="139"/>
        <v>1016.5671907082378</v>
      </c>
      <c r="V1102" s="39">
        <f t="shared" ca="1" si="140"/>
        <v>6.6879420441331439E-3</v>
      </c>
      <c r="W1102" s="48">
        <f t="shared" ca="1" si="141"/>
        <v>5.5554315610995664E-2</v>
      </c>
    </row>
    <row r="1103" spans="17:23" x14ac:dyDescent="0.2">
      <c r="Q1103">
        <f t="shared" si="135"/>
        <v>1087</v>
      </c>
      <c r="R1103" s="48">
        <f t="shared" ca="1" si="136"/>
        <v>0.3</v>
      </c>
      <c r="S1103">
        <f t="shared" ca="1" si="137"/>
        <v>170.26372617426264</v>
      </c>
      <c r="T1103" s="61">
        <f t="shared" ca="1" si="138"/>
        <v>14400</v>
      </c>
      <c r="U1103" s="61">
        <f t="shared" ca="1" si="139"/>
        <v>3347.6866575870808</v>
      </c>
      <c r="V1103" s="39">
        <f t="shared" ca="1" si="140"/>
        <v>2.2024254326230796E-2</v>
      </c>
      <c r="W1103" s="48">
        <f t="shared" ca="1" si="141"/>
        <v>0.19327588574896071</v>
      </c>
    </row>
    <row r="1104" spans="17:23" x14ac:dyDescent="0.2">
      <c r="Q1104">
        <f t="shared" si="135"/>
        <v>1088</v>
      </c>
      <c r="R1104" s="48">
        <f t="shared" ca="1" si="136"/>
        <v>0.217</v>
      </c>
      <c r="S1104">
        <f t="shared" ca="1" si="137"/>
        <v>194.9710107772504</v>
      </c>
      <c r="T1104" s="61">
        <f t="shared" ca="1" si="138"/>
        <v>10416</v>
      </c>
      <c r="U1104" s="61">
        <f t="shared" ca="1" si="139"/>
        <v>13529.84115086965</v>
      </c>
      <c r="V1104" s="39">
        <f t="shared" ca="1" si="140"/>
        <v>8.9012112834668755E-2</v>
      </c>
      <c r="W1104" s="48">
        <f t="shared" ca="1" si="141"/>
        <v>0.99699247475486841</v>
      </c>
    </row>
    <row r="1105" spans="17:23" x14ac:dyDescent="0.2">
      <c r="Q1105">
        <f t="shared" si="135"/>
        <v>1089</v>
      </c>
      <c r="R1105" s="48">
        <f t="shared" ca="1" si="136"/>
        <v>0.15</v>
      </c>
      <c r="S1105">
        <f t="shared" ca="1" si="137"/>
        <v>199.74375182821495</v>
      </c>
      <c r="T1105" s="61">
        <f t="shared" ca="1" si="138"/>
        <v>7200</v>
      </c>
      <c r="U1105" s="61">
        <f t="shared" ca="1" si="139"/>
        <v>13825.751243186169</v>
      </c>
      <c r="V1105" s="39">
        <f t="shared" ca="1" si="140"/>
        <v>9.0958889757803738E-2</v>
      </c>
      <c r="W1105" s="48">
        <f t="shared" ca="1" si="141"/>
        <v>1.0261333072406318</v>
      </c>
    </row>
    <row r="1106" spans="17:23" x14ac:dyDescent="0.2">
      <c r="Q1106">
        <f t="shared" si="135"/>
        <v>1090</v>
      </c>
      <c r="R1106" s="48">
        <f t="shared" ca="1" si="136"/>
        <v>0.35</v>
      </c>
      <c r="S1106">
        <f t="shared" ca="1" si="137"/>
        <v>188.98738676450853</v>
      </c>
      <c r="T1106" s="61">
        <f t="shared" ca="1" si="138"/>
        <v>16800</v>
      </c>
      <c r="U1106" s="61">
        <f t="shared" ca="1" si="139"/>
        <v>16273.441117544435</v>
      </c>
      <c r="V1106" s="39">
        <f t="shared" ca="1" si="140"/>
        <v>0.10706211261542391</v>
      </c>
      <c r="W1106" s="48">
        <f t="shared" ca="1" si="141"/>
        <v>1.2818332421055114</v>
      </c>
    </row>
    <row r="1107" spans="17:23" x14ac:dyDescent="0.2">
      <c r="Q1107">
        <f t="shared" ref="Q1107:Q1170" si="142">Q1106+1</f>
        <v>1091</v>
      </c>
      <c r="R1107" s="48">
        <f t="shared" ref="R1107:R1170" ca="1" si="143">LOOKUP(RAND(),$U$6:$U$12,$S$6:$S$12)</f>
        <v>0.35</v>
      </c>
      <c r="S1107">
        <f t="shared" ref="S1107:S1170" ca="1" si="144">_xlfn.NORM.INV(RAND(),$Q$5,$Q$10)</f>
        <v>172.70536936284833</v>
      </c>
      <c r="T1107" s="61">
        <f t="shared" ca="1" si="138"/>
        <v>16800</v>
      </c>
      <c r="U1107" s="61">
        <f t="shared" ca="1" si="139"/>
        <v>7806.7920686811322</v>
      </c>
      <c r="V1107" s="39">
        <f t="shared" ca="1" si="140"/>
        <v>5.1360474136060083E-2</v>
      </c>
      <c r="W1107" s="48">
        <f t="shared" ca="1" si="141"/>
        <v>0.501170478493417</v>
      </c>
    </row>
    <row r="1108" spans="17:23" x14ac:dyDescent="0.2">
      <c r="Q1108">
        <f t="shared" si="142"/>
        <v>1092</v>
      </c>
      <c r="R1108" s="48">
        <f t="shared" ca="1" si="143"/>
        <v>0.45</v>
      </c>
      <c r="S1108">
        <f t="shared" ca="1" si="144"/>
        <v>220.34512926344854</v>
      </c>
      <c r="T1108" s="61">
        <f t="shared" ca="1" si="138"/>
        <v>21600</v>
      </c>
      <c r="U1108" s="61">
        <f t="shared" ca="1" si="139"/>
        <v>34951.856875917358</v>
      </c>
      <c r="V1108" s="39">
        <f t="shared" ca="1" si="140"/>
        <v>0.22994642681524577</v>
      </c>
      <c r="W1108" s="48">
        <f t="shared" ca="1" si="141"/>
        <v>4.3589155871608227</v>
      </c>
    </row>
    <row r="1109" spans="17:23" x14ac:dyDescent="0.2">
      <c r="Q1109">
        <f t="shared" si="142"/>
        <v>1093</v>
      </c>
      <c r="R1109" s="48">
        <f t="shared" ca="1" si="143"/>
        <v>0.217</v>
      </c>
      <c r="S1109">
        <f t="shared" ca="1" si="144"/>
        <v>210.45392582423793</v>
      </c>
      <c r="T1109" s="61">
        <f t="shared" ca="1" si="138"/>
        <v>10416</v>
      </c>
      <c r="U1109" s="61">
        <f t="shared" ca="1" si="139"/>
        <v>23228.339136302639</v>
      </c>
      <c r="V1109" s="39">
        <f t="shared" ca="1" si="140"/>
        <v>0.15281802063357</v>
      </c>
      <c r="W1109" s="48">
        <f t="shared" ca="1" si="141"/>
        <v>2.1691906038581443</v>
      </c>
    </row>
    <row r="1110" spans="17:23" x14ac:dyDescent="0.2">
      <c r="Q1110">
        <f t="shared" si="142"/>
        <v>1094</v>
      </c>
      <c r="R1110" s="48">
        <f t="shared" ca="1" si="143"/>
        <v>0.3</v>
      </c>
      <c r="S1110">
        <f t="shared" ca="1" si="144"/>
        <v>191.60267570830774</v>
      </c>
      <c r="T1110" s="61">
        <f t="shared" ca="1" si="138"/>
        <v>14400</v>
      </c>
      <c r="U1110" s="61">
        <f t="shared" ca="1" si="139"/>
        <v>15297.498396652336</v>
      </c>
      <c r="V1110" s="39">
        <f t="shared" ca="1" si="140"/>
        <v>0.10064143682008116</v>
      </c>
      <c r="W1110" s="48">
        <f t="shared" ca="1" si="141"/>
        <v>1.1766780113841935</v>
      </c>
    </row>
    <row r="1111" spans="17:23" x14ac:dyDescent="0.2">
      <c r="Q1111">
        <f t="shared" si="142"/>
        <v>1095</v>
      </c>
      <c r="R1111" s="48">
        <f t="shared" ca="1" si="143"/>
        <v>0.45</v>
      </c>
      <c r="S1111">
        <f t="shared" ca="1" si="144"/>
        <v>188.29523928679237</v>
      </c>
      <c r="T1111" s="61">
        <f t="shared" ca="1" si="138"/>
        <v>21600</v>
      </c>
      <c r="U1111" s="61">
        <f t="shared" ca="1" si="139"/>
        <v>20849.905286188641</v>
      </c>
      <c r="V1111" s="39">
        <f t="shared" ca="1" si="140"/>
        <v>0.13717042951439895</v>
      </c>
      <c r="W1111" s="48">
        <f t="shared" ca="1" si="141"/>
        <v>1.8366601225369803</v>
      </c>
    </row>
    <row r="1112" spans="17:23" x14ac:dyDescent="0.2">
      <c r="Q1112">
        <f t="shared" si="142"/>
        <v>1096</v>
      </c>
      <c r="R1112" s="48">
        <f t="shared" ca="1" si="143"/>
        <v>0.35</v>
      </c>
      <c r="S1112">
        <f t="shared" ca="1" si="144"/>
        <v>199.38258245050051</v>
      </c>
      <c r="T1112" s="61">
        <f t="shared" ca="1" si="138"/>
        <v>16800</v>
      </c>
      <c r="U1112" s="61">
        <f t="shared" ca="1" si="139"/>
        <v>21678.942874260265</v>
      </c>
      <c r="V1112" s="39">
        <f t="shared" ca="1" si="140"/>
        <v>0.14262462417276489</v>
      </c>
      <c r="W1112" s="48">
        <f t="shared" ca="1" si="141"/>
        <v>1.9489157420679395</v>
      </c>
    </row>
    <row r="1113" spans="17:23" x14ac:dyDescent="0.2">
      <c r="Q1113">
        <f t="shared" si="142"/>
        <v>1097</v>
      </c>
      <c r="R1113" s="48">
        <f t="shared" ca="1" si="143"/>
        <v>0.45</v>
      </c>
      <c r="S1113">
        <f t="shared" ca="1" si="144"/>
        <v>193.52929474794061</v>
      </c>
      <c r="T1113" s="61">
        <f t="shared" ca="1" si="138"/>
        <v>21600</v>
      </c>
      <c r="U1113" s="61">
        <f t="shared" ca="1" si="139"/>
        <v>23152.88968909387</v>
      </c>
      <c r="V1113" s="39">
        <f t="shared" ca="1" si="140"/>
        <v>0.15232164269140705</v>
      </c>
      <c r="W1113" s="48">
        <f t="shared" ca="1" si="141"/>
        <v>2.158139246517913</v>
      </c>
    </row>
    <row r="1114" spans="17:23" x14ac:dyDescent="0.2">
      <c r="Q1114">
        <f t="shared" si="142"/>
        <v>1098</v>
      </c>
      <c r="R1114" s="48">
        <f t="shared" ca="1" si="143"/>
        <v>0.45</v>
      </c>
      <c r="S1114">
        <f t="shared" ca="1" si="144"/>
        <v>198.06798888620852</v>
      </c>
      <c r="T1114" s="61">
        <f t="shared" ca="1" si="138"/>
        <v>21600</v>
      </c>
      <c r="U1114" s="61">
        <f t="shared" ca="1" si="139"/>
        <v>25149.915109931753</v>
      </c>
      <c r="V1114" s="39">
        <f t="shared" ca="1" si="140"/>
        <v>0.16545996782849837</v>
      </c>
      <c r="W1114" s="48">
        <f t="shared" ca="1" si="141"/>
        <v>2.4623222008880656</v>
      </c>
    </row>
    <row r="1115" spans="17:23" x14ac:dyDescent="0.2">
      <c r="Q1115">
        <f t="shared" si="142"/>
        <v>1099</v>
      </c>
      <c r="R1115" s="48">
        <f t="shared" ca="1" si="143"/>
        <v>0.217</v>
      </c>
      <c r="S1115">
        <f t="shared" ca="1" si="144"/>
        <v>211.81830133298371</v>
      </c>
      <c r="T1115" s="61">
        <f t="shared" ca="1" si="138"/>
        <v>10416</v>
      </c>
      <c r="U1115" s="61">
        <f t="shared" ca="1" si="139"/>
        <v>24082.983954980995</v>
      </c>
      <c r="V1115" s="39">
        <f t="shared" ca="1" si="140"/>
        <v>0.15844068391434865</v>
      </c>
      <c r="W1115" s="48">
        <f t="shared" ca="1" si="141"/>
        <v>2.2967612723931015</v>
      </c>
    </row>
    <row r="1116" spans="17:23" x14ac:dyDescent="0.2">
      <c r="Q1116">
        <f t="shared" si="142"/>
        <v>1100</v>
      </c>
      <c r="R1116" s="48">
        <f t="shared" ca="1" si="143"/>
        <v>0.35</v>
      </c>
      <c r="S1116">
        <f t="shared" ca="1" si="144"/>
        <v>192.80265270310676</v>
      </c>
      <c r="T1116" s="61">
        <f t="shared" ca="1" si="138"/>
        <v>16800</v>
      </c>
      <c r="U1116" s="61">
        <f t="shared" ca="1" si="139"/>
        <v>18257.379405615513</v>
      </c>
      <c r="V1116" s="39">
        <f t="shared" ca="1" si="140"/>
        <v>0.1201143381948389</v>
      </c>
      <c r="W1116" s="48">
        <f t="shared" ca="1" si="141"/>
        <v>1.5094147554676671</v>
      </c>
    </row>
    <row r="1117" spans="17:23" x14ac:dyDescent="0.2">
      <c r="Q1117">
        <f t="shared" si="142"/>
        <v>1101</v>
      </c>
      <c r="R1117" s="48">
        <f t="shared" ca="1" si="143"/>
        <v>0.45</v>
      </c>
      <c r="S1117">
        <f t="shared" ca="1" si="144"/>
        <v>174.85589813545499</v>
      </c>
      <c r="T1117" s="61">
        <f t="shared" ca="1" si="138"/>
        <v>21600</v>
      </c>
      <c r="U1117" s="61">
        <f t="shared" ca="1" si="139"/>
        <v>14936.595179600197</v>
      </c>
      <c r="V1117" s="39">
        <f t="shared" ca="1" si="140"/>
        <v>9.8267073550001305E-2</v>
      </c>
      <c r="W1117" s="48">
        <f t="shared" ca="1" si="141"/>
        <v>1.1388819474263161</v>
      </c>
    </row>
    <row r="1118" spans="17:23" x14ac:dyDescent="0.2">
      <c r="Q1118">
        <f t="shared" si="142"/>
        <v>1102</v>
      </c>
      <c r="R1118" s="48">
        <f t="shared" ca="1" si="143"/>
        <v>0.4</v>
      </c>
      <c r="S1118">
        <f t="shared" ca="1" si="144"/>
        <v>203.7098742251836</v>
      </c>
      <c r="T1118" s="61">
        <f t="shared" ca="1" si="138"/>
        <v>19200</v>
      </c>
      <c r="U1118" s="61">
        <f t="shared" ca="1" si="139"/>
        <v>25780.739628088126</v>
      </c>
      <c r="V1118" s="39">
        <f t="shared" ca="1" si="140"/>
        <v>0.16961012913215873</v>
      </c>
      <c r="W1118" s="48">
        <f t="shared" ca="1" si="141"/>
        <v>2.563601149928715</v>
      </c>
    </row>
    <row r="1119" spans="17:23" x14ac:dyDescent="0.2">
      <c r="Q1119">
        <f t="shared" si="142"/>
        <v>1103</v>
      </c>
      <c r="R1119" s="48">
        <f t="shared" ca="1" si="143"/>
        <v>0.45</v>
      </c>
      <c r="S1119">
        <f t="shared" ca="1" si="144"/>
        <v>181.65605047419857</v>
      </c>
      <c r="T1119" s="61">
        <f t="shared" ca="1" si="138"/>
        <v>21600</v>
      </c>
      <c r="U1119" s="61">
        <f t="shared" ca="1" si="139"/>
        <v>17928.662208647369</v>
      </c>
      <c r="V1119" s="39">
        <f t="shared" ca="1" si="140"/>
        <v>0.11795172505689058</v>
      </c>
      <c r="W1119" s="48">
        <f t="shared" ca="1" si="141"/>
        <v>1.4703855726857311</v>
      </c>
    </row>
    <row r="1120" spans="17:23" x14ac:dyDescent="0.2">
      <c r="Q1120">
        <f t="shared" si="142"/>
        <v>1104</v>
      </c>
      <c r="R1120" s="48">
        <f t="shared" ca="1" si="143"/>
        <v>0.3</v>
      </c>
      <c r="S1120">
        <f t="shared" ca="1" si="144"/>
        <v>187.69496979573537</v>
      </c>
      <c r="T1120" s="61">
        <f t="shared" ca="1" si="138"/>
        <v>14400</v>
      </c>
      <c r="U1120" s="61">
        <f t="shared" ca="1" si="139"/>
        <v>13109.18308561181</v>
      </c>
      <c r="V1120" s="39">
        <f t="shared" ca="1" si="140"/>
        <v>8.6244625563235588E-2</v>
      </c>
      <c r="W1120" s="48">
        <f t="shared" ca="1" si="141"/>
        <v>0.95619923901916803</v>
      </c>
    </row>
    <row r="1121" spans="17:23" x14ac:dyDescent="0.2">
      <c r="Q1121">
        <f t="shared" si="142"/>
        <v>1105</v>
      </c>
      <c r="R1121" s="48">
        <f t="shared" ca="1" si="143"/>
        <v>0.45</v>
      </c>
      <c r="S1121">
        <f t="shared" ca="1" si="144"/>
        <v>201.8898021123272</v>
      </c>
      <c r="T1121" s="61">
        <f t="shared" ca="1" si="138"/>
        <v>21600</v>
      </c>
      <c r="U1121" s="61">
        <f t="shared" ca="1" si="139"/>
        <v>26831.51292942397</v>
      </c>
      <c r="V1121" s="39">
        <f t="shared" ca="1" si="140"/>
        <v>0.17652311137778928</v>
      </c>
      <c r="W1121" s="48">
        <f t="shared" ca="1" si="141"/>
        <v>2.7380766132886398</v>
      </c>
    </row>
    <row r="1122" spans="17:23" x14ac:dyDescent="0.2">
      <c r="Q1122">
        <f t="shared" si="142"/>
        <v>1106</v>
      </c>
      <c r="R1122" s="48">
        <f t="shared" ca="1" si="143"/>
        <v>0.35</v>
      </c>
      <c r="S1122">
        <f t="shared" ca="1" si="144"/>
        <v>181.43092437607709</v>
      </c>
      <c r="T1122" s="61">
        <f t="shared" ca="1" si="138"/>
        <v>16800</v>
      </c>
      <c r="U1122" s="61">
        <f t="shared" ca="1" si="139"/>
        <v>12344.080675560086</v>
      </c>
      <c r="V1122" s="39">
        <f t="shared" ca="1" si="140"/>
        <v>8.1211057076053195E-2</v>
      </c>
      <c r="W1122" s="48">
        <f t="shared" ca="1" si="141"/>
        <v>0.88387315735660432</v>
      </c>
    </row>
    <row r="1123" spans="17:23" x14ac:dyDescent="0.2">
      <c r="Q1123">
        <f t="shared" si="142"/>
        <v>1107</v>
      </c>
      <c r="R1123" s="48">
        <f t="shared" ca="1" si="143"/>
        <v>0.5</v>
      </c>
      <c r="S1123">
        <f t="shared" ca="1" si="144"/>
        <v>216.12802223972264</v>
      </c>
      <c r="T1123" s="61">
        <f t="shared" ca="1" si="138"/>
        <v>24000</v>
      </c>
      <c r="U1123" s="61">
        <f t="shared" ca="1" si="139"/>
        <v>34451.208895889053</v>
      </c>
      <c r="V1123" s="39">
        <f t="shared" ca="1" si="140"/>
        <v>0.22665269010453323</v>
      </c>
      <c r="W1123" s="48">
        <f t="shared" ca="1" si="141"/>
        <v>4.2436160257775706</v>
      </c>
    </row>
    <row r="1124" spans="17:23" x14ac:dyDescent="0.2">
      <c r="Q1124">
        <f t="shared" si="142"/>
        <v>1108</v>
      </c>
      <c r="R1124" s="48">
        <f t="shared" ca="1" si="143"/>
        <v>0.217</v>
      </c>
      <c r="S1124">
        <f t="shared" ca="1" si="144"/>
        <v>191.56248812316389</v>
      </c>
      <c r="T1124" s="61">
        <f t="shared" ca="1" si="138"/>
        <v>10416</v>
      </c>
      <c r="U1124" s="61">
        <f t="shared" ca="1" si="139"/>
        <v>11394.74256034986</v>
      </c>
      <c r="V1124" s="39">
        <f t="shared" ca="1" si="140"/>
        <v>7.4965411581249072E-2</v>
      </c>
      <c r="W1124" s="48">
        <f t="shared" ca="1" si="141"/>
        <v>0.79739777849453208</v>
      </c>
    </row>
    <row r="1125" spans="17:23" x14ac:dyDescent="0.2">
      <c r="Q1125">
        <f t="shared" si="142"/>
        <v>1109</v>
      </c>
      <c r="R1125" s="48">
        <f t="shared" ca="1" si="143"/>
        <v>0.35</v>
      </c>
      <c r="S1125">
        <f t="shared" ca="1" si="144"/>
        <v>181.35025848420091</v>
      </c>
      <c r="T1125" s="61">
        <f t="shared" ca="1" si="138"/>
        <v>16800</v>
      </c>
      <c r="U1125" s="61">
        <f t="shared" ca="1" si="139"/>
        <v>12302.134411784471</v>
      </c>
      <c r="V1125" s="39">
        <f t="shared" ca="1" si="140"/>
        <v>8.0935094814371514E-2</v>
      </c>
      <c r="W1125" s="48">
        <f t="shared" ca="1" si="141"/>
        <v>0.87997663538249626</v>
      </c>
    </row>
    <row r="1126" spans="17:23" x14ac:dyDescent="0.2">
      <c r="Q1126">
        <f t="shared" si="142"/>
        <v>1110</v>
      </c>
      <c r="R1126" s="48">
        <f t="shared" ca="1" si="143"/>
        <v>0.35</v>
      </c>
      <c r="S1126">
        <f t="shared" ca="1" si="144"/>
        <v>192.26321699521682</v>
      </c>
      <c r="T1126" s="61">
        <f t="shared" ca="1" si="138"/>
        <v>16800</v>
      </c>
      <c r="U1126" s="61">
        <f t="shared" ca="1" si="139"/>
        <v>17976.872837512747</v>
      </c>
      <c r="V1126" s="39">
        <f t="shared" ca="1" si="140"/>
        <v>0.11826890024679439</v>
      </c>
      <c r="W1126" s="48">
        <f t="shared" ca="1" si="141"/>
        <v>1.4760761899618431</v>
      </c>
    </row>
    <row r="1127" spans="17:23" x14ac:dyDescent="0.2">
      <c r="Q1127">
        <f t="shared" si="142"/>
        <v>1111</v>
      </c>
      <c r="R1127" s="48">
        <f t="shared" ca="1" si="143"/>
        <v>0.217</v>
      </c>
      <c r="S1127">
        <f t="shared" ca="1" si="144"/>
        <v>187.27212176873894</v>
      </c>
      <c r="T1127" s="61">
        <f t="shared" ca="1" si="138"/>
        <v>10416</v>
      </c>
      <c r="U1127" s="61">
        <f t="shared" ca="1" si="139"/>
        <v>8707.2570759380724</v>
      </c>
      <c r="V1127" s="39">
        <f t="shared" ca="1" si="140"/>
        <v>5.7284586025908371E-2</v>
      </c>
      <c r="W1127" s="48">
        <f t="shared" ca="1" si="141"/>
        <v>0.57117006101520973</v>
      </c>
    </row>
    <row r="1128" spans="17:23" x14ac:dyDescent="0.2">
      <c r="Q1128">
        <f t="shared" si="142"/>
        <v>1112</v>
      </c>
      <c r="R1128" s="48">
        <f t="shared" ca="1" si="143"/>
        <v>0.3</v>
      </c>
      <c r="S1128">
        <f t="shared" ca="1" si="144"/>
        <v>215.05941910341116</v>
      </c>
      <c r="T1128" s="61">
        <f t="shared" ca="1" si="138"/>
        <v>14400</v>
      </c>
      <c r="U1128" s="61">
        <f t="shared" ca="1" si="139"/>
        <v>28433.274697910249</v>
      </c>
      <c r="V1128" s="39">
        <f t="shared" ca="1" si="140"/>
        <v>0.18706101774940953</v>
      </c>
      <c r="W1128" s="48">
        <f t="shared" ca="1" si="141"/>
        <v>3.018455181568112</v>
      </c>
    </row>
    <row r="1129" spans="17:23" x14ac:dyDescent="0.2">
      <c r="Q1129">
        <f t="shared" si="142"/>
        <v>1113</v>
      </c>
      <c r="R1129" s="48">
        <f t="shared" ca="1" si="143"/>
        <v>0.4</v>
      </c>
      <c r="S1129">
        <f t="shared" ca="1" si="144"/>
        <v>213.79406959282454</v>
      </c>
      <c r="T1129" s="61">
        <f t="shared" ca="1" si="138"/>
        <v>19200</v>
      </c>
      <c r="U1129" s="61">
        <f t="shared" ca="1" si="139"/>
        <v>30621.153404555778</v>
      </c>
      <c r="V1129" s="39">
        <f t="shared" ca="1" si="140"/>
        <v>0.2014549566089196</v>
      </c>
      <c r="W1129" s="48">
        <f t="shared" ca="1" si="141"/>
        <v>3.4311488162595056</v>
      </c>
    </row>
    <row r="1130" spans="17:23" x14ac:dyDescent="0.2">
      <c r="Q1130">
        <f t="shared" si="142"/>
        <v>1114</v>
      </c>
      <c r="R1130" s="48">
        <f t="shared" ca="1" si="143"/>
        <v>0.35</v>
      </c>
      <c r="S1130">
        <f t="shared" ca="1" si="144"/>
        <v>202.34199395767266</v>
      </c>
      <c r="T1130" s="61">
        <f t="shared" ca="1" si="138"/>
        <v>16800</v>
      </c>
      <c r="U1130" s="61">
        <f t="shared" ca="1" si="139"/>
        <v>23217.83685798978</v>
      </c>
      <c r="V1130" s="39">
        <f t="shared" ca="1" si="140"/>
        <v>0.15274892669730117</v>
      </c>
      <c r="W1130" s="48">
        <f t="shared" ca="1" si="141"/>
        <v>2.1676502682991359</v>
      </c>
    </row>
    <row r="1131" spans="17:23" x14ac:dyDescent="0.2">
      <c r="Q1131">
        <f t="shared" si="142"/>
        <v>1115</v>
      </c>
      <c r="R1131" s="48">
        <f t="shared" ca="1" si="143"/>
        <v>0.3</v>
      </c>
      <c r="S1131">
        <f t="shared" ca="1" si="144"/>
        <v>168.00524778423929</v>
      </c>
      <c r="T1131" s="61">
        <f t="shared" ca="1" si="138"/>
        <v>14400</v>
      </c>
      <c r="U1131" s="61">
        <f t="shared" ca="1" si="139"/>
        <v>2082.9387591740015</v>
      </c>
      <c r="V1131" s="39">
        <f t="shared" ca="1" si="140"/>
        <v>1.370354446825001E-2</v>
      </c>
      <c r="W1131" s="48">
        <f t="shared" ca="1" si="141"/>
        <v>0.11672051399824102</v>
      </c>
    </row>
    <row r="1132" spans="17:23" x14ac:dyDescent="0.2">
      <c r="Q1132">
        <f t="shared" si="142"/>
        <v>1116</v>
      </c>
      <c r="R1132" s="48">
        <f t="shared" ca="1" si="143"/>
        <v>0.3</v>
      </c>
      <c r="S1132">
        <f t="shared" ca="1" si="144"/>
        <v>182.20860207743391</v>
      </c>
      <c r="T1132" s="61">
        <f t="shared" ca="1" si="138"/>
        <v>14400</v>
      </c>
      <c r="U1132" s="61">
        <f t="shared" ca="1" si="139"/>
        <v>10036.81716336299</v>
      </c>
      <c r="V1132" s="39">
        <f t="shared" ca="1" si="140"/>
        <v>6.6031691864230191E-2</v>
      </c>
      <c r="W1132" s="48">
        <f t="shared" ca="1" si="141"/>
        <v>0.67975714082643113</v>
      </c>
    </row>
    <row r="1133" spans="17:23" x14ac:dyDescent="0.2">
      <c r="Q1133">
        <f t="shared" si="142"/>
        <v>1117</v>
      </c>
      <c r="R1133" s="48">
        <f t="shared" ca="1" si="143"/>
        <v>0.217</v>
      </c>
      <c r="S1133">
        <f t="shared" ca="1" si="144"/>
        <v>194.87446000750072</v>
      </c>
      <c r="T1133" s="61">
        <f t="shared" ca="1" si="138"/>
        <v>10416</v>
      </c>
      <c r="U1133" s="61">
        <f t="shared" ca="1" si="139"/>
        <v>13469.361748698448</v>
      </c>
      <c r="V1133" s="39">
        <f t="shared" ca="1" si="140"/>
        <v>8.8614222030910836E-2</v>
      </c>
      <c r="W1133" s="48">
        <f t="shared" ca="1" si="141"/>
        <v>0.99108197999112813</v>
      </c>
    </row>
    <row r="1134" spans="17:23" x14ac:dyDescent="0.2">
      <c r="Q1134">
        <f t="shared" si="142"/>
        <v>1118</v>
      </c>
      <c r="R1134" s="48">
        <f t="shared" ca="1" si="143"/>
        <v>0.15</v>
      </c>
      <c r="S1134">
        <f t="shared" ca="1" si="144"/>
        <v>170.26282752900471</v>
      </c>
      <c r="T1134" s="61">
        <f t="shared" ca="1" si="138"/>
        <v>7200</v>
      </c>
      <c r="U1134" s="61">
        <f t="shared" ca="1" si="139"/>
        <v>-6221.2772802767977</v>
      </c>
      <c r="V1134" s="39">
        <f t="shared" ca="1" si="140"/>
        <v>-4.0929455791294721E-2</v>
      </c>
      <c r="W1134" s="48">
        <f t="shared" ca="1" si="141"/>
        <v>-0.28749516308268575</v>
      </c>
    </row>
    <row r="1135" spans="17:23" x14ac:dyDescent="0.2">
      <c r="Q1135">
        <f t="shared" si="142"/>
        <v>1119</v>
      </c>
      <c r="R1135" s="48">
        <f t="shared" ca="1" si="143"/>
        <v>0.5</v>
      </c>
      <c r="S1135">
        <f t="shared" ca="1" si="144"/>
        <v>210.88598272847736</v>
      </c>
      <c r="T1135" s="61">
        <f t="shared" ca="1" si="138"/>
        <v>24000</v>
      </c>
      <c r="U1135" s="61">
        <f t="shared" ca="1" si="139"/>
        <v>32354.393091390943</v>
      </c>
      <c r="V1135" s="39">
        <f t="shared" ca="1" si="140"/>
        <v>0.21285784928546672</v>
      </c>
      <c r="W1135" s="48">
        <f t="shared" ca="1" si="141"/>
        <v>3.7840029296923321</v>
      </c>
    </row>
    <row r="1136" spans="17:23" x14ac:dyDescent="0.2">
      <c r="Q1136">
        <f t="shared" si="142"/>
        <v>1120</v>
      </c>
      <c r="R1136" s="48">
        <f t="shared" ca="1" si="143"/>
        <v>0.35</v>
      </c>
      <c r="S1136">
        <f t="shared" ca="1" si="144"/>
        <v>232.0102489254522</v>
      </c>
      <c r="T1136" s="61">
        <f t="shared" ca="1" si="138"/>
        <v>16800</v>
      </c>
      <c r="U1136" s="61">
        <f t="shared" ca="1" si="139"/>
        <v>38645.329441235146</v>
      </c>
      <c r="V1136" s="39">
        <f t="shared" ca="1" si="140"/>
        <v>0.2542455884291786</v>
      </c>
      <c r="W1136" s="48">
        <f t="shared" ca="1" si="141"/>
        <v>5.2804686955550073</v>
      </c>
    </row>
    <row r="1137" spans="17:23" x14ac:dyDescent="0.2">
      <c r="Q1137">
        <f t="shared" si="142"/>
        <v>1121</v>
      </c>
      <c r="R1137" s="48">
        <f t="shared" ca="1" si="143"/>
        <v>0.45</v>
      </c>
      <c r="S1137">
        <f t="shared" ca="1" si="144"/>
        <v>211.29999221450581</v>
      </c>
      <c r="T1137" s="61">
        <f t="shared" ca="1" si="138"/>
        <v>21600</v>
      </c>
      <c r="U1137" s="61">
        <f t="shared" ca="1" si="139"/>
        <v>30971.996574382556</v>
      </c>
      <c r="V1137" s="39">
        <f t="shared" ca="1" si="140"/>
        <v>0.20376313535777998</v>
      </c>
      <c r="W1137" s="48">
        <f t="shared" ca="1" si="141"/>
        <v>3.5006715223312188</v>
      </c>
    </row>
    <row r="1138" spans="17:23" x14ac:dyDescent="0.2">
      <c r="Q1138">
        <f t="shared" si="142"/>
        <v>1122</v>
      </c>
      <c r="R1138" s="48">
        <f t="shared" ca="1" si="143"/>
        <v>0.15</v>
      </c>
      <c r="S1138">
        <f t="shared" ca="1" si="144"/>
        <v>236.59504680978409</v>
      </c>
      <c r="T1138" s="61">
        <f t="shared" ca="1" si="138"/>
        <v>7200</v>
      </c>
      <c r="U1138" s="61">
        <f t="shared" ca="1" si="139"/>
        <v>38884.631830653183</v>
      </c>
      <c r="V1138" s="39">
        <f t="shared" ca="1" si="140"/>
        <v>0.25581994625429727</v>
      </c>
      <c r="W1138" s="48">
        <f t="shared" ca="1" si="141"/>
        <v>5.344697843840355</v>
      </c>
    </row>
    <row r="1139" spans="17:23" x14ac:dyDescent="0.2">
      <c r="Q1139">
        <f t="shared" si="142"/>
        <v>1123</v>
      </c>
      <c r="R1139" s="48">
        <f t="shared" ca="1" si="143"/>
        <v>0.35</v>
      </c>
      <c r="S1139">
        <f t="shared" ca="1" si="144"/>
        <v>204.25616929153441</v>
      </c>
      <c r="T1139" s="61">
        <f t="shared" ca="1" si="138"/>
        <v>16800</v>
      </c>
      <c r="U1139" s="61">
        <f t="shared" ca="1" si="139"/>
        <v>24213.208031597889</v>
      </c>
      <c r="V1139" s="39">
        <f t="shared" ca="1" si="140"/>
        <v>0.15929742126051244</v>
      </c>
      <c r="W1139" s="48">
        <f t="shared" ca="1" si="141"/>
        <v>2.3165895031930539</v>
      </c>
    </row>
    <row r="1140" spans="17:23" x14ac:dyDescent="0.2">
      <c r="Q1140">
        <f t="shared" si="142"/>
        <v>1124</v>
      </c>
      <c r="R1140" s="48">
        <f t="shared" ca="1" si="143"/>
        <v>0.4</v>
      </c>
      <c r="S1140">
        <f t="shared" ca="1" si="144"/>
        <v>182.23677107771655</v>
      </c>
      <c r="T1140" s="61">
        <f t="shared" ca="1" si="138"/>
        <v>19200</v>
      </c>
      <c r="U1140" s="61">
        <f t="shared" ca="1" si="139"/>
        <v>15473.650117303947</v>
      </c>
      <c r="V1140" s="39">
        <f t="shared" ca="1" si="140"/>
        <v>0.10180032971910491</v>
      </c>
      <c r="W1140" s="48">
        <f t="shared" ca="1" si="141"/>
        <v>1.1953374386486915</v>
      </c>
    </row>
    <row r="1141" spans="17:23" x14ac:dyDescent="0.2">
      <c r="Q1141">
        <f t="shared" si="142"/>
        <v>1125</v>
      </c>
      <c r="R1141" s="48">
        <f t="shared" ca="1" si="143"/>
        <v>0.4</v>
      </c>
      <c r="S1141">
        <f t="shared" ca="1" si="144"/>
        <v>181.52157102345316</v>
      </c>
      <c r="T1141" s="61">
        <f t="shared" ca="1" si="138"/>
        <v>19200</v>
      </c>
      <c r="U1141" s="61">
        <f t="shared" ca="1" si="139"/>
        <v>15130.354091257519</v>
      </c>
      <c r="V1141" s="39">
        <f t="shared" ca="1" si="140"/>
        <v>9.9541803231957368E-2</v>
      </c>
      <c r="W1141" s="48">
        <f t="shared" ca="1" si="141"/>
        <v>1.1591014330267333</v>
      </c>
    </row>
    <row r="1142" spans="17:23" x14ac:dyDescent="0.2">
      <c r="Q1142">
        <f t="shared" si="142"/>
        <v>1126</v>
      </c>
      <c r="R1142" s="48">
        <f t="shared" ca="1" si="143"/>
        <v>0.45</v>
      </c>
      <c r="S1142">
        <f t="shared" ca="1" si="144"/>
        <v>189.79198392581148</v>
      </c>
      <c r="T1142" s="61">
        <f t="shared" ca="1" si="138"/>
        <v>21600</v>
      </c>
      <c r="U1142" s="61">
        <f t="shared" ca="1" si="139"/>
        <v>21508.472927357052</v>
      </c>
      <c r="V1142" s="39">
        <f t="shared" ca="1" si="140"/>
        <v>0.14150311136419114</v>
      </c>
      <c r="W1142" s="48">
        <f t="shared" ca="1" si="141"/>
        <v>1.9255204682629978</v>
      </c>
    </row>
    <row r="1143" spans="17:23" x14ac:dyDescent="0.2">
      <c r="Q1143">
        <f t="shared" si="142"/>
        <v>1127</v>
      </c>
      <c r="R1143" s="48">
        <f t="shared" ca="1" si="143"/>
        <v>0.3</v>
      </c>
      <c r="S1143">
        <f t="shared" ca="1" si="144"/>
        <v>224.35887099393926</v>
      </c>
      <c r="T1143" s="61">
        <f t="shared" ca="1" si="138"/>
        <v>14400</v>
      </c>
      <c r="U1143" s="61">
        <f t="shared" ca="1" si="139"/>
        <v>33640.967756605984</v>
      </c>
      <c r="V1143" s="39">
        <f t="shared" ca="1" si="140"/>
        <v>0.22132215629346041</v>
      </c>
      <c r="W1143" s="48">
        <f t="shared" ca="1" si="141"/>
        <v>4.0616217828186194</v>
      </c>
    </row>
    <row r="1144" spans="17:23" x14ac:dyDescent="0.2">
      <c r="Q1144">
        <f t="shared" si="142"/>
        <v>1128</v>
      </c>
      <c r="R1144" s="48">
        <f t="shared" ca="1" si="143"/>
        <v>0.45</v>
      </c>
      <c r="S1144">
        <f t="shared" ca="1" si="144"/>
        <v>165.54363171843301</v>
      </c>
      <c r="T1144" s="61">
        <f t="shared" ca="1" si="138"/>
        <v>21600</v>
      </c>
      <c r="U1144" s="61">
        <f t="shared" ca="1" si="139"/>
        <v>10839.19795611052</v>
      </c>
      <c r="V1144" s="39">
        <f t="shared" ca="1" si="140"/>
        <v>7.1310512869148163E-2</v>
      </c>
      <c r="W1144" s="48">
        <f t="shared" ca="1" si="141"/>
        <v>0.74842441873459276</v>
      </c>
    </row>
    <row r="1145" spans="17:23" x14ac:dyDescent="0.2">
      <c r="Q1145">
        <f t="shared" si="142"/>
        <v>1129</v>
      </c>
      <c r="R1145" s="48">
        <f t="shared" ca="1" si="143"/>
        <v>0.35</v>
      </c>
      <c r="S1145">
        <f t="shared" ca="1" si="144"/>
        <v>187.55239230496935</v>
      </c>
      <c r="T1145" s="61">
        <f t="shared" ref="T1145:T1208" ca="1" si="145">($B$8-$B$7)*($E$6*R1145)</f>
        <v>16800</v>
      </c>
      <c r="U1145" s="61">
        <f t="shared" ref="U1145:U1208" ca="1" si="146">T1145+((S1145-$B$7)*($E$6*(1-R1145)))</f>
        <v>15527.243998584059</v>
      </c>
      <c r="V1145" s="39">
        <f t="shared" ref="V1145:V1208" ca="1" si="147">U1145/$E$4</f>
        <v>0.10215292104331618</v>
      </c>
      <c r="W1145" s="48">
        <f t="shared" ref="W1145:W1208" ca="1" si="148">(1+V1145)^($J$29/$J$30)-1</f>
        <v>1.201042292871966</v>
      </c>
    </row>
    <row r="1146" spans="17:23" x14ac:dyDescent="0.2">
      <c r="Q1146">
        <f t="shared" si="142"/>
        <v>1130</v>
      </c>
      <c r="R1146" s="48">
        <f t="shared" ca="1" si="143"/>
        <v>0.35</v>
      </c>
      <c r="S1146">
        <f t="shared" ca="1" si="144"/>
        <v>218.32362560211604</v>
      </c>
      <c r="T1146" s="61">
        <f t="shared" ca="1" si="145"/>
        <v>16800</v>
      </c>
      <c r="U1146" s="61">
        <f t="shared" ca="1" si="146"/>
        <v>31528.285313100339</v>
      </c>
      <c r="V1146" s="39">
        <f t="shared" ca="1" si="147"/>
        <v>0.2074229296914496</v>
      </c>
      <c r="W1146" s="48">
        <f t="shared" ca="1" si="148"/>
        <v>3.612866053173259</v>
      </c>
    </row>
    <row r="1147" spans="17:23" x14ac:dyDescent="0.2">
      <c r="Q1147">
        <f t="shared" si="142"/>
        <v>1131</v>
      </c>
      <c r="R1147" s="48">
        <f t="shared" ca="1" si="143"/>
        <v>0.45</v>
      </c>
      <c r="S1147">
        <f t="shared" ca="1" si="144"/>
        <v>182.78010079144283</v>
      </c>
      <c r="T1147" s="61">
        <f t="shared" ca="1" si="145"/>
        <v>21600</v>
      </c>
      <c r="U1147" s="61">
        <f t="shared" ca="1" si="146"/>
        <v>18423.244348234846</v>
      </c>
      <c r="V1147" s="39">
        <f t="shared" ca="1" si="147"/>
        <v>0.12120555492259767</v>
      </c>
      <c r="W1147" s="48">
        <f t="shared" ca="1" si="148"/>
        <v>1.5293126056421484</v>
      </c>
    </row>
    <row r="1148" spans="17:23" x14ac:dyDescent="0.2">
      <c r="Q1148">
        <f t="shared" si="142"/>
        <v>1132</v>
      </c>
      <c r="R1148" s="48">
        <f t="shared" ca="1" si="143"/>
        <v>0.4</v>
      </c>
      <c r="S1148">
        <f t="shared" ca="1" si="144"/>
        <v>173.86773481895338</v>
      </c>
      <c r="T1148" s="61">
        <f t="shared" ca="1" si="145"/>
        <v>19200</v>
      </c>
      <c r="U1148" s="61">
        <f t="shared" ca="1" si="146"/>
        <v>11456.512713097622</v>
      </c>
      <c r="V1148" s="39">
        <f t="shared" ca="1" si="147"/>
        <v>7.5371794165115927E-2</v>
      </c>
      <c r="W1148" s="48">
        <f t="shared" ca="1" si="148"/>
        <v>0.80291663322663576</v>
      </c>
    </row>
    <row r="1149" spans="17:23" x14ac:dyDescent="0.2">
      <c r="Q1149">
        <f t="shared" si="142"/>
        <v>1133</v>
      </c>
      <c r="R1149" s="48">
        <f t="shared" ca="1" si="143"/>
        <v>0.45</v>
      </c>
      <c r="S1149">
        <f t="shared" ca="1" si="144"/>
        <v>217.10602838192904</v>
      </c>
      <c r="T1149" s="61">
        <f t="shared" ca="1" si="145"/>
        <v>21600</v>
      </c>
      <c r="U1149" s="61">
        <f t="shared" ca="1" si="146"/>
        <v>33526.652488048778</v>
      </c>
      <c r="V1149" s="39">
        <f t="shared" ca="1" si="147"/>
        <v>0.22057008215821564</v>
      </c>
      <c r="W1149" s="48">
        <f t="shared" ca="1" si="148"/>
        <v>4.0363957046013503</v>
      </c>
    </row>
    <row r="1150" spans="17:23" x14ac:dyDescent="0.2">
      <c r="Q1150">
        <f t="shared" si="142"/>
        <v>1134</v>
      </c>
      <c r="R1150" s="48">
        <f t="shared" ca="1" si="143"/>
        <v>0.4</v>
      </c>
      <c r="S1150">
        <f t="shared" ca="1" si="144"/>
        <v>150.75623586089904</v>
      </c>
      <c r="T1150" s="61">
        <f t="shared" ca="1" si="145"/>
        <v>19200</v>
      </c>
      <c r="U1150" s="61">
        <f t="shared" ca="1" si="146"/>
        <v>362.99321323153708</v>
      </c>
      <c r="V1150" s="39">
        <f t="shared" ca="1" si="147"/>
        <v>2.3881132449443229E-3</v>
      </c>
      <c r="W1150" s="48">
        <f t="shared" ca="1" si="148"/>
        <v>1.9535528586633655E-2</v>
      </c>
    </row>
    <row r="1151" spans="17:23" x14ac:dyDescent="0.2">
      <c r="Q1151">
        <f t="shared" si="142"/>
        <v>1135</v>
      </c>
      <c r="R1151" s="48">
        <f t="shared" ca="1" si="143"/>
        <v>0.3</v>
      </c>
      <c r="S1151">
        <f t="shared" ca="1" si="144"/>
        <v>194.90842601334037</v>
      </c>
      <c r="T1151" s="61">
        <f t="shared" ca="1" si="145"/>
        <v>14400</v>
      </c>
      <c r="U1151" s="61">
        <f t="shared" ca="1" si="146"/>
        <v>17148.718567470609</v>
      </c>
      <c r="V1151" s="39">
        <f t="shared" ca="1" si="147"/>
        <v>0.11282051689125401</v>
      </c>
      <c r="W1151" s="48">
        <f t="shared" ca="1" si="148"/>
        <v>1.3799034562497092</v>
      </c>
    </row>
    <row r="1152" spans="17:23" x14ac:dyDescent="0.2">
      <c r="Q1152">
        <f t="shared" si="142"/>
        <v>1136</v>
      </c>
      <c r="R1152" s="48">
        <f t="shared" ca="1" si="143"/>
        <v>0.3</v>
      </c>
      <c r="S1152">
        <f t="shared" ca="1" si="144"/>
        <v>182.66590688347304</v>
      </c>
      <c r="T1152" s="61">
        <f t="shared" ca="1" si="145"/>
        <v>14400</v>
      </c>
      <c r="U1152" s="61">
        <f t="shared" ca="1" si="146"/>
        <v>10292.907854744903</v>
      </c>
      <c r="V1152" s="39">
        <f t="shared" ca="1" si="147"/>
        <v>6.7716499044374365E-2</v>
      </c>
      <c r="W1152" s="48">
        <f t="shared" ca="1" si="148"/>
        <v>0.70141165246398751</v>
      </c>
    </row>
    <row r="1153" spans="17:23" x14ac:dyDescent="0.2">
      <c r="Q1153">
        <f t="shared" si="142"/>
        <v>1137</v>
      </c>
      <c r="R1153" s="48">
        <f t="shared" ca="1" si="143"/>
        <v>0.45</v>
      </c>
      <c r="S1153">
        <f t="shared" ca="1" si="144"/>
        <v>199.15846776114191</v>
      </c>
      <c r="T1153" s="61">
        <f t="shared" ca="1" si="145"/>
        <v>21600</v>
      </c>
      <c r="U1153" s="61">
        <f t="shared" ca="1" si="146"/>
        <v>25629.725814902438</v>
      </c>
      <c r="V1153" s="39">
        <f t="shared" ca="1" si="147"/>
        <v>0.16861661720330551</v>
      </c>
      <c r="W1153" s="48">
        <f t="shared" ca="1" si="148"/>
        <v>2.5391223553345719</v>
      </c>
    </row>
    <row r="1154" spans="17:23" x14ac:dyDescent="0.2">
      <c r="Q1154">
        <f t="shared" si="142"/>
        <v>1138</v>
      </c>
      <c r="R1154" s="48">
        <f t="shared" ca="1" si="143"/>
        <v>0.3</v>
      </c>
      <c r="S1154">
        <f t="shared" ca="1" si="144"/>
        <v>208.50642630337333</v>
      </c>
      <c r="T1154" s="61">
        <f t="shared" ca="1" si="145"/>
        <v>14400</v>
      </c>
      <c r="U1154" s="61">
        <f t="shared" ca="1" si="146"/>
        <v>24763.598729889065</v>
      </c>
      <c r="V1154" s="39">
        <f t="shared" ca="1" si="147"/>
        <v>0.16291841269663859</v>
      </c>
      <c r="W1154" s="48">
        <f t="shared" ca="1" si="148"/>
        <v>2.4015528605520626</v>
      </c>
    </row>
    <row r="1155" spans="17:23" x14ac:dyDescent="0.2">
      <c r="Q1155">
        <f t="shared" si="142"/>
        <v>1139</v>
      </c>
      <c r="R1155" s="48">
        <f t="shared" ca="1" si="143"/>
        <v>0.45</v>
      </c>
      <c r="S1155">
        <f t="shared" ca="1" si="144"/>
        <v>175.0289628809418</v>
      </c>
      <c r="T1155" s="61">
        <f t="shared" ca="1" si="145"/>
        <v>21600</v>
      </c>
      <c r="U1155" s="61">
        <f t="shared" ca="1" si="146"/>
        <v>15012.743667614393</v>
      </c>
      <c r="V1155" s="39">
        <f t="shared" ca="1" si="147"/>
        <v>9.8768050444831529E-2</v>
      </c>
      <c r="W1155" s="48">
        <f t="shared" ca="1" si="148"/>
        <v>1.1468084454017649</v>
      </c>
    </row>
    <row r="1156" spans="17:23" x14ac:dyDescent="0.2">
      <c r="Q1156">
        <f t="shared" si="142"/>
        <v>1140</v>
      </c>
      <c r="R1156" s="48">
        <f t="shared" ca="1" si="143"/>
        <v>0.35</v>
      </c>
      <c r="S1156">
        <f t="shared" ca="1" si="144"/>
        <v>170.12893796686359</v>
      </c>
      <c r="T1156" s="61">
        <f t="shared" ca="1" si="145"/>
        <v>16800</v>
      </c>
      <c r="U1156" s="61">
        <f t="shared" ca="1" si="146"/>
        <v>6467.0477427690657</v>
      </c>
      <c r="V1156" s="39">
        <f t="shared" ca="1" si="147"/>
        <v>4.2546366728743852E-2</v>
      </c>
      <c r="W1156" s="48">
        <f t="shared" ca="1" si="148"/>
        <v>0.40208269950895148</v>
      </c>
    </row>
    <row r="1157" spans="17:23" x14ac:dyDescent="0.2">
      <c r="Q1157">
        <f t="shared" si="142"/>
        <v>1141</v>
      </c>
      <c r="R1157" s="48">
        <f t="shared" ca="1" si="143"/>
        <v>0.4</v>
      </c>
      <c r="S1157">
        <f t="shared" ca="1" si="144"/>
        <v>166.62886295268689</v>
      </c>
      <c r="T1157" s="61">
        <f t="shared" ca="1" si="145"/>
        <v>19200</v>
      </c>
      <c r="U1157" s="61">
        <f t="shared" ca="1" si="146"/>
        <v>7981.8542172897069</v>
      </c>
      <c r="V1157" s="39">
        <f t="shared" ca="1" si="147"/>
        <v>5.2512198797958598E-2</v>
      </c>
      <c r="W1157" s="48">
        <f t="shared" ca="1" si="148"/>
        <v>0.51456105982319311</v>
      </c>
    </row>
    <row r="1158" spans="17:23" x14ac:dyDescent="0.2">
      <c r="Q1158">
        <f t="shared" si="142"/>
        <v>1142</v>
      </c>
      <c r="R1158" s="48">
        <f t="shared" ca="1" si="143"/>
        <v>0.3</v>
      </c>
      <c r="S1158">
        <f t="shared" ca="1" si="144"/>
        <v>174.01527142493896</v>
      </c>
      <c r="T1158" s="61">
        <f t="shared" ca="1" si="145"/>
        <v>14400</v>
      </c>
      <c r="U1158" s="61">
        <f t="shared" ca="1" si="146"/>
        <v>5448.5519979658166</v>
      </c>
      <c r="V1158" s="39">
        <f t="shared" ca="1" si="147"/>
        <v>3.5845736828722476E-2</v>
      </c>
      <c r="W1158" s="48">
        <f t="shared" ca="1" si="148"/>
        <v>0.33063859987012889</v>
      </c>
    </row>
    <row r="1159" spans="17:23" x14ac:dyDescent="0.2">
      <c r="Q1159">
        <f t="shared" si="142"/>
        <v>1143</v>
      </c>
      <c r="R1159" s="48">
        <f t="shared" ca="1" si="143"/>
        <v>0.3</v>
      </c>
      <c r="S1159">
        <f t="shared" ca="1" si="144"/>
        <v>153.51553230222041</v>
      </c>
      <c r="T1159" s="61">
        <f t="shared" ca="1" si="145"/>
        <v>14400</v>
      </c>
      <c r="U1159" s="61">
        <f t="shared" ca="1" si="146"/>
        <v>-6031.3019107565706</v>
      </c>
      <c r="V1159" s="39">
        <f t="shared" ca="1" si="147"/>
        <v>-3.9679617833924805E-2</v>
      </c>
      <c r="W1159" s="48">
        <f t="shared" ca="1" si="148"/>
        <v>-0.27992884990036915</v>
      </c>
    </row>
    <row r="1160" spans="17:23" x14ac:dyDescent="0.2">
      <c r="Q1160">
        <f t="shared" si="142"/>
        <v>1144</v>
      </c>
      <c r="R1160" s="48">
        <f t="shared" ca="1" si="143"/>
        <v>0.45</v>
      </c>
      <c r="S1160">
        <f t="shared" ca="1" si="144"/>
        <v>143.6908132184098</v>
      </c>
      <c r="T1160" s="61">
        <f t="shared" ca="1" si="145"/>
        <v>21600</v>
      </c>
      <c r="U1160" s="61">
        <f t="shared" ca="1" si="146"/>
        <v>1223.9578161003083</v>
      </c>
      <c r="V1160" s="39">
        <f t="shared" ca="1" si="147"/>
        <v>8.0523540532915026E-3</v>
      </c>
      <c r="W1160" s="48">
        <f t="shared" ca="1" si="148"/>
        <v>6.7214494346078846E-2</v>
      </c>
    </row>
    <row r="1161" spans="17:23" x14ac:dyDescent="0.2">
      <c r="Q1161">
        <f t="shared" si="142"/>
        <v>1145</v>
      </c>
      <c r="R1161" s="48">
        <f t="shared" ca="1" si="143"/>
        <v>0.4</v>
      </c>
      <c r="S1161">
        <f t="shared" ca="1" si="144"/>
        <v>177.48332169278996</v>
      </c>
      <c r="T1161" s="61">
        <f t="shared" ca="1" si="145"/>
        <v>19200</v>
      </c>
      <c r="U1161" s="61">
        <f t="shared" ca="1" si="146"/>
        <v>13191.994412539179</v>
      </c>
      <c r="V1161" s="39">
        <f t="shared" ca="1" si="147"/>
        <v>8.6789436924599866E-2</v>
      </c>
      <c r="W1161" s="48">
        <f t="shared" ca="1" si="148"/>
        <v>0.96417159223784221</v>
      </c>
    </row>
    <row r="1162" spans="17:23" x14ac:dyDescent="0.2">
      <c r="Q1162">
        <f t="shared" si="142"/>
        <v>1146</v>
      </c>
      <c r="R1162" s="48">
        <f t="shared" ca="1" si="143"/>
        <v>0.45</v>
      </c>
      <c r="S1162">
        <f t="shared" ca="1" si="144"/>
        <v>213.84769482944486</v>
      </c>
      <c r="T1162" s="61">
        <f t="shared" ca="1" si="145"/>
        <v>21600</v>
      </c>
      <c r="U1162" s="61">
        <f t="shared" ca="1" si="146"/>
        <v>32092.985724955739</v>
      </c>
      <c r="V1162" s="39">
        <f t="shared" ca="1" si="147"/>
        <v>0.21113806397997198</v>
      </c>
      <c r="W1162" s="48">
        <f t="shared" ca="1" si="148"/>
        <v>3.7292575630335643</v>
      </c>
    </row>
    <row r="1163" spans="17:23" x14ac:dyDescent="0.2">
      <c r="Q1163">
        <f t="shared" si="142"/>
        <v>1147</v>
      </c>
      <c r="R1163" s="48">
        <f t="shared" ca="1" si="143"/>
        <v>0.3</v>
      </c>
      <c r="S1163">
        <f t="shared" ca="1" si="144"/>
        <v>203.25375944182213</v>
      </c>
      <c r="T1163" s="61">
        <f t="shared" ca="1" si="145"/>
        <v>14400</v>
      </c>
      <c r="U1163" s="61">
        <f t="shared" ca="1" si="146"/>
        <v>21822.105287420389</v>
      </c>
      <c r="V1163" s="39">
        <f t="shared" ca="1" si="147"/>
        <v>0.14356648215408149</v>
      </c>
      <c r="W1163" s="48">
        <f t="shared" ca="1" si="148"/>
        <v>1.9686898849926977</v>
      </c>
    </row>
    <row r="1164" spans="17:23" x14ac:dyDescent="0.2">
      <c r="Q1164">
        <f t="shared" si="142"/>
        <v>1148</v>
      </c>
      <c r="R1164" s="48">
        <f t="shared" ca="1" si="143"/>
        <v>0.4</v>
      </c>
      <c r="S1164">
        <f t="shared" ca="1" si="144"/>
        <v>202.68996933902625</v>
      </c>
      <c r="T1164" s="61">
        <f t="shared" ca="1" si="145"/>
        <v>19200</v>
      </c>
      <c r="U1164" s="61">
        <f t="shared" ca="1" si="146"/>
        <v>25291.1852827326</v>
      </c>
      <c r="V1164" s="39">
        <f t="shared" ca="1" si="147"/>
        <v>0.1663893768600829</v>
      </c>
      <c r="W1164" s="48">
        <f t="shared" ca="1" si="148"/>
        <v>2.4847811287093817</v>
      </c>
    </row>
    <row r="1165" spans="17:23" x14ac:dyDescent="0.2">
      <c r="Q1165">
        <f t="shared" si="142"/>
        <v>1149</v>
      </c>
      <c r="R1165" s="48">
        <f t="shared" ca="1" si="143"/>
        <v>0.4</v>
      </c>
      <c r="S1165">
        <f t="shared" ca="1" si="144"/>
        <v>162.00890018007777</v>
      </c>
      <c r="T1165" s="61">
        <f t="shared" ca="1" si="145"/>
        <v>19200</v>
      </c>
      <c r="U1165" s="61">
        <f t="shared" ca="1" si="146"/>
        <v>5764.2720864373314</v>
      </c>
      <c r="V1165" s="39">
        <f t="shared" ca="1" si="147"/>
        <v>3.7922842673929813E-2</v>
      </c>
      <c r="W1165" s="48">
        <f t="shared" ca="1" si="148"/>
        <v>0.35243586492184309</v>
      </c>
    </row>
    <row r="1166" spans="17:23" x14ac:dyDescent="0.2">
      <c r="Q1166">
        <f t="shared" si="142"/>
        <v>1150</v>
      </c>
      <c r="R1166" s="48">
        <f t="shared" ca="1" si="143"/>
        <v>0.35</v>
      </c>
      <c r="S1166">
        <f t="shared" ca="1" si="144"/>
        <v>196.46313411908326</v>
      </c>
      <c r="T1166" s="61">
        <f t="shared" ca="1" si="145"/>
        <v>16800</v>
      </c>
      <c r="U1166" s="61">
        <f t="shared" ca="1" si="146"/>
        <v>20160.829741923299</v>
      </c>
      <c r="V1166" s="39">
        <f t="shared" ca="1" si="147"/>
        <v>0.13263703777581118</v>
      </c>
      <c r="W1166" s="48">
        <f t="shared" ca="1" si="148"/>
        <v>1.7462252608565452</v>
      </c>
    </row>
    <row r="1167" spans="17:23" x14ac:dyDescent="0.2">
      <c r="Q1167">
        <f t="shared" si="142"/>
        <v>1151</v>
      </c>
      <c r="R1167" s="48">
        <f t="shared" ca="1" si="143"/>
        <v>0.3</v>
      </c>
      <c r="S1167">
        <f t="shared" ca="1" si="144"/>
        <v>198.63713304681443</v>
      </c>
      <c r="T1167" s="61">
        <f t="shared" ca="1" si="145"/>
        <v>14400</v>
      </c>
      <c r="U1167" s="61">
        <f t="shared" ca="1" si="146"/>
        <v>19236.79450621608</v>
      </c>
      <c r="V1167" s="39">
        <f t="shared" ca="1" si="147"/>
        <v>0.12655785859352683</v>
      </c>
      <c r="W1167" s="48">
        <f t="shared" ca="1" si="148"/>
        <v>1.6289262364480095</v>
      </c>
    </row>
    <row r="1168" spans="17:23" x14ac:dyDescent="0.2">
      <c r="Q1168">
        <f t="shared" si="142"/>
        <v>1152</v>
      </c>
      <c r="R1168" s="48">
        <f t="shared" ca="1" si="143"/>
        <v>0.3</v>
      </c>
      <c r="S1168">
        <f t="shared" ca="1" si="144"/>
        <v>199.67155793466463</v>
      </c>
      <c r="T1168" s="61">
        <f t="shared" ca="1" si="145"/>
        <v>14400</v>
      </c>
      <c r="U1168" s="61">
        <f t="shared" ca="1" si="146"/>
        <v>19816.072443412195</v>
      </c>
      <c r="V1168" s="39">
        <f t="shared" ca="1" si="147"/>
        <v>0.13036889765402759</v>
      </c>
      <c r="W1168" s="48">
        <f t="shared" ca="1" si="148"/>
        <v>1.7019353284812269</v>
      </c>
    </row>
    <row r="1169" spans="17:23" x14ac:dyDescent="0.2">
      <c r="Q1169">
        <f t="shared" si="142"/>
        <v>1153</v>
      </c>
      <c r="R1169" s="48">
        <f t="shared" ca="1" si="143"/>
        <v>0.217</v>
      </c>
      <c r="S1169">
        <f t="shared" ca="1" si="144"/>
        <v>197.81128448707494</v>
      </c>
      <c r="T1169" s="61">
        <f t="shared" ca="1" si="145"/>
        <v>10416</v>
      </c>
      <c r="U1169" s="61">
        <f t="shared" ca="1" si="146"/>
        <v>15308.988602703743</v>
      </c>
      <c r="V1169" s="39">
        <f t="shared" ca="1" si="147"/>
        <v>0.10071703028094568</v>
      </c>
      <c r="W1169" s="48">
        <f t="shared" ca="1" si="148"/>
        <v>1.1778908945471098</v>
      </c>
    </row>
    <row r="1170" spans="17:23" x14ac:dyDescent="0.2">
      <c r="Q1170">
        <f t="shared" si="142"/>
        <v>1154</v>
      </c>
      <c r="R1170" s="48">
        <f t="shared" ca="1" si="143"/>
        <v>0.45</v>
      </c>
      <c r="S1170">
        <f t="shared" ca="1" si="144"/>
        <v>206.15521265333913</v>
      </c>
      <c r="T1170" s="61">
        <f t="shared" ca="1" si="145"/>
        <v>21600</v>
      </c>
      <c r="U1170" s="61">
        <f t="shared" ca="1" si="146"/>
        <v>28708.29356746922</v>
      </c>
      <c r="V1170" s="39">
        <f t="shared" ca="1" si="147"/>
        <v>0.18887035241756064</v>
      </c>
      <c r="W1170" s="48">
        <f t="shared" ca="1" si="148"/>
        <v>3.0684056880005306</v>
      </c>
    </row>
    <row r="1171" spans="17:23" x14ac:dyDescent="0.2">
      <c r="Q1171">
        <f t="shared" ref="Q1171:Q1234" si="149">Q1170+1</f>
        <v>1155</v>
      </c>
      <c r="R1171" s="48">
        <f t="shared" ref="R1171:R1234" ca="1" si="150">LOOKUP(RAND(),$U$6:$U$12,$S$6:$S$12)</f>
        <v>0.35</v>
      </c>
      <c r="S1171">
        <f t="shared" ref="S1171:S1234" ca="1" si="151">_xlfn.NORM.INV(RAND(),$Q$5,$Q$10)</f>
        <v>220.4400195697759</v>
      </c>
      <c r="T1171" s="61">
        <f t="shared" ca="1" si="145"/>
        <v>16800</v>
      </c>
      <c r="U1171" s="61">
        <f t="shared" ca="1" si="146"/>
        <v>32628.810176283467</v>
      </c>
      <c r="V1171" s="39">
        <f t="shared" ca="1" si="147"/>
        <v>0.21466322484397019</v>
      </c>
      <c r="W1171" s="48">
        <f t="shared" ca="1" si="148"/>
        <v>3.8420698581559973</v>
      </c>
    </row>
    <row r="1172" spans="17:23" x14ac:dyDescent="0.2">
      <c r="Q1172">
        <f t="shared" si="149"/>
        <v>1156</v>
      </c>
      <c r="R1172" s="48">
        <f t="shared" ca="1" si="150"/>
        <v>0.3</v>
      </c>
      <c r="S1172">
        <f t="shared" ca="1" si="151"/>
        <v>174.21719421174726</v>
      </c>
      <c r="T1172" s="61">
        <f t="shared" ca="1" si="145"/>
        <v>14400</v>
      </c>
      <c r="U1172" s="61">
        <f t="shared" ca="1" si="146"/>
        <v>5561.628758578463</v>
      </c>
      <c r="V1172" s="39">
        <f t="shared" ca="1" si="147"/>
        <v>3.6589662885384622E-2</v>
      </c>
      <c r="W1172" s="48">
        <f t="shared" ca="1" si="148"/>
        <v>0.33840973299934474</v>
      </c>
    </row>
    <row r="1173" spans="17:23" x14ac:dyDescent="0.2">
      <c r="Q1173">
        <f t="shared" si="149"/>
        <v>1157</v>
      </c>
      <c r="R1173" s="48">
        <f t="shared" ca="1" si="150"/>
        <v>0.4</v>
      </c>
      <c r="S1173">
        <f t="shared" ca="1" si="151"/>
        <v>213.77891921325823</v>
      </c>
      <c r="T1173" s="61">
        <f t="shared" ca="1" si="145"/>
        <v>19200</v>
      </c>
      <c r="U1173" s="61">
        <f t="shared" ca="1" si="146"/>
        <v>30613.881222363954</v>
      </c>
      <c r="V1173" s="39">
        <f t="shared" ca="1" si="147"/>
        <v>0.201407113305026</v>
      </c>
      <c r="W1173" s="48">
        <f t="shared" ca="1" si="148"/>
        <v>3.4297177858379211</v>
      </c>
    </row>
    <row r="1174" spans="17:23" x14ac:dyDescent="0.2">
      <c r="Q1174">
        <f t="shared" si="149"/>
        <v>1158</v>
      </c>
      <c r="R1174" s="48">
        <f t="shared" ca="1" si="150"/>
        <v>0.35</v>
      </c>
      <c r="S1174">
        <f t="shared" ca="1" si="151"/>
        <v>201.69043535650081</v>
      </c>
      <c r="T1174" s="61">
        <f t="shared" ca="1" si="145"/>
        <v>16800</v>
      </c>
      <c r="U1174" s="61">
        <f t="shared" ca="1" si="146"/>
        <v>22879.026385380421</v>
      </c>
      <c r="V1174" s="39">
        <f t="shared" ca="1" si="147"/>
        <v>0.15051991043013435</v>
      </c>
      <c r="W1174" s="48">
        <f t="shared" ca="1" si="148"/>
        <v>2.1183088391848384</v>
      </c>
    </row>
    <row r="1175" spans="17:23" x14ac:dyDescent="0.2">
      <c r="Q1175">
        <f t="shared" si="149"/>
        <v>1159</v>
      </c>
      <c r="R1175" s="48">
        <f t="shared" ca="1" si="150"/>
        <v>0.45</v>
      </c>
      <c r="S1175">
        <f t="shared" ca="1" si="151"/>
        <v>169.63529561534114</v>
      </c>
      <c r="T1175" s="61">
        <f t="shared" ca="1" si="145"/>
        <v>21600</v>
      </c>
      <c r="U1175" s="61">
        <f t="shared" ca="1" si="146"/>
        <v>12639.530070750099</v>
      </c>
      <c r="V1175" s="39">
        <f t="shared" ca="1" si="147"/>
        <v>8.3154803097040125E-2</v>
      </c>
      <c r="W1175" s="48">
        <f t="shared" ca="1" si="148"/>
        <v>0.91151954202121699</v>
      </c>
    </row>
    <row r="1176" spans="17:23" x14ac:dyDescent="0.2">
      <c r="Q1176">
        <f t="shared" si="149"/>
        <v>1160</v>
      </c>
      <c r="R1176" s="48">
        <f t="shared" ca="1" si="150"/>
        <v>0.35</v>
      </c>
      <c r="S1176">
        <f t="shared" ca="1" si="151"/>
        <v>205.38030296536689</v>
      </c>
      <c r="T1176" s="61">
        <f t="shared" ca="1" si="145"/>
        <v>16800</v>
      </c>
      <c r="U1176" s="61">
        <f t="shared" ca="1" si="146"/>
        <v>24797.757541990784</v>
      </c>
      <c r="V1176" s="39">
        <f t="shared" ca="1" si="147"/>
        <v>0.16314314172362357</v>
      </c>
      <c r="W1176" s="48">
        <f t="shared" ca="1" si="148"/>
        <v>2.4068882474324624</v>
      </c>
    </row>
    <row r="1177" spans="17:23" x14ac:dyDescent="0.2">
      <c r="Q1177">
        <f t="shared" si="149"/>
        <v>1161</v>
      </c>
      <c r="R1177" s="48">
        <f t="shared" ca="1" si="150"/>
        <v>0.35</v>
      </c>
      <c r="S1177">
        <f t="shared" ca="1" si="151"/>
        <v>199.01984230526804</v>
      </c>
      <c r="T1177" s="61">
        <f t="shared" ca="1" si="145"/>
        <v>16800</v>
      </c>
      <c r="U1177" s="61">
        <f t="shared" ca="1" si="146"/>
        <v>21490.317998739381</v>
      </c>
      <c r="V1177" s="39">
        <f t="shared" ca="1" si="147"/>
        <v>0.14138367104433805</v>
      </c>
      <c r="W1177" s="48">
        <f t="shared" ca="1" si="148"/>
        <v>1.9230385025230894</v>
      </c>
    </row>
    <row r="1178" spans="17:23" x14ac:dyDescent="0.2">
      <c r="Q1178">
        <f t="shared" si="149"/>
        <v>1162</v>
      </c>
      <c r="R1178" s="48">
        <f t="shared" ca="1" si="150"/>
        <v>0.35</v>
      </c>
      <c r="S1178">
        <f t="shared" ca="1" si="151"/>
        <v>208.85815749150331</v>
      </c>
      <c r="T1178" s="61">
        <f t="shared" ca="1" si="145"/>
        <v>16800</v>
      </c>
      <c r="U1178" s="61">
        <f t="shared" ca="1" si="146"/>
        <v>26606.241895581719</v>
      </c>
      <c r="V1178" s="39">
        <f t="shared" ca="1" si="147"/>
        <v>0.1750410651025113</v>
      </c>
      <c r="W1178" s="48">
        <f t="shared" ca="1" si="148"/>
        <v>2.7000537045714093</v>
      </c>
    </row>
    <row r="1179" spans="17:23" x14ac:dyDescent="0.2">
      <c r="Q1179">
        <f t="shared" si="149"/>
        <v>1163</v>
      </c>
      <c r="R1179" s="48">
        <f t="shared" ca="1" si="150"/>
        <v>0.45</v>
      </c>
      <c r="S1179">
        <f t="shared" ca="1" si="151"/>
        <v>161.96880119088402</v>
      </c>
      <c r="T1179" s="61">
        <f t="shared" ca="1" si="145"/>
        <v>21600</v>
      </c>
      <c r="U1179" s="61">
        <f t="shared" ca="1" si="146"/>
        <v>9266.2725239889678</v>
      </c>
      <c r="V1179" s="39">
        <f t="shared" ca="1" si="147"/>
        <v>6.0962319236769522E-2</v>
      </c>
      <c r="W1179" s="48">
        <f t="shared" ca="1" si="148"/>
        <v>0.61605162592706475</v>
      </c>
    </row>
    <row r="1180" spans="17:23" x14ac:dyDescent="0.2">
      <c r="Q1180">
        <f t="shared" si="149"/>
        <v>1164</v>
      </c>
      <c r="R1180" s="48">
        <f t="shared" ca="1" si="150"/>
        <v>0.35</v>
      </c>
      <c r="S1180">
        <f t="shared" ca="1" si="151"/>
        <v>186.10058388916275</v>
      </c>
      <c r="T1180" s="61">
        <f t="shared" ca="1" si="145"/>
        <v>16800</v>
      </c>
      <c r="U1180" s="61">
        <f t="shared" ca="1" si="146"/>
        <v>14772.30362236463</v>
      </c>
      <c r="V1180" s="39">
        <f t="shared" ca="1" si="147"/>
        <v>9.7186208041872571E-2</v>
      </c>
      <c r="W1180" s="48">
        <f t="shared" ca="1" si="148"/>
        <v>1.1218677465075433</v>
      </c>
    </row>
    <row r="1181" spans="17:23" x14ac:dyDescent="0.2">
      <c r="Q1181">
        <f t="shared" si="149"/>
        <v>1165</v>
      </c>
      <c r="R1181" s="48">
        <f t="shared" ca="1" si="150"/>
        <v>0.35</v>
      </c>
      <c r="S1181">
        <f t="shared" ca="1" si="151"/>
        <v>192.67027478808774</v>
      </c>
      <c r="T1181" s="61">
        <f t="shared" ca="1" si="145"/>
        <v>16800</v>
      </c>
      <c r="U1181" s="61">
        <f t="shared" ca="1" si="146"/>
        <v>18188.542889805623</v>
      </c>
      <c r="V1181" s="39">
        <f t="shared" ca="1" si="147"/>
        <v>0.11966146638030016</v>
      </c>
      <c r="W1181" s="48">
        <f t="shared" ca="1" si="148"/>
        <v>1.5011972219741114</v>
      </c>
    </row>
    <row r="1182" spans="17:23" x14ac:dyDescent="0.2">
      <c r="Q1182">
        <f t="shared" si="149"/>
        <v>1166</v>
      </c>
      <c r="R1182" s="48">
        <f t="shared" ca="1" si="150"/>
        <v>0.3</v>
      </c>
      <c r="S1182">
        <f t="shared" ca="1" si="151"/>
        <v>195.94313561898133</v>
      </c>
      <c r="T1182" s="61">
        <f t="shared" ca="1" si="145"/>
        <v>14400</v>
      </c>
      <c r="U1182" s="61">
        <f t="shared" ca="1" si="146"/>
        <v>17728.155946629544</v>
      </c>
      <c r="V1182" s="39">
        <f t="shared" ca="1" si="147"/>
        <v>0.11663260491203647</v>
      </c>
      <c r="W1182" s="48">
        <f t="shared" ca="1" si="148"/>
        <v>1.4468413187069027</v>
      </c>
    </row>
    <row r="1183" spans="17:23" x14ac:dyDescent="0.2">
      <c r="Q1183">
        <f t="shared" si="149"/>
        <v>1167</v>
      </c>
      <c r="R1183" s="48">
        <f t="shared" ca="1" si="150"/>
        <v>0.3</v>
      </c>
      <c r="S1183">
        <f t="shared" ca="1" si="151"/>
        <v>209.80728478566508</v>
      </c>
      <c r="T1183" s="61">
        <f t="shared" ca="1" si="145"/>
        <v>14400</v>
      </c>
      <c r="U1183" s="61">
        <f t="shared" ca="1" si="146"/>
        <v>25492.079479972443</v>
      </c>
      <c r="V1183" s="39">
        <f t="shared" ca="1" si="147"/>
        <v>0.16771104921034502</v>
      </c>
      <c r="W1183" s="48">
        <f t="shared" ca="1" si="148"/>
        <v>2.5169389304188847</v>
      </c>
    </row>
    <row r="1184" spans="17:23" x14ac:dyDescent="0.2">
      <c r="Q1184">
        <f t="shared" si="149"/>
        <v>1168</v>
      </c>
      <c r="R1184" s="48">
        <f t="shared" ca="1" si="150"/>
        <v>0.35</v>
      </c>
      <c r="S1184">
        <f t="shared" ca="1" si="151"/>
        <v>193.77297412673127</v>
      </c>
      <c r="T1184" s="61">
        <f t="shared" ca="1" si="145"/>
        <v>16800</v>
      </c>
      <c r="U1184" s="61">
        <f t="shared" ca="1" si="146"/>
        <v>18761.94654590026</v>
      </c>
      <c r="V1184" s="39">
        <f t="shared" ca="1" si="147"/>
        <v>0.12343385885460698</v>
      </c>
      <c r="W1184" s="48">
        <f t="shared" ca="1" si="148"/>
        <v>1.5703748334990664</v>
      </c>
    </row>
    <row r="1185" spans="17:23" x14ac:dyDescent="0.2">
      <c r="Q1185">
        <f t="shared" si="149"/>
        <v>1169</v>
      </c>
      <c r="R1185" s="48">
        <f t="shared" ca="1" si="150"/>
        <v>0.3</v>
      </c>
      <c r="S1185">
        <f t="shared" ca="1" si="151"/>
        <v>175.87675879604785</v>
      </c>
      <c r="T1185" s="61">
        <f t="shared" ca="1" si="145"/>
        <v>14400</v>
      </c>
      <c r="U1185" s="61">
        <f t="shared" ca="1" si="146"/>
        <v>6490.9849257867972</v>
      </c>
      <c r="V1185" s="39">
        <f t="shared" ca="1" si="147"/>
        <v>4.2703848195965774E-2</v>
      </c>
      <c r="W1185" s="48">
        <f t="shared" ca="1" si="148"/>
        <v>0.40380148356289647</v>
      </c>
    </row>
    <row r="1186" spans="17:23" x14ac:dyDescent="0.2">
      <c r="Q1186">
        <f t="shared" si="149"/>
        <v>1170</v>
      </c>
      <c r="R1186" s="48">
        <f t="shared" ca="1" si="150"/>
        <v>0.3</v>
      </c>
      <c r="S1186">
        <f t="shared" ca="1" si="151"/>
        <v>172.07641882844095</v>
      </c>
      <c r="T1186" s="61">
        <f t="shared" ca="1" si="145"/>
        <v>14400</v>
      </c>
      <c r="U1186" s="61">
        <f t="shared" ca="1" si="146"/>
        <v>4362.7945439269315</v>
      </c>
      <c r="V1186" s="39">
        <f t="shared" ca="1" si="147"/>
        <v>2.8702595683729813E-2</v>
      </c>
      <c r="W1186" s="48">
        <f t="shared" ca="1" si="148"/>
        <v>0.25801037462689336</v>
      </c>
    </row>
    <row r="1187" spans="17:23" x14ac:dyDescent="0.2">
      <c r="Q1187">
        <f t="shared" si="149"/>
        <v>1171</v>
      </c>
      <c r="R1187" s="48">
        <f t="shared" ca="1" si="150"/>
        <v>0.4</v>
      </c>
      <c r="S1187">
        <f t="shared" ca="1" si="151"/>
        <v>203.46439169709342</v>
      </c>
      <c r="T1187" s="61">
        <f t="shared" ca="1" si="145"/>
        <v>19200</v>
      </c>
      <c r="U1187" s="61">
        <f t="shared" ca="1" si="146"/>
        <v>25662.90801460484</v>
      </c>
      <c r="V1187" s="39">
        <f t="shared" ca="1" si="147"/>
        <v>0.16883492114871607</v>
      </c>
      <c r="W1187" s="48">
        <f t="shared" ca="1" si="148"/>
        <v>2.544488395591785</v>
      </c>
    </row>
    <row r="1188" spans="17:23" x14ac:dyDescent="0.2">
      <c r="Q1188">
        <f t="shared" si="149"/>
        <v>1172</v>
      </c>
      <c r="R1188" s="48">
        <f t="shared" ca="1" si="150"/>
        <v>0.45</v>
      </c>
      <c r="S1188">
        <f t="shared" ca="1" si="151"/>
        <v>172.32168033321844</v>
      </c>
      <c r="T1188" s="61">
        <f t="shared" ca="1" si="145"/>
        <v>21600</v>
      </c>
      <c r="U1188" s="61">
        <f t="shared" ca="1" si="146"/>
        <v>13821.539346616111</v>
      </c>
      <c r="V1188" s="39">
        <f t="shared" ca="1" si="147"/>
        <v>9.0931179911948101E-2</v>
      </c>
      <c r="W1188" s="48">
        <f t="shared" ca="1" si="148"/>
        <v>1.0257159241310418</v>
      </c>
    </row>
    <row r="1189" spans="17:23" x14ac:dyDescent="0.2">
      <c r="Q1189">
        <f t="shared" si="149"/>
        <v>1173</v>
      </c>
      <c r="R1189" s="48">
        <f t="shared" ca="1" si="150"/>
        <v>0.35</v>
      </c>
      <c r="S1189">
        <f t="shared" ca="1" si="151"/>
        <v>221.78381135777164</v>
      </c>
      <c r="T1189" s="61">
        <f t="shared" ca="1" si="145"/>
        <v>16800</v>
      </c>
      <c r="U1189" s="61">
        <f t="shared" ca="1" si="146"/>
        <v>33327.581906041254</v>
      </c>
      <c r="V1189" s="39">
        <f t="shared" ca="1" si="147"/>
        <v>0.21926040727658719</v>
      </c>
      <c r="W1189" s="48">
        <f t="shared" ca="1" si="148"/>
        <v>3.9927295901075928</v>
      </c>
    </row>
    <row r="1190" spans="17:23" x14ac:dyDescent="0.2">
      <c r="Q1190">
        <f t="shared" si="149"/>
        <v>1174</v>
      </c>
      <c r="R1190" s="48">
        <f t="shared" ca="1" si="150"/>
        <v>0.35</v>
      </c>
      <c r="S1190">
        <f t="shared" ca="1" si="151"/>
        <v>190.35645543376378</v>
      </c>
      <c r="T1190" s="61">
        <f t="shared" ca="1" si="145"/>
        <v>16800</v>
      </c>
      <c r="U1190" s="61">
        <f t="shared" ca="1" si="146"/>
        <v>16985.356825557166</v>
      </c>
      <c r="V1190" s="39">
        <f t="shared" ca="1" si="147"/>
        <v>0.11174576858919189</v>
      </c>
      <c r="W1190" s="48">
        <f t="shared" ca="1" si="148"/>
        <v>1.3613241121090462</v>
      </c>
    </row>
    <row r="1191" spans="17:23" x14ac:dyDescent="0.2">
      <c r="Q1191">
        <f t="shared" si="149"/>
        <v>1175</v>
      </c>
      <c r="R1191" s="48">
        <f t="shared" ca="1" si="150"/>
        <v>0.4</v>
      </c>
      <c r="S1191">
        <f t="shared" ca="1" si="151"/>
        <v>182.06753369762527</v>
      </c>
      <c r="T1191" s="61">
        <f t="shared" ca="1" si="145"/>
        <v>19200</v>
      </c>
      <c r="U1191" s="61">
        <f t="shared" ca="1" si="146"/>
        <v>15392.416174860127</v>
      </c>
      <c r="V1191" s="39">
        <f t="shared" ca="1" si="147"/>
        <v>0.10126589588723768</v>
      </c>
      <c r="W1191" s="48">
        <f t="shared" ca="1" si="148"/>
        <v>1.1867151258914368</v>
      </c>
    </row>
    <row r="1192" spans="17:23" x14ac:dyDescent="0.2">
      <c r="Q1192">
        <f t="shared" si="149"/>
        <v>1176</v>
      </c>
      <c r="R1192" s="48">
        <f t="shared" ca="1" si="150"/>
        <v>0.5</v>
      </c>
      <c r="S1192">
        <f t="shared" ca="1" si="151"/>
        <v>207.656299943368</v>
      </c>
      <c r="T1192" s="61">
        <f t="shared" ca="1" si="145"/>
        <v>24000</v>
      </c>
      <c r="U1192" s="61">
        <f t="shared" ca="1" si="146"/>
        <v>31062.519977347198</v>
      </c>
      <c r="V1192" s="39">
        <f t="shared" ca="1" si="147"/>
        <v>0.20435868406149471</v>
      </c>
      <c r="W1192" s="48">
        <f t="shared" ca="1" si="148"/>
        <v>3.5187639967003861</v>
      </c>
    </row>
    <row r="1193" spans="17:23" x14ac:dyDescent="0.2">
      <c r="Q1193">
        <f t="shared" si="149"/>
        <v>1177</v>
      </c>
      <c r="R1193" s="48">
        <f t="shared" ca="1" si="150"/>
        <v>0.3</v>
      </c>
      <c r="S1193">
        <f t="shared" ca="1" si="151"/>
        <v>223.29084068257208</v>
      </c>
      <c r="T1193" s="61">
        <f t="shared" ca="1" si="145"/>
        <v>14400</v>
      </c>
      <c r="U1193" s="61">
        <f t="shared" ca="1" si="146"/>
        <v>33042.870782240367</v>
      </c>
      <c r="V1193" s="39">
        <f t="shared" ca="1" si="147"/>
        <v>0.21738730777789714</v>
      </c>
      <c r="W1193" s="48">
        <f t="shared" ca="1" si="148"/>
        <v>3.9308551199957451</v>
      </c>
    </row>
    <row r="1194" spans="17:23" x14ac:dyDescent="0.2">
      <c r="Q1194">
        <f t="shared" si="149"/>
        <v>1178</v>
      </c>
      <c r="R1194" s="48">
        <f t="shared" ca="1" si="150"/>
        <v>0.4</v>
      </c>
      <c r="S1194">
        <f t="shared" ca="1" si="151"/>
        <v>174.95402126113359</v>
      </c>
      <c r="T1194" s="61">
        <f t="shared" ca="1" si="145"/>
        <v>19200</v>
      </c>
      <c r="U1194" s="61">
        <f t="shared" ca="1" si="146"/>
        <v>11977.930205344124</v>
      </c>
      <c r="V1194" s="39">
        <f t="shared" ca="1" si="147"/>
        <v>7.880217240357977E-2</v>
      </c>
      <c r="W1194" s="48">
        <f t="shared" ca="1" si="148"/>
        <v>0.85009785658176895</v>
      </c>
    </row>
    <row r="1195" spans="17:23" x14ac:dyDescent="0.2">
      <c r="Q1195">
        <f t="shared" si="149"/>
        <v>1179</v>
      </c>
      <c r="R1195" s="48">
        <f t="shared" ca="1" si="150"/>
        <v>0.4</v>
      </c>
      <c r="S1195">
        <f t="shared" ca="1" si="151"/>
        <v>190.2510869797535</v>
      </c>
      <c r="T1195" s="61">
        <f t="shared" ca="1" si="145"/>
        <v>19200</v>
      </c>
      <c r="U1195" s="61">
        <f t="shared" ca="1" si="146"/>
        <v>19320.521750281678</v>
      </c>
      <c r="V1195" s="39">
        <f t="shared" ca="1" si="147"/>
        <v>0.12710869572553735</v>
      </c>
      <c r="W1195" s="48">
        <f t="shared" ca="1" si="148"/>
        <v>1.6393706384469802</v>
      </c>
    </row>
    <row r="1196" spans="17:23" x14ac:dyDescent="0.2">
      <c r="Q1196">
        <f t="shared" si="149"/>
        <v>1180</v>
      </c>
      <c r="R1196" s="48">
        <f t="shared" ca="1" si="150"/>
        <v>0.3</v>
      </c>
      <c r="S1196">
        <f t="shared" ca="1" si="151"/>
        <v>200.21689104710867</v>
      </c>
      <c r="T1196" s="61">
        <f t="shared" ca="1" si="145"/>
        <v>14400</v>
      </c>
      <c r="U1196" s="61">
        <f t="shared" ca="1" si="146"/>
        <v>20121.458986380858</v>
      </c>
      <c r="V1196" s="39">
        <f t="shared" ca="1" si="147"/>
        <v>0.1323780196472425</v>
      </c>
      <c r="W1196" s="48">
        <f t="shared" ca="1" si="148"/>
        <v>1.7411354364005112</v>
      </c>
    </row>
    <row r="1197" spans="17:23" x14ac:dyDescent="0.2">
      <c r="Q1197">
        <f t="shared" si="149"/>
        <v>1181</v>
      </c>
      <c r="R1197" s="48">
        <f t="shared" ca="1" si="150"/>
        <v>0.4</v>
      </c>
      <c r="S1197">
        <f t="shared" ca="1" si="151"/>
        <v>179.02245553566598</v>
      </c>
      <c r="T1197" s="61">
        <f t="shared" ca="1" si="145"/>
        <v>19200</v>
      </c>
      <c r="U1197" s="61">
        <f t="shared" ca="1" si="146"/>
        <v>13930.778657119672</v>
      </c>
      <c r="V1197" s="39">
        <f t="shared" ca="1" si="147"/>
        <v>9.1649859586313637E-2</v>
      </c>
      <c r="W1197" s="48">
        <f t="shared" ca="1" si="148"/>
        <v>1.0365655391712236</v>
      </c>
    </row>
    <row r="1198" spans="17:23" x14ac:dyDescent="0.2">
      <c r="Q1198">
        <f t="shared" si="149"/>
        <v>1182</v>
      </c>
      <c r="R1198" s="48">
        <f t="shared" ca="1" si="150"/>
        <v>0.3</v>
      </c>
      <c r="S1198">
        <f t="shared" ca="1" si="151"/>
        <v>211.94684383660294</v>
      </c>
      <c r="T1198" s="61">
        <f t="shared" ca="1" si="145"/>
        <v>14400</v>
      </c>
      <c r="U1198" s="61">
        <f t="shared" ca="1" si="146"/>
        <v>26690.232548497646</v>
      </c>
      <c r="V1198" s="39">
        <f t="shared" ca="1" si="147"/>
        <v>0.17559363518748453</v>
      </c>
      <c r="W1198" s="48">
        <f t="shared" ca="1" si="148"/>
        <v>2.714190433852627</v>
      </c>
    </row>
    <row r="1199" spans="17:23" x14ac:dyDescent="0.2">
      <c r="Q1199">
        <f t="shared" si="149"/>
        <v>1183</v>
      </c>
      <c r="R1199" s="48">
        <f t="shared" ca="1" si="150"/>
        <v>0.45</v>
      </c>
      <c r="S1199">
        <f t="shared" ca="1" si="151"/>
        <v>160.81963088458642</v>
      </c>
      <c r="T1199" s="61">
        <f t="shared" ca="1" si="145"/>
        <v>21600</v>
      </c>
      <c r="U1199" s="61">
        <f t="shared" ca="1" si="146"/>
        <v>8760.6375892180222</v>
      </c>
      <c r="V1199" s="39">
        <f t="shared" ca="1" si="147"/>
        <v>5.7635773613276459E-2</v>
      </c>
      <c r="W1199" s="48">
        <f t="shared" ca="1" si="148"/>
        <v>0.57540808835448898</v>
      </c>
    </row>
    <row r="1200" spans="17:23" x14ac:dyDescent="0.2">
      <c r="Q1200">
        <f t="shared" si="149"/>
        <v>1184</v>
      </c>
      <c r="R1200" s="48">
        <f t="shared" ca="1" si="150"/>
        <v>0.3</v>
      </c>
      <c r="S1200">
        <f t="shared" ca="1" si="151"/>
        <v>165.26436033009017</v>
      </c>
      <c r="T1200" s="61">
        <f t="shared" ca="1" si="145"/>
        <v>14400</v>
      </c>
      <c r="U1200" s="61">
        <f t="shared" ca="1" si="146"/>
        <v>548.04178485049488</v>
      </c>
      <c r="V1200" s="39">
        <f t="shared" ca="1" si="147"/>
        <v>3.6055380582269399E-3</v>
      </c>
      <c r="W1200" s="48">
        <f t="shared" ca="1" si="148"/>
        <v>2.9622596936317303E-2</v>
      </c>
    </row>
    <row r="1201" spans="17:23" x14ac:dyDescent="0.2">
      <c r="Q1201">
        <f t="shared" si="149"/>
        <v>1185</v>
      </c>
      <c r="R1201" s="48">
        <f t="shared" ca="1" si="150"/>
        <v>0.4</v>
      </c>
      <c r="S1201">
        <f t="shared" ca="1" si="151"/>
        <v>199.17347102690837</v>
      </c>
      <c r="T1201" s="61">
        <f t="shared" ca="1" si="145"/>
        <v>19200</v>
      </c>
      <c r="U1201" s="61">
        <f t="shared" ca="1" si="146"/>
        <v>23603.266092916019</v>
      </c>
      <c r="V1201" s="39">
        <f t="shared" ca="1" si="147"/>
        <v>0.15528464534813172</v>
      </c>
      <c r="W1201" s="48">
        <f t="shared" ca="1" si="148"/>
        <v>2.2246119172312913</v>
      </c>
    </row>
    <row r="1202" spans="17:23" x14ac:dyDescent="0.2">
      <c r="Q1202">
        <f t="shared" si="149"/>
        <v>1186</v>
      </c>
      <c r="R1202" s="48">
        <f t="shared" ca="1" si="150"/>
        <v>0.35</v>
      </c>
      <c r="S1202">
        <f t="shared" ca="1" si="151"/>
        <v>188.11988514759346</v>
      </c>
      <c r="T1202" s="61">
        <f t="shared" ca="1" si="145"/>
        <v>16800</v>
      </c>
      <c r="U1202" s="61">
        <f t="shared" ca="1" si="146"/>
        <v>15822.340276748602</v>
      </c>
      <c r="V1202" s="39">
        <f t="shared" ca="1" si="147"/>
        <v>0.10409434392597765</v>
      </c>
      <c r="W1202" s="48">
        <f t="shared" ca="1" si="148"/>
        <v>1.2326875240205322</v>
      </c>
    </row>
    <row r="1203" spans="17:23" x14ac:dyDescent="0.2">
      <c r="Q1203">
        <f t="shared" si="149"/>
        <v>1187</v>
      </c>
      <c r="R1203" s="48">
        <f t="shared" ca="1" si="150"/>
        <v>0.5</v>
      </c>
      <c r="S1203">
        <f t="shared" ca="1" si="151"/>
        <v>170.5687709022171</v>
      </c>
      <c r="T1203" s="61">
        <f t="shared" ca="1" si="145"/>
        <v>24000</v>
      </c>
      <c r="U1203" s="61">
        <f t="shared" ca="1" si="146"/>
        <v>16227.508360886839</v>
      </c>
      <c r="V1203" s="39">
        <f t="shared" ca="1" si="147"/>
        <v>0.1067599234268871</v>
      </c>
      <c r="W1203" s="48">
        <f t="shared" ca="1" si="148"/>
        <v>1.2767860513772389</v>
      </c>
    </row>
    <row r="1204" spans="17:23" x14ac:dyDescent="0.2">
      <c r="Q1204">
        <f t="shared" si="149"/>
        <v>1188</v>
      </c>
      <c r="R1204" s="48">
        <f t="shared" ca="1" si="150"/>
        <v>0.217</v>
      </c>
      <c r="S1204">
        <f t="shared" ca="1" si="151"/>
        <v>172.97357457890939</v>
      </c>
      <c r="T1204" s="61">
        <f t="shared" ca="1" si="145"/>
        <v>10416</v>
      </c>
      <c r="U1204" s="61">
        <f t="shared" ca="1" si="146"/>
        <v>-249.35288377115648</v>
      </c>
      <c r="V1204" s="39">
        <f t="shared" ca="1" si="147"/>
        <v>-1.6404794984944506E-3</v>
      </c>
      <c r="W1204" s="48">
        <f t="shared" ca="1" si="148"/>
        <v>-1.3228758202663227E-2</v>
      </c>
    </row>
    <row r="1205" spans="17:23" x14ac:dyDescent="0.2">
      <c r="Q1205">
        <f t="shared" si="149"/>
        <v>1189</v>
      </c>
      <c r="R1205" s="48">
        <f t="shared" ca="1" si="150"/>
        <v>0.3</v>
      </c>
      <c r="S1205">
        <f t="shared" ca="1" si="151"/>
        <v>185.98855274874907</v>
      </c>
      <c r="T1205" s="61">
        <f t="shared" ca="1" si="145"/>
        <v>14400</v>
      </c>
      <c r="U1205" s="61">
        <f t="shared" ca="1" si="146"/>
        <v>12153.589539299481</v>
      </c>
      <c r="V1205" s="39">
        <f t="shared" ca="1" si="147"/>
        <v>7.9957825916443959E-2</v>
      </c>
      <c r="W1205" s="48">
        <f t="shared" ca="1" si="148"/>
        <v>0.86623458541670373</v>
      </c>
    </row>
    <row r="1206" spans="17:23" x14ac:dyDescent="0.2">
      <c r="Q1206">
        <f t="shared" si="149"/>
        <v>1190</v>
      </c>
      <c r="R1206" s="48">
        <f t="shared" ca="1" si="150"/>
        <v>0.217</v>
      </c>
      <c r="S1206">
        <f t="shared" ca="1" si="151"/>
        <v>203.84605758499225</v>
      </c>
      <c r="T1206" s="61">
        <f t="shared" ca="1" si="145"/>
        <v>10416</v>
      </c>
      <c r="U1206" s="61">
        <f t="shared" ca="1" si="146"/>
        <v>19089.170471239144</v>
      </c>
      <c r="V1206" s="39">
        <f t="shared" ca="1" si="147"/>
        <v>0.12558664783709964</v>
      </c>
      <c r="W1206" s="48">
        <f t="shared" ca="1" si="148"/>
        <v>1.6105993872779232</v>
      </c>
    </row>
    <row r="1207" spans="17:23" x14ac:dyDescent="0.2">
      <c r="Q1207">
        <f t="shared" si="149"/>
        <v>1191</v>
      </c>
      <c r="R1207" s="48">
        <f t="shared" ca="1" si="150"/>
        <v>0.217</v>
      </c>
      <c r="S1207">
        <f t="shared" ca="1" si="151"/>
        <v>188.07199789794871</v>
      </c>
      <c r="T1207" s="61">
        <f t="shared" ca="1" si="145"/>
        <v>10416</v>
      </c>
      <c r="U1207" s="61">
        <f t="shared" ca="1" si="146"/>
        <v>9208.2994832750683</v>
      </c>
      <c r="V1207" s="39">
        <f t="shared" ca="1" si="147"/>
        <v>6.0580917653125448E-2</v>
      </c>
      <c r="W1207" s="48">
        <f t="shared" ca="1" si="148"/>
        <v>0.61134550523209152</v>
      </c>
    </row>
    <row r="1208" spans="17:23" x14ac:dyDescent="0.2">
      <c r="Q1208">
        <f t="shared" si="149"/>
        <v>1192</v>
      </c>
      <c r="R1208" s="48">
        <f t="shared" ca="1" si="150"/>
        <v>0.35</v>
      </c>
      <c r="S1208">
        <f t="shared" ca="1" si="151"/>
        <v>226.26417701790459</v>
      </c>
      <c r="T1208" s="61">
        <f t="shared" ca="1" si="145"/>
        <v>16800</v>
      </c>
      <c r="U1208" s="61">
        <f t="shared" ca="1" si="146"/>
        <v>35657.37204931039</v>
      </c>
      <c r="V1208" s="39">
        <f t="shared" ca="1" si="147"/>
        <v>0.234587974008621</v>
      </c>
      <c r="W1208" s="48">
        <f t="shared" ca="1" si="148"/>
        <v>4.5251675652868588</v>
      </c>
    </row>
    <row r="1209" spans="17:23" x14ac:dyDescent="0.2">
      <c r="Q1209">
        <f t="shared" si="149"/>
        <v>1193</v>
      </c>
      <c r="R1209" s="48">
        <f t="shared" ca="1" si="150"/>
        <v>0.4</v>
      </c>
      <c r="S1209">
        <f t="shared" ca="1" si="151"/>
        <v>172.2299747129241</v>
      </c>
      <c r="T1209" s="61">
        <f t="shared" ref="T1209:T1272" ca="1" si="152">($B$8-$B$7)*($E$6*R1209)</f>
        <v>19200</v>
      </c>
      <c r="U1209" s="61">
        <f t="shared" ref="U1209:U1272" ca="1" si="153">T1209+((S1209-$B$7)*($E$6*(1-R1209)))</f>
        <v>10670.38786220357</v>
      </c>
      <c r="V1209" s="39">
        <f t="shared" ref="V1209:V1272" ca="1" si="154">U1209/$E$4</f>
        <v>7.0199920146076122E-2</v>
      </c>
      <c r="W1209" s="48">
        <f t="shared" ref="W1209:W1272" ca="1" si="155">(1+V1209)^($J$29/$J$30)-1</f>
        <v>0.73377682373910158</v>
      </c>
    </row>
    <row r="1210" spans="17:23" x14ac:dyDescent="0.2">
      <c r="Q1210">
        <f t="shared" si="149"/>
        <v>1194</v>
      </c>
      <c r="R1210" s="48">
        <f t="shared" ca="1" si="150"/>
        <v>0.3</v>
      </c>
      <c r="S1210">
        <f t="shared" ca="1" si="151"/>
        <v>189.49121440550522</v>
      </c>
      <c r="T1210" s="61">
        <f t="shared" ca="1" si="152"/>
        <v>14400</v>
      </c>
      <c r="U1210" s="61">
        <f t="shared" ca="1" si="153"/>
        <v>14115.080067082923</v>
      </c>
      <c r="V1210" s="39">
        <f t="shared" ca="1" si="154"/>
        <v>9.2862368862387648E-2</v>
      </c>
      <c r="W1210" s="48">
        <f t="shared" ca="1" si="155"/>
        <v>1.0549858119380131</v>
      </c>
    </row>
    <row r="1211" spans="17:23" x14ac:dyDescent="0.2">
      <c r="Q1211">
        <f t="shared" si="149"/>
        <v>1195</v>
      </c>
      <c r="R1211" s="48">
        <f t="shared" ca="1" si="150"/>
        <v>0.35</v>
      </c>
      <c r="S1211">
        <f t="shared" ca="1" si="151"/>
        <v>148.93629291555908</v>
      </c>
      <c r="T1211" s="61">
        <f t="shared" ca="1" si="152"/>
        <v>16800</v>
      </c>
      <c r="U1211" s="61">
        <f t="shared" ca="1" si="153"/>
        <v>-4553.1276839092789</v>
      </c>
      <c r="V1211" s="39">
        <f t="shared" ca="1" si="154"/>
        <v>-2.9954787394139992E-2</v>
      </c>
      <c r="W1211" s="48">
        <f t="shared" ca="1" si="155"/>
        <v>-0.21860926910777545</v>
      </c>
    </row>
    <row r="1212" spans="17:23" x14ac:dyDescent="0.2">
      <c r="Q1212">
        <f t="shared" si="149"/>
        <v>1196</v>
      </c>
      <c r="R1212" s="48">
        <f t="shared" ca="1" si="150"/>
        <v>0.4</v>
      </c>
      <c r="S1212">
        <f t="shared" ca="1" si="151"/>
        <v>186.65408112233987</v>
      </c>
      <c r="T1212" s="61">
        <f t="shared" ca="1" si="152"/>
        <v>19200</v>
      </c>
      <c r="U1212" s="61">
        <f t="shared" ca="1" si="153"/>
        <v>17593.958938723139</v>
      </c>
      <c r="V1212" s="39">
        <f t="shared" ca="1" si="154"/>
        <v>0.11574972986002065</v>
      </c>
      <c r="W1212" s="48">
        <f t="shared" ca="1" si="155"/>
        <v>1.431193476963148</v>
      </c>
    </row>
    <row r="1213" spans="17:23" x14ac:dyDescent="0.2">
      <c r="Q1213">
        <f t="shared" si="149"/>
        <v>1197</v>
      </c>
      <c r="R1213" s="48">
        <f t="shared" ca="1" si="150"/>
        <v>0.45</v>
      </c>
      <c r="S1213">
        <f t="shared" ca="1" si="151"/>
        <v>191.97228875626959</v>
      </c>
      <c r="T1213" s="61">
        <f t="shared" ca="1" si="152"/>
        <v>21600</v>
      </c>
      <c r="U1213" s="61">
        <f t="shared" ca="1" si="153"/>
        <v>22467.807052758621</v>
      </c>
      <c r="V1213" s="39">
        <f t="shared" ca="1" si="154"/>
        <v>0.14781452008393831</v>
      </c>
      <c r="W1213" s="48">
        <f t="shared" ca="1" si="155"/>
        <v>2.0593286060788065</v>
      </c>
    </row>
    <row r="1214" spans="17:23" x14ac:dyDescent="0.2">
      <c r="Q1214">
        <f t="shared" si="149"/>
        <v>1198</v>
      </c>
      <c r="R1214" s="48">
        <f t="shared" ca="1" si="150"/>
        <v>0.4</v>
      </c>
      <c r="S1214">
        <f t="shared" ca="1" si="151"/>
        <v>182.93393111814876</v>
      </c>
      <c r="T1214" s="61">
        <f t="shared" ca="1" si="152"/>
        <v>19200</v>
      </c>
      <c r="U1214" s="61">
        <f t="shared" ca="1" si="153"/>
        <v>15808.286936711407</v>
      </c>
      <c r="V1214" s="39">
        <f t="shared" ca="1" si="154"/>
        <v>0.10400188774152241</v>
      </c>
      <c r="W1214" s="48">
        <f t="shared" ca="1" si="155"/>
        <v>1.231171490605</v>
      </c>
    </row>
    <row r="1215" spans="17:23" x14ac:dyDescent="0.2">
      <c r="Q1215">
        <f t="shared" si="149"/>
        <v>1199</v>
      </c>
      <c r="R1215" s="48">
        <f t="shared" ca="1" si="150"/>
        <v>0.217</v>
      </c>
      <c r="S1215">
        <f t="shared" ca="1" si="151"/>
        <v>205.73290434881534</v>
      </c>
      <c r="T1215" s="61">
        <f t="shared" ca="1" si="152"/>
        <v>10416</v>
      </c>
      <c r="U1215" s="61">
        <f t="shared" ca="1" si="153"/>
        <v>20271.091284097929</v>
      </c>
      <c r="V1215" s="39">
        <f t="shared" ca="1" si="154"/>
        <v>0.133362442658539</v>
      </c>
      <c r="W1215" s="48">
        <f t="shared" ca="1" si="155"/>
        <v>1.7605239213365973</v>
      </c>
    </row>
    <row r="1216" spans="17:23" x14ac:dyDescent="0.2">
      <c r="Q1216">
        <f t="shared" si="149"/>
        <v>1200</v>
      </c>
      <c r="R1216" s="48">
        <f t="shared" ca="1" si="150"/>
        <v>0.217</v>
      </c>
      <c r="S1216">
        <f t="shared" ca="1" si="151"/>
        <v>175.27052879248859</v>
      </c>
      <c r="T1216" s="61">
        <f t="shared" ca="1" si="152"/>
        <v>10416</v>
      </c>
      <c r="U1216" s="61">
        <f t="shared" ca="1" si="153"/>
        <v>1189.4592356148532</v>
      </c>
      <c r="V1216" s="39">
        <f t="shared" ca="1" si="154"/>
        <v>7.8253897079924549E-3</v>
      </c>
      <c r="W1216" s="48">
        <f t="shared" ca="1" si="155"/>
        <v>6.5267077304755894E-2</v>
      </c>
    </row>
    <row r="1217" spans="17:23" x14ac:dyDescent="0.2">
      <c r="Q1217">
        <f t="shared" si="149"/>
        <v>1201</v>
      </c>
      <c r="R1217" s="48">
        <f t="shared" ca="1" si="150"/>
        <v>0.3</v>
      </c>
      <c r="S1217">
        <f t="shared" ca="1" si="151"/>
        <v>167.22291986629281</v>
      </c>
      <c r="T1217" s="61">
        <f t="shared" ca="1" si="152"/>
        <v>14400</v>
      </c>
      <c r="U1217" s="61">
        <f t="shared" ca="1" si="153"/>
        <v>1644.8351251239746</v>
      </c>
      <c r="V1217" s="39">
        <f t="shared" ca="1" si="154"/>
        <v>1.0821283717920885E-2</v>
      </c>
      <c r="W1217" s="48">
        <f t="shared" ca="1" si="155"/>
        <v>9.1225227416590116E-2</v>
      </c>
    </row>
    <row r="1218" spans="17:23" x14ac:dyDescent="0.2">
      <c r="Q1218">
        <f t="shared" si="149"/>
        <v>1202</v>
      </c>
      <c r="R1218" s="48">
        <f t="shared" ca="1" si="150"/>
        <v>0.35</v>
      </c>
      <c r="S1218">
        <f t="shared" ca="1" si="151"/>
        <v>173.43150843319802</v>
      </c>
      <c r="T1218" s="61">
        <f t="shared" ca="1" si="152"/>
        <v>16800</v>
      </c>
      <c r="U1218" s="61">
        <f t="shared" ca="1" si="153"/>
        <v>8184.3843852629689</v>
      </c>
      <c r="V1218" s="39">
        <f t="shared" ca="1" si="154"/>
        <v>5.3844634113572161E-2</v>
      </c>
      <c r="W1218" s="48">
        <f t="shared" ca="1" si="155"/>
        <v>0.53018323892577213</v>
      </c>
    </row>
    <row r="1219" spans="17:23" x14ac:dyDescent="0.2">
      <c r="Q1219">
        <f t="shared" si="149"/>
        <v>1203</v>
      </c>
      <c r="R1219" s="48">
        <f t="shared" ca="1" si="150"/>
        <v>0.217</v>
      </c>
      <c r="S1219">
        <f t="shared" ca="1" si="151"/>
        <v>202.46081435974278</v>
      </c>
      <c r="T1219" s="61">
        <f t="shared" ca="1" si="152"/>
        <v>10416</v>
      </c>
      <c r="U1219" s="61">
        <f t="shared" ca="1" si="153"/>
        <v>18221.454114942881</v>
      </c>
      <c r="V1219" s="39">
        <f t="shared" ca="1" si="154"/>
        <v>0.11987798759830842</v>
      </c>
      <c r="W1219" s="48">
        <f t="shared" ca="1" si="155"/>
        <v>1.5051231347239957</v>
      </c>
    </row>
    <row r="1220" spans="17:23" x14ac:dyDescent="0.2">
      <c r="Q1220">
        <f t="shared" si="149"/>
        <v>1204</v>
      </c>
      <c r="R1220" s="48">
        <f t="shared" ca="1" si="150"/>
        <v>0.3</v>
      </c>
      <c r="S1220">
        <f t="shared" ca="1" si="151"/>
        <v>157.34775054079492</v>
      </c>
      <c r="T1220" s="61">
        <f t="shared" ca="1" si="152"/>
        <v>14400</v>
      </c>
      <c r="U1220" s="61">
        <f t="shared" ca="1" si="153"/>
        <v>-3885.2596971548446</v>
      </c>
      <c r="V1220" s="39">
        <f t="shared" ca="1" si="154"/>
        <v>-2.556091906022924E-2</v>
      </c>
      <c r="W1220" s="48">
        <f t="shared" ca="1" si="155"/>
        <v>-0.18943458501436672</v>
      </c>
    </row>
    <row r="1221" spans="17:23" x14ac:dyDescent="0.2">
      <c r="Q1221">
        <f t="shared" si="149"/>
        <v>1205</v>
      </c>
      <c r="R1221" s="48">
        <f t="shared" ca="1" si="150"/>
        <v>0.35</v>
      </c>
      <c r="S1221">
        <f t="shared" ca="1" si="151"/>
        <v>173.39468223191568</v>
      </c>
      <c r="T1221" s="61">
        <f t="shared" ca="1" si="152"/>
        <v>16800</v>
      </c>
      <c r="U1221" s="61">
        <f t="shared" ca="1" si="153"/>
        <v>8165.234760596155</v>
      </c>
      <c r="V1221" s="39">
        <f t="shared" ca="1" si="154"/>
        <v>5.3718649740764179E-2</v>
      </c>
      <c r="W1221" s="48">
        <f t="shared" ca="1" si="155"/>
        <v>0.52870010869731132</v>
      </c>
    </row>
    <row r="1222" spans="17:23" x14ac:dyDescent="0.2">
      <c r="Q1222">
        <f t="shared" si="149"/>
        <v>1206</v>
      </c>
      <c r="R1222" s="48">
        <f t="shared" ca="1" si="150"/>
        <v>0.4</v>
      </c>
      <c r="S1222">
        <f t="shared" ca="1" si="151"/>
        <v>179.0673994065792</v>
      </c>
      <c r="T1222" s="61">
        <f t="shared" ca="1" si="152"/>
        <v>19200</v>
      </c>
      <c r="U1222" s="61">
        <f t="shared" ca="1" si="153"/>
        <v>13952.351715158016</v>
      </c>
      <c r="V1222" s="39">
        <f t="shared" ca="1" si="154"/>
        <v>9.1791787599723798E-2</v>
      </c>
      <c r="W1222" s="48">
        <f t="shared" ca="1" si="155"/>
        <v>1.0387141821996138</v>
      </c>
    </row>
    <row r="1223" spans="17:23" x14ac:dyDescent="0.2">
      <c r="Q1223">
        <f t="shared" si="149"/>
        <v>1207</v>
      </c>
      <c r="R1223" s="48">
        <f t="shared" ca="1" si="150"/>
        <v>0.4</v>
      </c>
      <c r="S1223">
        <f t="shared" ca="1" si="151"/>
        <v>166.56156239180999</v>
      </c>
      <c r="T1223" s="61">
        <f t="shared" ca="1" si="152"/>
        <v>19200</v>
      </c>
      <c r="U1223" s="61">
        <f t="shared" ca="1" si="153"/>
        <v>7949.549948068794</v>
      </c>
      <c r="V1223" s="39">
        <f t="shared" ca="1" si="154"/>
        <v>5.2299670710978907E-2</v>
      </c>
      <c r="W1223" s="48">
        <f t="shared" ca="1" si="155"/>
        <v>0.51208224237094302</v>
      </c>
    </row>
    <row r="1224" spans="17:23" x14ac:dyDescent="0.2">
      <c r="Q1224">
        <f t="shared" si="149"/>
        <v>1208</v>
      </c>
      <c r="R1224" s="48">
        <f t="shared" ca="1" si="150"/>
        <v>0.35</v>
      </c>
      <c r="S1224">
        <f t="shared" ca="1" si="151"/>
        <v>189.72747317537554</v>
      </c>
      <c r="T1224" s="61">
        <f t="shared" ca="1" si="152"/>
        <v>16800</v>
      </c>
      <c r="U1224" s="61">
        <f t="shared" ca="1" si="153"/>
        <v>16658.286051195279</v>
      </c>
      <c r="V1224" s="39">
        <f t="shared" ca="1" si="154"/>
        <v>0.1095939871789163</v>
      </c>
      <c r="W1224" s="48">
        <f t="shared" ca="1" si="155"/>
        <v>1.3245077045955505</v>
      </c>
    </row>
    <row r="1225" spans="17:23" x14ac:dyDescent="0.2">
      <c r="Q1225">
        <f t="shared" si="149"/>
        <v>1209</v>
      </c>
      <c r="R1225" s="48">
        <f t="shared" ca="1" si="150"/>
        <v>0.3</v>
      </c>
      <c r="S1225">
        <f t="shared" ca="1" si="151"/>
        <v>191.59771988110859</v>
      </c>
      <c r="T1225" s="61">
        <f t="shared" ca="1" si="152"/>
        <v>14400</v>
      </c>
      <c r="U1225" s="61">
        <f t="shared" ca="1" si="153"/>
        <v>15294.72313342081</v>
      </c>
      <c r="V1225" s="39">
        <f t="shared" ca="1" si="154"/>
        <v>0.10062317850934743</v>
      </c>
      <c r="W1225" s="48">
        <f t="shared" ca="1" si="155"/>
        <v>1.1763851489552155</v>
      </c>
    </row>
    <row r="1226" spans="17:23" x14ac:dyDescent="0.2">
      <c r="Q1226">
        <f t="shared" si="149"/>
        <v>1210</v>
      </c>
      <c r="R1226" s="48">
        <f t="shared" ca="1" si="150"/>
        <v>0.45</v>
      </c>
      <c r="S1226">
        <f t="shared" ca="1" si="151"/>
        <v>194.4094369192571</v>
      </c>
      <c r="T1226" s="61">
        <f t="shared" ca="1" si="152"/>
        <v>21600</v>
      </c>
      <c r="U1226" s="61">
        <f t="shared" ca="1" si="153"/>
        <v>23540.152244473127</v>
      </c>
      <c r="V1226" s="39">
        <f t="shared" ca="1" si="154"/>
        <v>0.15486942266100742</v>
      </c>
      <c r="W1226" s="48">
        <f t="shared" ca="1" si="155"/>
        <v>2.2152234446520227</v>
      </c>
    </row>
    <row r="1227" spans="17:23" x14ac:dyDescent="0.2">
      <c r="Q1227">
        <f t="shared" si="149"/>
        <v>1211</v>
      </c>
      <c r="R1227" s="48">
        <f t="shared" ca="1" si="150"/>
        <v>0.35</v>
      </c>
      <c r="S1227">
        <f t="shared" ca="1" si="151"/>
        <v>216.42607876534882</v>
      </c>
      <c r="T1227" s="61">
        <f t="shared" ca="1" si="152"/>
        <v>16800</v>
      </c>
      <c r="U1227" s="61">
        <f t="shared" ca="1" si="153"/>
        <v>30541.560957981386</v>
      </c>
      <c r="V1227" s="39">
        <f t="shared" ca="1" si="154"/>
        <v>0.20093132209198281</v>
      </c>
      <c r="W1227" s="48">
        <f t="shared" ca="1" si="155"/>
        <v>3.4155085356903427</v>
      </c>
    </row>
    <row r="1228" spans="17:23" x14ac:dyDescent="0.2">
      <c r="Q1228">
        <f t="shared" si="149"/>
        <v>1212</v>
      </c>
      <c r="R1228" s="48">
        <f t="shared" ca="1" si="150"/>
        <v>0.45</v>
      </c>
      <c r="S1228">
        <f t="shared" ca="1" si="151"/>
        <v>167.83312159754365</v>
      </c>
      <c r="T1228" s="61">
        <f t="shared" ca="1" si="152"/>
        <v>21600</v>
      </c>
      <c r="U1228" s="61">
        <f t="shared" ca="1" si="153"/>
        <v>11846.573502919206</v>
      </c>
      <c r="V1228" s="39">
        <f t="shared" ca="1" si="154"/>
        <v>7.7937983571836872E-2</v>
      </c>
      <c r="W1228" s="48">
        <f t="shared" ca="1" si="155"/>
        <v>0.83811100365952074</v>
      </c>
    </row>
    <row r="1229" spans="17:23" x14ac:dyDescent="0.2">
      <c r="Q1229">
        <f t="shared" si="149"/>
        <v>1213</v>
      </c>
      <c r="R1229" s="48">
        <f t="shared" ca="1" si="150"/>
        <v>0.4</v>
      </c>
      <c r="S1229">
        <f t="shared" ca="1" si="151"/>
        <v>206.07568537617729</v>
      </c>
      <c r="T1229" s="61">
        <f t="shared" ca="1" si="152"/>
        <v>19200</v>
      </c>
      <c r="U1229" s="61">
        <f t="shared" ca="1" si="153"/>
        <v>26916.3289805651</v>
      </c>
      <c r="V1229" s="39">
        <f t="shared" ca="1" si="154"/>
        <v>0.17708111171424409</v>
      </c>
      <c r="W1229" s="48">
        <f t="shared" ca="1" si="155"/>
        <v>2.7524810075136639</v>
      </c>
    </row>
    <row r="1230" spans="17:23" x14ac:dyDescent="0.2">
      <c r="Q1230">
        <f t="shared" si="149"/>
        <v>1214</v>
      </c>
      <c r="R1230" s="48">
        <f t="shared" ca="1" si="150"/>
        <v>0.5</v>
      </c>
      <c r="S1230">
        <f t="shared" ca="1" si="151"/>
        <v>171.42891188018729</v>
      </c>
      <c r="T1230" s="61">
        <f t="shared" ca="1" si="152"/>
        <v>24000</v>
      </c>
      <c r="U1230" s="61">
        <f t="shared" ca="1" si="153"/>
        <v>16571.564752074915</v>
      </c>
      <c r="V1230" s="39">
        <f t="shared" ca="1" si="154"/>
        <v>0.10902345231628234</v>
      </c>
      <c r="W1230" s="48">
        <f t="shared" ca="1" si="155"/>
        <v>1.3148308200710361</v>
      </c>
    </row>
    <row r="1231" spans="17:23" x14ac:dyDescent="0.2">
      <c r="Q1231">
        <f t="shared" si="149"/>
        <v>1215</v>
      </c>
      <c r="R1231" s="48">
        <f t="shared" ca="1" si="150"/>
        <v>0.35</v>
      </c>
      <c r="S1231">
        <f t="shared" ca="1" si="151"/>
        <v>194.40444951395833</v>
      </c>
      <c r="T1231" s="61">
        <f t="shared" ca="1" si="152"/>
        <v>16800</v>
      </c>
      <c r="U1231" s="61">
        <f t="shared" ca="1" si="153"/>
        <v>19090.313747258329</v>
      </c>
      <c r="V1231" s="39">
        <f t="shared" ca="1" si="154"/>
        <v>0.12559416938985743</v>
      </c>
      <c r="W1231" s="48">
        <f t="shared" ca="1" si="155"/>
        <v>1.6107408882666401</v>
      </c>
    </row>
    <row r="1232" spans="17:23" x14ac:dyDescent="0.2">
      <c r="Q1232">
        <f t="shared" si="149"/>
        <v>1216</v>
      </c>
      <c r="R1232" s="48">
        <f t="shared" ca="1" si="150"/>
        <v>0.4</v>
      </c>
      <c r="S1232">
        <f t="shared" ca="1" si="151"/>
        <v>193.60700655752322</v>
      </c>
      <c r="T1232" s="61">
        <f t="shared" ca="1" si="152"/>
        <v>19200</v>
      </c>
      <c r="U1232" s="61">
        <f t="shared" ca="1" si="153"/>
        <v>20931.363147611148</v>
      </c>
      <c r="V1232" s="39">
        <f t="shared" ca="1" si="154"/>
        <v>0.13770633649744177</v>
      </c>
      <c r="W1232" s="48">
        <f t="shared" ca="1" si="155"/>
        <v>1.8475213599408473</v>
      </c>
    </row>
    <row r="1233" spans="17:23" x14ac:dyDescent="0.2">
      <c r="Q1233">
        <f t="shared" si="149"/>
        <v>1217</v>
      </c>
      <c r="R1233" s="48">
        <f t="shared" ca="1" si="150"/>
        <v>0.3</v>
      </c>
      <c r="S1233">
        <f t="shared" ca="1" si="151"/>
        <v>192.77154462833906</v>
      </c>
      <c r="T1233" s="61">
        <f t="shared" ca="1" si="152"/>
        <v>14400</v>
      </c>
      <c r="U1233" s="61">
        <f t="shared" ca="1" si="153"/>
        <v>15952.064991869873</v>
      </c>
      <c r="V1233" s="39">
        <f t="shared" ca="1" si="154"/>
        <v>0.1049477959991439</v>
      </c>
      <c r="W1233" s="48">
        <f t="shared" ca="1" si="155"/>
        <v>1.2467245500127229</v>
      </c>
    </row>
    <row r="1234" spans="17:23" x14ac:dyDescent="0.2">
      <c r="Q1234">
        <f t="shared" si="149"/>
        <v>1218</v>
      </c>
      <c r="R1234" s="48">
        <f t="shared" ca="1" si="150"/>
        <v>0.45</v>
      </c>
      <c r="S1234">
        <f t="shared" ca="1" si="151"/>
        <v>194.46778021028106</v>
      </c>
      <c r="T1234" s="61">
        <f t="shared" ca="1" si="152"/>
        <v>21600</v>
      </c>
      <c r="U1234" s="61">
        <f t="shared" ca="1" si="153"/>
        <v>23565.823292523666</v>
      </c>
      <c r="V1234" s="39">
        <f t="shared" ca="1" si="154"/>
        <v>0.15503831113502411</v>
      </c>
      <c r="W1234" s="48">
        <f t="shared" ca="1" si="155"/>
        <v>2.2190392346590913</v>
      </c>
    </row>
    <row r="1235" spans="17:23" x14ac:dyDescent="0.2">
      <c r="Q1235">
        <f t="shared" ref="Q1235:Q1298" si="156">Q1234+1</f>
        <v>1219</v>
      </c>
      <c r="R1235" s="48">
        <f t="shared" ref="R1235:R1298" ca="1" si="157">LOOKUP(RAND(),$U$6:$U$12,$S$6:$S$12)</f>
        <v>0.4</v>
      </c>
      <c r="S1235">
        <f t="shared" ref="S1235:S1298" ca="1" si="158">_xlfn.NORM.INV(RAND(),$Q$5,$Q$10)</f>
        <v>204.39859126648784</v>
      </c>
      <c r="T1235" s="61">
        <f t="shared" ca="1" si="152"/>
        <v>19200</v>
      </c>
      <c r="U1235" s="61">
        <f t="shared" ca="1" si="153"/>
        <v>26111.323807914163</v>
      </c>
      <c r="V1235" s="39">
        <f t="shared" ca="1" si="154"/>
        <v>0.17178502505206686</v>
      </c>
      <c r="W1235" s="48">
        <f t="shared" ca="1" si="155"/>
        <v>2.6177064174576943</v>
      </c>
    </row>
    <row r="1236" spans="17:23" x14ac:dyDescent="0.2">
      <c r="Q1236">
        <f t="shared" si="156"/>
        <v>1220</v>
      </c>
      <c r="R1236" s="48">
        <f t="shared" ca="1" si="157"/>
        <v>0.35</v>
      </c>
      <c r="S1236">
        <f t="shared" ca="1" si="158"/>
        <v>207.82371290489903</v>
      </c>
      <c r="T1236" s="61">
        <f t="shared" ca="1" si="152"/>
        <v>16800</v>
      </c>
      <c r="U1236" s="61">
        <f t="shared" ca="1" si="153"/>
        <v>26068.330710547492</v>
      </c>
      <c r="V1236" s="39">
        <f t="shared" ca="1" si="154"/>
        <v>0.17150217572728613</v>
      </c>
      <c r="W1236" s="48">
        <f t="shared" ca="1" si="155"/>
        <v>2.6106294342835992</v>
      </c>
    </row>
    <row r="1237" spans="17:23" x14ac:dyDescent="0.2">
      <c r="Q1237">
        <f t="shared" si="156"/>
        <v>1221</v>
      </c>
      <c r="R1237" s="48">
        <f t="shared" ca="1" si="157"/>
        <v>0.35</v>
      </c>
      <c r="S1237">
        <f t="shared" ca="1" si="158"/>
        <v>198.11811139335055</v>
      </c>
      <c r="T1237" s="61">
        <f t="shared" ca="1" si="152"/>
        <v>16800</v>
      </c>
      <c r="U1237" s="61">
        <f t="shared" ca="1" si="153"/>
        <v>21021.417924542286</v>
      </c>
      <c r="V1237" s="39">
        <f t="shared" ca="1" si="154"/>
        <v>0.13829880213514661</v>
      </c>
      <c r="W1237" s="48">
        <f t="shared" ca="1" si="155"/>
        <v>1.8595712911285913</v>
      </c>
    </row>
    <row r="1238" spans="17:23" x14ac:dyDescent="0.2">
      <c r="Q1238">
        <f t="shared" si="156"/>
        <v>1222</v>
      </c>
      <c r="R1238" s="48">
        <f t="shared" ca="1" si="157"/>
        <v>0.3</v>
      </c>
      <c r="S1238">
        <f t="shared" ca="1" si="158"/>
        <v>217.58024970958184</v>
      </c>
      <c r="T1238" s="61">
        <f t="shared" ca="1" si="152"/>
        <v>14400</v>
      </c>
      <c r="U1238" s="61">
        <f t="shared" ca="1" si="153"/>
        <v>29844.939837365826</v>
      </c>
      <c r="V1238" s="39">
        <f t="shared" ca="1" si="154"/>
        <v>0.19634828840372254</v>
      </c>
      <c r="W1238" s="48">
        <f t="shared" ca="1" si="155"/>
        <v>3.2806715744132839</v>
      </c>
    </row>
    <row r="1239" spans="17:23" x14ac:dyDescent="0.2">
      <c r="Q1239">
        <f t="shared" si="156"/>
        <v>1223</v>
      </c>
      <c r="R1239" s="48">
        <f t="shared" ca="1" si="157"/>
        <v>0.3</v>
      </c>
      <c r="S1239">
        <f t="shared" ca="1" si="158"/>
        <v>198.44484122936055</v>
      </c>
      <c r="T1239" s="61">
        <f t="shared" ca="1" si="152"/>
        <v>14400</v>
      </c>
      <c r="U1239" s="61">
        <f t="shared" ca="1" si="153"/>
        <v>19129.111088441907</v>
      </c>
      <c r="V1239" s="39">
        <f t="shared" ca="1" si="154"/>
        <v>0.12584941505553887</v>
      </c>
      <c r="W1239" s="48">
        <f t="shared" ca="1" si="155"/>
        <v>1.6155467452764358</v>
      </c>
    </row>
    <row r="1240" spans="17:23" x14ac:dyDescent="0.2">
      <c r="Q1240">
        <f t="shared" si="156"/>
        <v>1224</v>
      </c>
      <c r="R1240" s="48">
        <f t="shared" ca="1" si="157"/>
        <v>0.3</v>
      </c>
      <c r="S1240">
        <f t="shared" ca="1" si="158"/>
        <v>184.66103489828998</v>
      </c>
      <c r="T1240" s="61">
        <f t="shared" ca="1" si="152"/>
        <v>14400</v>
      </c>
      <c r="U1240" s="61">
        <f t="shared" ca="1" si="153"/>
        <v>11410.179543042392</v>
      </c>
      <c r="V1240" s="39">
        <f t="shared" ca="1" si="154"/>
        <v>7.5066970677910475E-2</v>
      </c>
      <c r="W1240" s="48">
        <f t="shared" ca="1" si="155"/>
        <v>0.7987756057785631</v>
      </c>
    </row>
    <row r="1241" spans="17:23" x14ac:dyDescent="0.2">
      <c r="Q1241">
        <f t="shared" si="156"/>
        <v>1225</v>
      </c>
      <c r="R1241" s="48">
        <f t="shared" ca="1" si="157"/>
        <v>0.45</v>
      </c>
      <c r="S1241">
        <f t="shared" ca="1" si="158"/>
        <v>202.61149314664772</v>
      </c>
      <c r="T1241" s="61">
        <f t="shared" ca="1" si="152"/>
        <v>21600</v>
      </c>
      <c r="U1241" s="61">
        <f t="shared" ca="1" si="153"/>
        <v>27149.056984524996</v>
      </c>
      <c r="V1241" s="39">
        <f t="shared" ca="1" si="154"/>
        <v>0.17861221700345392</v>
      </c>
      <c r="W1241" s="48">
        <f t="shared" ca="1" si="155"/>
        <v>2.7922556954999793</v>
      </c>
    </row>
    <row r="1242" spans="17:23" x14ac:dyDescent="0.2">
      <c r="Q1242">
        <f t="shared" si="156"/>
        <v>1226</v>
      </c>
      <c r="R1242" s="48">
        <f t="shared" ca="1" si="157"/>
        <v>0.3</v>
      </c>
      <c r="S1242">
        <f t="shared" ca="1" si="158"/>
        <v>206.55150002185101</v>
      </c>
      <c r="T1242" s="61">
        <f t="shared" ca="1" si="152"/>
        <v>14400</v>
      </c>
      <c r="U1242" s="61">
        <f t="shared" ca="1" si="153"/>
        <v>23668.840012236567</v>
      </c>
      <c r="V1242" s="39">
        <f t="shared" ca="1" si="154"/>
        <v>0.15571605271208269</v>
      </c>
      <c r="W1242" s="48">
        <f t="shared" ca="1" si="155"/>
        <v>2.2343917861699554</v>
      </c>
    </row>
    <row r="1243" spans="17:23" x14ac:dyDescent="0.2">
      <c r="Q1243">
        <f t="shared" si="156"/>
        <v>1227</v>
      </c>
      <c r="R1243" s="48">
        <f t="shared" ca="1" si="157"/>
        <v>0.3</v>
      </c>
      <c r="S1243">
        <f t="shared" ca="1" si="158"/>
        <v>204.43500121062024</v>
      </c>
      <c r="T1243" s="61">
        <f t="shared" ca="1" si="152"/>
        <v>14400</v>
      </c>
      <c r="U1243" s="61">
        <f t="shared" ca="1" si="153"/>
        <v>22483.600677947335</v>
      </c>
      <c r="V1243" s="39">
        <f t="shared" ca="1" si="154"/>
        <v>0.14791842551281142</v>
      </c>
      <c r="W1243" s="48">
        <f t="shared" ca="1" si="155"/>
        <v>2.0615756563608971</v>
      </c>
    </row>
    <row r="1244" spans="17:23" x14ac:dyDescent="0.2">
      <c r="Q1244">
        <f t="shared" si="156"/>
        <v>1228</v>
      </c>
      <c r="R1244" s="48">
        <f t="shared" ca="1" si="157"/>
        <v>0.5</v>
      </c>
      <c r="S1244">
        <f t="shared" ca="1" si="158"/>
        <v>191.08442076463277</v>
      </c>
      <c r="T1244" s="61">
        <f t="shared" ca="1" si="152"/>
        <v>24000</v>
      </c>
      <c r="U1244" s="61">
        <f t="shared" ca="1" si="153"/>
        <v>24433.768305853107</v>
      </c>
      <c r="V1244" s="39">
        <f t="shared" ca="1" si="154"/>
        <v>0.16074847569640202</v>
      </c>
      <c r="W1244" s="48">
        <f t="shared" ca="1" si="155"/>
        <v>2.3504111154079821</v>
      </c>
    </row>
    <row r="1245" spans="17:23" x14ac:dyDescent="0.2">
      <c r="Q1245">
        <f t="shared" si="156"/>
        <v>1229</v>
      </c>
      <c r="R1245" s="48">
        <f t="shared" ca="1" si="157"/>
        <v>0.45</v>
      </c>
      <c r="S1245">
        <f t="shared" ca="1" si="158"/>
        <v>245.71499012164048</v>
      </c>
      <c r="T1245" s="61">
        <f t="shared" ca="1" si="152"/>
        <v>21600</v>
      </c>
      <c r="U1245" s="61">
        <f t="shared" ca="1" si="153"/>
        <v>46114.595653521814</v>
      </c>
      <c r="V1245" s="39">
        <f t="shared" ca="1" si="154"/>
        <v>0.30338549772053824</v>
      </c>
      <c r="W1245" s="48">
        <f t="shared" ca="1" si="155"/>
        <v>7.577662448086242</v>
      </c>
    </row>
    <row r="1246" spans="17:23" x14ac:dyDescent="0.2">
      <c r="Q1246">
        <f t="shared" si="156"/>
        <v>1230</v>
      </c>
      <c r="R1246" s="48">
        <f t="shared" ca="1" si="157"/>
        <v>0.217</v>
      </c>
      <c r="S1246">
        <f t="shared" ca="1" si="158"/>
        <v>198.98192195877476</v>
      </c>
      <c r="T1246" s="61">
        <f t="shared" ca="1" si="152"/>
        <v>10416</v>
      </c>
      <c r="U1246" s="61">
        <f t="shared" ca="1" si="153"/>
        <v>16042.275914976512</v>
      </c>
      <c r="V1246" s="39">
        <f t="shared" ca="1" si="154"/>
        <v>0.10554128891431916</v>
      </c>
      <c r="W1246" s="48">
        <f t="shared" ca="1" si="155"/>
        <v>1.2565314891227337</v>
      </c>
    </row>
    <row r="1247" spans="17:23" x14ac:dyDescent="0.2">
      <c r="Q1247">
        <f t="shared" si="156"/>
        <v>1231</v>
      </c>
      <c r="R1247" s="48">
        <f t="shared" ca="1" si="157"/>
        <v>0.45</v>
      </c>
      <c r="S1247">
        <f t="shared" ca="1" si="158"/>
        <v>158.20115917702293</v>
      </c>
      <c r="T1247" s="61">
        <f t="shared" ca="1" si="152"/>
        <v>21600</v>
      </c>
      <c r="U1247" s="61">
        <f t="shared" ca="1" si="153"/>
        <v>7608.5100378900879</v>
      </c>
      <c r="V1247" s="39">
        <f t="shared" ca="1" si="154"/>
        <v>5.0055987091382155E-2</v>
      </c>
      <c r="W1247" s="48">
        <f t="shared" ca="1" si="155"/>
        <v>0.48612925456825384</v>
      </c>
    </row>
    <row r="1248" spans="17:23" x14ac:dyDescent="0.2">
      <c r="Q1248">
        <f t="shared" si="156"/>
        <v>1232</v>
      </c>
      <c r="R1248" s="48">
        <f t="shared" ca="1" si="157"/>
        <v>0.35</v>
      </c>
      <c r="S1248">
        <f t="shared" ca="1" si="158"/>
        <v>175.67326019764266</v>
      </c>
      <c r="T1248" s="61">
        <f t="shared" ca="1" si="152"/>
        <v>16800</v>
      </c>
      <c r="U1248" s="61">
        <f t="shared" ca="1" si="153"/>
        <v>9350.0953027741853</v>
      </c>
      <c r="V1248" s="39">
        <f t="shared" ca="1" si="154"/>
        <v>6.1513784886672272E-2</v>
      </c>
      <c r="W1248" s="48">
        <f t="shared" ca="1" si="155"/>
        <v>0.62287747711471453</v>
      </c>
    </row>
    <row r="1249" spans="17:23" x14ac:dyDescent="0.2">
      <c r="Q1249">
        <f t="shared" si="156"/>
        <v>1233</v>
      </c>
      <c r="R1249" s="48">
        <f t="shared" ca="1" si="157"/>
        <v>0.35</v>
      </c>
      <c r="S1249">
        <f t="shared" ca="1" si="158"/>
        <v>188.92630086598757</v>
      </c>
      <c r="T1249" s="61">
        <f t="shared" ca="1" si="152"/>
        <v>16800</v>
      </c>
      <c r="U1249" s="61">
        <f t="shared" ca="1" si="153"/>
        <v>16241.676450313536</v>
      </c>
      <c r="V1249" s="39">
        <f t="shared" ca="1" si="154"/>
        <v>0.10685313454153643</v>
      </c>
      <c r="W1249" s="48">
        <f t="shared" ca="1" si="155"/>
        <v>1.2783418267807525</v>
      </c>
    </row>
    <row r="1250" spans="17:23" x14ac:dyDescent="0.2">
      <c r="Q1250">
        <f t="shared" si="156"/>
        <v>1234</v>
      </c>
      <c r="R1250" s="48">
        <f t="shared" ca="1" si="157"/>
        <v>0.35</v>
      </c>
      <c r="S1250">
        <f t="shared" ca="1" si="158"/>
        <v>180.13505989788362</v>
      </c>
      <c r="T1250" s="61">
        <f t="shared" ca="1" si="152"/>
        <v>16800</v>
      </c>
      <c r="U1250" s="61">
        <f t="shared" ca="1" si="153"/>
        <v>11670.231146899483</v>
      </c>
      <c r="V1250" s="39">
        <f t="shared" ca="1" si="154"/>
        <v>7.6777836492759752E-2</v>
      </c>
      <c r="W1250" s="48">
        <f t="shared" ca="1" si="155"/>
        <v>0.82212610446069756</v>
      </c>
    </row>
    <row r="1251" spans="17:23" x14ac:dyDescent="0.2">
      <c r="Q1251">
        <f t="shared" si="156"/>
        <v>1235</v>
      </c>
      <c r="R1251" s="48">
        <f t="shared" ca="1" si="157"/>
        <v>0.35</v>
      </c>
      <c r="S1251">
        <f t="shared" ca="1" si="158"/>
        <v>206.05401744652158</v>
      </c>
      <c r="T1251" s="61">
        <f t="shared" ca="1" si="152"/>
        <v>16800</v>
      </c>
      <c r="U1251" s="61">
        <f t="shared" ca="1" si="153"/>
        <v>25148.089072191222</v>
      </c>
      <c r="V1251" s="39">
        <f t="shared" ca="1" si="154"/>
        <v>0.16544795442231067</v>
      </c>
      <c r="W1251" s="48">
        <f t="shared" ca="1" si="155"/>
        <v>2.4620327327850879</v>
      </c>
    </row>
    <row r="1252" spans="17:23" x14ac:dyDescent="0.2">
      <c r="Q1252">
        <f t="shared" si="156"/>
        <v>1236</v>
      </c>
      <c r="R1252" s="48">
        <f t="shared" ca="1" si="157"/>
        <v>0.4</v>
      </c>
      <c r="S1252">
        <f t="shared" ca="1" si="158"/>
        <v>177.3765109639148</v>
      </c>
      <c r="T1252" s="61">
        <f t="shared" ca="1" si="152"/>
        <v>19200</v>
      </c>
      <c r="U1252" s="61">
        <f t="shared" ca="1" si="153"/>
        <v>13140.725262679101</v>
      </c>
      <c r="V1252" s="39">
        <f t="shared" ca="1" si="154"/>
        <v>8.6452139886046719E-2</v>
      </c>
      <c r="W1252" s="48">
        <f t="shared" ca="1" si="155"/>
        <v>0.95923249373177821</v>
      </c>
    </row>
    <row r="1253" spans="17:23" x14ac:dyDescent="0.2">
      <c r="Q1253">
        <f t="shared" si="156"/>
        <v>1237</v>
      </c>
      <c r="R1253" s="48">
        <f t="shared" ca="1" si="157"/>
        <v>0.3</v>
      </c>
      <c r="S1253">
        <f t="shared" ca="1" si="158"/>
        <v>186.39482156031315</v>
      </c>
      <c r="T1253" s="61">
        <f t="shared" ca="1" si="152"/>
        <v>14400</v>
      </c>
      <c r="U1253" s="61">
        <f t="shared" ca="1" si="153"/>
        <v>12381.100073775362</v>
      </c>
      <c r="V1253" s="39">
        <f t="shared" ca="1" si="154"/>
        <v>8.1454605748522119E-2</v>
      </c>
      <c r="W1253" s="48">
        <f t="shared" ca="1" si="155"/>
        <v>0.88731788703957926</v>
      </c>
    </row>
    <row r="1254" spans="17:23" x14ac:dyDescent="0.2">
      <c r="Q1254">
        <f t="shared" si="156"/>
        <v>1238</v>
      </c>
      <c r="R1254" s="48">
        <f t="shared" ca="1" si="157"/>
        <v>0.45</v>
      </c>
      <c r="S1254">
        <f t="shared" ca="1" si="158"/>
        <v>164.6119480143048</v>
      </c>
      <c r="T1254" s="61">
        <f t="shared" ca="1" si="152"/>
        <v>21600</v>
      </c>
      <c r="U1254" s="61">
        <f t="shared" ca="1" si="153"/>
        <v>10429.257126294111</v>
      </c>
      <c r="V1254" s="39">
        <f t="shared" ca="1" si="154"/>
        <v>6.8613533725619152E-2</v>
      </c>
      <c r="W1254" s="48">
        <f t="shared" ca="1" si="155"/>
        <v>0.7130406058558767</v>
      </c>
    </row>
    <row r="1255" spans="17:23" x14ac:dyDescent="0.2">
      <c r="Q1255">
        <f t="shared" si="156"/>
        <v>1239</v>
      </c>
      <c r="R1255" s="48">
        <f t="shared" ca="1" si="157"/>
        <v>0.35</v>
      </c>
      <c r="S1255">
        <f t="shared" ca="1" si="158"/>
        <v>173.15445243164049</v>
      </c>
      <c r="T1255" s="61">
        <f t="shared" ca="1" si="152"/>
        <v>16800</v>
      </c>
      <c r="U1255" s="61">
        <f t="shared" ca="1" si="153"/>
        <v>8040.3152644530564</v>
      </c>
      <c r="V1255" s="39">
        <f t="shared" ca="1" si="154"/>
        <v>5.2896810950349059E-2</v>
      </c>
      <c r="W1255" s="48">
        <f t="shared" ca="1" si="155"/>
        <v>0.51905603529167443</v>
      </c>
    </row>
    <row r="1256" spans="17:23" x14ac:dyDescent="0.2">
      <c r="Q1256">
        <f t="shared" si="156"/>
        <v>1240</v>
      </c>
      <c r="R1256" s="48">
        <f t="shared" ca="1" si="157"/>
        <v>0.3</v>
      </c>
      <c r="S1256">
        <f t="shared" ca="1" si="158"/>
        <v>181.28849282246938</v>
      </c>
      <c r="T1256" s="61">
        <f t="shared" ca="1" si="152"/>
        <v>14400</v>
      </c>
      <c r="U1256" s="61">
        <f t="shared" ca="1" si="153"/>
        <v>9521.5559805828525</v>
      </c>
      <c r="V1256" s="39">
        <f t="shared" ca="1" si="154"/>
        <v>6.2641815661729286E-2</v>
      </c>
      <c r="W1256" s="48">
        <f t="shared" ca="1" si="155"/>
        <v>0.63691862985772385</v>
      </c>
    </row>
    <row r="1257" spans="17:23" x14ac:dyDescent="0.2">
      <c r="Q1257">
        <f t="shared" si="156"/>
        <v>1241</v>
      </c>
      <c r="R1257" s="48">
        <f t="shared" ca="1" si="157"/>
        <v>0.4</v>
      </c>
      <c r="S1257">
        <f t="shared" ca="1" si="158"/>
        <v>189.67264131298171</v>
      </c>
      <c r="T1257" s="61">
        <f t="shared" ca="1" si="152"/>
        <v>19200</v>
      </c>
      <c r="U1257" s="61">
        <f t="shared" ca="1" si="153"/>
        <v>19042.867830231222</v>
      </c>
      <c r="V1257" s="39">
        <f t="shared" ca="1" si="154"/>
        <v>0.12528202519888962</v>
      </c>
      <c r="W1257" s="48">
        <f t="shared" ca="1" si="155"/>
        <v>1.6048742493819503</v>
      </c>
    </row>
    <row r="1258" spans="17:23" x14ac:dyDescent="0.2">
      <c r="Q1258">
        <f t="shared" si="156"/>
        <v>1242</v>
      </c>
      <c r="R1258" s="48">
        <f t="shared" ca="1" si="157"/>
        <v>0.3</v>
      </c>
      <c r="S1258">
        <f t="shared" ca="1" si="158"/>
        <v>163.94626451612064</v>
      </c>
      <c r="T1258" s="61">
        <f t="shared" ca="1" si="152"/>
        <v>14400</v>
      </c>
      <c r="U1258" s="61">
        <f t="shared" ca="1" si="153"/>
        <v>-190.09187097244467</v>
      </c>
      <c r="V1258" s="39">
        <f t="shared" ca="1" si="154"/>
        <v>-1.2506044142923992E-3</v>
      </c>
      <c r="W1258" s="48">
        <f t="shared" ca="1" si="155"/>
        <v>-1.0098800767518901E-2</v>
      </c>
    </row>
    <row r="1259" spans="17:23" x14ac:dyDescent="0.2">
      <c r="Q1259">
        <f t="shared" si="156"/>
        <v>1243</v>
      </c>
      <c r="R1259" s="48">
        <f t="shared" ca="1" si="157"/>
        <v>0.4</v>
      </c>
      <c r="S1259">
        <f t="shared" ca="1" si="158"/>
        <v>229.99967090726847</v>
      </c>
      <c r="T1259" s="61">
        <f t="shared" ca="1" si="152"/>
        <v>19200</v>
      </c>
      <c r="U1259" s="61">
        <f t="shared" ca="1" si="153"/>
        <v>38399.842035488866</v>
      </c>
      <c r="V1259" s="39">
        <f t="shared" ca="1" si="154"/>
        <v>0.25263053970716359</v>
      </c>
      <c r="W1259" s="48">
        <f t="shared" ca="1" si="155"/>
        <v>5.2151725180110899</v>
      </c>
    </row>
    <row r="1260" spans="17:23" x14ac:dyDescent="0.2">
      <c r="Q1260">
        <f t="shared" si="156"/>
        <v>1244</v>
      </c>
      <c r="R1260" s="48">
        <f t="shared" ca="1" si="157"/>
        <v>0.35</v>
      </c>
      <c r="S1260">
        <f t="shared" ca="1" si="158"/>
        <v>179.06993690848014</v>
      </c>
      <c r="T1260" s="61">
        <f t="shared" ca="1" si="152"/>
        <v>16800</v>
      </c>
      <c r="U1260" s="61">
        <f t="shared" ca="1" si="153"/>
        <v>11116.367192409674</v>
      </c>
      <c r="V1260" s="39">
        <f t="shared" ca="1" si="154"/>
        <v>7.3133994686905748E-2</v>
      </c>
      <c r="W1260" s="48">
        <f t="shared" ca="1" si="155"/>
        <v>0.7727096788082124</v>
      </c>
    </row>
    <row r="1261" spans="17:23" x14ac:dyDescent="0.2">
      <c r="Q1261">
        <f t="shared" si="156"/>
        <v>1245</v>
      </c>
      <c r="R1261" s="48">
        <f t="shared" ca="1" si="157"/>
        <v>0.217</v>
      </c>
      <c r="S1261">
        <f t="shared" ca="1" si="158"/>
        <v>194.71866646305489</v>
      </c>
      <c r="T1261" s="61">
        <f t="shared" ca="1" si="152"/>
        <v>10416</v>
      </c>
      <c r="U1261" s="61">
        <f t="shared" ca="1" si="153"/>
        <v>13371.77267245758</v>
      </c>
      <c r="V1261" s="39">
        <f t="shared" ca="1" si="154"/>
        <v>8.7972188634589346E-2</v>
      </c>
      <c r="W1261" s="48">
        <f t="shared" ca="1" si="155"/>
        <v>0.98157718952744299</v>
      </c>
    </row>
    <row r="1262" spans="17:23" x14ac:dyDescent="0.2">
      <c r="Q1262">
        <f t="shared" si="156"/>
        <v>1246</v>
      </c>
      <c r="R1262" s="48">
        <f t="shared" ca="1" si="157"/>
        <v>0.4</v>
      </c>
      <c r="S1262">
        <f t="shared" ca="1" si="158"/>
        <v>176.56969324044917</v>
      </c>
      <c r="T1262" s="61">
        <f t="shared" ca="1" si="152"/>
        <v>19200</v>
      </c>
      <c r="U1262" s="61">
        <f t="shared" ca="1" si="153"/>
        <v>12753.452755415601</v>
      </c>
      <c r="V1262" s="39">
        <f t="shared" ca="1" si="154"/>
        <v>8.3904294443523694E-2</v>
      </c>
      <c r="W1262" s="48">
        <f t="shared" ca="1" si="155"/>
        <v>0.92227437972684134</v>
      </c>
    </row>
    <row r="1263" spans="17:23" x14ac:dyDescent="0.2">
      <c r="Q1263">
        <f t="shared" si="156"/>
        <v>1247</v>
      </c>
      <c r="R1263" s="48">
        <f t="shared" ca="1" si="157"/>
        <v>0.3</v>
      </c>
      <c r="S1263">
        <f t="shared" ca="1" si="158"/>
        <v>204.77898227310297</v>
      </c>
      <c r="T1263" s="61">
        <f t="shared" ca="1" si="152"/>
        <v>14400</v>
      </c>
      <c r="U1263" s="61">
        <f t="shared" ca="1" si="153"/>
        <v>22676.230072937662</v>
      </c>
      <c r="V1263" s="39">
        <f t="shared" ca="1" si="154"/>
        <v>0.14918572416406356</v>
      </c>
      <c r="W1263" s="48">
        <f t="shared" ca="1" si="155"/>
        <v>2.0890988309913947</v>
      </c>
    </row>
    <row r="1264" spans="17:23" x14ac:dyDescent="0.2">
      <c r="Q1264">
        <f t="shared" si="156"/>
        <v>1248</v>
      </c>
      <c r="R1264" s="48">
        <f t="shared" ca="1" si="157"/>
        <v>0.4</v>
      </c>
      <c r="S1264">
        <f t="shared" ca="1" si="158"/>
        <v>219.67676258490238</v>
      </c>
      <c r="T1264" s="61">
        <f t="shared" ca="1" si="152"/>
        <v>19200</v>
      </c>
      <c r="U1264" s="61">
        <f t="shared" ca="1" si="153"/>
        <v>33444.846040753138</v>
      </c>
      <c r="V1264" s="39">
        <f t="shared" ca="1" si="154"/>
        <v>0.22003188184706013</v>
      </c>
      <c r="W1264" s="48">
        <f t="shared" ca="1" si="155"/>
        <v>4.018411111619085</v>
      </c>
    </row>
    <row r="1265" spans="17:23" x14ac:dyDescent="0.2">
      <c r="Q1265">
        <f t="shared" si="156"/>
        <v>1249</v>
      </c>
      <c r="R1265" s="48">
        <f t="shared" ca="1" si="157"/>
        <v>0.4</v>
      </c>
      <c r="S1265">
        <f t="shared" ca="1" si="158"/>
        <v>187.48184918893148</v>
      </c>
      <c r="T1265" s="61">
        <f t="shared" ca="1" si="152"/>
        <v>19200</v>
      </c>
      <c r="U1265" s="61">
        <f t="shared" ca="1" si="153"/>
        <v>17991.287610687108</v>
      </c>
      <c r="V1265" s="39">
        <f t="shared" ca="1" si="154"/>
        <v>0.11836373428083624</v>
      </c>
      <c r="W1265" s="48">
        <f t="shared" ca="1" si="155"/>
        <v>1.4777798906024251</v>
      </c>
    </row>
    <row r="1266" spans="17:23" x14ac:dyDescent="0.2">
      <c r="Q1266">
        <f t="shared" si="156"/>
        <v>1250</v>
      </c>
      <c r="R1266" s="48">
        <f t="shared" ca="1" si="157"/>
        <v>0.5</v>
      </c>
      <c r="S1266">
        <f t="shared" ca="1" si="158"/>
        <v>187.81052614530884</v>
      </c>
      <c r="T1266" s="61">
        <f t="shared" ca="1" si="152"/>
        <v>24000</v>
      </c>
      <c r="U1266" s="61">
        <f t="shared" ca="1" si="153"/>
        <v>23124.210458123536</v>
      </c>
      <c r="V1266" s="39">
        <f t="shared" ca="1" si="154"/>
        <v>0.15213296354028641</v>
      </c>
      <c r="W1266" s="48">
        <f t="shared" ca="1" si="155"/>
        <v>2.153947365055612</v>
      </c>
    </row>
    <row r="1267" spans="17:23" x14ac:dyDescent="0.2">
      <c r="Q1267">
        <f t="shared" si="156"/>
        <v>1251</v>
      </c>
      <c r="R1267" s="48">
        <f t="shared" ca="1" si="157"/>
        <v>0.35</v>
      </c>
      <c r="S1267">
        <f t="shared" ca="1" si="158"/>
        <v>185.69711304779963</v>
      </c>
      <c r="T1267" s="61">
        <f t="shared" ca="1" si="152"/>
        <v>16800</v>
      </c>
      <c r="U1267" s="61">
        <f t="shared" ca="1" si="153"/>
        <v>14562.498784855808</v>
      </c>
      <c r="V1267" s="39">
        <f t="shared" ca="1" si="154"/>
        <v>9.5805913058261902E-2</v>
      </c>
      <c r="W1267" s="48">
        <f t="shared" ca="1" si="155"/>
        <v>1.1003127346068848</v>
      </c>
    </row>
    <row r="1268" spans="17:23" x14ac:dyDescent="0.2">
      <c r="Q1268">
        <f t="shared" si="156"/>
        <v>1252</v>
      </c>
      <c r="R1268" s="48">
        <f t="shared" ca="1" si="157"/>
        <v>0.15</v>
      </c>
      <c r="S1268">
        <f t="shared" ca="1" si="158"/>
        <v>219.09689935268054</v>
      </c>
      <c r="T1268" s="61">
        <f t="shared" ca="1" si="152"/>
        <v>7200</v>
      </c>
      <c r="U1268" s="61">
        <f t="shared" ca="1" si="153"/>
        <v>26985.891559822765</v>
      </c>
      <c r="V1268" s="39">
        <f t="shared" ca="1" si="154"/>
        <v>0.17753876026199186</v>
      </c>
      <c r="W1268" s="48">
        <f t="shared" ca="1" si="155"/>
        <v>2.7643311884011026</v>
      </c>
    </row>
    <row r="1269" spans="17:23" x14ac:dyDescent="0.2">
      <c r="Q1269">
        <f t="shared" si="156"/>
        <v>1253</v>
      </c>
      <c r="R1269" s="48">
        <f t="shared" ca="1" si="157"/>
        <v>0.35</v>
      </c>
      <c r="S1269">
        <f t="shared" ca="1" si="158"/>
        <v>185.93814480162501</v>
      </c>
      <c r="T1269" s="61">
        <f t="shared" ca="1" si="152"/>
        <v>16800</v>
      </c>
      <c r="U1269" s="61">
        <f t="shared" ca="1" si="153"/>
        <v>14687.835296845007</v>
      </c>
      <c r="V1269" s="39">
        <f t="shared" ca="1" si="154"/>
        <v>9.6630495373980316E-2</v>
      </c>
      <c r="W1269" s="48">
        <f t="shared" ca="1" si="155"/>
        <v>1.1131663968059664</v>
      </c>
    </row>
    <row r="1270" spans="17:23" x14ac:dyDescent="0.2">
      <c r="Q1270">
        <f t="shared" si="156"/>
        <v>1254</v>
      </c>
      <c r="R1270" s="48">
        <f t="shared" ca="1" si="157"/>
        <v>0.45</v>
      </c>
      <c r="S1270">
        <f t="shared" ca="1" si="158"/>
        <v>198.78598243236979</v>
      </c>
      <c r="T1270" s="61">
        <f t="shared" ca="1" si="152"/>
        <v>21600</v>
      </c>
      <c r="U1270" s="61">
        <f t="shared" ca="1" si="153"/>
        <v>25465.83227024271</v>
      </c>
      <c r="V1270" s="39">
        <f t="shared" ca="1" si="154"/>
        <v>0.1675383701989652</v>
      </c>
      <c r="W1270" s="48">
        <f t="shared" ca="1" si="155"/>
        <v>2.5127227323680299</v>
      </c>
    </row>
    <row r="1271" spans="17:23" x14ac:dyDescent="0.2">
      <c r="Q1271">
        <f t="shared" si="156"/>
        <v>1255</v>
      </c>
      <c r="R1271" s="48">
        <f t="shared" ca="1" si="157"/>
        <v>0.3</v>
      </c>
      <c r="S1271">
        <f t="shared" ca="1" si="158"/>
        <v>190.58751437113912</v>
      </c>
      <c r="T1271" s="61">
        <f t="shared" ca="1" si="152"/>
        <v>14400</v>
      </c>
      <c r="U1271" s="61">
        <f t="shared" ca="1" si="153"/>
        <v>14729.008047837908</v>
      </c>
      <c r="V1271" s="39">
        <f t="shared" ca="1" si="154"/>
        <v>9.6901368735775706E-2</v>
      </c>
      <c r="W1271" s="48">
        <f t="shared" ca="1" si="155"/>
        <v>1.1174038163485496</v>
      </c>
    </row>
    <row r="1272" spans="17:23" x14ac:dyDescent="0.2">
      <c r="Q1272">
        <f t="shared" si="156"/>
        <v>1256</v>
      </c>
      <c r="R1272" s="48">
        <f t="shared" ca="1" si="157"/>
        <v>0.3</v>
      </c>
      <c r="S1272">
        <f t="shared" ca="1" si="158"/>
        <v>202.28300444417644</v>
      </c>
      <c r="T1272" s="61">
        <f t="shared" ca="1" si="152"/>
        <v>14400</v>
      </c>
      <c r="U1272" s="61">
        <f t="shared" ca="1" si="153"/>
        <v>21278.482488738809</v>
      </c>
      <c r="V1272" s="39">
        <f t="shared" ca="1" si="154"/>
        <v>0.13999001637328165</v>
      </c>
      <c r="W1272" s="48">
        <f t="shared" ca="1" si="155"/>
        <v>1.8942145487167839</v>
      </c>
    </row>
    <row r="1273" spans="17:23" x14ac:dyDescent="0.2">
      <c r="Q1273">
        <f t="shared" si="156"/>
        <v>1257</v>
      </c>
      <c r="R1273" s="48">
        <f t="shared" ca="1" si="157"/>
        <v>0.3</v>
      </c>
      <c r="S1273">
        <f t="shared" ca="1" si="158"/>
        <v>185.59596151827694</v>
      </c>
      <c r="T1273" s="61">
        <f t="shared" ref="T1273:T1336" ca="1" si="159">($B$8-$B$7)*($E$6*R1273)</f>
        <v>14400</v>
      </c>
      <c r="U1273" s="61">
        <f t="shared" ref="U1273:U1336" ca="1" si="160">T1273+((S1273-$B$7)*($E$6*(1-R1273)))</f>
        <v>11933.738450235085</v>
      </c>
      <c r="V1273" s="39">
        <f t="shared" ref="V1273:V1336" ca="1" si="161">U1273/$E$4</f>
        <v>7.8511437172599244E-2</v>
      </c>
      <c r="W1273" s="48">
        <f t="shared" ref="W1273:W1336" ca="1" si="162">(1+V1273)^($J$29/$J$30)-1</f>
        <v>0.84605754571193481</v>
      </c>
    </row>
    <row r="1274" spans="17:23" x14ac:dyDescent="0.2">
      <c r="Q1274">
        <f t="shared" si="156"/>
        <v>1258</v>
      </c>
      <c r="R1274" s="48">
        <f t="shared" ca="1" si="157"/>
        <v>0.217</v>
      </c>
      <c r="S1274">
        <f t="shared" ca="1" si="158"/>
        <v>189.80032082691019</v>
      </c>
      <c r="T1274" s="61">
        <f t="shared" ca="1" si="159"/>
        <v>10416</v>
      </c>
      <c r="U1274" s="61">
        <f t="shared" ca="1" si="160"/>
        <v>10290.920965976546</v>
      </c>
      <c r="V1274" s="39">
        <f t="shared" ca="1" si="161"/>
        <v>6.7703427407740435E-2</v>
      </c>
      <c r="W1274" s="48">
        <f t="shared" ca="1" si="162"/>
        <v>0.70124270765113184</v>
      </c>
    </row>
    <row r="1275" spans="17:23" x14ac:dyDescent="0.2">
      <c r="Q1275">
        <f t="shared" si="156"/>
        <v>1259</v>
      </c>
      <c r="R1275" s="48">
        <f t="shared" ca="1" si="157"/>
        <v>0.45</v>
      </c>
      <c r="S1275">
        <f t="shared" ca="1" si="158"/>
        <v>199.55771420443077</v>
      </c>
      <c r="T1275" s="61">
        <f t="shared" ca="1" si="159"/>
        <v>21600</v>
      </c>
      <c r="U1275" s="61">
        <f t="shared" ca="1" si="160"/>
        <v>25805.394249949539</v>
      </c>
      <c r="V1275" s="39">
        <f t="shared" ca="1" si="161"/>
        <v>0.16977233059177327</v>
      </c>
      <c r="W1275" s="48">
        <f t="shared" ca="1" si="162"/>
        <v>2.5676116380082687</v>
      </c>
    </row>
    <row r="1276" spans="17:23" x14ac:dyDescent="0.2">
      <c r="Q1276">
        <f t="shared" si="156"/>
        <v>1260</v>
      </c>
      <c r="R1276" s="48">
        <f t="shared" ca="1" si="157"/>
        <v>0.35</v>
      </c>
      <c r="S1276">
        <f t="shared" ca="1" si="158"/>
        <v>177.11992214217773</v>
      </c>
      <c r="T1276" s="61">
        <f t="shared" ca="1" si="159"/>
        <v>16800</v>
      </c>
      <c r="U1276" s="61">
        <f t="shared" ca="1" si="160"/>
        <v>10102.359513932419</v>
      </c>
      <c r="V1276" s="39">
        <f t="shared" ca="1" si="161"/>
        <v>6.6462891539029068E-2</v>
      </c>
      <c r="W1276" s="48">
        <f t="shared" ca="1" si="162"/>
        <v>0.68527613350727612</v>
      </c>
    </row>
    <row r="1277" spans="17:23" x14ac:dyDescent="0.2">
      <c r="Q1277">
        <f t="shared" si="156"/>
        <v>1261</v>
      </c>
      <c r="R1277" s="48">
        <f t="shared" ca="1" si="157"/>
        <v>0.35</v>
      </c>
      <c r="S1277">
        <f t="shared" ca="1" si="158"/>
        <v>174.89313385364559</v>
      </c>
      <c r="T1277" s="61">
        <f t="shared" ca="1" si="159"/>
        <v>16800</v>
      </c>
      <c r="U1277" s="61">
        <f t="shared" ca="1" si="160"/>
        <v>8944.4296038957091</v>
      </c>
      <c r="V1277" s="39">
        <f t="shared" ca="1" si="161"/>
        <v>5.884493160457703E-2</v>
      </c>
      <c r="W1277" s="48">
        <f t="shared" ca="1" si="162"/>
        <v>0.59007660656274696</v>
      </c>
    </row>
    <row r="1278" spans="17:23" x14ac:dyDescent="0.2">
      <c r="Q1278">
        <f t="shared" si="156"/>
        <v>1262</v>
      </c>
      <c r="R1278" s="48">
        <f t="shared" ca="1" si="157"/>
        <v>0.35</v>
      </c>
      <c r="S1278">
        <f t="shared" ca="1" si="158"/>
        <v>168.33281381450882</v>
      </c>
      <c r="T1278" s="61">
        <f t="shared" ca="1" si="159"/>
        <v>16800</v>
      </c>
      <c r="U1278" s="61">
        <f t="shared" ca="1" si="160"/>
        <v>5533.0631835445893</v>
      </c>
      <c r="V1278" s="39">
        <f t="shared" ca="1" si="161"/>
        <v>3.6401731470688085E-2</v>
      </c>
      <c r="W1278" s="48">
        <f t="shared" ca="1" si="162"/>
        <v>0.33644283423747812</v>
      </c>
    </row>
    <row r="1279" spans="17:23" x14ac:dyDescent="0.2">
      <c r="Q1279">
        <f t="shared" si="156"/>
        <v>1263</v>
      </c>
      <c r="R1279" s="48">
        <f t="shared" ca="1" si="157"/>
        <v>0.3</v>
      </c>
      <c r="S1279">
        <f t="shared" ca="1" si="158"/>
        <v>190.78924081660759</v>
      </c>
      <c r="T1279" s="61">
        <f t="shared" ca="1" si="159"/>
        <v>14400</v>
      </c>
      <c r="U1279" s="61">
        <f t="shared" ca="1" si="160"/>
        <v>14841.974857300249</v>
      </c>
      <c r="V1279" s="39">
        <f t="shared" ca="1" si="161"/>
        <v>9.7644571429606905E-2</v>
      </c>
      <c r="W1279" s="48">
        <f t="shared" ca="1" si="162"/>
        <v>1.1290684247346561</v>
      </c>
    </row>
    <row r="1280" spans="17:23" x14ac:dyDescent="0.2">
      <c r="Q1280">
        <f t="shared" si="156"/>
        <v>1264</v>
      </c>
      <c r="R1280" s="48">
        <f t="shared" ca="1" si="157"/>
        <v>0.4</v>
      </c>
      <c r="S1280">
        <f t="shared" ca="1" si="158"/>
        <v>168.23615354267204</v>
      </c>
      <c r="T1280" s="61">
        <f t="shared" ca="1" si="159"/>
        <v>19200</v>
      </c>
      <c r="U1280" s="61">
        <f t="shared" ca="1" si="160"/>
        <v>8753.3537004825812</v>
      </c>
      <c r="V1280" s="39">
        <f t="shared" ca="1" si="161"/>
        <v>5.758785329264856E-2</v>
      </c>
      <c r="W1280" s="48">
        <f t="shared" ca="1" si="162"/>
        <v>0.57482921035888168</v>
      </c>
    </row>
    <row r="1281" spans="17:23" x14ac:dyDescent="0.2">
      <c r="Q1281">
        <f t="shared" si="156"/>
        <v>1265</v>
      </c>
      <c r="R1281" s="48">
        <f t="shared" ca="1" si="157"/>
        <v>0.35</v>
      </c>
      <c r="S1281">
        <f t="shared" ca="1" si="158"/>
        <v>188.92532051613907</v>
      </c>
      <c r="T1281" s="61">
        <f t="shared" ca="1" si="159"/>
        <v>16800</v>
      </c>
      <c r="U1281" s="61">
        <f t="shared" ca="1" si="160"/>
        <v>16241.166668392314</v>
      </c>
      <c r="V1281" s="39">
        <f t="shared" ca="1" si="161"/>
        <v>0.10684978071310733</v>
      </c>
      <c r="W1281" s="48">
        <f t="shared" ca="1" si="162"/>
        <v>1.2782858322773398</v>
      </c>
    </row>
    <row r="1282" spans="17:23" x14ac:dyDescent="0.2">
      <c r="Q1282">
        <f t="shared" si="156"/>
        <v>1266</v>
      </c>
      <c r="R1282" s="48">
        <f t="shared" ca="1" si="157"/>
        <v>0.3</v>
      </c>
      <c r="S1282">
        <f t="shared" ca="1" si="158"/>
        <v>176.88758075859505</v>
      </c>
      <c r="T1282" s="61">
        <f t="shared" ca="1" si="159"/>
        <v>14400</v>
      </c>
      <c r="U1282" s="61">
        <f t="shared" ca="1" si="160"/>
        <v>7057.0452248132278</v>
      </c>
      <c r="V1282" s="39">
        <f t="shared" ca="1" si="161"/>
        <v>4.6427929110613338E-2</v>
      </c>
      <c r="W1282" s="48">
        <f t="shared" ca="1" si="162"/>
        <v>0.44498887739535631</v>
      </c>
    </row>
    <row r="1283" spans="17:23" x14ac:dyDescent="0.2">
      <c r="Q1283">
        <f t="shared" si="156"/>
        <v>1267</v>
      </c>
      <c r="R1283" s="48">
        <f t="shared" ca="1" si="157"/>
        <v>0.35</v>
      </c>
      <c r="S1283">
        <f t="shared" ca="1" si="158"/>
        <v>242.52028340916294</v>
      </c>
      <c r="T1283" s="61">
        <f t="shared" ca="1" si="159"/>
        <v>16800</v>
      </c>
      <c r="U1283" s="61">
        <f t="shared" ca="1" si="160"/>
        <v>44110.547372764733</v>
      </c>
      <c r="V1283" s="39">
        <f t="shared" ca="1" si="161"/>
        <v>0.29020096955766272</v>
      </c>
      <c r="W1283" s="48">
        <f t="shared" ca="1" si="162"/>
        <v>6.8986737154995916</v>
      </c>
    </row>
    <row r="1284" spans="17:23" x14ac:dyDescent="0.2">
      <c r="Q1284">
        <f t="shared" si="156"/>
        <v>1268</v>
      </c>
      <c r="R1284" s="48">
        <f t="shared" ca="1" si="157"/>
        <v>0.4</v>
      </c>
      <c r="S1284">
        <f t="shared" ca="1" si="158"/>
        <v>172.88535020319378</v>
      </c>
      <c r="T1284" s="61">
        <f t="shared" ca="1" si="159"/>
        <v>19200</v>
      </c>
      <c r="U1284" s="61">
        <f t="shared" ca="1" si="160"/>
        <v>10984.968097533016</v>
      </c>
      <c r="V1284" s="39">
        <f t="shared" ca="1" si="161"/>
        <v>7.2269526957454047E-2</v>
      </c>
      <c r="W1284" s="48">
        <f t="shared" ca="1" si="162"/>
        <v>0.76116001995457738</v>
      </c>
    </row>
    <row r="1285" spans="17:23" x14ac:dyDescent="0.2">
      <c r="Q1285">
        <f t="shared" si="156"/>
        <v>1269</v>
      </c>
      <c r="R1285" s="48">
        <f t="shared" ca="1" si="157"/>
        <v>0.4</v>
      </c>
      <c r="S1285">
        <f t="shared" ca="1" si="158"/>
        <v>192.20966950915547</v>
      </c>
      <c r="T1285" s="61">
        <f t="shared" ca="1" si="159"/>
        <v>19200</v>
      </c>
      <c r="U1285" s="61">
        <f t="shared" ca="1" si="160"/>
        <v>20260.641364394629</v>
      </c>
      <c r="V1285" s="39">
        <f t="shared" ca="1" si="161"/>
        <v>0.13329369318680676</v>
      </c>
      <c r="W1285" s="48">
        <f t="shared" ca="1" si="162"/>
        <v>1.7591659870709084</v>
      </c>
    </row>
    <row r="1286" spans="17:23" x14ac:dyDescent="0.2">
      <c r="Q1286">
        <f t="shared" si="156"/>
        <v>1270</v>
      </c>
      <c r="R1286" s="48">
        <f t="shared" ca="1" si="157"/>
        <v>0.3</v>
      </c>
      <c r="S1286">
        <f t="shared" ca="1" si="158"/>
        <v>217.33171143837265</v>
      </c>
      <c r="T1286" s="61">
        <f t="shared" ca="1" si="159"/>
        <v>14400</v>
      </c>
      <c r="U1286" s="61">
        <f t="shared" ca="1" si="160"/>
        <v>29705.758405488683</v>
      </c>
      <c r="V1286" s="39">
        <f t="shared" ca="1" si="161"/>
        <v>0.19543262108874135</v>
      </c>
      <c r="W1286" s="48">
        <f t="shared" ca="1" si="162"/>
        <v>3.2541688391733068</v>
      </c>
    </row>
    <row r="1287" spans="17:23" x14ac:dyDescent="0.2">
      <c r="Q1287">
        <f t="shared" si="156"/>
        <v>1271</v>
      </c>
      <c r="R1287" s="48">
        <f t="shared" ca="1" si="157"/>
        <v>0.45</v>
      </c>
      <c r="S1287">
        <f t="shared" ca="1" si="158"/>
        <v>186.62058443798819</v>
      </c>
      <c r="T1287" s="61">
        <f t="shared" ca="1" si="159"/>
        <v>21600</v>
      </c>
      <c r="U1287" s="61">
        <f t="shared" ca="1" si="160"/>
        <v>20113.057152714802</v>
      </c>
      <c r="V1287" s="39">
        <f t="shared" ca="1" si="161"/>
        <v>0.13232274442575528</v>
      </c>
      <c r="W1287" s="48">
        <f t="shared" ca="1" si="162"/>
        <v>1.7400503244891672</v>
      </c>
    </row>
    <row r="1288" spans="17:23" x14ac:dyDescent="0.2">
      <c r="Q1288">
        <f t="shared" si="156"/>
        <v>1272</v>
      </c>
      <c r="R1288" s="48">
        <f t="shared" ca="1" si="157"/>
        <v>0.5</v>
      </c>
      <c r="S1288">
        <f t="shared" ca="1" si="158"/>
        <v>197.43474558281272</v>
      </c>
      <c r="T1288" s="61">
        <f t="shared" ca="1" si="159"/>
        <v>24000</v>
      </c>
      <c r="U1288" s="61">
        <f t="shared" ca="1" si="160"/>
        <v>26973.898233125088</v>
      </c>
      <c r="V1288" s="39">
        <f t="shared" ca="1" si="161"/>
        <v>0.17745985679687559</v>
      </c>
      <c r="W1288" s="48">
        <f t="shared" ca="1" si="162"/>
        <v>2.7622857539168333</v>
      </c>
    </row>
    <row r="1289" spans="17:23" x14ac:dyDescent="0.2">
      <c r="Q1289">
        <f t="shared" si="156"/>
        <v>1273</v>
      </c>
      <c r="R1289" s="48">
        <f t="shared" ca="1" si="157"/>
        <v>0.35</v>
      </c>
      <c r="S1289">
        <f t="shared" ca="1" si="158"/>
        <v>195.51420151001997</v>
      </c>
      <c r="T1289" s="61">
        <f t="shared" ca="1" si="159"/>
        <v>16800</v>
      </c>
      <c r="U1289" s="61">
        <f t="shared" ca="1" si="160"/>
        <v>19667.384785210386</v>
      </c>
      <c r="V1289" s="39">
        <f t="shared" ca="1" si="161"/>
        <v>0.12939068937638412</v>
      </c>
      <c r="W1289" s="48">
        <f t="shared" ca="1" si="162"/>
        <v>1.6830279882939787</v>
      </c>
    </row>
    <row r="1290" spans="17:23" x14ac:dyDescent="0.2">
      <c r="Q1290">
        <f t="shared" si="156"/>
        <v>1274</v>
      </c>
      <c r="R1290" s="48">
        <f t="shared" ca="1" si="157"/>
        <v>0.35</v>
      </c>
      <c r="S1290">
        <f t="shared" ca="1" si="158"/>
        <v>171.80626907800405</v>
      </c>
      <c r="T1290" s="61">
        <f t="shared" ca="1" si="159"/>
        <v>16800</v>
      </c>
      <c r="U1290" s="61">
        <f t="shared" ca="1" si="160"/>
        <v>7339.2599205621063</v>
      </c>
      <c r="V1290" s="39">
        <f t="shared" ca="1" si="161"/>
        <v>4.8284604740540173E-2</v>
      </c>
      <c r="W1290" s="48">
        <f t="shared" ca="1" si="162"/>
        <v>0.46591614962525596</v>
      </c>
    </row>
    <row r="1291" spans="17:23" x14ac:dyDescent="0.2">
      <c r="Q1291">
        <f t="shared" si="156"/>
        <v>1275</v>
      </c>
      <c r="R1291" s="48">
        <f t="shared" ca="1" si="157"/>
        <v>0.217</v>
      </c>
      <c r="S1291">
        <f t="shared" ca="1" si="158"/>
        <v>175.62941043595248</v>
      </c>
      <c r="T1291" s="61">
        <f t="shared" ca="1" si="159"/>
        <v>10416</v>
      </c>
      <c r="U1291" s="61">
        <f t="shared" ca="1" si="160"/>
        <v>1414.2626970806341</v>
      </c>
      <c r="V1291" s="39">
        <f t="shared" ca="1" si="161"/>
        <v>9.3043598492146985E-3</v>
      </c>
      <c r="W1291" s="48">
        <f t="shared" ca="1" si="162"/>
        <v>7.8013251753096036E-2</v>
      </c>
    </row>
    <row r="1292" spans="17:23" x14ac:dyDescent="0.2">
      <c r="Q1292">
        <f t="shared" si="156"/>
        <v>1276</v>
      </c>
      <c r="R1292" s="48">
        <f t="shared" ca="1" si="157"/>
        <v>0.35</v>
      </c>
      <c r="S1292">
        <f t="shared" ca="1" si="158"/>
        <v>202.7450178661804</v>
      </c>
      <c r="T1292" s="61">
        <f t="shared" ca="1" si="159"/>
        <v>16800</v>
      </c>
      <c r="U1292" s="61">
        <f t="shared" ca="1" si="160"/>
        <v>23427.409290413809</v>
      </c>
      <c r="V1292" s="39">
        <f t="shared" ca="1" si="161"/>
        <v>0.15412769270009086</v>
      </c>
      <c r="W1292" s="48">
        <f t="shared" ca="1" si="162"/>
        <v>2.1985120436921659</v>
      </c>
    </row>
    <row r="1293" spans="17:23" x14ac:dyDescent="0.2">
      <c r="Q1293">
        <f t="shared" si="156"/>
        <v>1277</v>
      </c>
      <c r="R1293" s="48">
        <f t="shared" ca="1" si="157"/>
        <v>0.45</v>
      </c>
      <c r="S1293">
        <f t="shared" ca="1" si="158"/>
        <v>177.61735708324554</v>
      </c>
      <c r="T1293" s="61">
        <f t="shared" ca="1" si="159"/>
        <v>21600</v>
      </c>
      <c r="U1293" s="61">
        <f t="shared" ca="1" si="160"/>
        <v>16151.637116628035</v>
      </c>
      <c r="V1293" s="39">
        <f t="shared" ca="1" si="161"/>
        <v>0.10626077050413181</v>
      </c>
      <c r="W1293" s="48">
        <f t="shared" ca="1" si="162"/>
        <v>1.2684705885425851</v>
      </c>
    </row>
    <row r="1294" spans="17:23" x14ac:dyDescent="0.2">
      <c r="Q1294">
        <f t="shared" si="156"/>
        <v>1278</v>
      </c>
      <c r="R1294" s="48">
        <f t="shared" ca="1" si="157"/>
        <v>0.35</v>
      </c>
      <c r="S1294">
        <f t="shared" ca="1" si="158"/>
        <v>180.21448927002498</v>
      </c>
      <c r="T1294" s="61">
        <f t="shared" ca="1" si="159"/>
        <v>16800</v>
      </c>
      <c r="U1294" s="61">
        <f t="shared" ca="1" si="160"/>
        <v>11711.534420412991</v>
      </c>
      <c r="V1294" s="39">
        <f t="shared" ca="1" si="161"/>
        <v>7.7049568555348627E-2</v>
      </c>
      <c r="W1294" s="48">
        <f t="shared" ca="1" si="162"/>
        <v>0.82585914978001185</v>
      </c>
    </row>
    <row r="1295" spans="17:23" x14ac:dyDescent="0.2">
      <c r="Q1295">
        <f t="shared" si="156"/>
        <v>1279</v>
      </c>
      <c r="R1295" s="48">
        <f t="shared" ca="1" si="157"/>
        <v>0.35</v>
      </c>
      <c r="S1295">
        <f t="shared" ca="1" si="158"/>
        <v>172.087007662052</v>
      </c>
      <c r="T1295" s="61">
        <f t="shared" ca="1" si="159"/>
        <v>16800</v>
      </c>
      <c r="U1295" s="61">
        <f t="shared" ca="1" si="160"/>
        <v>7485.243984267041</v>
      </c>
      <c r="V1295" s="39">
        <f t="shared" ca="1" si="161"/>
        <v>4.9245026212283168E-2</v>
      </c>
      <c r="W1295" s="48">
        <f t="shared" ca="1" si="162"/>
        <v>0.47684532013352032</v>
      </c>
    </row>
    <row r="1296" spans="17:23" x14ac:dyDescent="0.2">
      <c r="Q1296">
        <f t="shared" si="156"/>
        <v>1280</v>
      </c>
      <c r="R1296" s="48">
        <f t="shared" ca="1" si="157"/>
        <v>0.45</v>
      </c>
      <c r="S1296">
        <f t="shared" ca="1" si="158"/>
        <v>197.38188904039168</v>
      </c>
      <c r="T1296" s="61">
        <f t="shared" ca="1" si="159"/>
        <v>21600</v>
      </c>
      <c r="U1296" s="61">
        <f t="shared" ca="1" si="160"/>
        <v>24848.03117777234</v>
      </c>
      <c r="V1296" s="39">
        <f t="shared" ca="1" si="161"/>
        <v>0.16347388932744961</v>
      </c>
      <c r="W1296" s="48">
        <f t="shared" ca="1" si="162"/>
        <v>2.4147540113098955</v>
      </c>
    </row>
    <row r="1297" spans="17:23" x14ac:dyDescent="0.2">
      <c r="Q1297">
        <f t="shared" si="156"/>
        <v>1281</v>
      </c>
      <c r="R1297" s="48">
        <f t="shared" ca="1" si="157"/>
        <v>0.45</v>
      </c>
      <c r="S1297">
        <f t="shared" ca="1" si="158"/>
        <v>152.43225754308824</v>
      </c>
      <c r="T1297" s="61">
        <f t="shared" ca="1" si="159"/>
        <v>21600</v>
      </c>
      <c r="U1297" s="61">
        <f t="shared" ca="1" si="160"/>
        <v>5070.1933189588235</v>
      </c>
      <c r="V1297" s="39">
        <f t="shared" ca="1" si="161"/>
        <v>3.3356534993150153E-2</v>
      </c>
      <c r="W1297" s="48">
        <f t="shared" ca="1" si="162"/>
        <v>0.30492297330058027</v>
      </c>
    </row>
    <row r="1298" spans="17:23" x14ac:dyDescent="0.2">
      <c r="Q1298">
        <f t="shared" si="156"/>
        <v>1282</v>
      </c>
      <c r="R1298" s="48">
        <f t="shared" ca="1" si="157"/>
        <v>0.3</v>
      </c>
      <c r="S1298">
        <f t="shared" ca="1" si="158"/>
        <v>187.1816900559661</v>
      </c>
      <c r="T1298" s="61">
        <f t="shared" ca="1" si="159"/>
        <v>14400</v>
      </c>
      <c r="U1298" s="61">
        <f t="shared" ca="1" si="160"/>
        <v>12821.746431341016</v>
      </c>
      <c r="V1298" s="39">
        <f t="shared" ca="1" si="161"/>
        <v>8.4353594943033003E-2</v>
      </c>
      <c r="W1298" s="48">
        <f t="shared" ca="1" si="162"/>
        <v>0.92874702559725786</v>
      </c>
    </row>
    <row r="1299" spans="17:23" x14ac:dyDescent="0.2">
      <c r="Q1299">
        <f t="shared" ref="Q1299:Q1362" si="163">Q1298+1</f>
        <v>1283</v>
      </c>
      <c r="R1299" s="48">
        <f t="shared" ref="R1299:R1362" ca="1" si="164">LOOKUP(RAND(),$U$6:$U$12,$S$6:$S$12)</f>
        <v>0.35</v>
      </c>
      <c r="S1299">
        <f t="shared" ref="S1299:S1362" ca="1" si="165">_xlfn.NORM.INV(RAND(),$Q$5,$Q$10)</f>
        <v>181.4703095967742</v>
      </c>
      <c r="T1299" s="61">
        <f t="shared" ca="1" si="159"/>
        <v>16800</v>
      </c>
      <c r="U1299" s="61">
        <f t="shared" ca="1" si="160"/>
        <v>12364.560990322585</v>
      </c>
      <c r="V1299" s="39">
        <f t="shared" ca="1" si="161"/>
        <v>8.1345795988964381E-2</v>
      </c>
      <c r="W1299" s="48">
        <f t="shared" ca="1" si="162"/>
        <v>0.88577821010995272</v>
      </c>
    </row>
    <row r="1300" spans="17:23" x14ac:dyDescent="0.2">
      <c r="Q1300">
        <f t="shared" si="163"/>
        <v>1284</v>
      </c>
      <c r="R1300" s="48">
        <f t="shared" ca="1" si="164"/>
        <v>0.3</v>
      </c>
      <c r="S1300">
        <f t="shared" ca="1" si="165"/>
        <v>201.07915340868166</v>
      </c>
      <c r="T1300" s="61">
        <f t="shared" ca="1" si="159"/>
        <v>14400</v>
      </c>
      <c r="U1300" s="61">
        <f t="shared" ca="1" si="160"/>
        <v>20604.325908861731</v>
      </c>
      <c r="V1300" s="39">
        <f t="shared" ca="1" si="161"/>
        <v>0.13555477571619559</v>
      </c>
      <c r="W1300" s="48">
        <f t="shared" ca="1" si="162"/>
        <v>1.8041351211529686</v>
      </c>
    </row>
    <row r="1301" spans="17:23" x14ac:dyDescent="0.2">
      <c r="Q1301">
        <f t="shared" si="163"/>
        <v>1285</v>
      </c>
      <c r="R1301" s="48">
        <f t="shared" ca="1" si="164"/>
        <v>0.35</v>
      </c>
      <c r="S1301">
        <f t="shared" ca="1" si="165"/>
        <v>202.18911122018721</v>
      </c>
      <c r="T1301" s="61">
        <f t="shared" ca="1" si="159"/>
        <v>16800</v>
      </c>
      <c r="U1301" s="61">
        <f t="shared" ca="1" si="160"/>
        <v>23138.337834497353</v>
      </c>
      <c r="V1301" s="39">
        <f t="shared" ca="1" si="161"/>
        <v>0.15222590680590364</v>
      </c>
      <c r="W1301" s="48">
        <f t="shared" ca="1" si="162"/>
        <v>2.1560116739700352</v>
      </c>
    </row>
    <row r="1302" spans="17:23" x14ac:dyDescent="0.2">
      <c r="Q1302">
        <f t="shared" si="163"/>
        <v>1286</v>
      </c>
      <c r="R1302" s="48">
        <f t="shared" ca="1" si="164"/>
        <v>0.35</v>
      </c>
      <c r="S1302">
        <f t="shared" ca="1" si="165"/>
        <v>198.55770187597565</v>
      </c>
      <c r="T1302" s="61">
        <f t="shared" ca="1" si="159"/>
        <v>16800</v>
      </c>
      <c r="U1302" s="61">
        <f t="shared" ca="1" si="160"/>
        <v>21250.004975507341</v>
      </c>
      <c r="V1302" s="39">
        <f t="shared" ca="1" si="161"/>
        <v>0.13980266431254829</v>
      </c>
      <c r="W1302" s="48">
        <f t="shared" ca="1" si="162"/>
        <v>1.8903587466213914</v>
      </c>
    </row>
    <row r="1303" spans="17:23" x14ac:dyDescent="0.2">
      <c r="Q1303">
        <f t="shared" si="163"/>
        <v>1287</v>
      </c>
      <c r="R1303" s="48">
        <f t="shared" ca="1" si="164"/>
        <v>0.4</v>
      </c>
      <c r="S1303">
        <f t="shared" ca="1" si="165"/>
        <v>201.04883410055294</v>
      </c>
      <c r="T1303" s="61">
        <f t="shared" ca="1" si="159"/>
        <v>19200</v>
      </c>
      <c r="U1303" s="61">
        <f t="shared" ca="1" si="160"/>
        <v>24503.440368265408</v>
      </c>
      <c r="V1303" s="39">
        <f t="shared" ca="1" si="161"/>
        <v>0.16120684452806189</v>
      </c>
      <c r="W1303" s="48">
        <f t="shared" ca="1" si="162"/>
        <v>2.3611575708987051</v>
      </c>
    </row>
    <row r="1304" spans="17:23" x14ac:dyDescent="0.2">
      <c r="Q1304">
        <f t="shared" si="163"/>
        <v>1288</v>
      </c>
      <c r="R1304" s="48">
        <f t="shared" ca="1" si="164"/>
        <v>0.35</v>
      </c>
      <c r="S1304">
        <f t="shared" ca="1" si="165"/>
        <v>190.33723191245085</v>
      </c>
      <c r="T1304" s="61">
        <f t="shared" ca="1" si="159"/>
        <v>16800</v>
      </c>
      <c r="U1304" s="61">
        <f t="shared" ca="1" si="160"/>
        <v>16975.360594474441</v>
      </c>
      <c r="V1304" s="39">
        <f t="shared" ca="1" si="161"/>
        <v>0.11168000391101607</v>
      </c>
      <c r="W1304" s="48">
        <f t="shared" ca="1" si="162"/>
        <v>1.3601913679689188</v>
      </c>
    </row>
    <row r="1305" spans="17:23" x14ac:dyDescent="0.2">
      <c r="Q1305">
        <f t="shared" si="163"/>
        <v>1289</v>
      </c>
      <c r="R1305" s="48">
        <f t="shared" ca="1" si="164"/>
        <v>0.45</v>
      </c>
      <c r="S1305">
        <f t="shared" ca="1" si="165"/>
        <v>165.60303645223712</v>
      </c>
      <c r="T1305" s="61">
        <f t="shared" ca="1" si="159"/>
        <v>21600</v>
      </c>
      <c r="U1305" s="61">
        <f t="shared" ca="1" si="160"/>
        <v>10865.336038984331</v>
      </c>
      <c r="V1305" s="39">
        <f t="shared" ca="1" si="161"/>
        <v>7.1482473940686395E-2</v>
      </c>
      <c r="W1305" s="48">
        <f t="shared" ca="1" si="162"/>
        <v>0.75070208379795345</v>
      </c>
    </row>
    <row r="1306" spans="17:23" x14ac:dyDescent="0.2">
      <c r="Q1306">
        <f t="shared" si="163"/>
        <v>1290</v>
      </c>
      <c r="R1306" s="48">
        <f t="shared" ca="1" si="164"/>
        <v>0.35</v>
      </c>
      <c r="S1306">
        <f t="shared" ca="1" si="165"/>
        <v>191.28048596282991</v>
      </c>
      <c r="T1306" s="61">
        <f t="shared" ca="1" si="159"/>
        <v>16800</v>
      </c>
      <c r="U1306" s="61">
        <f t="shared" ca="1" si="160"/>
        <v>17465.852700671556</v>
      </c>
      <c r="V1306" s="39">
        <f t="shared" ca="1" si="161"/>
        <v>0.11490692566231286</v>
      </c>
      <c r="W1306" s="48">
        <f t="shared" ca="1" si="162"/>
        <v>1.4163377609164032</v>
      </c>
    </row>
    <row r="1307" spans="17:23" x14ac:dyDescent="0.2">
      <c r="Q1307">
        <f t="shared" si="163"/>
        <v>1291</v>
      </c>
      <c r="R1307" s="48">
        <f t="shared" ca="1" si="164"/>
        <v>0.217</v>
      </c>
      <c r="S1307">
        <f t="shared" ca="1" si="165"/>
        <v>198.1837712904821</v>
      </c>
      <c r="T1307" s="61">
        <f t="shared" ca="1" si="159"/>
        <v>10416</v>
      </c>
      <c r="U1307" s="61">
        <f t="shared" ca="1" si="160"/>
        <v>15542.314336357987</v>
      </c>
      <c r="V1307" s="39">
        <f t="shared" ca="1" si="161"/>
        <v>0.10225206800235519</v>
      </c>
      <c r="W1307" s="48">
        <f t="shared" ca="1" si="162"/>
        <v>1.202648809379868</v>
      </c>
    </row>
    <row r="1308" spans="17:23" x14ac:dyDescent="0.2">
      <c r="Q1308">
        <f t="shared" si="163"/>
        <v>1292</v>
      </c>
      <c r="R1308" s="48">
        <f t="shared" ca="1" si="164"/>
        <v>0.15</v>
      </c>
      <c r="S1308">
        <f t="shared" ca="1" si="165"/>
        <v>215.17561226810136</v>
      </c>
      <c r="T1308" s="61">
        <f t="shared" ca="1" si="159"/>
        <v>7200</v>
      </c>
      <c r="U1308" s="61">
        <f t="shared" ca="1" si="160"/>
        <v>24319.416342308927</v>
      </c>
      <c r="V1308" s="39">
        <f t="shared" ca="1" si="161"/>
        <v>0.15999616014676926</v>
      </c>
      <c r="W1308" s="48">
        <f t="shared" ca="1" si="162"/>
        <v>2.3328383657764586</v>
      </c>
    </row>
    <row r="1309" spans="17:23" x14ac:dyDescent="0.2">
      <c r="Q1309">
        <f t="shared" si="163"/>
        <v>1293</v>
      </c>
      <c r="R1309" s="48">
        <f t="shared" ca="1" si="164"/>
        <v>0.217</v>
      </c>
      <c r="S1309">
        <f t="shared" ca="1" si="165"/>
        <v>165.95933010679281</v>
      </c>
      <c r="T1309" s="61">
        <f t="shared" ca="1" si="159"/>
        <v>10416</v>
      </c>
      <c r="U1309" s="61">
        <f t="shared" ca="1" si="160"/>
        <v>-4643.0756211049866</v>
      </c>
      <c r="V1309" s="39">
        <f t="shared" ca="1" si="161"/>
        <v>-3.0546550138848595E-2</v>
      </c>
      <c r="W1309" s="48">
        <f t="shared" ca="1" si="162"/>
        <v>-0.22246727072991868</v>
      </c>
    </row>
    <row r="1310" spans="17:23" x14ac:dyDescent="0.2">
      <c r="Q1310">
        <f t="shared" si="163"/>
        <v>1294</v>
      </c>
      <c r="R1310" s="48">
        <f t="shared" ca="1" si="164"/>
        <v>0.217</v>
      </c>
      <c r="S1310">
        <f t="shared" ca="1" si="165"/>
        <v>168.91137654797228</v>
      </c>
      <c r="T1310" s="61">
        <f t="shared" ca="1" si="159"/>
        <v>10416</v>
      </c>
      <c r="U1310" s="61">
        <f t="shared" ca="1" si="160"/>
        <v>-2793.913730350163</v>
      </c>
      <c r="V1310" s="39">
        <f t="shared" ca="1" si="161"/>
        <v>-1.8381011383882651E-2</v>
      </c>
      <c r="W1310" s="48">
        <f t="shared" ca="1" si="162"/>
        <v>-0.13970305775099057</v>
      </c>
    </row>
    <row r="1311" spans="17:23" x14ac:dyDescent="0.2">
      <c r="Q1311">
        <f t="shared" si="163"/>
        <v>1295</v>
      </c>
      <c r="R1311" s="48">
        <f t="shared" ca="1" si="164"/>
        <v>0.4</v>
      </c>
      <c r="S1311">
        <f t="shared" ca="1" si="165"/>
        <v>194.441265164295</v>
      </c>
      <c r="T1311" s="61">
        <f t="shared" ca="1" si="159"/>
        <v>19200</v>
      </c>
      <c r="U1311" s="61">
        <f t="shared" ca="1" si="160"/>
        <v>21331.807278861601</v>
      </c>
      <c r="V1311" s="39">
        <f t="shared" ca="1" si="161"/>
        <v>0.14034083736093159</v>
      </c>
      <c r="W1311" s="48">
        <f t="shared" ca="1" si="162"/>
        <v>1.9014467554112411</v>
      </c>
    </row>
    <row r="1312" spans="17:23" x14ac:dyDescent="0.2">
      <c r="Q1312">
        <f t="shared" si="163"/>
        <v>1296</v>
      </c>
      <c r="R1312" s="48">
        <f t="shared" ca="1" si="164"/>
        <v>0.35</v>
      </c>
      <c r="S1312">
        <f t="shared" ca="1" si="165"/>
        <v>212.81422403784012</v>
      </c>
      <c r="T1312" s="61">
        <f t="shared" ca="1" si="159"/>
        <v>16800</v>
      </c>
      <c r="U1312" s="61">
        <f t="shared" ca="1" si="160"/>
        <v>28663.396499676863</v>
      </c>
      <c r="V1312" s="39">
        <f t="shared" ca="1" si="161"/>
        <v>0.18857497697155831</v>
      </c>
      <c r="W1312" s="48">
        <f t="shared" ca="1" si="162"/>
        <v>3.0602142363006086</v>
      </c>
    </row>
    <row r="1313" spans="17:23" x14ac:dyDescent="0.2">
      <c r="Q1313">
        <f t="shared" si="163"/>
        <v>1297</v>
      </c>
      <c r="R1313" s="48">
        <f t="shared" ca="1" si="164"/>
        <v>0.45</v>
      </c>
      <c r="S1313">
        <f t="shared" ca="1" si="165"/>
        <v>189.97509632981109</v>
      </c>
      <c r="T1313" s="61">
        <f t="shared" ca="1" si="159"/>
        <v>21600</v>
      </c>
      <c r="U1313" s="61">
        <f t="shared" ca="1" si="160"/>
        <v>21589.042385116882</v>
      </c>
      <c r="V1313" s="39">
        <f t="shared" ca="1" si="161"/>
        <v>0.14203317358629527</v>
      </c>
      <c r="W1313" s="48">
        <f t="shared" ca="1" si="162"/>
        <v>1.9365574511241519</v>
      </c>
    </row>
    <row r="1314" spans="17:23" x14ac:dyDescent="0.2">
      <c r="Q1314">
        <f t="shared" si="163"/>
        <v>1298</v>
      </c>
      <c r="R1314" s="48">
        <f t="shared" ca="1" si="164"/>
        <v>0.217</v>
      </c>
      <c r="S1314">
        <f t="shared" ca="1" si="165"/>
        <v>205.20070051849007</v>
      </c>
      <c r="T1314" s="61">
        <f t="shared" ca="1" si="159"/>
        <v>10416</v>
      </c>
      <c r="U1314" s="61">
        <f t="shared" ca="1" si="160"/>
        <v>19937.718804782176</v>
      </c>
      <c r="V1314" s="39">
        <f t="shared" ca="1" si="161"/>
        <v>0.13116920266304063</v>
      </c>
      <c r="W1314" s="48">
        <f t="shared" ca="1" si="162"/>
        <v>1.7174908331665164</v>
      </c>
    </row>
    <row r="1315" spans="17:23" x14ac:dyDescent="0.2">
      <c r="Q1315">
        <f t="shared" si="163"/>
        <v>1299</v>
      </c>
      <c r="R1315" s="48">
        <f t="shared" ca="1" si="164"/>
        <v>0.35</v>
      </c>
      <c r="S1315">
        <f t="shared" ca="1" si="165"/>
        <v>215.41901436745908</v>
      </c>
      <c r="T1315" s="61">
        <f t="shared" ca="1" si="159"/>
        <v>16800</v>
      </c>
      <c r="U1315" s="61">
        <f t="shared" ca="1" si="160"/>
        <v>30017.887471078724</v>
      </c>
      <c r="V1315" s="39">
        <f t="shared" ca="1" si="161"/>
        <v>0.19748610178341267</v>
      </c>
      <c r="W1315" s="48">
        <f t="shared" ca="1" si="162"/>
        <v>3.3138056325882914</v>
      </c>
    </row>
    <row r="1316" spans="17:23" x14ac:dyDescent="0.2">
      <c r="Q1316">
        <f t="shared" si="163"/>
        <v>1300</v>
      </c>
      <c r="R1316" s="48">
        <f t="shared" ca="1" si="164"/>
        <v>0.4</v>
      </c>
      <c r="S1316">
        <f t="shared" ca="1" si="165"/>
        <v>166.00405603767626</v>
      </c>
      <c r="T1316" s="61">
        <f t="shared" ca="1" si="159"/>
        <v>19200</v>
      </c>
      <c r="U1316" s="61">
        <f t="shared" ca="1" si="160"/>
        <v>7681.9468980846068</v>
      </c>
      <c r="V1316" s="39">
        <f t="shared" ca="1" si="161"/>
        <v>5.0539124329503991E-2</v>
      </c>
      <c r="W1316" s="48">
        <f t="shared" ca="1" si="162"/>
        <v>0.49168452943779029</v>
      </c>
    </row>
    <row r="1317" spans="17:23" x14ac:dyDescent="0.2">
      <c r="Q1317">
        <f t="shared" si="163"/>
        <v>1301</v>
      </c>
      <c r="R1317" s="48">
        <f t="shared" ca="1" si="164"/>
        <v>0.45</v>
      </c>
      <c r="S1317">
        <f t="shared" ca="1" si="165"/>
        <v>188.93343521408491</v>
      </c>
      <c r="T1317" s="61">
        <f t="shared" ca="1" si="159"/>
        <v>21600</v>
      </c>
      <c r="U1317" s="61">
        <f t="shared" ca="1" si="160"/>
        <v>21130.71149419736</v>
      </c>
      <c r="V1317" s="39">
        <f t="shared" ca="1" si="161"/>
        <v>0.1390178387776142</v>
      </c>
      <c r="W1317" s="48">
        <f t="shared" ca="1" si="162"/>
        <v>1.8742555350837042</v>
      </c>
    </row>
    <row r="1318" spans="17:23" x14ac:dyDescent="0.2">
      <c r="Q1318">
        <f t="shared" si="163"/>
        <v>1302</v>
      </c>
      <c r="R1318" s="48">
        <f t="shared" ca="1" si="164"/>
        <v>0.35</v>
      </c>
      <c r="S1318">
        <f t="shared" ca="1" si="165"/>
        <v>175.45340488480008</v>
      </c>
      <c r="T1318" s="61">
        <f t="shared" ca="1" si="159"/>
        <v>16800</v>
      </c>
      <c r="U1318" s="61">
        <f t="shared" ca="1" si="160"/>
        <v>9235.7705400960403</v>
      </c>
      <c r="V1318" s="39">
        <f t="shared" ca="1" si="161"/>
        <v>6.0761648290105531E-2</v>
      </c>
      <c r="W1318" s="48">
        <f t="shared" ca="1" si="162"/>
        <v>0.61357404372709978</v>
      </c>
    </row>
    <row r="1319" spans="17:23" x14ac:dyDescent="0.2">
      <c r="Q1319">
        <f t="shared" si="163"/>
        <v>1303</v>
      </c>
      <c r="R1319" s="48">
        <f t="shared" ca="1" si="164"/>
        <v>0.45</v>
      </c>
      <c r="S1319">
        <f t="shared" ca="1" si="165"/>
        <v>183.75191997563653</v>
      </c>
      <c r="T1319" s="61">
        <f t="shared" ca="1" si="159"/>
        <v>21600</v>
      </c>
      <c r="U1319" s="61">
        <f t="shared" ca="1" si="160"/>
        <v>18850.844789280072</v>
      </c>
      <c r="V1319" s="39">
        <f t="shared" ca="1" si="161"/>
        <v>0.12401871571894785</v>
      </c>
      <c r="W1319" s="48">
        <f t="shared" ca="1" si="162"/>
        <v>1.5812486722130163</v>
      </c>
    </row>
    <row r="1320" spans="17:23" x14ac:dyDescent="0.2">
      <c r="Q1320">
        <f t="shared" si="163"/>
        <v>1304</v>
      </c>
      <c r="R1320" s="48">
        <f t="shared" ca="1" si="164"/>
        <v>0.45</v>
      </c>
      <c r="S1320">
        <f t="shared" ca="1" si="165"/>
        <v>195.50052435743302</v>
      </c>
      <c r="T1320" s="61">
        <f t="shared" ca="1" si="159"/>
        <v>21600</v>
      </c>
      <c r="U1320" s="61">
        <f t="shared" ca="1" si="160"/>
        <v>24020.23071727053</v>
      </c>
      <c r="V1320" s="39">
        <f t="shared" ca="1" si="161"/>
        <v>0.15802783366625348</v>
      </c>
      <c r="W1320" s="48">
        <f t="shared" ca="1" si="162"/>
        <v>2.2872434776228951</v>
      </c>
    </row>
    <row r="1321" spans="17:23" x14ac:dyDescent="0.2">
      <c r="Q1321">
        <f t="shared" si="163"/>
        <v>1305</v>
      </c>
      <c r="R1321" s="48">
        <f t="shared" ca="1" si="164"/>
        <v>0.3</v>
      </c>
      <c r="S1321">
        <f t="shared" ca="1" si="165"/>
        <v>187.70128779291665</v>
      </c>
      <c r="T1321" s="61">
        <f t="shared" ca="1" si="159"/>
        <v>14400</v>
      </c>
      <c r="U1321" s="61">
        <f t="shared" ca="1" si="160"/>
        <v>13112.721164033321</v>
      </c>
      <c r="V1321" s="39">
        <f t="shared" ca="1" si="161"/>
        <v>8.6267902394956061E-2</v>
      </c>
      <c r="W1321" s="48">
        <f t="shared" ca="1" si="162"/>
        <v>0.95653927333836486</v>
      </c>
    </row>
    <row r="1322" spans="17:23" x14ac:dyDescent="0.2">
      <c r="Q1322">
        <f t="shared" si="163"/>
        <v>1306</v>
      </c>
      <c r="R1322" s="48">
        <f t="shared" ca="1" si="164"/>
        <v>0.35</v>
      </c>
      <c r="S1322">
        <f t="shared" ca="1" si="165"/>
        <v>193.15111797796195</v>
      </c>
      <c r="T1322" s="61">
        <f t="shared" ca="1" si="159"/>
        <v>16800</v>
      </c>
      <c r="U1322" s="61">
        <f t="shared" ca="1" si="160"/>
        <v>18438.58134854021</v>
      </c>
      <c r="V1322" s="39">
        <f t="shared" ca="1" si="161"/>
        <v>0.12130645624039613</v>
      </c>
      <c r="W1322" s="48">
        <f t="shared" ca="1" si="162"/>
        <v>1.5311594632988337</v>
      </c>
    </row>
    <row r="1323" spans="17:23" x14ac:dyDescent="0.2">
      <c r="Q1323">
        <f t="shared" si="163"/>
        <v>1307</v>
      </c>
      <c r="R1323" s="48">
        <f t="shared" ca="1" si="164"/>
        <v>0.35</v>
      </c>
      <c r="S1323">
        <f t="shared" ca="1" si="165"/>
        <v>171.39018965352039</v>
      </c>
      <c r="T1323" s="61">
        <f t="shared" ca="1" si="159"/>
        <v>16800</v>
      </c>
      <c r="U1323" s="61">
        <f t="shared" ca="1" si="160"/>
        <v>7122.8986198306047</v>
      </c>
      <c r="V1323" s="39">
        <f t="shared" ca="1" si="161"/>
        <v>4.6861175130464505E-2</v>
      </c>
      <c r="W1323" s="48">
        <f t="shared" ca="1" si="162"/>
        <v>0.44984857785028987</v>
      </c>
    </row>
    <row r="1324" spans="17:23" x14ac:dyDescent="0.2">
      <c r="Q1324">
        <f t="shared" si="163"/>
        <v>1308</v>
      </c>
      <c r="R1324" s="48">
        <f t="shared" ca="1" si="164"/>
        <v>0.217</v>
      </c>
      <c r="S1324">
        <f t="shared" ca="1" si="165"/>
        <v>213.9863433224277</v>
      </c>
      <c r="T1324" s="61">
        <f t="shared" ca="1" si="159"/>
        <v>10416</v>
      </c>
      <c r="U1324" s="61">
        <f t="shared" ca="1" si="160"/>
        <v>25441.045457168711</v>
      </c>
      <c r="V1324" s="39">
        <f t="shared" ca="1" si="161"/>
        <v>0.16737529906032048</v>
      </c>
      <c r="W1324" s="48">
        <f t="shared" ca="1" si="162"/>
        <v>2.508745192904497</v>
      </c>
    </row>
    <row r="1325" spans="17:23" x14ac:dyDescent="0.2">
      <c r="Q1325">
        <f t="shared" si="163"/>
        <v>1309</v>
      </c>
      <c r="R1325" s="48">
        <f t="shared" ca="1" si="164"/>
        <v>0.45</v>
      </c>
      <c r="S1325">
        <f t="shared" ca="1" si="165"/>
        <v>200.80620968904316</v>
      </c>
      <c r="T1325" s="61">
        <f t="shared" ca="1" si="159"/>
        <v>21600</v>
      </c>
      <c r="U1325" s="61">
        <f t="shared" ca="1" si="160"/>
        <v>26354.73226317899</v>
      </c>
      <c r="V1325" s="39">
        <f t="shared" ca="1" si="161"/>
        <v>0.17338639646828283</v>
      </c>
      <c r="W1325" s="48">
        <f t="shared" ca="1" si="162"/>
        <v>2.658003054663622</v>
      </c>
    </row>
    <row r="1326" spans="17:23" x14ac:dyDescent="0.2">
      <c r="Q1326">
        <f t="shared" si="163"/>
        <v>1310</v>
      </c>
      <c r="R1326" s="48">
        <f t="shared" ca="1" si="164"/>
        <v>0.4</v>
      </c>
      <c r="S1326">
        <f t="shared" ca="1" si="165"/>
        <v>201.00435538789955</v>
      </c>
      <c r="T1326" s="61">
        <f t="shared" ca="1" si="159"/>
        <v>19200</v>
      </c>
      <c r="U1326" s="61">
        <f t="shared" ca="1" si="160"/>
        <v>24482.090586191785</v>
      </c>
      <c r="V1326" s="39">
        <f t="shared" ca="1" si="161"/>
        <v>0.16106638543547228</v>
      </c>
      <c r="W1326" s="48">
        <f t="shared" ca="1" si="162"/>
        <v>2.3578613013392169</v>
      </c>
    </row>
    <row r="1327" spans="17:23" x14ac:dyDescent="0.2">
      <c r="Q1327">
        <f t="shared" si="163"/>
        <v>1311</v>
      </c>
      <c r="R1327" s="48">
        <f t="shared" ca="1" si="164"/>
        <v>0.35</v>
      </c>
      <c r="S1327">
        <f t="shared" ca="1" si="165"/>
        <v>242.11120192135627</v>
      </c>
      <c r="T1327" s="61">
        <f t="shared" ca="1" si="159"/>
        <v>16800</v>
      </c>
      <c r="U1327" s="61">
        <f t="shared" ca="1" si="160"/>
        <v>43897.824999105258</v>
      </c>
      <c r="V1327" s="39">
        <f t="shared" ca="1" si="161"/>
        <v>0.28880148025727143</v>
      </c>
      <c r="W1327" s="48">
        <f t="shared" ca="1" si="162"/>
        <v>6.8294472343056558</v>
      </c>
    </row>
    <row r="1328" spans="17:23" x14ac:dyDescent="0.2">
      <c r="Q1328">
        <f t="shared" si="163"/>
        <v>1312</v>
      </c>
      <c r="R1328" s="48">
        <f t="shared" ca="1" si="164"/>
        <v>0.4</v>
      </c>
      <c r="S1328">
        <f t="shared" ca="1" si="165"/>
        <v>193.84906234977404</v>
      </c>
      <c r="T1328" s="61">
        <f t="shared" ca="1" si="159"/>
        <v>19200</v>
      </c>
      <c r="U1328" s="61">
        <f t="shared" ca="1" si="160"/>
        <v>21047.549927891541</v>
      </c>
      <c r="V1328" s="39">
        <f t="shared" ca="1" si="161"/>
        <v>0.13847072320981277</v>
      </c>
      <c r="W1328" s="48">
        <f t="shared" ca="1" si="162"/>
        <v>1.8630762856694232</v>
      </c>
    </row>
    <row r="1329" spans="17:23" x14ac:dyDescent="0.2">
      <c r="Q1329">
        <f t="shared" si="163"/>
        <v>1313</v>
      </c>
      <c r="R1329" s="48">
        <f t="shared" ca="1" si="164"/>
        <v>0.35</v>
      </c>
      <c r="S1329">
        <f t="shared" ca="1" si="165"/>
        <v>183.5595149044895</v>
      </c>
      <c r="T1329" s="61">
        <f t="shared" ca="1" si="159"/>
        <v>16800</v>
      </c>
      <c r="U1329" s="61">
        <f t="shared" ca="1" si="160"/>
        <v>13450.947750334542</v>
      </c>
      <c r="V1329" s="39">
        <f t="shared" ca="1" si="161"/>
        <v>8.849307730483251E-2</v>
      </c>
      <c r="W1329" s="48">
        <f t="shared" ca="1" si="162"/>
        <v>0.98928547608108586</v>
      </c>
    </row>
    <row r="1330" spans="17:23" x14ac:dyDescent="0.2">
      <c r="Q1330">
        <f t="shared" si="163"/>
        <v>1314</v>
      </c>
      <c r="R1330" s="48">
        <f t="shared" ca="1" si="164"/>
        <v>0.15</v>
      </c>
      <c r="S1330">
        <f t="shared" ca="1" si="165"/>
        <v>209.58640207153263</v>
      </c>
      <c r="T1330" s="61">
        <f t="shared" ca="1" si="159"/>
        <v>7200</v>
      </c>
      <c r="U1330" s="61">
        <f t="shared" ca="1" si="160"/>
        <v>20518.753408642187</v>
      </c>
      <c r="V1330" s="39">
        <f t="shared" ca="1" si="161"/>
        <v>0.13499179874106701</v>
      </c>
      <c r="W1330" s="48">
        <f t="shared" ca="1" si="162"/>
        <v>1.7928788024771598</v>
      </c>
    </row>
    <row r="1331" spans="17:23" x14ac:dyDescent="0.2">
      <c r="Q1331">
        <f t="shared" si="163"/>
        <v>1315</v>
      </c>
      <c r="R1331" s="48">
        <f t="shared" ca="1" si="164"/>
        <v>0.35</v>
      </c>
      <c r="S1331">
        <f t="shared" ca="1" si="165"/>
        <v>192.59265958909788</v>
      </c>
      <c r="T1331" s="61">
        <f t="shared" ca="1" si="159"/>
        <v>16800</v>
      </c>
      <c r="U1331" s="61">
        <f t="shared" ca="1" si="160"/>
        <v>18148.182986330896</v>
      </c>
      <c r="V1331" s="39">
        <f t="shared" ca="1" si="161"/>
        <v>0.11939594069954537</v>
      </c>
      <c r="W1331" s="48">
        <f t="shared" ca="1" si="162"/>
        <v>1.4963901357125193</v>
      </c>
    </row>
    <row r="1332" spans="17:23" x14ac:dyDescent="0.2">
      <c r="Q1332">
        <f t="shared" si="163"/>
        <v>1316</v>
      </c>
      <c r="R1332" s="48">
        <f t="shared" ca="1" si="164"/>
        <v>0.4</v>
      </c>
      <c r="S1332">
        <f t="shared" ca="1" si="165"/>
        <v>202.75253758389337</v>
      </c>
      <c r="T1332" s="61">
        <f t="shared" ca="1" si="159"/>
        <v>19200</v>
      </c>
      <c r="U1332" s="61">
        <f t="shared" ca="1" si="160"/>
        <v>25321.218040268817</v>
      </c>
      <c r="V1332" s="39">
        <f t="shared" ca="1" si="161"/>
        <v>0.16658696079124222</v>
      </c>
      <c r="W1332" s="48">
        <f t="shared" ca="1" si="162"/>
        <v>2.4895721214408137</v>
      </c>
    </row>
    <row r="1333" spans="17:23" x14ac:dyDescent="0.2">
      <c r="Q1333">
        <f t="shared" si="163"/>
        <v>1317</v>
      </c>
      <c r="R1333" s="48">
        <f t="shared" ca="1" si="164"/>
        <v>0.4</v>
      </c>
      <c r="S1333">
        <f t="shared" ca="1" si="165"/>
        <v>183.0877206296251</v>
      </c>
      <c r="T1333" s="61">
        <f t="shared" ca="1" si="159"/>
        <v>19200</v>
      </c>
      <c r="U1333" s="61">
        <f t="shared" ca="1" si="160"/>
        <v>15882.105902220046</v>
      </c>
      <c r="V1333" s="39">
        <f t="shared" ca="1" si="161"/>
        <v>0.10448753883039504</v>
      </c>
      <c r="W1333" s="48">
        <f t="shared" ca="1" si="162"/>
        <v>1.2391449577120275</v>
      </c>
    </row>
    <row r="1334" spans="17:23" x14ac:dyDescent="0.2">
      <c r="Q1334">
        <f t="shared" si="163"/>
        <v>1318</v>
      </c>
      <c r="R1334" s="48">
        <f t="shared" ca="1" si="164"/>
        <v>0.4</v>
      </c>
      <c r="S1334">
        <f t="shared" ca="1" si="165"/>
        <v>213.24457574050246</v>
      </c>
      <c r="T1334" s="61">
        <f t="shared" ca="1" si="159"/>
        <v>19200</v>
      </c>
      <c r="U1334" s="61">
        <f t="shared" ca="1" si="160"/>
        <v>30357.396355441178</v>
      </c>
      <c r="V1334" s="39">
        <f t="shared" ca="1" si="161"/>
        <v>0.1997197128647446</v>
      </c>
      <c r="W1334" s="48">
        <f t="shared" ca="1" si="162"/>
        <v>3.3795047639406581</v>
      </c>
    </row>
    <row r="1335" spans="17:23" x14ac:dyDescent="0.2">
      <c r="Q1335">
        <f t="shared" si="163"/>
        <v>1319</v>
      </c>
      <c r="R1335" s="48">
        <f t="shared" ca="1" si="164"/>
        <v>0.45</v>
      </c>
      <c r="S1335">
        <f t="shared" ca="1" si="165"/>
        <v>206.40306347414383</v>
      </c>
      <c r="T1335" s="61">
        <f t="shared" ca="1" si="159"/>
        <v>21600</v>
      </c>
      <c r="U1335" s="61">
        <f t="shared" ca="1" si="160"/>
        <v>28817.34792862329</v>
      </c>
      <c r="V1335" s="39">
        <f t="shared" ca="1" si="161"/>
        <v>0.18958781531989008</v>
      </c>
      <c r="W1335" s="48">
        <f t="shared" ca="1" si="162"/>
        <v>3.0883629783296973</v>
      </c>
    </row>
    <row r="1336" spans="17:23" x14ac:dyDescent="0.2">
      <c r="Q1336">
        <f t="shared" si="163"/>
        <v>1320</v>
      </c>
      <c r="R1336" s="48">
        <f t="shared" ca="1" si="164"/>
        <v>0.45</v>
      </c>
      <c r="S1336">
        <f t="shared" ca="1" si="165"/>
        <v>203.9096211566158</v>
      </c>
      <c r="T1336" s="61">
        <f t="shared" ca="1" si="159"/>
        <v>21600</v>
      </c>
      <c r="U1336" s="61">
        <f t="shared" ca="1" si="160"/>
        <v>27720.233308910952</v>
      </c>
      <c r="V1336" s="39">
        <f t="shared" ca="1" si="161"/>
        <v>0.18236995597967731</v>
      </c>
      <c r="W1336" s="48">
        <f t="shared" ca="1" si="162"/>
        <v>2.8914440948047626</v>
      </c>
    </row>
    <row r="1337" spans="17:23" x14ac:dyDescent="0.2">
      <c r="Q1337">
        <f t="shared" si="163"/>
        <v>1321</v>
      </c>
      <c r="R1337" s="48">
        <f t="shared" ca="1" si="164"/>
        <v>0.4</v>
      </c>
      <c r="S1337">
        <f t="shared" ca="1" si="165"/>
        <v>185.99281981531496</v>
      </c>
      <c r="T1337" s="61">
        <f t="shared" ref="T1337:T1400" ca="1" si="166">($B$8-$B$7)*($E$6*R1337)</f>
        <v>19200</v>
      </c>
      <c r="U1337" s="61">
        <f t="shared" ref="U1337:U1400" ca="1" si="167">T1337+((S1337-$B$7)*($E$6*(1-R1337)))</f>
        <v>17276.55351135118</v>
      </c>
      <c r="V1337" s="39">
        <f t="shared" ref="V1337:V1400" ca="1" si="168">U1337/$E$4</f>
        <v>0.11366153625888933</v>
      </c>
      <c r="W1337" s="48">
        <f t="shared" ref="W1337:W1400" ca="1" si="169">(1+V1337)^($J$29/$J$30)-1</f>
        <v>1.3945315520772414</v>
      </c>
    </row>
    <row r="1338" spans="17:23" x14ac:dyDescent="0.2">
      <c r="Q1338">
        <f t="shared" si="163"/>
        <v>1322</v>
      </c>
      <c r="R1338" s="48">
        <f t="shared" ca="1" si="164"/>
        <v>0.3</v>
      </c>
      <c r="S1338">
        <f t="shared" ca="1" si="165"/>
        <v>215.50794958844287</v>
      </c>
      <c r="T1338" s="61">
        <f t="shared" ca="1" si="166"/>
        <v>14400</v>
      </c>
      <c r="U1338" s="61">
        <f t="shared" ca="1" si="167"/>
        <v>28684.451769528008</v>
      </c>
      <c r="V1338" s="39">
        <f t="shared" ca="1" si="168"/>
        <v>0.18871349848373689</v>
      </c>
      <c r="W1338" s="48">
        <f t="shared" ca="1" si="169"/>
        <v>3.064053959426758</v>
      </c>
    </row>
    <row r="1339" spans="17:23" x14ac:dyDescent="0.2">
      <c r="Q1339">
        <f t="shared" si="163"/>
        <v>1323</v>
      </c>
      <c r="R1339" s="48">
        <f t="shared" ca="1" si="164"/>
        <v>0.35</v>
      </c>
      <c r="S1339">
        <f t="shared" ca="1" si="165"/>
        <v>190.9715009723337</v>
      </c>
      <c r="T1339" s="61">
        <f t="shared" ca="1" si="166"/>
        <v>16800</v>
      </c>
      <c r="U1339" s="61">
        <f t="shared" ca="1" si="167"/>
        <v>17305.180505613524</v>
      </c>
      <c r="V1339" s="39">
        <f t="shared" ca="1" si="168"/>
        <v>0.11384987174745739</v>
      </c>
      <c r="W1339" s="48">
        <f t="shared" ca="1" si="169"/>
        <v>1.3978181078550493</v>
      </c>
    </row>
    <row r="1340" spans="17:23" x14ac:dyDescent="0.2">
      <c r="Q1340">
        <f t="shared" si="163"/>
        <v>1324</v>
      </c>
      <c r="R1340" s="48">
        <f t="shared" ca="1" si="164"/>
        <v>0.35</v>
      </c>
      <c r="S1340">
        <f t="shared" ca="1" si="165"/>
        <v>202.93015386397246</v>
      </c>
      <c r="T1340" s="61">
        <f t="shared" ca="1" si="166"/>
        <v>16800</v>
      </c>
      <c r="U1340" s="61">
        <f t="shared" ca="1" si="167"/>
        <v>23523.680009265681</v>
      </c>
      <c r="V1340" s="39">
        <f t="shared" ca="1" si="168"/>
        <v>0.15476105269253737</v>
      </c>
      <c r="W1340" s="48">
        <f t="shared" ca="1" si="169"/>
        <v>2.2127770716309851</v>
      </c>
    </row>
    <row r="1341" spans="17:23" x14ac:dyDescent="0.2">
      <c r="Q1341">
        <f t="shared" si="163"/>
        <v>1325</v>
      </c>
      <c r="R1341" s="48">
        <f t="shared" ca="1" si="164"/>
        <v>0.35</v>
      </c>
      <c r="S1341">
        <f t="shared" ca="1" si="165"/>
        <v>181.5656832351284</v>
      </c>
      <c r="T1341" s="61">
        <f t="shared" ca="1" si="166"/>
        <v>16800</v>
      </c>
      <c r="U1341" s="61">
        <f t="shared" ca="1" si="167"/>
        <v>12414.155282266769</v>
      </c>
      <c r="V1341" s="39">
        <f t="shared" ca="1" si="168"/>
        <v>8.1672074225439276E-2</v>
      </c>
      <c r="W1341" s="48">
        <f t="shared" ca="1" si="169"/>
        <v>0.89039840648141833</v>
      </c>
    </row>
    <row r="1342" spans="17:23" x14ac:dyDescent="0.2">
      <c r="Q1342">
        <f t="shared" si="163"/>
        <v>1326</v>
      </c>
      <c r="R1342" s="48">
        <f t="shared" ca="1" si="164"/>
        <v>0.35</v>
      </c>
      <c r="S1342">
        <f t="shared" ca="1" si="165"/>
        <v>190.44068807165476</v>
      </c>
      <c r="T1342" s="61">
        <f t="shared" ca="1" si="166"/>
        <v>16800</v>
      </c>
      <c r="U1342" s="61">
        <f t="shared" ca="1" si="167"/>
        <v>17029.157797260475</v>
      </c>
      <c r="V1342" s="39">
        <f t="shared" ca="1" si="168"/>
        <v>0.11203393287671365</v>
      </c>
      <c r="W1342" s="48">
        <f t="shared" ca="1" si="169"/>
        <v>1.3662931338511379</v>
      </c>
    </row>
    <row r="1343" spans="17:23" x14ac:dyDescent="0.2">
      <c r="Q1343">
        <f t="shared" si="163"/>
        <v>1327</v>
      </c>
      <c r="R1343" s="48">
        <f t="shared" ca="1" si="164"/>
        <v>0.3</v>
      </c>
      <c r="S1343">
        <f t="shared" ca="1" si="165"/>
        <v>230.96805130864226</v>
      </c>
      <c r="T1343" s="61">
        <f t="shared" ca="1" si="166"/>
        <v>14400</v>
      </c>
      <c r="U1343" s="61">
        <f t="shared" ca="1" si="167"/>
        <v>37342.108732839668</v>
      </c>
      <c r="V1343" s="39">
        <f t="shared" ca="1" si="168"/>
        <v>0.24567176797920834</v>
      </c>
      <c r="W1343" s="48">
        <f t="shared" ca="1" si="169"/>
        <v>4.9405872085908182</v>
      </c>
    </row>
    <row r="1344" spans="17:23" x14ac:dyDescent="0.2">
      <c r="Q1344">
        <f t="shared" si="163"/>
        <v>1328</v>
      </c>
      <c r="R1344" s="48">
        <f t="shared" ca="1" si="164"/>
        <v>0.35</v>
      </c>
      <c r="S1344">
        <f t="shared" ca="1" si="165"/>
        <v>185.76347744719806</v>
      </c>
      <c r="T1344" s="61">
        <f t="shared" ca="1" si="166"/>
        <v>16800</v>
      </c>
      <c r="U1344" s="61">
        <f t="shared" ca="1" si="167"/>
        <v>14597.008272542989</v>
      </c>
      <c r="V1344" s="39">
        <f t="shared" ca="1" si="168"/>
        <v>9.6032949161467041E-2</v>
      </c>
      <c r="W1344" s="48">
        <f t="shared" ca="1" si="169"/>
        <v>1.1038449367240397</v>
      </c>
    </row>
    <row r="1345" spans="17:23" x14ac:dyDescent="0.2">
      <c r="Q1345">
        <f t="shared" si="163"/>
        <v>1329</v>
      </c>
      <c r="R1345" s="48">
        <f t="shared" ca="1" si="164"/>
        <v>0.4</v>
      </c>
      <c r="S1345">
        <f t="shared" ca="1" si="165"/>
        <v>186.50491443366423</v>
      </c>
      <c r="T1345" s="61">
        <f t="shared" ca="1" si="166"/>
        <v>19200</v>
      </c>
      <c r="U1345" s="61">
        <f t="shared" ca="1" si="167"/>
        <v>17522.358928158828</v>
      </c>
      <c r="V1345" s="39">
        <f t="shared" ca="1" si="168"/>
        <v>0.11527867715893966</v>
      </c>
      <c r="W1345" s="48">
        <f t="shared" ca="1" si="169"/>
        <v>1.4228806118854331</v>
      </c>
    </row>
    <row r="1346" spans="17:23" x14ac:dyDescent="0.2">
      <c r="Q1346">
        <f t="shared" si="163"/>
        <v>1330</v>
      </c>
      <c r="R1346" s="48">
        <f t="shared" ca="1" si="164"/>
        <v>0.5</v>
      </c>
      <c r="S1346">
        <f t="shared" ca="1" si="165"/>
        <v>168.02598870643581</v>
      </c>
      <c r="T1346" s="61">
        <f t="shared" ca="1" si="166"/>
        <v>24000</v>
      </c>
      <c r="U1346" s="61">
        <f t="shared" ca="1" si="167"/>
        <v>15210.395482574324</v>
      </c>
      <c r="V1346" s="39">
        <f t="shared" ca="1" si="168"/>
        <v>0.10006839133272581</v>
      </c>
      <c r="W1346" s="48">
        <f t="shared" ca="1" si="169"/>
        <v>1.1675028454740994</v>
      </c>
    </row>
    <row r="1347" spans="17:23" x14ac:dyDescent="0.2">
      <c r="Q1347">
        <f t="shared" si="163"/>
        <v>1331</v>
      </c>
      <c r="R1347" s="48">
        <f t="shared" ca="1" si="164"/>
        <v>0.217</v>
      </c>
      <c r="S1347">
        <f t="shared" ca="1" si="165"/>
        <v>221.04118410044126</v>
      </c>
      <c r="T1347" s="61">
        <f t="shared" ca="1" si="166"/>
        <v>10416</v>
      </c>
      <c r="U1347" s="61">
        <f t="shared" ca="1" si="167"/>
        <v>29860.197720516404</v>
      </c>
      <c r="V1347" s="39">
        <f t="shared" ca="1" si="168"/>
        <v>0.1964486692139237</v>
      </c>
      <c r="W1347" s="48">
        <f t="shared" ca="1" si="169"/>
        <v>3.2835857444634806</v>
      </c>
    </row>
    <row r="1348" spans="17:23" x14ac:dyDescent="0.2">
      <c r="Q1348">
        <f t="shared" si="163"/>
        <v>1332</v>
      </c>
      <c r="R1348" s="48">
        <f t="shared" ca="1" si="164"/>
        <v>0.45</v>
      </c>
      <c r="S1348">
        <f t="shared" ca="1" si="165"/>
        <v>200.85909265547758</v>
      </c>
      <c r="T1348" s="61">
        <f t="shared" ca="1" si="166"/>
        <v>21600</v>
      </c>
      <c r="U1348" s="61">
        <f t="shared" ca="1" si="167"/>
        <v>26378.000768410137</v>
      </c>
      <c r="V1348" s="39">
        <f t="shared" ca="1" si="168"/>
        <v>0.17353947873954037</v>
      </c>
      <c r="W1348" s="48">
        <f t="shared" ca="1" si="169"/>
        <v>2.6618757178164882</v>
      </c>
    </row>
    <row r="1349" spans="17:23" x14ac:dyDescent="0.2">
      <c r="Q1349">
        <f t="shared" si="163"/>
        <v>1333</v>
      </c>
      <c r="R1349" s="48">
        <f t="shared" ca="1" si="164"/>
        <v>0.35</v>
      </c>
      <c r="S1349">
        <f t="shared" ca="1" si="165"/>
        <v>215.79706657488026</v>
      </c>
      <c r="T1349" s="61">
        <f t="shared" ca="1" si="166"/>
        <v>16800</v>
      </c>
      <c r="U1349" s="61">
        <f t="shared" ca="1" si="167"/>
        <v>30214.474618937737</v>
      </c>
      <c r="V1349" s="39">
        <f t="shared" ca="1" si="168"/>
        <v>0.19877943828248512</v>
      </c>
      <c r="W1349" s="48">
        <f t="shared" ca="1" si="169"/>
        <v>3.3517415157917734</v>
      </c>
    </row>
    <row r="1350" spans="17:23" x14ac:dyDescent="0.2">
      <c r="Q1350">
        <f t="shared" si="163"/>
        <v>1334</v>
      </c>
      <c r="R1350" s="48">
        <f t="shared" ca="1" si="164"/>
        <v>0.217</v>
      </c>
      <c r="S1350">
        <f t="shared" ca="1" si="165"/>
        <v>193.13932197785843</v>
      </c>
      <c r="T1350" s="61">
        <f t="shared" ca="1" si="166"/>
        <v>10416</v>
      </c>
      <c r="U1350" s="61">
        <f t="shared" ca="1" si="167"/>
        <v>12382.47128693052</v>
      </c>
      <c r="V1350" s="39">
        <f t="shared" ca="1" si="168"/>
        <v>8.1463626887700785E-2</v>
      </c>
      <c r="W1350" s="48">
        <f t="shared" ca="1" si="169"/>
        <v>0.8874455871803868</v>
      </c>
    </row>
    <row r="1351" spans="17:23" x14ac:dyDescent="0.2">
      <c r="Q1351">
        <f t="shared" si="163"/>
        <v>1335</v>
      </c>
      <c r="R1351" s="48">
        <f t="shared" ca="1" si="164"/>
        <v>0.35</v>
      </c>
      <c r="S1351">
        <f t="shared" ca="1" si="165"/>
        <v>185.7020493906613</v>
      </c>
      <c r="T1351" s="61">
        <f t="shared" ca="1" si="166"/>
        <v>16800</v>
      </c>
      <c r="U1351" s="61">
        <f t="shared" ca="1" si="167"/>
        <v>14565.065683143876</v>
      </c>
      <c r="V1351" s="39">
        <f t="shared" ca="1" si="168"/>
        <v>9.5822800546999182E-2</v>
      </c>
      <c r="W1351" s="48">
        <f t="shared" ca="1" si="169"/>
        <v>1.1005752891552678</v>
      </c>
    </row>
    <row r="1352" spans="17:23" x14ac:dyDescent="0.2">
      <c r="Q1352">
        <f t="shared" si="163"/>
        <v>1336</v>
      </c>
      <c r="R1352" s="48">
        <f t="shared" ca="1" si="164"/>
        <v>0.45</v>
      </c>
      <c r="S1352">
        <f t="shared" ca="1" si="165"/>
        <v>186.59113405324709</v>
      </c>
      <c r="T1352" s="61">
        <f t="shared" ca="1" si="166"/>
        <v>21600</v>
      </c>
      <c r="U1352" s="61">
        <f t="shared" ca="1" si="167"/>
        <v>20100.098983428717</v>
      </c>
      <c r="V1352" s="39">
        <f t="shared" ca="1" si="168"/>
        <v>0.13223749331203102</v>
      </c>
      <c r="W1352" s="48">
        <f t="shared" ca="1" si="169"/>
        <v>1.7383774919598944</v>
      </c>
    </row>
    <row r="1353" spans="17:23" x14ac:dyDescent="0.2">
      <c r="Q1353">
        <f t="shared" si="163"/>
        <v>1337</v>
      </c>
      <c r="R1353" s="48">
        <f t="shared" ca="1" si="164"/>
        <v>0.35</v>
      </c>
      <c r="S1353">
        <f t="shared" ca="1" si="165"/>
        <v>202.94572745185602</v>
      </c>
      <c r="T1353" s="61">
        <f t="shared" ca="1" si="166"/>
        <v>16800</v>
      </c>
      <c r="U1353" s="61">
        <f t="shared" ca="1" si="167"/>
        <v>23531.778274965127</v>
      </c>
      <c r="V1353" s="39">
        <f t="shared" ca="1" si="168"/>
        <v>0.15481433075634951</v>
      </c>
      <c r="W1353" s="48">
        <f t="shared" ca="1" si="169"/>
        <v>2.2139795810676306</v>
      </c>
    </row>
    <row r="1354" spans="17:23" x14ac:dyDescent="0.2">
      <c r="Q1354">
        <f t="shared" si="163"/>
        <v>1338</v>
      </c>
      <c r="R1354" s="48">
        <f t="shared" ca="1" si="164"/>
        <v>0.4</v>
      </c>
      <c r="S1354">
        <f t="shared" ca="1" si="165"/>
        <v>164.80220881935986</v>
      </c>
      <c r="T1354" s="61">
        <f t="shared" ca="1" si="166"/>
        <v>19200</v>
      </c>
      <c r="U1354" s="61">
        <f t="shared" ca="1" si="167"/>
        <v>7105.0602332927338</v>
      </c>
      <c r="V1354" s="39">
        <f t="shared" ca="1" si="168"/>
        <v>4.67438173242943E-2</v>
      </c>
      <c r="W1354" s="48">
        <f t="shared" ca="1" si="169"/>
        <v>0.44853076789348956</v>
      </c>
    </row>
    <row r="1355" spans="17:23" x14ac:dyDescent="0.2">
      <c r="Q1355">
        <f t="shared" si="163"/>
        <v>1339</v>
      </c>
      <c r="R1355" s="48">
        <f t="shared" ca="1" si="164"/>
        <v>0.45</v>
      </c>
      <c r="S1355">
        <f t="shared" ca="1" si="165"/>
        <v>203.41427007097317</v>
      </c>
      <c r="T1355" s="61">
        <f t="shared" ca="1" si="166"/>
        <v>21600</v>
      </c>
      <c r="U1355" s="61">
        <f t="shared" ca="1" si="167"/>
        <v>27502.278831228199</v>
      </c>
      <c r="V1355" s="39">
        <f t="shared" ca="1" si="168"/>
        <v>0.18093604494229079</v>
      </c>
      <c r="W1355" s="48">
        <f t="shared" ca="1" si="169"/>
        <v>2.8533297998025402</v>
      </c>
    </row>
    <row r="1356" spans="17:23" x14ac:dyDescent="0.2">
      <c r="Q1356">
        <f t="shared" si="163"/>
        <v>1340</v>
      </c>
      <c r="R1356" s="48">
        <f t="shared" ca="1" si="164"/>
        <v>0.217</v>
      </c>
      <c r="S1356">
        <f t="shared" ca="1" si="165"/>
        <v>228.132346527767</v>
      </c>
      <c r="T1356" s="61">
        <f t="shared" ca="1" si="166"/>
        <v>10416</v>
      </c>
      <c r="U1356" s="61">
        <f t="shared" ca="1" si="167"/>
        <v>34302.101864993252</v>
      </c>
      <c r="V1356" s="39">
        <f t="shared" ca="1" si="168"/>
        <v>0.22567172279600825</v>
      </c>
      <c r="W1356" s="48">
        <f t="shared" ca="1" si="169"/>
        <v>4.2096996429912448</v>
      </c>
    </row>
    <row r="1357" spans="17:23" x14ac:dyDescent="0.2">
      <c r="Q1357">
        <f t="shared" si="163"/>
        <v>1341</v>
      </c>
      <c r="R1357" s="48">
        <f t="shared" ca="1" si="164"/>
        <v>0.3</v>
      </c>
      <c r="S1357">
        <f t="shared" ca="1" si="165"/>
        <v>214.07931071023356</v>
      </c>
      <c r="T1357" s="61">
        <f t="shared" ca="1" si="166"/>
        <v>14400</v>
      </c>
      <c r="U1357" s="61">
        <f t="shared" ca="1" si="167"/>
        <v>27884.413997730793</v>
      </c>
      <c r="V1357" s="39">
        <f t="shared" ca="1" si="168"/>
        <v>0.18345009209033417</v>
      </c>
      <c r="W1357" s="48">
        <f t="shared" ca="1" si="169"/>
        <v>2.9203726818433653</v>
      </c>
    </row>
    <row r="1358" spans="17:23" x14ac:dyDescent="0.2">
      <c r="Q1358">
        <f t="shared" si="163"/>
        <v>1342</v>
      </c>
      <c r="R1358" s="48">
        <f t="shared" ca="1" si="164"/>
        <v>0.3</v>
      </c>
      <c r="S1358">
        <f t="shared" ca="1" si="165"/>
        <v>198.16181978340862</v>
      </c>
      <c r="T1358" s="61">
        <f t="shared" ca="1" si="166"/>
        <v>14400</v>
      </c>
      <c r="U1358" s="61">
        <f t="shared" ca="1" si="167"/>
        <v>18970.619078708827</v>
      </c>
      <c r="V1358" s="39">
        <f t="shared" ca="1" si="168"/>
        <v>0.12480670446518966</v>
      </c>
      <c r="W1358" s="48">
        <f t="shared" ca="1" si="169"/>
        <v>1.5959629649204587</v>
      </c>
    </row>
    <row r="1359" spans="17:23" x14ac:dyDescent="0.2">
      <c r="Q1359">
        <f t="shared" si="163"/>
        <v>1343</v>
      </c>
      <c r="R1359" s="48">
        <f t="shared" ca="1" si="164"/>
        <v>0.15</v>
      </c>
      <c r="S1359">
        <f t="shared" ca="1" si="165"/>
        <v>205.93384565040355</v>
      </c>
      <c r="T1359" s="61">
        <f t="shared" ca="1" si="166"/>
        <v>7200</v>
      </c>
      <c r="U1359" s="61">
        <f t="shared" ca="1" si="167"/>
        <v>18035.015042274419</v>
      </c>
      <c r="V1359" s="39">
        <f t="shared" ca="1" si="168"/>
        <v>0.11865141475180539</v>
      </c>
      <c r="W1359" s="48">
        <f t="shared" ca="1" si="169"/>
        <v>1.4829543813603379</v>
      </c>
    </row>
    <row r="1360" spans="17:23" x14ac:dyDescent="0.2">
      <c r="Q1360">
        <f t="shared" si="163"/>
        <v>1344</v>
      </c>
      <c r="R1360" s="48">
        <f t="shared" ca="1" si="164"/>
        <v>0.3</v>
      </c>
      <c r="S1360">
        <f t="shared" ca="1" si="165"/>
        <v>169.34972589572888</v>
      </c>
      <c r="T1360" s="61">
        <f t="shared" ca="1" si="166"/>
        <v>14400</v>
      </c>
      <c r="U1360" s="61">
        <f t="shared" ca="1" si="167"/>
        <v>2835.8465016081736</v>
      </c>
      <c r="V1360" s="39">
        <f t="shared" ca="1" si="168"/>
        <v>1.8656884879001141E-2</v>
      </c>
      <c r="W1360" s="48">
        <f t="shared" ca="1" si="169"/>
        <v>0.16175724712104533</v>
      </c>
    </row>
    <row r="1361" spans="17:23" x14ac:dyDescent="0.2">
      <c r="Q1361">
        <f t="shared" si="163"/>
        <v>1345</v>
      </c>
      <c r="R1361" s="48">
        <f t="shared" ca="1" si="164"/>
        <v>0.3</v>
      </c>
      <c r="S1361">
        <f t="shared" ca="1" si="165"/>
        <v>160.2912087191163</v>
      </c>
      <c r="T1361" s="61">
        <f t="shared" ca="1" si="166"/>
        <v>14400</v>
      </c>
      <c r="U1361" s="61">
        <f t="shared" ca="1" si="167"/>
        <v>-2236.9231172948712</v>
      </c>
      <c r="V1361" s="39">
        <f t="shared" ca="1" si="168"/>
        <v>-1.4716599455887311E-2</v>
      </c>
      <c r="W1361" s="48">
        <f t="shared" ca="1" si="169"/>
        <v>-0.11330572792819116</v>
      </c>
    </row>
    <row r="1362" spans="17:23" x14ac:dyDescent="0.2">
      <c r="Q1362">
        <f t="shared" si="163"/>
        <v>1346</v>
      </c>
      <c r="R1362" s="48">
        <f t="shared" ca="1" si="164"/>
        <v>0.5</v>
      </c>
      <c r="S1362">
        <f t="shared" ca="1" si="165"/>
        <v>190.98775007079857</v>
      </c>
      <c r="T1362" s="61">
        <f t="shared" ca="1" si="166"/>
        <v>24000</v>
      </c>
      <c r="U1362" s="61">
        <f t="shared" ca="1" si="167"/>
        <v>24395.100028319426</v>
      </c>
      <c r="V1362" s="39">
        <f t="shared" ca="1" si="168"/>
        <v>0.16049407913368044</v>
      </c>
      <c r="W1362" s="48">
        <f t="shared" ca="1" si="169"/>
        <v>2.3444597973520893</v>
      </c>
    </row>
    <row r="1363" spans="17:23" x14ac:dyDescent="0.2">
      <c r="Q1363">
        <f t="shared" ref="Q1363:Q1426" si="170">Q1362+1</f>
        <v>1347</v>
      </c>
      <c r="R1363" s="48">
        <f t="shared" ref="R1363:R1426" ca="1" si="171">LOOKUP(RAND(),$U$6:$U$12,$S$6:$S$12)</f>
        <v>0.217</v>
      </c>
      <c r="S1363">
        <f t="shared" ref="S1363:S1426" ca="1" si="172">_xlfn.NORM.INV(RAND(),$Q$5,$Q$10)</f>
        <v>154.58650621634715</v>
      </c>
      <c r="T1363" s="61">
        <f t="shared" ca="1" si="166"/>
        <v>10416</v>
      </c>
      <c r="U1363" s="61">
        <f t="shared" ca="1" si="167"/>
        <v>-11767.012506080147</v>
      </c>
      <c r="V1363" s="39">
        <f t="shared" ca="1" si="168"/>
        <v>-7.7414555961053608E-2</v>
      </c>
      <c r="W1363" s="48">
        <f t="shared" ca="1" si="169"/>
        <v>-0.47980684798457984</v>
      </c>
    </row>
    <row r="1364" spans="17:23" x14ac:dyDescent="0.2">
      <c r="Q1364">
        <f t="shared" si="170"/>
        <v>1348</v>
      </c>
      <c r="R1364" s="48">
        <f t="shared" ca="1" si="171"/>
        <v>0.35</v>
      </c>
      <c r="S1364">
        <f t="shared" ca="1" si="172"/>
        <v>202.64203587506242</v>
      </c>
      <c r="T1364" s="61">
        <f t="shared" ca="1" si="166"/>
        <v>16800</v>
      </c>
      <c r="U1364" s="61">
        <f t="shared" ca="1" si="167"/>
        <v>23373.858655032458</v>
      </c>
      <c r="V1364" s="39">
        <f t="shared" ca="1" si="168"/>
        <v>0.15377538588837145</v>
      </c>
      <c r="W1364" s="48">
        <f t="shared" ca="1" si="169"/>
        <v>2.1906011747454759</v>
      </c>
    </row>
    <row r="1365" spans="17:23" x14ac:dyDescent="0.2">
      <c r="Q1365">
        <f t="shared" si="170"/>
        <v>1349</v>
      </c>
      <c r="R1365" s="48">
        <f t="shared" ca="1" si="171"/>
        <v>0.3</v>
      </c>
      <c r="S1365">
        <f t="shared" ca="1" si="172"/>
        <v>179.24358271006366</v>
      </c>
      <c r="T1365" s="61">
        <f t="shared" ca="1" si="166"/>
        <v>14400</v>
      </c>
      <c r="U1365" s="61">
        <f t="shared" ca="1" si="167"/>
        <v>8376.4063176356503</v>
      </c>
      <c r="V1365" s="39">
        <f t="shared" ca="1" si="168"/>
        <v>5.5107936300234542E-2</v>
      </c>
      <c r="W1365" s="48">
        <f t="shared" ca="1" si="169"/>
        <v>0.54512514812729718</v>
      </c>
    </row>
    <row r="1366" spans="17:23" x14ac:dyDescent="0.2">
      <c r="Q1366">
        <f t="shared" si="170"/>
        <v>1350</v>
      </c>
      <c r="R1366" s="48">
        <f t="shared" ca="1" si="171"/>
        <v>0.3</v>
      </c>
      <c r="S1366">
        <f t="shared" ca="1" si="172"/>
        <v>149.62958893537785</v>
      </c>
      <c r="T1366" s="61">
        <f t="shared" ca="1" si="166"/>
        <v>14400</v>
      </c>
      <c r="U1366" s="61">
        <f t="shared" ca="1" si="167"/>
        <v>-8207.4301961884012</v>
      </c>
      <c r="V1366" s="39">
        <f t="shared" ca="1" si="168"/>
        <v>-5.3996251290713164E-2</v>
      </c>
      <c r="W1366" s="48">
        <f t="shared" ca="1" si="169"/>
        <v>-0.36252334136708875</v>
      </c>
    </row>
    <row r="1367" spans="17:23" x14ac:dyDescent="0.2">
      <c r="Q1367">
        <f t="shared" si="170"/>
        <v>1351</v>
      </c>
      <c r="R1367" s="48">
        <f t="shared" ca="1" si="171"/>
        <v>0.4</v>
      </c>
      <c r="S1367">
        <f t="shared" ca="1" si="172"/>
        <v>191.56741761196849</v>
      </c>
      <c r="T1367" s="61">
        <f t="shared" ca="1" si="166"/>
        <v>19200</v>
      </c>
      <c r="U1367" s="61">
        <f t="shared" ca="1" si="167"/>
        <v>19952.360453744877</v>
      </c>
      <c r="V1367" s="39">
        <f t="shared" ca="1" si="168"/>
        <v>0.13126552930095314</v>
      </c>
      <c r="W1367" s="48">
        <f t="shared" ca="1" si="169"/>
        <v>1.7193684145334189</v>
      </c>
    </row>
    <row r="1368" spans="17:23" x14ac:dyDescent="0.2">
      <c r="Q1368">
        <f t="shared" si="170"/>
        <v>1352</v>
      </c>
      <c r="R1368" s="48">
        <f t="shared" ca="1" si="171"/>
        <v>0.217</v>
      </c>
      <c r="S1368">
        <f t="shared" ca="1" si="172"/>
        <v>197.80258500863263</v>
      </c>
      <c r="T1368" s="61">
        <f t="shared" ca="1" si="166"/>
        <v>10416</v>
      </c>
      <c r="U1368" s="61">
        <f t="shared" ca="1" si="167"/>
        <v>15303.53924940748</v>
      </c>
      <c r="V1368" s="39">
        <f t="shared" ca="1" si="168"/>
        <v>0.10068117927241764</v>
      </c>
      <c r="W1368" s="48">
        <f t="shared" ca="1" si="169"/>
        <v>1.1773155978673486</v>
      </c>
    </row>
    <row r="1369" spans="17:23" x14ac:dyDescent="0.2">
      <c r="Q1369">
        <f t="shared" si="170"/>
        <v>1353</v>
      </c>
      <c r="R1369" s="48">
        <f t="shared" ca="1" si="171"/>
        <v>0.5</v>
      </c>
      <c r="S1369">
        <f t="shared" ca="1" si="172"/>
        <v>159.18875310025084</v>
      </c>
      <c r="T1369" s="61">
        <f t="shared" ca="1" si="166"/>
        <v>24000</v>
      </c>
      <c r="U1369" s="61">
        <f t="shared" ca="1" si="167"/>
        <v>11675.501240100333</v>
      </c>
      <c r="V1369" s="39">
        <f t="shared" ca="1" si="168"/>
        <v>7.6812508158554824E-2</v>
      </c>
      <c r="W1369" s="48">
        <f t="shared" ca="1" si="169"/>
        <v>0.82260204982608665</v>
      </c>
    </row>
    <row r="1370" spans="17:23" x14ac:dyDescent="0.2">
      <c r="Q1370">
        <f t="shared" si="170"/>
        <v>1354</v>
      </c>
      <c r="R1370" s="48">
        <f t="shared" ca="1" si="171"/>
        <v>0.35</v>
      </c>
      <c r="S1370">
        <f t="shared" ca="1" si="172"/>
        <v>182.878151719024</v>
      </c>
      <c r="T1370" s="61">
        <f t="shared" ca="1" si="166"/>
        <v>16800</v>
      </c>
      <c r="U1370" s="61">
        <f t="shared" ca="1" si="167"/>
        <v>13096.638893892483</v>
      </c>
      <c r="V1370" s="39">
        <f t="shared" ca="1" si="168"/>
        <v>8.616209798613475E-2</v>
      </c>
      <c r="W1370" s="48">
        <f t="shared" ca="1" si="169"/>
        <v>0.95499407106448975</v>
      </c>
    </row>
    <row r="1371" spans="17:23" x14ac:dyDescent="0.2">
      <c r="Q1371">
        <f t="shared" si="170"/>
        <v>1355</v>
      </c>
      <c r="R1371" s="48">
        <f t="shared" ca="1" si="171"/>
        <v>0.5</v>
      </c>
      <c r="S1371">
        <f t="shared" ca="1" si="172"/>
        <v>191.05454183531407</v>
      </c>
      <c r="T1371" s="61">
        <f t="shared" ca="1" si="166"/>
        <v>24000</v>
      </c>
      <c r="U1371" s="61">
        <f t="shared" ca="1" si="167"/>
        <v>24421.816734125627</v>
      </c>
      <c r="V1371" s="39">
        <f t="shared" ca="1" si="168"/>
        <v>0.16066984693503703</v>
      </c>
      <c r="W1371" s="48">
        <f t="shared" ca="1" si="169"/>
        <v>2.3485706944728335</v>
      </c>
    </row>
    <row r="1372" spans="17:23" x14ac:dyDescent="0.2">
      <c r="Q1372">
        <f t="shared" si="170"/>
        <v>1356</v>
      </c>
      <c r="R1372" s="48">
        <f t="shared" ca="1" si="171"/>
        <v>0.35</v>
      </c>
      <c r="S1372">
        <f t="shared" ca="1" si="172"/>
        <v>254.22448235429636</v>
      </c>
      <c r="T1372" s="61">
        <f t="shared" ca="1" si="166"/>
        <v>16800</v>
      </c>
      <c r="U1372" s="61">
        <f t="shared" ca="1" si="167"/>
        <v>50196.730824234102</v>
      </c>
      <c r="V1372" s="39">
        <f t="shared" ca="1" si="168"/>
        <v>0.33024165015943491</v>
      </c>
      <c r="W1372" s="48">
        <f t="shared" ca="1" si="169"/>
        <v>9.1207895128263416</v>
      </c>
    </row>
    <row r="1373" spans="17:23" x14ac:dyDescent="0.2">
      <c r="Q1373">
        <f t="shared" si="170"/>
        <v>1357</v>
      </c>
      <c r="R1373" s="48">
        <f t="shared" ca="1" si="171"/>
        <v>0.35</v>
      </c>
      <c r="S1373">
        <f t="shared" ca="1" si="172"/>
        <v>239.93430181686534</v>
      </c>
      <c r="T1373" s="61">
        <f t="shared" ca="1" si="166"/>
        <v>16800</v>
      </c>
      <c r="U1373" s="61">
        <f t="shared" ca="1" si="167"/>
        <v>42765.836944769981</v>
      </c>
      <c r="V1373" s="39">
        <f t="shared" ca="1" si="168"/>
        <v>0.28135419042611831</v>
      </c>
      <c r="W1373" s="48">
        <f t="shared" ca="1" si="169"/>
        <v>6.4699344671687031</v>
      </c>
    </row>
    <row r="1374" spans="17:23" x14ac:dyDescent="0.2">
      <c r="Q1374">
        <f t="shared" si="170"/>
        <v>1358</v>
      </c>
      <c r="R1374" s="48">
        <f t="shared" ca="1" si="171"/>
        <v>0.3</v>
      </c>
      <c r="S1374">
        <f t="shared" ca="1" si="172"/>
        <v>191.06964199352944</v>
      </c>
      <c r="T1374" s="61">
        <f t="shared" ca="1" si="166"/>
        <v>14400</v>
      </c>
      <c r="U1374" s="61">
        <f t="shared" ca="1" si="167"/>
        <v>14998.999516376489</v>
      </c>
      <c r="V1374" s="39">
        <f t="shared" ca="1" si="168"/>
        <v>9.8677628397213737E-2</v>
      </c>
      <c r="W1374" s="48">
        <f t="shared" ca="1" si="169"/>
        <v>1.1453758785813326</v>
      </c>
    </row>
    <row r="1375" spans="17:23" x14ac:dyDescent="0.2">
      <c r="Q1375">
        <f t="shared" si="170"/>
        <v>1359</v>
      </c>
      <c r="R1375" s="48">
        <f t="shared" ca="1" si="171"/>
        <v>0.4</v>
      </c>
      <c r="S1375">
        <f t="shared" ca="1" si="172"/>
        <v>200.45471866208302</v>
      </c>
      <c r="T1375" s="61">
        <f t="shared" ca="1" si="166"/>
        <v>19200</v>
      </c>
      <c r="U1375" s="61">
        <f t="shared" ca="1" si="167"/>
        <v>24218.264957799853</v>
      </c>
      <c r="V1375" s="39">
        <f t="shared" ca="1" si="168"/>
        <v>0.15933069051184115</v>
      </c>
      <c r="W1375" s="48">
        <f t="shared" ca="1" si="169"/>
        <v>2.3173615871792652</v>
      </c>
    </row>
    <row r="1376" spans="17:23" x14ac:dyDescent="0.2">
      <c r="Q1376">
        <f t="shared" si="170"/>
        <v>1360</v>
      </c>
      <c r="R1376" s="48">
        <f t="shared" ca="1" si="171"/>
        <v>0.45</v>
      </c>
      <c r="S1376">
        <f t="shared" ca="1" si="172"/>
        <v>210.56973554147319</v>
      </c>
      <c r="T1376" s="61">
        <f t="shared" ca="1" si="166"/>
        <v>21600</v>
      </c>
      <c r="U1376" s="61">
        <f t="shared" ca="1" si="167"/>
        <v>30650.683638248207</v>
      </c>
      <c r="V1376" s="39">
        <f t="shared" ca="1" si="168"/>
        <v>0.20164923446215927</v>
      </c>
      <c r="W1376" s="48">
        <f t="shared" ca="1" si="169"/>
        <v>3.4369639832817711</v>
      </c>
    </row>
    <row r="1377" spans="17:23" x14ac:dyDescent="0.2">
      <c r="Q1377">
        <f t="shared" si="170"/>
        <v>1361</v>
      </c>
      <c r="R1377" s="48">
        <f t="shared" ca="1" si="171"/>
        <v>0.3</v>
      </c>
      <c r="S1377">
        <f t="shared" ca="1" si="172"/>
        <v>175.23335490988168</v>
      </c>
      <c r="T1377" s="61">
        <f t="shared" ca="1" si="166"/>
        <v>14400</v>
      </c>
      <c r="U1377" s="61">
        <f t="shared" ca="1" si="167"/>
        <v>6130.678749533743</v>
      </c>
      <c r="V1377" s="39">
        <f t="shared" ca="1" si="168"/>
        <v>4.0333412825879891E-2</v>
      </c>
      <c r="W1377" s="48">
        <f t="shared" ca="1" si="169"/>
        <v>0.37812445003612716</v>
      </c>
    </row>
    <row r="1378" spans="17:23" x14ac:dyDescent="0.2">
      <c r="Q1378">
        <f t="shared" si="170"/>
        <v>1362</v>
      </c>
      <c r="R1378" s="48">
        <f t="shared" ca="1" si="171"/>
        <v>0.15</v>
      </c>
      <c r="S1378">
        <f t="shared" ca="1" si="172"/>
        <v>217.29671297755152</v>
      </c>
      <c r="T1378" s="61">
        <f t="shared" ca="1" si="166"/>
        <v>7200</v>
      </c>
      <c r="U1378" s="61">
        <f t="shared" ca="1" si="167"/>
        <v>25761.764824735033</v>
      </c>
      <c r="V1378" s="39">
        <f t="shared" ca="1" si="168"/>
        <v>0.16948529489957259</v>
      </c>
      <c r="W1378" s="48">
        <f t="shared" ca="1" si="169"/>
        <v>2.5605172717751037</v>
      </c>
    </row>
    <row r="1379" spans="17:23" x14ac:dyDescent="0.2">
      <c r="Q1379">
        <f t="shared" si="170"/>
        <v>1363</v>
      </c>
      <c r="R1379" s="48">
        <f t="shared" ca="1" si="171"/>
        <v>0.45</v>
      </c>
      <c r="S1379">
        <f t="shared" ca="1" si="172"/>
        <v>194.78380397016133</v>
      </c>
      <c r="T1379" s="61">
        <f t="shared" ca="1" si="166"/>
        <v>21600</v>
      </c>
      <c r="U1379" s="61">
        <f t="shared" ca="1" si="167"/>
        <v>23704.873746870984</v>
      </c>
      <c r="V1379" s="39">
        <f t="shared" ca="1" si="168"/>
        <v>0.15595311675573015</v>
      </c>
      <c r="W1379" s="48">
        <f t="shared" ca="1" si="169"/>
        <v>2.2397770164342332</v>
      </c>
    </row>
    <row r="1380" spans="17:23" x14ac:dyDescent="0.2">
      <c r="Q1380">
        <f t="shared" si="170"/>
        <v>1364</v>
      </c>
      <c r="R1380" s="48">
        <f t="shared" ca="1" si="171"/>
        <v>0.4</v>
      </c>
      <c r="S1380">
        <f t="shared" ca="1" si="172"/>
        <v>215.6479412487561</v>
      </c>
      <c r="T1380" s="61">
        <f t="shared" ca="1" si="166"/>
        <v>19200</v>
      </c>
      <c r="U1380" s="61">
        <f t="shared" ca="1" si="167"/>
        <v>31511.011799402928</v>
      </c>
      <c r="V1380" s="39">
        <f t="shared" ca="1" si="168"/>
        <v>0.20730928815396663</v>
      </c>
      <c r="W1380" s="48">
        <f t="shared" ca="1" si="169"/>
        <v>3.6093457218086282</v>
      </c>
    </row>
    <row r="1381" spans="17:23" x14ac:dyDescent="0.2">
      <c r="Q1381">
        <f t="shared" si="170"/>
        <v>1365</v>
      </c>
      <c r="R1381" s="48">
        <f t="shared" ca="1" si="171"/>
        <v>0.35</v>
      </c>
      <c r="S1381">
        <f t="shared" ca="1" si="172"/>
        <v>212.8565668221801</v>
      </c>
      <c r="T1381" s="61">
        <f t="shared" ca="1" si="166"/>
        <v>16800</v>
      </c>
      <c r="U1381" s="61">
        <f t="shared" ca="1" si="167"/>
        <v>28685.41474753365</v>
      </c>
      <c r="V1381" s="39">
        <f t="shared" ca="1" si="168"/>
        <v>0.18871983386535296</v>
      </c>
      <c r="W1381" s="48">
        <f t="shared" ca="1" si="169"/>
        <v>3.064229648046803</v>
      </c>
    </row>
    <row r="1382" spans="17:23" x14ac:dyDescent="0.2">
      <c r="Q1382">
        <f t="shared" si="170"/>
        <v>1366</v>
      </c>
      <c r="R1382" s="48">
        <f t="shared" ca="1" si="171"/>
        <v>0.45</v>
      </c>
      <c r="S1382">
        <f t="shared" ca="1" si="172"/>
        <v>172.06481711082981</v>
      </c>
      <c r="T1382" s="61">
        <f t="shared" ca="1" si="166"/>
        <v>21600</v>
      </c>
      <c r="U1382" s="61">
        <f t="shared" ca="1" si="167"/>
        <v>13708.519528765115</v>
      </c>
      <c r="V1382" s="39">
        <f t="shared" ca="1" si="168"/>
        <v>9.0187628478717863E-2</v>
      </c>
      <c r="W1382" s="48">
        <f t="shared" ca="1" si="169"/>
        <v>1.0145441980190015</v>
      </c>
    </row>
    <row r="1383" spans="17:23" x14ac:dyDescent="0.2">
      <c r="Q1383">
        <f t="shared" si="170"/>
        <v>1367</v>
      </c>
      <c r="R1383" s="48">
        <f t="shared" ca="1" si="171"/>
        <v>0.3</v>
      </c>
      <c r="S1383">
        <f t="shared" ca="1" si="172"/>
        <v>170.01878448253419</v>
      </c>
      <c r="T1383" s="61">
        <f t="shared" ca="1" si="166"/>
        <v>14400</v>
      </c>
      <c r="U1383" s="61">
        <f t="shared" ca="1" si="167"/>
        <v>3210.5193102191442</v>
      </c>
      <c r="V1383" s="39">
        <f t="shared" ca="1" si="168"/>
        <v>2.1121837567231211E-2</v>
      </c>
      <c r="W1383" s="48">
        <f t="shared" ca="1" si="169"/>
        <v>0.18475658339422418</v>
      </c>
    </row>
    <row r="1384" spans="17:23" x14ac:dyDescent="0.2">
      <c r="Q1384">
        <f t="shared" si="170"/>
        <v>1368</v>
      </c>
      <c r="R1384" s="48">
        <f t="shared" ca="1" si="171"/>
        <v>0.35</v>
      </c>
      <c r="S1384">
        <f t="shared" ca="1" si="172"/>
        <v>200.67828764798674</v>
      </c>
      <c r="T1384" s="61">
        <f t="shared" ca="1" si="166"/>
        <v>16800</v>
      </c>
      <c r="U1384" s="61">
        <f t="shared" ca="1" si="167"/>
        <v>22352.709576953101</v>
      </c>
      <c r="V1384" s="39">
        <f t="shared" ca="1" si="168"/>
        <v>0.14705729984837565</v>
      </c>
      <c r="W1384" s="48">
        <f t="shared" ca="1" si="169"/>
        <v>2.0429966403819688</v>
      </c>
    </row>
    <row r="1385" spans="17:23" x14ac:dyDescent="0.2">
      <c r="Q1385">
        <f t="shared" si="170"/>
        <v>1369</v>
      </c>
      <c r="R1385" s="48">
        <f t="shared" ca="1" si="171"/>
        <v>0.35</v>
      </c>
      <c r="S1385">
        <f t="shared" ca="1" si="172"/>
        <v>177.68331123687017</v>
      </c>
      <c r="T1385" s="61">
        <f t="shared" ca="1" si="166"/>
        <v>16800</v>
      </c>
      <c r="U1385" s="61">
        <f t="shared" ca="1" si="167"/>
        <v>10395.321843172487</v>
      </c>
      <c r="V1385" s="39">
        <f t="shared" ca="1" si="168"/>
        <v>6.8390275284029522E-2</v>
      </c>
      <c r="W1385" s="48">
        <f t="shared" ca="1" si="169"/>
        <v>0.71013984027481136</v>
      </c>
    </row>
    <row r="1386" spans="17:23" x14ac:dyDescent="0.2">
      <c r="Q1386">
        <f t="shared" si="170"/>
        <v>1370</v>
      </c>
      <c r="R1386" s="48">
        <f t="shared" ca="1" si="171"/>
        <v>0.3</v>
      </c>
      <c r="S1386">
        <f t="shared" ca="1" si="172"/>
        <v>184.8877811391676</v>
      </c>
      <c r="T1386" s="61">
        <f t="shared" ca="1" si="166"/>
        <v>14400</v>
      </c>
      <c r="U1386" s="61">
        <f t="shared" ca="1" si="167"/>
        <v>11537.157437933856</v>
      </c>
      <c r="V1386" s="39">
        <f t="shared" ca="1" si="168"/>
        <v>7.5902351565354312E-2</v>
      </c>
      <c r="W1386" s="48">
        <f t="shared" ca="1" si="169"/>
        <v>0.81014419266276327</v>
      </c>
    </row>
    <row r="1387" spans="17:23" x14ac:dyDescent="0.2">
      <c r="Q1387">
        <f t="shared" si="170"/>
        <v>1371</v>
      </c>
      <c r="R1387" s="48">
        <f t="shared" ca="1" si="171"/>
        <v>0.35</v>
      </c>
      <c r="S1387">
        <f t="shared" ca="1" si="172"/>
        <v>229.64592762221071</v>
      </c>
      <c r="T1387" s="61">
        <f t="shared" ca="1" si="166"/>
        <v>16800</v>
      </c>
      <c r="U1387" s="61">
        <f t="shared" ca="1" si="167"/>
        <v>37415.882363549565</v>
      </c>
      <c r="V1387" s="39">
        <f t="shared" ca="1" si="168"/>
        <v>0.24615712081282609</v>
      </c>
      <c r="W1387" s="48">
        <f t="shared" ca="1" si="169"/>
        <v>4.9593875349137289</v>
      </c>
    </row>
    <row r="1388" spans="17:23" x14ac:dyDescent="0.2">
      <c r="Q1388">
        <f t="shared" si="170"/>
        <v>1372</v>
      </c>
      <c r="R1388" s="48">
        <f t="shared" ca="1" si="171"/>
        <v>0.3</v>
      </c>
      <c r="S1388">
        <f t="shared" ca="1" si="172"/>
        <v>183.19127465724284</v>
      </c>
      <c r="T1388" s="61">
        <f t="shared" ca="1" si="166"/>
        <v>14400</v>
      </c>
      <c r="U1388" s="61">
        <f t="shared" ca="1" si="167"/>
        <v>10587.113808055992</v>
      </c>
      <c r="V1388" s="39">
        <f t="shared" ca="1" si="168"/>
        <v>6.9652064526684154E-2</v>
      </c>
      <c r="W1388" s="48">
        <f t="shared" ca="1" si="169"/>
        <v>0.72659087075421191</v>
      </c>
    </row>
    <row r="1389" spans="17:23" x14ac:dyDescent="0.2">
      <c r="Q1389">
        <f t="shared" si="170"/>
        <v>1373</v>
      </c>
      <c r="R1389" s="48">
        <f t="shared" ca="1" si="171"/>
        <v>0.35</v>
      </c>
      <c r="S1389">
        <f t="shared" ca="1" si="172"/>
        <v>151.27164550691526</v>
      </c>
      <c r="T1389" s="61">
        <f t="shared" ca="1" si="166"/>
        <v>16800</v>
      </c>
      <c r="U1389" s="61">
        <f t="shared" ca="1" si="167"/>
        <v>-3338.7443364040628</v>
      </c>
      <c r="V1389" s="39">
        <f t="shared" ca="1" si="168"/>
        <v>-2.1965423265816204E-2</v>
      </c>
      <c r="W1389" s="48">
        <f t="shared" ca="1" si="169"/>
        <v>-0.16485494146433999</v>
      </c>
    </row>
    <row r="1390" spans="17:23" x14ac:dyDescent="0.2">
      <c r="Q1390">
        <f t="shared" si="170"/>
        <v>1374</v>
      </c>
      <c r="R1390" s="48">
        <f t="shared" ca="1" si="171"/>
        <v>0.45</v>
      </c>
      <c r="S1390">
        <f t="shared" ca="1" si="172"/>
        <v>207.45304756640078</v>
      </c>
      <c r="T1390" s="61">
        <f t="shared" ca="1" si="166"/>
        <v>21600</v>
      </c>
      <c r="U1390" s="61">
        <f t="shared" ca="1" si="167"/>
        <v>29279.340929216345</v>
      </c>
      <c r="V1390" s="39">
        <f t="shared" ca="1" si="168"/>
        <v>0.1926272429553707</v>
      </c>
      <c r="W1390" s="48">
        <f t="shared" ca="1" si="169"/>
        <v>3.1738643466251508</v>
      </c>
    </row>
    <row r="1391" spans="17:23" x14ac:dyDescent="0.2">
      <c r="Q1391">
        <f t="shared" si="170"/>
        <v>1375</v>
      </c>
      <c r="R1391" s="48">
        <f t="shared" ca="1" si="171"/>
        <v>0.3</v>
      </c>
      <c r="S1391">
        <f t="shared" ca="1" si="172"/>
        <v>181.24987645597832</v>
      </c>
      <c r="T1391" s="61">
        <f t="shared" ca="1" si="166"/>
        <v>14400</v>
      </c>
      <c r="U1391" s="61">
        <f t="shared" ca="1" si="167"/>
        <v>9499.9308153478614</v>
      </c>
      <c r="V1391" s="39">
        <f t="shared" ca="1" si="168"/>
        <v>6.2499544837814877E-2</v>
      </c>
      <c r="W1391" s="48">
        <f t="shared" ca="1" si="169"/>
        <v>0.6351418662264432</v>
      </c>
    </row>
    <row r="1392" spans="17:23" x14ac:dyDescent="0.2">
      <c r="Q1392">
        <f t="shared" si="170"/>
        <v>1376</v>
      </c>
      <c r="R1392" s="48">
        <f t="shared" ca="1" si="171"/>
        <v>0.45</v>
      </c>
      <c r="S1392">
        <f t="shared" ca="1" si="172"/>
        <v>192.6683112445761</v>
      </c>
      <c r="T1392" s="61">
        <f t="shared" ca="1" si="166"/>
        <v>21600</v>
      </c>
      <c r="U1392" s="61">
        <f t="shared" ca="1" si="167"/>
        <v>22774.056947613484</v>
      </c>
      <c r="V1392" s="39">
        <f t="shared" ca="1" si="168"/>
        <v>0.14982932202377292</v>
      </c>
      <c r="W1392" s="48">
        <f t="shared" ca="1" si="169"/>
        <v>2.1031593531465202</v>
      </c>
    </row>
    <row r="1393" spans="17:23" x14ac:dyDescent="0.2">
      <c r="Q1393">
        <f t="shared" si="170"/>
        <v>1377</v>
      </c>
      <c r="R1393" s="48">
        <f t="shared" ca="1" si="171"/>
        <v>0.3</v>
      </c>
      <c r="S1393">
        <f t="shared" ca="1" si="172"/>
        <v>193.13962629510385</v>
      </c>
      <c r="T1393" s="61">
        <f t="shared" ca="1" si="166"/>
        <v>14400</v>
      </c>
      <c r="U1393" s="61">
        <f t="shared" ca="1" si="167"/>
        <v>16158.190725258157</v>
      </c>
      <c r="V1393" s="39">
        <f t="shared" ca="1" si="168"/>
        <v>0.10630388635038261</v>
      </c>
      <c r="W1393" s="48">
        <f t="shared" ca="1" si="169"/>
        <v>1.2691878096950076</v>
      </c>
    </row>
    <row r="1394" spans="17:23" x14ac:dyDescent="0.2">
      <c r="Q1394">
        <f t="shared" si="170"/>
        <v>1378</v>
      </c>
      <c r="R1394" s="48">
        <f t="shared" ca="1" si="171"/>
        <v>0.4</v>
      </c>
      <c r="S1394">
        <f t="shared" ca="1" si="172"/>
        <v>159.79517462047033</v>
      </c>
      <c r="T1394" s="61">
        <f t="shared" ca="1" si="166"/>
        <v>19200</v>
      </c>
      <c r="U1394" s="61">
        <f t="shared" ca="1" si="167"/>
        <v>4701.6838178257603</v>
      </c>
      <c r="V1394" s="39">
        <f t="shared" ca="1" si="168"/>
        <v>3.0932130380432635E-2</v>
      </c>
      <c r="W1394" s="48">
        <f t="shared" ca="1" si="169"/>
        <v>0.28029665255455405</v>
      </c>
    </row>
    <row r="1395" spans="17:23" x14ac:dyDescent="0.2">
      <c r="Q1395">
        <f t="shared" si="170"/>
        <v>1379</v>
      </c>
      <c r="R1395" s="48">
        <f t="shared" ca="1" si="171"/>
        <v>0.45</v>
      </c>
      <c r="S1395">
        <f t="shared" ca="1" si="172"/>
        <v>145.20671015654264</v>
      </c>
      <c r="T1395" s="61">
        <f t="shared" ca="1" si="166"/>
        <v>21600</v>
      </c>
      <c r="U1395" s="61">
        <f t="shared" ca="1" si="167"/>
        <v>1890.9524688787606</v>
      </c>
      <c r="V1395" s="39">
        <f t="shared" ca="1" si="168"/>
        <v>1.2440476768939215E-2</v>
      </c>
      <c r="W1395" s="48">
        <f t="shared" ca="1" si="169"/>
        <v>0.10548437453500803</v>
      </c>
    </row>
    <row r="1396" spans="17:23" x14ac:dyDescent="0.2">
      <c r="Q1396">
        <f t="shared" si="170"/>
        <v>1380</v>
      </c>
      <c r="R1396" s="48">
        <f t="shared" ca="1" si="171"/>
        <v>0.4</v>
      </c>
      <c r="S1396">
        <f t="shared" ca="1" si="172"/>
        <v>206.46281396183736</v>
      </c>
      <c r="T1396" s="61">
        <f t="shared" ca="1" si="166"/>
        <v>19200</v>
      </c>
      <c r="U1396" s="61">
        <f t="shared" ca="1" si="167"/>
        <v>27102.150701681931</v>
      </c>
      <c r="V1396" s="39">
        <f t="shared" ca="1" si="168"/>
        <v>0.17830362303738112</v>
      </c>
      <c r="W1396" s="48">
        <f t="shared" ca="1" si="169"/>
        <v>2.7842095074617812</v>
      </c>
    </row>
    <row r="1397" spans="17:23" x14ac:dyDescent="0.2">
      <c r="Q1397">
        <f t="shared" si="170"/>
        <v>1381</v>
      </c>
      <c r="R1397" s="48">
        <f t="shared" ca="1" si="171"/>
        <v>0.35</v>
      </c>
      <c r="S1397">
        <f t="shared" ca="1" si="172"/>
        <v>184.74914935655636</v>
      </c>
      <c r="T1397" s="61">
        <f t="shared" ca="1" si="166"/>
        <v>16800</v>
      </c>
      <c r="U1397" s="61">
        <f t="shared" ca="1" si="167"/>
        <v>14069.557665409306</v>
      </c>
      <c r="V1397" s="39">
        <f t="shared" ca="1" si="168"/>
        <v>9.2562879377692794E-2</v>
      </c>
      <c r="W1397" s="48">
        <f t="shared" ca="1" si="169"/>
        <v>1.050422479039931</v>
      </c>
    </row>
    <row r="1398" spans="17:23" x14ac:dyDescent="0.2">
      <c r="Q1398">
        <f t="shared" si="170"/>
        <v>1382</v>
      </c>
      <c r="R1398" s="48">
        <f t="shared" ca="1" si="171"/>
        <v>0.217</v>
      </c>
      <c r="S1398">
        <f t="shared" ca="1" si="172"/>
        <v>164.1244254620924</v>
      </c>
      <c r="T1398" s="61">
        <f t="shared" ca="1" si="166"/>
        <v>10416</v>
      </c>
      <c r="U1398" s="61">
        <f t="shared" ca="1" si="167"/>
        <v>-5792.4598905453167</v>
      </c>
      <c r="V1398" s="39">
        <f t="shared" ca="1" si="168"/>
        <v>-3.8108288753587613E-2</v>
      </c>
      <c r="W1398" s="48">
        <f t="shared" ca="1" si="169"/>
        <v>-0.27031639160103627</v>
      </c>
    </row>
    <row r="1399" spans="17:23" x14ac:dyDescent="0.2">
      <c r="Q1399">
        <f t="shared" si="170"/>
        <v>1383</v>
      </c>
      <c r="R1399" s="48">
        <f t="shared" ca="1" si="171"/>
        <v>0.3</v>
      </c>
      <c r="S1399">
        <f t="shared" ca="1" si="172"/>
        <v>178.92044955028376</v>
      </c>
      <c r="T1399" s="61">
        <f t="shared" ca="1" si="166"/>
        <v>14400</v>
      </c>
      <c r="U1399" s="61">
        <f t="shared" ca="1" si="167"/>
        <v>8195.4517481589064</v>
      </c>
      <c r="V1399" s="39">
        <f t="shared" ca="1" si="168"/>
        <v>5.3917445711571754E-2</v>
      </c>
      <c r="W1399" s="48">
        <f t="shared" ca="1" si="169"/>
        <v>0.53104097653945304</v>
      </c>
    </row>
    <row r="1400" spans="17:23" x14ac:dyDescent="0.2">
      <c r="Q1400">
        <f t="shared" si="170"/>
        <v>1384</v>
      </c>
      <c r="R1400" s="48">
        <f t="shared" ca="1" si="171"/>
        <v>0.4</v>
      </c>
      <c r="S1400">
        <f t="shared" ca="1" si="172"/>
        <v>192.71939163540259</v>
      </c>
      <c r="T1400" s="61">
        <f t="shared" ca="1" si="166"/>
        <v>19200</v>
      </c>
      <c r="U1400" s="61">
        <f t="shared" ca="1" si="167"/>
        <v>20505.30798499324</v>
      </c>
      <c r="V1400" s="39">
        <f t="shared" ca="1" si="168"/>
        <v>0.13490334200653448</v>
      </c>
      <c r="W1400" s="48">
        <f t="shared" ca="1" si="169"/>
        <v>1.7911137798515848</v>
      </c>
    </row>
    <row r="1401" spans="17:23" x14ac:dyDescent="0.2">
      <c r="Q1401">
        <f t="shared" si="170"/>
        <v>1385</v>
      </c>
      <c r="R1401" s="48">
        <f t="shared" ca="1" si="171"/>
        <v>0.3</v>
      </c>
      <c r="S1401">
        <f t="shared" ca="1" si="172"/>
        <v>183.23239024880581</v>
      </c>
      <c r="T1401" s="61">
        <f t="shared" ref="T1401:T1464" ca="1" si="173">($B$8-$B$7)*($E$6*R1401)</f>
        <v>14400</v>
      </c>
      <c r="U1401" s="61">
        <f t="shared" ref="U1401:U1464" ca="1" si="174">T1401+((S1401-$B$7)*($E$6*(1-R1401)))</f>
        <v>10610.138539331256</v>
      </c>
      <c r="V1401" s="39">
        <f t="shared" ref="V1401:V1464" ca="1" si="175">U1401/$E$4</f>
        <v>6.9803543021916159E-2</v>
      </c>
      <c r="W1401" s="48">
        <f t="shared" ref="W1401:W1464" ca="1" si="176">(1+V1401)^($J$29/$J$30)-1</f>
        <v>0.72857512319431961</v>
      </c>
    </row>
    <row r="1402" spans="17:23" x14ac:dyDescent="0.2">
      <c r="Q1402">
        <f t="shared" si="170"/>
        <v>1386</v>
      </c>
      <c r="R1402" s="48">
        <f t="shared" ca="1" si="171"/>
        <v>0.217</v>
      </c>
      <c r="S1402">
        <f t="shared" ca="1" si="172"/>
        <v>192.64557680244292</v>
      </c>
      <c r="T1402" s="61">
        <f t="shared" ca="1" si="173"/>
        <v>10416</v>
      </c>
      <c r="U1402" s="61">
        <f t="shared" ca="1" si="174"/>
        <v>12073.189309050244</v>
      </c>
      <c r="V1402" s="39">
        <f t="shared" ca="1" si="175"/>
        <v>7.9428877033225292E-2</v>
      </c>
      <c r="W1402" s="48">
        <f t="shared" ca="1" si="176"/>
        <v>0.85883346822523277</v>
      </c>
    </row>
    <row r="1403" spans="17:23" x14ac:dyDescent="0.2">
      <c r="Q1403">
        <f t="shared" si="170"/>
        <v>1387</v>
      </c>
      <c r="R1403" s="48">
        <f t="shared" ca="1" si="171"/>
        <v>0.217</v>
      </c>
      <c r="S1403">
        <f t="shared" ca="1" si="172"/>
        <v>193.20469863581872</v>
      </c>
      <c r="T1403" s="61">
        <f t="shared" ca="1" si="173"/>
        <v>10416</v>
      </c>
      <c r="U1403" s="61">
        <f t="shared" ca="1" si="174"/>
        <v>12423.423225476843</v>
      </c>
      <c r="V1403" s="39">
        <f t="shared" ca="1" si="175"/>
        <v>8.1733047536031861E-2</v>
      </c>
      <c r="W1403" s="48">
        <f t="shared" ca="1" si="176"/>
        <v>0.89126290627984406</v>
      </c>
    </row>
    <row r="1404" spans="17:23" x14ac:dyDescent="0.2">
      <c r="Q1404">
        <f t="shared" si="170"/>
        <v>1388</v>
      </c>
      <c r="R1404" s="48">
        <f t="shared" ca="1" si="171"/>
        <v>0.35</v>
      </c>
      <c r="S1404">
        <f t="shared" ca="1" si="172"/>
        <v>184.04222171054175</v>
      </c>
      <c r="T1404" s="61">
        <f t="shared" ca="1" si="173"/>
        <v>16800</v>
      </c>
      <c r="U1404" s="61">
        <f t="shared" ca="1" si="174"/>
        <v>13701.955289481712</v>
      </c>
      <c r="V1404" s="39">
        <f t="shared" ca="1" si="175"/>
        <v>9.0144442693958632E-2</v>
      </c>
      <c r="W1404" s="48">
        <f t="shared" ca="1" si="176"/>
        <v>1.0138970024296525</v>
      </c>
    </row>
    <row r="1405" spans="17:23" x14ac:dyDescent="0.2">
      <c r="Q1405">
        <f t="shared" si="170"/>
        <v>1389</v>
      </c>
      <c r="R1405" s="48">
        <f t="shared" ca="1" si="171"/>
        <v>0.45</v>
      </c>
      <c r="S1405">
        <f t="shared" ca="1" si="172"/>
        <v>178.93356213303775</v>
      </c>
      <c r="T1405" s="61">
        <f t="shared" ca="1" si="173"/>
        <v>21600</v>
      </c>
      <c r="U1405" s="61">
        <f t="shared" ca="1" si="174"/>
        <v>16730.767338536611</v>
      </c>
      <c r="V1405" s="39">
        <f t="shared" ca="1" si="175"/>
        <v>0.11007083775353033</v>
      </c>
      <c r="W1405" s="48">
        <f t="shared" ca="1" si="176"/>
        <v>1.3326227926340311</v>
      </c>
    </row>
    <row r="1406" spans="17:23" x14ac:dyDescent="0.2">
      <c r="Q1406">
        <f t="shared" si="170"/>
        <v>1390</v>
      </c>
      <c r="R1406" s="48">
        <f t="shared" ca="1" si="171"/>
        <v>0.45</v>
      </c>
      <c r="S1406">
        <f t="shared" ca="1" si="172"/>
        <v>158.15123958405474</v>
      </c>
      <c r="T1406" s="61">
        <f t="shared" ca="1" si="173"/>
        <v>21600</v>
      </c>
      <c r="U1406" s="61">
        <f t="shared" ca="1" si="174"/>
        <v>7586.5454169840814</v>
      </c>
      <c r="V1406" s="39">
        <f t="shared" ca="1" si="175"/>
        <v>4.9911483006474217E-2</v>
      </c>
      <c r="W1406" s="48">
        <f t="shared" ca="1" si="176"/>
        <v>0.48447122561543488</v>
      </c>
    </row>
    <row r="1407" spans="17:23" x14ac:dyDescent="0.2">
      <c r="Q1407">
        <f t="shared" si="170"/>
        <v>1391</v>
      </c>
      <c r="R1407" s="48">
        <f t="shared" ca="1" si="171"/>
        <v>0.4</v>
      </c>
      <c r="S1407">
        <f t="shared" ca="1" si="172"/>
        <v>205.80307784917412</v>
      </c>
      <c r="T1407" s="61">
        <f t="shared" ca="1" si="173"/>
        <v>19200</v>
      </c>
      <c r="U1407" s="61">
        <f t="shared" ca="1" si="174"/>
        <v>26785.477367603577</v>
      </c>
      <c r="V1407" s="39">
        <f t="shared" ca="1" si="175"/>
        <v>0.17622024583949722</v>
      </c>
      <c r="W1407" s="48">
        <f t="shared" ca="1" si="176"/>
        <v>2.7302786628858402</v>
      </c>
    </row>
    <row r="1408" spans="17:23" x14ac:dyDescent="0.2">
      <c r="Q1408">
        <f t="shared" si="170"/>
        <v>1392</v>
      </c>
      <c r="R1408" s="48">
        <f t="shared" ca="1" si="171"/>
        <v>0.4</v>
      </c>
      <c r="S1408">
        <f t="shared" ca="1" si="172"/>
        <v>184.54613892819827</v>
      </c>
      <c r="T1408" s="61">
        <f t="shared" ca="1" si="173"/>
        <v>19200</v>
      </c>
      <c r="U1408" s="61">
        <f t="shared" ca="1" si="174"/>
        <v>16582.146685535172</v>
      </c>
      <c r="V1408" s="39">
        <f t="shared" ca="1" si="175"/>
        <v>0.10909307029957351</v>
      </c>
      <c r="W1408" s="48">
        <f t="shared" ca="1" si="176"/>
        <v>1.3160097208364014</v>
      </c>
    </row>
    <row r="1409" spans="17:23" x14ac:dyDescent="0.2">
      <c r="Q1409">
        <f t="shared" si="170"/>
        <v>1393</v>
      </c>
      <c r="R1409" s="48">
        <f t="shared" ca="1" si="171"/>
        <v>0.4</v>
      </c>
      <c r="S1409">
        <f t="shared" ca="1" si="172"/>
        <v>173.05763864674151</v>
      </c>
      <c r="T1409" s="61">
        <f t="shared" ca="1" si="173"/>
        <v>19200</v>
      </c>
      <c r="U1409" s="61">
        <f t="shared" ca="1" si="174"/>
        <v>11067.666550435924</v>
      </c>
      <c r="V1409" s="39">
        <f t="shared" ca="1" si="175"/>
        <v>7.2813595726552133E-2</v>
      </c>
      <c r="W1409" s="48">
        <f t="shared" ca="1" si="176"/>
        <v>0.76842129035357187</v>
      </c>
    </row>
    <row r="1410" spans="17:23" x14ac:dyDescent="0.2">
      <c r="Q1410">
        <f t="shared" si="170"/>
        <v>1394</v>
      </c>
      <c r="R1410" s="48">
        <f t="shared" ca="1" si="171"/>
        <v>0.3</v>
      </c>
      <c r="S1410">
        <f t="shared" ca="1" si="172"/>
        <v>179.17240596517709</v>
      </c>
      <c r="T1410" s="61">
        <f t="shared" ca="1" si="173"/>
        <v>14400</v>
      </c>
      <c r="U1410" s="61">
        <f t="shared" ca="1" si="174"/>
        <v>8336.5473404991717</v>
      </c>
      <c r="V1410" s="39">
        <f t="shared" ca="1" si="175"/>
        <v>5.4845706187494549E-2</v>
      </c>
      <c r="W1410" s="48">
        <f t="shared" ca="1" si="176"/>
        <v>0.54201310266497194</v>
      </c>
    </row>
    <row r="1411" spans="17:23" x14ac:dyDescent="0.2">
      <c r="Q1411">
        <f t="shared" si="170"/>
        <v>1395</v>
      </c>
      <c r="R1411" s="48">
        <f t="shared" ca="1" si="171"/>
        <v>0.3</v>
      </c>
      <c r="S1411">
        <f t="shared" ca="1" si="172"/>
        <v>191.24286963119664</v>
      </c>
      <c r="T1411" s="61">
        <f t="shared" ca="1" si="173"/>
        <v>14400</v>
      </c>
      <c r="U1411" s="61">
        <f t="shared" ca="1" si="174"/>
        <v>15096.006993470119</v>
      </c>
      <c r="V1411" s="39">
        <f t="shared" ca="1" si="175"/>
        <v>9.9315835483356041E-2</v>
      </c>
      <c r="W1411" s="48">
        <f t="shared" ca="1" si="176"/>
        <v>1.155505009870653</v>
      </c>
    </row>
    <row r="1412" spans="17:23" x14ac:dyDescent="0.2">
      <c r="Q1412">
        <f t="shared" si="170"/>
        <v>1396</v>
      </c>
      <c r="R1412" s="48">
        <f t="shared" ca="1" si="171"/>
        <v>0.4</v>
      </c>
      <c r="S1412">
        <f t="shared" ca="1" si="172"/>
        <v>174.10883706398604</v>
      </c>
      <c r="T1412" s="61">
        <f t="shared" ca="1" si="173"/>
        <v>19200</v>
      </c>
      <c r="U1412" s="61">
        <f t="shared" ca="1" si="174"/>
        <v>11572.241790713302</v>
      </c>
      <c r="V1412" s="39">
        <f t="shared" ca="1" si="175"/>
        <v>7.6133169675745405E-2</v>
      </c>
      <c r="W1412" s="48">
        <f t="shared" ca="1" si="176"/>
        <v>0.8132964512763694</v>
      </c>
    </row>
    <row r="1413" spans="17:23" x14ac:dyDescent="0.2">
      <c r="Q1413">
        <f t="shared" si="170"/>
        <v>1397</v>
      </c>
      <c r="R1413" s="48">
        <f t="shared" ca="1" si="171"/>
        <v>0.4</v>
      </c>
      <c r="S1413">
        <f t="shared" ca="1" si="172"/>
        <v>178.09977294099861</v>
      </c>
      <c r="T1413" s="61">
        <f t="shared" ca="1" si="173"/>
        <v>19200</v>
      </c>
      <c r="U1413" s="61">
        <f t="shared" ca="1" si="174"/>
        <v>13487.89101167933</v>
      </c>
      <c r="V1413" s="39">
        <f t="shared" ca="1" si="175"/>
        <v>8.8736125076837702E-2</v>
      </c>
      <c r="W1413" s="48">
        <f t="shared" ca="1" si="176"/>
        <v>0.99289116493919161</v>
      </c>
    </row>
    <row r="1414" spans="17:23" x14ac:dyDescent="0.2">
      <c r="Q1414">
        <f t="shared" si="170"/>
        <v>1398</v>
      </c>
      <c r="R1414" s="48">
        <f t="shared" ca="1" si="171"/>
        <v>0.15</v>
      </c>
      <c r="S1414">
        <f t="shared" ca="1" si="172"/>
        <v>190.37764058022987</v>
      </c>
      <c r="T1414" s="61">
        <f t="shared" ca="1" si="173"/>
        <v>7200</v>
      </c>
      <c r="U1414" s="61">
        <f t="shared" ca="1" si="174"/>
        <v>7456.7955945563081</v>
      </c>
      <c r="V1414" s="39">
        <f t="shared" ca="1" si="175"/>
        <v>4.9057865753659918E-2</v>
      </c>
      <c r="W1414" s="48">
        <f t="shared" ca="1" si="176"/>
        <v>0.474709930574718</v>
      </c>
    </row>
    <row r="1415" spans="17:23" x14ac:dyDescent="0.2">
      <c r="Q1415">
        <f t="shared" si="170"/>
        <v>1399</v>
      </c>
      <c r="R1415" s="48">
        <f t="shared" ca="1" si="171"/>
        <v>0.35</v>
      </c>
      <c r="S1415">
        <f t="shared" ca="1" si="172"/>
        <v>183.01036447962503</v>
      </c>
      <c r="T1415" s="61">
        <f t="shared" ca="1" si="173"/>
        <v>16800</v>
      </c>
      <c r="U1415" s="61">
        <f t="shared" ca="1" si="174"/>
        <v>13165.389529405013</v>
      </c>
      <c r="V1415" s="39">
        <f t="shared" ca="1" si="175"/>
        <v>8.6614404798717182E-2</v>
      </c>
      <c r="W1415" s="48">
        <f t="shared" ca="1" si="176"/>
        <v>0.96160720591276228</v>
      </c>
    </row>
    <row r="1416" spans="17:23" x14ac:dyDescent="0.2">
      <c r="Q1416">
        <f t="shared" si="170"/>
        <v>1400</v>
      </c>
      <c r="R1416" s="48">
        <f t="shared" ca="1" si="171"/>
        <v>0.5</v>
      </c>
      <c r="S1416">
        <f t="shared" ca="1" si="172"/>
        <v>197.18173476936565</v>
      </c>
      <c r="T1416" s="61">
        <f t="shared" ca="1" si="173"/>
        <v>24000</v>
      </c>
      <c r="U1416" s="61">
        <f t="shared" ca="1" si="174"/>
        <v>26872.693907746259</v>
      </c>
      <c r="V1416" s="39">
        <f t="shared" ca="1" si="175"/>
        <v>0.17679403886675171</v>
      </c>
      <c r="W1416" s="48">
        <f t="shared" ca="1" si="176"/>
        <v>2.7450643537316521</v>
      </c>
    </row>
    <row r="1417" spans="17:23" x14ac:dyDescent="0.2">
      <c r="Q1417">
        <f t="shared" si="170"/>
        <v>1401</v>
      </c>
      <c r="R1417" s="48">
        <f t="shared" ca="1" si="171"/>
        <v>0.45</v>
      </c>
      <c r="S1417">
        <f t="shared" ca="1" si="172"/>
        <v>178.40531297828002</v>
      </c>
      <c r="T1417" s="61">
        <f t="shared" ca="1" si="173"/>
        <v>21600</v>
      </c>
      <c r="U1417" s="61">
        <f t="shared" ca="1" si="174"/>
        <v>16498.337710443207</v>
      </c>
      <c r="V1417" s="39">
        <f t="shared" ca="1" si="175"/>
        <v>0.10854169546344215</v>
      </c>
      <c r="W1417" s="48">
        <f t="shared" ca="1" si="176"/>
        <v>1.3066872267980862</v>
      </c>
    </row>
    <row r="1418" spans="17:23" x14ac:dyDescent="0.2">
      <c r="Q1418">
        <f t="shared" si="170"/>
        <v>1402</v>
      </c>
      <c r="R1418" s="48">
        <f t="shared" ca="1" si="171"/>
        <v>0.217</v>
      </c>
      <c r="S1418">
        <f t="shared" ca="1" si="172"/>
        <v>178.45120703121577</v>
      </c>
      <c r="T1418" s="61">
        <f t="shared" ca="1" si="173"/>
        <v>10416</v>
      </c>
      <c r="U1418" s="61">
        <f t="shared" ca="1" si="174"/>
        <v>3181.8360843535602</v>
      </c>
      <c r="V1418" s="39">
        <f t="shared" ca="1" si="175"/>
        <v>2.0933132133905002E-2</v>
      </c>
      <c r="W1418" s="48">
        <f t="shared" ca="1" si="176"/>
        <v>0.18298185878232442</v>
      </c>
    </row>
    <row r="1419" spans="17:23" x14ac:dyDescent="0.2">
      <c r="Q1419">
        <f t="shared" si="170"/>
        <v>1403</v>
      </c>
      <c r="R1419" s="48">
        <f t="shared" ca="1" si="171"/>
        <v>0.3</v>
      </c>
      <c r="S1419">
        <f t="shared" ca="1" si="172"/>
        <v>212.34028563276016</v>
      </c>
      <c r="T1419" s="61">
        <f t="shared" ca="1" si="173"/>
        <v>14400</v>
      </c>
      <c r="U1419" s="61">
        <f t="shared" ca="1" si="174"/>
        <v>26910.559954345688</v>
      </c>
      <c r="V1419" s="39">
        <f t="shared" ca="1" si="175"/>
        <v>0.17704315759437952</v>
      </c>
      <c r="W1419" s="48">
        <f t="shared" ca="1" si="176"/>
        <v>2.7514997079680819</v>
      </c>
    </row>
    <row r="1420" spans="17:23" x14ac:dyDescent="0.2">
      <c r="Q1420">
        <f t="shared" si="170"/>
        <v>1404</v>
      </c>
      <c r="R1420" s="48">
        <f t="shared" ca="1" si="171"/>
        <v>0.217</v>
      </c>
      <c r="S1420">
        <f t="shared" ca="1" si="172"/>
        <v>185.71326796683945</v>
      </c>
      <c r="T1420" s="61">
        <f t="shared" ca="1" si="173"/>
        <v>10416</v>
      </c>
      <c r="U1420" s="61">
        <f t="shared" ca="1" si="174"/>
        <v>7730.7910544282331</v>
      </c>
      <c r="V1420" s="39">
        <f t="shared" ca="1" si="175"/>
        <v>5.0860467463343641E-2</v>
      </c>
      <c r="W1420" s="48">
        <f t="shared" ca="1" si="176"/>
        <v>0.49538951483564775</v>
      </c>
    </row>
    <row r="1421" spans="17:23" x14ac:dyDescent="0.2">
      <c r="Q1421">
        <f t="shared" si="170"/>
        <v>1405</v>
      </c>
      <c r="R1421" s="48">
        <f t="shared" ca="1" si="171"/>
        <v>0.35</v>
      </c>
      <c r="S1421">
        <f t="shared" ca="1" si="172"/>
        <v>180.83030522631131</v>
      </c>
      <c r="T1421" s="61">
        <f t="shared" ca="1" si="173"/>
        <v>16800</v>
      </c>
      <c r="U1421" s="61">
        <f t="shared" ca="1" si="174"/>
        <v>12031.758717681882</v>
      </c>
      <c r="V1421" s="39">
        <f t="shared" ca="1" si="175"/>
        <v>7.915630735317028E-2</v>
      </c>
      <c r="W1421" s="48">
        <f t="shared" ca="1" si="176"/>
        <v>0.85502969644654181</v>
      </c>
    </row>
    <row r="1422" spans="17:23" x14ac:dyDescent="0.2">
      <c r="Q1422">
        <f t="shared" si="170"/>
        <v>1406</v>
      </c>
      <c r="R1422" s="48">
        <f t="shared" ca="1" si="171"/>
        <v>0.4</v>
      </c>
      <c r="S1422">
        <f t="shared" ca="1" si="172"/>
        <v>213.03829248552424</v>
      </c>
      <c r="T1422" s="61">
        <f t="shared" ca="1" si="173"/>
        <v>19200</v>
      </c>
      <c r="U1422" s="61">
        <f t="shared" ca="1" si="174"/>
        <v>30258.380393051633</v>
      </c>
      <c r="V1422" s="39">
        <f t="shared" ca="1" si="175"/>
        <v>0.19906829205955021</v>
      </c>
      <c r="W1422" s="48">
        <f t="shared" ca="1" si="176"/>
        <v>3.3602539605348722</v>
      </c>
    </row>
    <row r="1423" spans="17:23" x14ac:dyDescent="0.2">
      <c r="Q1423">
        <f t="shared" si="170"/>
        <v>1407</v>
      </c>
      <c r="R1423" s="48">
        <f t="shared" ca="1" si="171"/>
        <v>0.35</v>
      </c>
      <c r="S1423">
        <f t="shared" ca="1" si="172"/>
        <v>184.36745119188265</v>
      </c>
      <c r="T1423" s="61">
        <f t="shared" ca="1" si="173"/>
        <v>16800</v>
      </c>
      <c r="U1423" s="61">
        <f t="shared" ca="1" si="174"/>
        <v>13871.074619778978</v>
      </c>
      <c r="V1423" s="39">
        <f t="shared" ca="1" si="175"/>
        <v>9.1257069866966953E-2</v>
      </c>
      <c r="W1423" s="48">
        <f t="shared" ca="1" si="176"/>
        <v>1.0306294565872007</v>
      </c>
    </row>
    <row r="1424" spans="17:23" x14ac:dyDescent="0.2">
      <c r="Q1424">
        <f t="shared" si="170"/>
        <v>1408</v>
      </c>
      <c r="R1424" s="48">
        <f t="shared" ca="1" si="171"/>
        <v>0.4</v>
      </c>
      <c r="S1424">
        <f t="shared" ca="1" si="172"/>
        <v>151.19661125176117</v>
      </c>
      <c r="T1424" s="61">
        <f t="shared" ca="1" si="173"/>
        <v>19200</v>
      </c>
      <c r="U1424" s="61">
        <f t="shared" ca="1" si="174"/>
        <v>574.37340084536118</v>
      </c>
      <c r="V1424" s="39">
        <f t="shared" ca="1" si="175"/>
        <v>3.7787723739826392E-3</v>
      </c>
      <c r="W1424" s="48">
        <f t="shared" ca="1" si="176"/>
        <v>3.1065030581949094E-2</v>
      </c>
    </row>
    <row r="1425" spans="17:23" x14ac:dyDescent="0.2">
      <c r="Q1425">
        <f t="shared" si="170"/>
        <v>1409</v>
      </c>
      <c r="R1425" s="48">
        <f t="shared" ca="1" si="171"/>
        <v>0.5</v>
      </c>
      <c r="S1425">
        <f t="shared" ca="1" si="172"/>
        <v>228.05438515487336</v>
      </c>
      <c r="T1425" s="61">
        <f t="shared" ca="1" si="173"/>
        <v>24000</v>
      </c>
      <c r="U1425" s="61">
        <f t="shared" ca="1" si="174"/>
        <v>39221.754061949345</v>
      </c>
      <c r="V1425" s="39">
        <f t="shared" ca="1" si="175"/>
        <v>0.25803785567071935</v>
      </c>
      <c r="W1425" s="48">
        <f t="shared" ca="1" si="176"/>
        <v>5.4361588791274835</v>
      </c>
    </row>
    <row r="1426" spans="17:23" x14ac:dyDescent="0.2">
      <c r="Q1426">
        <f t="shared" si="170"/>
        <v>1410</v>
      </c>
      <c r="R1426" s="48">
        <f t="shared" ca="1" si="171"/>
        <v>0.3</v>
      </c>
      <c r="S1426">
        <f t="shared" ca="1" si="172"/>
        <v>185.14498638325773</v>
      </c>
      <c r="T1426" s="61">
        <f t="shared" ca="1" si="173"/>
        <v>14400</v>
      </c>
      <c r="U1426" s="61">
        <f t="shared" ca="1" si="174"/>
        <v>11681.19237462433</v>
      </c>
      <c r="V1426" s="39">
        <f t="shared" ca="1" si="175"/>
        <v>7.6849949833054806E-2</v>
      </c>
      <c r="W1426" s="48">
        <f t="shared" ca="1" si="176"/>
        <v>0.82311614209042006</v>
      </c>
    </row>
    <row r="1427" spans="17:23" x14ac:dyDescent="0.2">
      <c r="Q1427">
        <f t="shared" ref="Q1427:Q1490" si="177">Q1426+1</f>
        <v>1411</v>
      </c>
      <c r="R1427" s="48">
        <f t="shared" ref="R1427:R1490" ca="1" si="178">LOOKUP(RAND(),$U$6:$U$12,$S$6:$S$12)</f>
        <v>0.35</v>
      </c>
      <c r="S1427">
        <f t="shared" ref="S1427:S1490" ca="1" si="179">_xlfn.NORM.INV(RAND(),$Q$5,$Q$10)</f>
        <v>197.57978753070847</v>
      </c>
      <c r="T1427" s="61">
        <f t="shared" ca="1" si="173"/>
        <v>16800</v>
      </c>
      <c r="U1427" s="61">
        <f t="shared" ca="1" si="174"/>
        <v>20741.489515968406</v>
      </c>
      <c r="V1427" s="39">
        <f t="shared" ca="1" si="175"/>
        <v>0.13645716786821319</v>
      </c>
      <c r="W1427" s="48">
        <f t="shared" ca="1" si="176"/>
        <v>1.8222607823897232</v>
      </c>
    </row>
    <row r="1428" spans="17:23" x14ac:dyDescent="0.2">
      <c r="Q1428">
        <f t="shared" si="177"/>
        <v>1412</v>
      </c>
      <c r="R1428" s="48">
        <f t="shared" ca="1" si="178"/>
        <v>0.4</v>
      </c>
      <c r="S1428">
        <f t="shared" ca="1" si="179"/>
        <v>209.35167204608652</v>
      </c>
      <c r="T1428" s="61">
        <f t="shared" ca="1" si="173"/>
        <v>19200</v>
      </c>
      <c r="U1428" s="61">
        <f t="shared" ca="1" si="174"/>
        <v>28488.802582121531</v>
      </c>
      <c r="V1428" s="39">
        <f t="shared" ca="1" si="175"/>
        <v>0.18742633277711535</v>
      </c>
      <c r="W1428" s="48">
        <f t="shared" ca="1" si="176"/>
        <v>3.0284969273572582</v>
      </c>
    </row>
    <row r="1429" spans="17:23" x14ac:dyDescent="0.2">
      <c r="Q1429">
        <f t="shared" si="177"/>
        <v>1413</v>
      </c>
      <c r="R1429" s="48">
        <f t="shared" ca="1" si="178"/>
        <v>0.35</v>
      </c>
      <c r="S1429">
        <f t="shared" ca="1" si="179"/>
        <v>197.99427977295719</v>
      </c>
      <c r="T1429" s="61">
        <f t="shared" ca="1" si="173"/>
        <v>16800</v>
      </c>
      <c r="U1429" s="61">
        <f t="shared" ca="1" si="174"/>
        <v>20957.025481937737</v>
      </c>
      <c r="V1429" s="39">
        <f t="shared" ca="1" si="175"/>
        <v>0.13787516764432722</v>
      </c>
      <c r="W1429" s="48">
        <f t="shared" ca="1" si="176"/>
        <v>1.8509506079152156</v>
      </c>
    </row>
    <row r="1430" spans="17:23" x14ac:dyDescent="0.2">
      <c r="Q1430">
        <f t="shared" si="177"/>
        <v>1414</v>
      </c>
      <c r="R1430" s="48">
        <f t="shared" ca="1" si="178"/>
        <v>0.45</v>
      </c>
      <c r="S1430">
        <f t="shared" ca="1" si="179"/>
        <v>198.07814037565751</v>
      </c>
      <c r="T1430" s="61">
        <f t="shared" ca="1" si="173"/>
        <v>21600</v>
      </c>
      <c r="U1430" s="61">
        <f t="shared" ca="1" si="174"/>
        <v>25154.381765289305</v>
      </c>
      <c r="V1430" s="39">
        <f t="shared" ca="1" si="175"/>
        <v>0.16548935371900858</v>
      </c>
      <c r="W1430" s="48">
        <f t="shared" ca="1" si="176"/>
        <v>2.4630303557828102</v>
      </c>
    </row>
    <row r="1431" spans="17:23" x14ac:dyDescent="0.2">
      <c r="Q1431">
        <f t="shared" si="177"/>
        <v>1415</v>
      </c>
      <c r="R1431" s="48">
        <f t="shared" ca="1" si="178"/>
        <v>0.35</v>
      </c>
      <c r="S1431">
        <f t="shared" ca="1" si="179"/>
        <v>201.57075647139851</v>
      </c>
      <c r="T1431" s="61">
        <f t="shared" ca="1" si="173"/>
        <v>16800</v>
      </c>
      <c r="U1431" s="61">
        <f t="shared" ca="1" si="174"/>
        <v>22816.793365127225</v>
      </c>
      <c r="V1431" s="39">
        <f t="shared" ca="1" si="175"/>
        <v>0.15011048266531068</v>
      </c>
      <c r="W1431" s="48">
        <f t="shared" ca="1" si="176"/>
        <v>2.1093193881808436</v>
      </c>
    </row>
    <row r="1432" spans="17:23" x14ac:dyDescent="0.2">
      <c r="Q1432">
        <f t="shared" si="177"/>
        <v>1416</v>
      </c>
      <c r="R1432" s="48">
        <f t="shared" ca="1" si="178"/>
        <v>0.35</v>
      </c>
      <c r="S1432">
        <f t="shared" ca="1" si="179"/>
        <v>179.96390360163281</v>
      </c>
      <c r="T1432" s="61">
        <f t="shared" ca="1" si="173"/>
        <v>16800</v>
      </c>
      <c r="U1432" s="61">
        <f t="shared" ca="1" si="174"/>
        <v>11581.22987284906</v>
      </c>
      <c r="V1432" s="39">
        <f t="shared" ca="1" si="175"/>
        <v>7.6192301795059605E-2</v>
      </c>
      <c r="W1432" s="48">
        <f t="shared" ca="1" si="176"/>
        <v>0.81410478638055972</v>
      </c>
    </row>
    <row r="1433" spans="17:23" x14ac:dyDescent="0.2">
      <c r="Q1433">
        <f t="shared" si="177"/>
        <v>1417</v>
      </c>
      <c r="R1433" s="48">
        <f t="shared" ca="1" si="178"/>
        <v>0.3</v>
      </c>
      <c r="S1433">
        <f t="shared" ca="1" si="179"/>
        <v>206.02279695593788</v>
      </c>
      <c r="T1433" s="61">
        <f t="shared" ca="1" si="173"/>
        <v>14400</v>
      </c>
      <c r="U1433" s="61">
        <f t="shared" ca="1" si="174"/>
        <v>23372.766295325211</v>
      </c>
      <c r="V1433" s="39">
        <f t="shared" ca="1" si="175"/>
        <v>0.15376819931135008</v>
      </c>
      <c r="W1433" s="48">
        <f t="shared" ca="1" si="176"/>
        <v>2.1904399825286469</v>
      </c>
    </row>
    <row r="1434" spans="17:23" x14ac:dyDescent="0.2">
      <c r="Q1434">
        <f t="shared" si="177"/>
        <v>1418</v>
      </c>
      <c r="R1434" s="48">
        <f t="shared" ca="1" si="178"/>
        <v>0.3</v>
      </c>
      <c r="S1434">
        <f t="shared" ca="1" si="179"/>
        <v>154.19832590889769</v>
      </c>
      <c r="T1434" s="61">
        <f t="shared" ca="1" si="173"/>
        <v>14400</v>
      </c>
      <c r="U1434" s="61">
        <f t="shared" ca="1" si="174"/>
        <v>-5648.9374910172955</v>
      </c>
      <c r="V1434" s="39">
        <f t="shared" ca="1" si="175"/>
        <v>-3.7164062440903263E-2</v>
      </c>
      <c r="W1434" s="48">
        <f t="shared" ca="1" si="176"/>
        <v>-0.26448622397135935</v>
      </c>
    </row>
    <row r="1435" spans="17:23" x14ac:dyDescent="0.2">
      <c r="Q1435">
        <f t="shared" si="177"/>
        <v>1419</v>
      </c>
      <c r="R1435" s="48">
        <f t="shared" ca="1" si="178"/>
        <v>0.4</v>
      </c>
      <c r="S1435">
        <f t="shared" ca="1" si="179"/>
        <v>146.70991994273621</v>
      </c>
      <c r="T1435" s="61">
        <f t="shared" ca="1" si="173"/>
        <v>19200</v>
      </c>
      <c r="U1435" s="61">
        <f t="shared" ca="1" si="174"/>
        <v>-1579.2384274866199</v>
      </c>
      <c r="V1435" s="39">
        <f t="shared" ca="1" si="175"/>
        <v>-1.03897264966225E-2</v>
      </c>
      <c r="W1435" s="48">
        <f t="shared" ca="1" si="176"/>
        <v>-8.1224124313889812E-2</v>
      </c>
    </row>
    <row r="1436" spans="17:23" x14ac:dyDescent="0.2">
      <c r="Q1436">
        <f t="shared" si="177"/>
        <v>1420</v>
      </c>
      <c r="R1436" s="48">
        <f t="shared" ca="1" si="178"/>
        <v>0.4</v>
      </c>
      <c r="S1436">
        <f t="shared" ca="1" si="179"/>
        <v>199.14249990761914</v>
      </c>
      <c r="T1436" s="61">
        <f t="shared" ca="1" si="173"/>
        <v>19200</v>
      </c>
      <c r="U1436" s="61">
        <f t="shared" ca="1" si="174"/>
        <v>23588.399955657187</v>
      </c>
      <c r="V1436" s="39">
        <f t="shared" ca="1" si="175"/>
        <v>0.15518684181353412</v>
      </c>
      <c r="W1436" s="48">
        <f t="shared" ca="1" si="176"/>
        <v>2.2223983504298164</v>
      </c>
    </row>
    <row r="1437" spans="17:23" x14ac:dyDescent="0.2">
      <c r="Q1437">
        <f t="shared" si="177"/>
        <v>1421</v>
      </c>
      <c r="R1437" s="48">
        <f t="shared" ca="1" si="178"/>
        <v>0.45</v>
      </c>
      <c r="S1437">
        <f t="shared" ca="1" si="179"/>
        <v>215.91261183708019</v>
      </c>
      <c r="T1437" s="61">
        <f t="shared" ca="1" si="173"/>
        <v>21600</v>
      </c>
      <c r="U1437" s="61">
        <f t="shared" ca="1" si="174"/>
        <v>33001.549208315286</v>
      </c>
      <c r="V1437" s="39">
        <f t="shared" ca="1" si="175"/>
        <v>0.21711545531786372</v>
      </c>
      <c r="W1437" s="48">
        <f t="shared" ca="1" si="176"/>
        <v>3.9219310639829006</v>
      </c>
    </row>
    <row r="1438" spans="17:23" x14ac:dyDescent="0.2">
      <c r="Q1438">
        <f t="shared" si="177"/>
        <v>1422</v>
      </c>
      <c r="R1438" s="48">
        <f t="shared" ca="1" si="178"/>
        <v>0.3</v>
      </c>
      <c r="S1438">
        <f t="shared" ca="1" si="179"/>
        <v>217.29190269936294</v>
      </c>
      <c r="T1438" s="61">
        <f t="shared" ca="1" si="173"/>
        <v>14400</v>
      </c>
      <c r="U1438" s="61">
        <f t="shared" ca="1" si="174"/>
        <v>29683.465511643244</v>
      </c>
      <c r="V1438" s="39">
        <f t="shared" ca="1" si="175"/>
        <v>0.19528595731344239</v>
      </c>
      <c r="W1438" s="48">
        <f t="shared" ca="1" si="176"/>
        <v>3.2499372510610334</v>
      </c>
    </row>
    <row r="1439" spans="17:23" x14ac:dyDescent="0.2">
      <c r="Q1439">
        <f t="shared" si="177"/>
        <v>1423</v>
      </c>
      <c r="R1439" s="48">
        <f t="shared" ca="1" si="178"/>
        <v>0.217</v>
      </c>
      <c r="S1439">
        <f t="shared" ca="1" si="179"/>
        <v>192.95956808329487</v>
      </c>
      <c r="T1439" s="61">
        <f t="shared" ca="1" si="173"/>
        <v>10416</v>
      </c>
      <c r="U1439" s="61">
        <f t="shared" ca="1" si="174"/>
        <v>12269.873447375905</v>
      </c>
      <c r="V1439" s="39">
        <f t="shared" ca="1" si="175"/>
        <v>8.0722851627473058E-2</v>
      </c>
      <c r="W1439" s="48">
        <f t="shared" ca="1" si="176"/>
        <v>0.8769846204203231</v>
      </c>
    </row>
    <row r="1440" spans="17:23" x14ac:dyDescent="0.2">
      <c r="Q1440">
        <f t="shared" si="177"/>
        <v>1424</v>
      </c>
      <c r="R1440" s="48">
        <f t="shared" ca="1" si="178"/>
        <v>0.3</v>
      </c>
      <c r="S1440">
        <f t="shared" ca="1" si="179"/>
        <v>169.79885726764789</v>
      </c>
      <c r="T1440" s="61">
        <f t="shared" ca="1" si="173"/>
        <v>14400</v>
      </c>
      <c r="U1440" s="61">
        <f t="shared" ca="1" si="174"/>
        <v>3087.3600698828177</v>
      </c>
      <c r="V1440" s="39">
        <f t="shared" ca="1" si="175"/>
        <v>2.03115794071238E-2</v>
      </c>
      <c r="W1440" s="48">
        <f t="shared" ca="1" si="176"/>
        <v>0.17715279019668473</v>
      </c>
    </row>
    <row r="1441" spans="17:23" x14ac:dyDescent="0.2">
      <c r="Q1441">
        <f t="shared" si="177"/>
        <v>1425</v>
      </c>
      <c r="R1441" s="48">
        <f t="shared" ca="1" si="178"/>
        <v>0.4</v>
      </c>
      <c r="S1441">
        <f t="shared" ca="1" si="179"/>
        <v>207.11467425825293</v>
      </c>
      <c r="T1441" s="61">
        <f t="shared" ca="1" si="173"/>
        <v>19200</v>
      </c>
      <c r="U1441" s="61">
        <f t="shared" ca="1" si="174"/>
        <v>27415.043643961406</v>
      </c>
      <c r="V1441" s="39">
        <f t="shared" ca="1" si="175"/>
        <v>0.1803621292365882</v>
      </c>
      <c r="W1441" s="48">
        <f t="shared" ca="1" si="176"/>
        <v>2.838166702497765</v>
      </c>
    </row>
    <row r="1442" spans="17:23" x14ac:dyDescent="0.2">
      <c r="Q1442">
        <f t="shared" si="177"/>
        <v>1426</v>
      </c>
      <c r="R1442" s="48">
        <f t="shared" ca="1" si="178"/>
        <v>0.35</v>
      </c>
      <c r="S1442">
        <f t="shared" ca="1" si="179"/>
        <v>203.90948132461116</v>
      </c>
      <c r="T1442" s="61">
        <f t="shared" ca="1" si="173"/>
        <v>16800</v>
      </c>
      <c r="U1442" s="61">
        <f t="shared" ca="1" si="174"/>
        <v>24032.930288797805</v>
      </c>
      <c r="V1442" s="39">
        <f t="shared" ca="1" si="175"/>
        <v>0.15811138347893292</v>
      </c>
      <c r="W1442" s="48">
        <f t="shared" ca="1" si="176"/>
        <v>2.2891676772057541</v>
      </c>
    </row>
    <row r="1443" spans="17:23" x14ac:dyDescent="0.2">
      <c r="Q1443">
        <f t="shared" si="177"/>
        <v>1427</v>
      </c>
      <c r="R1443" s="48">
        <f t="shared" ca="1" si="178"/>
        <v>0.3</v>
      </c>
      <c r="S1443">
        <f t="shared" ca="1" si="179"/>
        <v>164.0254028477832</v>
      </c>
      <c r="T1443" s="61">
        <f t="shared" ca="1" si="173"/>
        <v>14400</v>
      </c>
      <c r="U1443" s="61">
        <f t="shared" ca="1" si="174"/>
        <v>-145.77440524140911</v>
      </c>
      <c r="V1443" s="39">
        <f t="shared" ca="1" si="175"/>
        <v>-9.5904213974611259E-4</v>
      </c>
      <c r="W1443" s="48">
        <f t="shared" ca="1" si="176"/>
        <v>-7.7524236356996123E-3</v>
      </c>
    </row>
    <row r="1444" spans="17:23" x14ac:dyDescent="0.2">
      <c r="Q1444">
        <f t="shared" si="177"/>
        <v>1428</v>
      </c>
      <c r="R1444" s="48">
        <f t="shared" ca="1" si="178"/>
        <v>0.4</v>
      </c>
      <c r="S1444">
        <f t="shared" ca="1" si="179"/>
        <v>186.13017670857417</v>
      </c>
      <c r="T1444" s="61">
        <f t="shared" ca="1" si="173"/>
        <v>19200</v>
      </c>
      <c r="U1444" s="61">
        <f t="shared" ca="1" si="174"/>
        <v>17342.484820115602</v>
      </c>
      <c r="V1444" s="39">
        <f t="shared" ca="1" si="175"/>
        <v>0.11409529486918159</v>
      </c>
      <c r="W1444" s="48">
        <f t="shared" ca="1" si="176"/>
        <v>1.4021068077646777</v>
      </c>
    </row>
    <row r="1445" spans="17:23" x14ac:dyDescent="0.2">
      <c r="Q1445">
        <f t="shared" si="177"/>
        <v>1429</v>
      </c>
      <c r="R1445" s="48">
        <f t="shared" ca="1" si="178"/>
        <v>0.35</v>
      </c>
      <c r="S1445">
        <f t="shared" ca="1" si="179"/>
        <v>213.0301524380144</v>
      </c>
      <c r="T1445" s="61">
        <f t="shared" ca="1" si="173"/>
        <v>16800</v>
      </c>
      <c r="U1445" s="61">
        <f t="shared" ca="1" si="174"/>
        <v>28775.679267767486</v>
      </c>
      <c r="V1445" s="39">
        <f t="shared" ca="1" si="175"/>
        <v>0.18931367939320715</v>
      </c>
      <c r="W1445" s="48">
        <f t="shared" ca="1" si="176"/>
        <v>3.080727373889264</v>
      </c>
    </row>
    <row r="1446" spans="17:23" x14ac:dyDescent="0.2">
      <c r="Q1446">
        <f t="shared" si="177"/>
        <v>1430</v>
      </c>
      <c r="R1446" s="48">
        <f t="shared" ca="1" si="178"/>
        <v>0.217</v>
      </c>
      <c r="S1446">
        <f t="shared" ca="1" si="179"/>
        <v>183.45593698223621</v>
      </c>
      <c r="T1446" s="61">
        <f t="shared" ca="1" si="173"/>
        <v>10416</v>
      </c>
      <c r="U1446" s="61">
        <f t="shared" ca="1" si="174"/>
        <v>6316.7989256727624</v>
      </c>
      <c r="V1446" s="39">
        <f t="shared" ca="1" si="175"/>
        <v>4.155788766889975E-2</v>
      </c>
      <c r="W1446" s="48">
        <f t="shared" ca="1" si="176"/>
        <v>0.3913363154070002</v>
      </c>
    </row>
    <row r="1447" spans="17:23" x14ac:dyDescent="0.2">
      <c r="Q1447">
        <f t="shared" si="177"/>
        <v>1431</v>
      </c>
      <c r="R1447" s="48">
        <f t="shared" ca="1" si="178"/>
        <v>0.35</v>
      </c>
      <c r="S1447">
        <f t="shared" ca="1" si="179"/>
        <v>189.59795073773074</v>
      </c>
      <c r="T1447" s="61">
        <f t="shared" ca="1" si="173"/>
        <v>16800</v>
      </c>
      <c r="U1447" s="61">
        <f t="shared" ca="1" si="174"/>
        <v>16590.934383619984</v>
      </c>
      <c r="V1447" s="39">
        <f t="shared" ca="1" si="175"/>
        <v>0.10915088410276305</v>
      </c>
      <c r="W1447" s="48">
        <f t="shared" ca="1" si="176"/>
        <v>1.3169891313688282</v>
      </c>
    </row>
    <row r="1448" spans="17:23" x14ac:dyDescent="0.2">
      <c r="Q1448">
        <f t="shared" si="177"/>
        <v>1432</v>
      </c>
      <c r="R1448" s="48">
        <f t="shared" ca="1" si="178"/>
        <v>0.4</v>
      </c>
      <c r="S1448">
        <f t="shared" ca="1" si="179"/>
        <v>209.31028911736956</v>
      </c>
      <c r="T1448" s="61">
        <f t="shared" ca="1" si="173"/>
        <v>19200</v>
      </c>
      <c r="U1448" s="61">
        <f t="shared" ca="1" si="174"/>
        <v>28468.938776337389</v>
      </c>
      <c r="V1448" s="39">
        <f t="shared" ca="1" si="175"/>
        <v>0.18729564984432492</v>
      </c>
      <c r="W1448" s="48">
        <f t="shared" ca="1" si="176"/>
        <v>3.0249022025761292</v>
      </c>
    </row>
    <row r="1449" spans="17:23" x14ac:dyDescent="0.2">
      <c r="Q1449">
        <f t="shared" si="177"/>
        <v>1433</v>
      </c>
      <c r="R1449" s="48">
        <f t="shared" ca="1" si="178"/>
        <v>0.5</v>
      </c>
      <c r="S1449">
        <f t="shared" ca="1" si="179"/>
        <v>204.71972467517233</v>
      </c>
      <c r="T1449" s="61">
        <f t="shared" ca="1" si="173"/>
        <v>24000</v>
      </c>
      <c r="U1449" s="61">
        <f t="shared" ca="1" si="174"/>
        <v>29887.889870068931</v>
      </c>
      <c r="V1449" s="39">
        <f t="shared" ca="1" si="175"/>
        <v>0.19663085440834824</v>
      </c>
      <c r="W1449" s="48">
        <f t="shared" ca="1" si="176"/>
        <v>3.2888792328606646</v>
      </c>
    </row>
    <row r="1450" spans="17:23" x14ac:dyDescent="0.2">
      <c r="Q1450">
        <f t="shared" si="177"/>
        <v>1434</v>
      </c>
      <c r="R1450" s="48">
        <f t="shared" ca="1" si="178"/>
        <v>0.45</v>
      </c>
      <c r="S1450">
        <f t="shared" ca="1" si="179"/>
        <v>123.11852051738872</v>
      </c>
      <c r="T1450" s="61">
        <f t="shared" ca="1" si="173"/>
        <v>21600</v>
      </c>
      <c r="U1450" s="61">
        <f t="shared" ca="1" si="174"/>
        <v>-7827.8509723489697</v>
      </c>
      <c r="V1450" s="39">
        <f t="shared" ca="1" si="175"/>
        <v>-5.149901955492743E-2</v>
      </c>
      <c r="W1450" s="48">
        <f t="shared" ca="1" si="176"/>
        <v>-0.34874523207386121</v>
      </c>
    </row>
    <row r="1451" spans="17:23" x14ac:dyDescent="0.2">
      <c r="Q1451">
        <f t="shared" si="177"/>
        <v>1435</v>
      </c>
      <c r="R1451" s="48">
        <f t="shared" ca="1" si="178"/>
        <v>0.35</v>
      </c>
      <c r="S1451">
        <f t="shared" ca="1" si="179"/>
        <v>197.17943768577535</v>
      </c>
      <c r="T1451" s="61">
        <f t="shared" ca="1" si="173"/>
        <v>16800</v>
      </c>
      <c r="U1451" s="61">
        <f t="shared" ca="1" si="174"/>
        <v>20533.307596603183</v>
      </c>
      <c r="V1451" s="39">
        <f t="shared" ca="1" si="175"/>
        <v>0.13508754997765252</v>
      </c>
      <c r="W1451" s="48">
        <f t="shared" ca="1" si="176"/>
        <v>1.7947904788873474</v>
      </c>
    </row>
    <row r="1452" spans="17:23" x14ac:dyDescent="0.2">
      <c r="Q1452">
        <f t="shared" si="177"/>
        <v>1436</v>
      </c>
      <c r="R1452" s="48">
        <f t="shared" ca="1" si="178"/>
        <v>0.4</v>
      </c>
      <c r="S1452">
        <f t="shared" ca="1" si="179"/>
        <v>212.14132644039285</v>
      </c>
      <c r="T1452" s="61">
        <f t="shared" ca="1" si="173"/>
        <v>19200</v>
      </c>
      <c r="U1452" s="61">
        <f t="shared" ca="1" si="174"/>
        <v>29827.836691388566</v>
      </c>
      <c r="V1452" s="39">
        <f t="shared" ca="1" si="175"/>
        <v>0.19623576770650372</v>
      </c>
      <c r="W1452" s="48">
        <f t="shared" ca="1" si="176"/>
        <v>3.2774070357873031</v>
      </c>
    </row>
    <row r="1453" spans="17:23" x14ac:dyDescent="0.2">
      <c r="Q1453">
        <f t="shared" si="177"/>
        <v>1437</v>
      </c>
      <c r="R1453" s="48">
        <f t="shared" ca="1" si="178"/>
        <v>0.45</v>
      </c>
      <c r="S1453">
        <f t="shared" ca="1" si="179"/>
        <v>146.29638512740121</v>
      </c>
      <c r="T1453" s="61">
        <f t="shared" ca="1" si="173"/>
        <v>21600</v>
      </c>
      <c r="U1453" s="61">
        <f t="shared" ca="1" si="174"/>
        <v>2370.4094560565281</v>
      </c>
      <c r="V1453" s="39">
        <f t="shared" ca="1" si="175"/>
        <v>1.5594799053003474E-2</v>
      </c>
      <c r="W1453" s="48">
        <f t="shared" ca="1" si="176"/>
        <v>0.13373215386746273</v>
      </c>
    </row>
    <row r="1454" spans="17:23" x14ac:dyDescent="0.2">
      <c r="Q1454">
        <f t="shared" si="177"/>
        <v>1438</v>
      </c>
      <c r="R1454" s="48">
        <f t="shared" ca="1" si="178"/>
        <v>0.217</v>
      </c>
      <c r="S1454">
        <f t="shared" ca="1" si="179"/>
        <v>171.90385585952785</v>
      </c>
      <c r="T1454" s="61">
        <f t="shared" ca="1" si="173"/>
        <v>10416</v>
      </c>
      <c r="U1454" s="61">
        <f t="shared" ca="1" si="174"/>
        <v>-919.42468959175312</v>
      </c>
      <c r="V1454" s="39">
        <f t="shared" ca="1" si="175"/>
        <v>-6.0488466420510071E-3</v>
      </c>
      <c r="W1454" s="48">
        <f t="shared" ca="1" si="176"/>
        <v>-4.8020573453729565E-2</v>
      </c>
    </row>
    <row r="1455" spans="17:23" x14ac:dyDescent="0.2">
      <c r="Q1455">
        <f t="shared" si="177"/>
        <v>1439</v>
      </c>
      <c r="R1455" s="48">
        <f t="shared" ca="1" si="178"/>
        <v>0.3</v>
      </c>
      <c r="S1455">
        <f t="shared" ca="1" si="179"/>
        <v>207.96587319898936</v>
      </c>
      <c r="T1455" s="61">
        <f t="shared" ca="1" si="173"/>
        <v>14400</v>
      </c>
      <c r="U1455" s="61">
        <f t="shared" ca="1" si="174"/>
        <v>24460.88899143404</v>
      </c>
      <c r="V1455" s="39">
        <f t="shared" ca="1" si="175"/>
        <v>0.16092690125943448</v>
      </c>
      <c r="W1455" s="48">
        <f t="shared" ca="1" si="176"/>
        <v>2.3545907159475234</v>
      </c>
    </row>
    <row r="1456" spans="17:23" x14ac:dyDescent="0.2">
      <c r="Q1456">
        <f t="shared" si="177"/>
        <v>1440</v>
      </c>
      <c r="R1456" s="48">
        <f t="shared" ca="1" si="178"/>
        <v>0.3</v>
      </c>
      <c r="S1456">
        <f t="shared" ca="1" si="179"/>
        <v>145.54190414415064</v>
      </c>
      <c r="T1456" s="61">
        <f t="shared" ca="1" si="173"/>
        <v>14400</v>
      </c>
      <c r="U1456" s="61">
        <f t="shared" ca="1" si="174"/>
        <v>-10496.533679275642</v>
      </c>
      <c r="V1456" s="39">
        <f t="shared" ca="1" si="175"/>
        <v>-6.9056142626813435E-2</v>
      </c>
      <c r="W1456" s="48">
        <f t="shared" ca="1" si="176"/>
        <v>-0.44032619585326116</v>
      </c>
    </row>
    <row r="1457" spans="17:23" x14ac:dyDescent="0.2">
      <c r="Q1457">
        <f t="shared" si="177"/>
        <v>1441</v>
      </c>
      <c r="R1457" s="48">
        <f t="shared" ca="1" si="178"/>
        <v>0.217</v>
      </c>
      <c r="S1457">
        <f t="shared" ca="1" si="179"/>
        <v>195.21034540785541</v>
      </c>
      <c r="T1457" s="61">
        <f t="shared" ca="1" si="173"/>
        <v>10416</v>
      </c>
      <c r="U1457" s="61">
        <f t="shared" ca="1" si="174"/>
        <v>13679.760363480631</v>
      </c>
      <c r="V1457" s="39">
        <f t="shared" ca="1" si="175"/>
        <v>8.9998423443951522E-2</v>
      </c>
      <c r="W1457" s="48">
        <f t="shared" ca="1" si="176"/>
        <v>1.011710062522897</v>
      </c>
    </row>
    <row r="1458" spans="17:23" x14ac:dyDescent="0.2">
      <c r="Q1458">
        <f t="shared" si="177"/>
        <v>1442</v>
      </c>
      <c r="R1458" s="48">
        <f t="shared" ca="1" si="178"/>
        <v>0.4</v>
      </c>
      <c r="S1458">
        <f t="shared" ca="1" si="179"/>
        <v>182.16567383625508</v>
      </c>
      <c r="T1458" s="61">
        <f t="shared" ca="1" si="173"/>
        <v>19200</v>
      </c>
      <c r="U1458" s="61">
        <f t="shared" ca="1" si="174"/>
        <v>15439.523441402438</v>
      </c>
      <c r="V1458" s="39">
        <f t="shared" ca="1" si="175"/>
        <v>0.10157581211448972</v>
      </c>
      <c r="W1458" s="48">
        <f t="shared" ca="1" si="176"/>
        <v>1.1917115497323296</v>
      </c>
    </row>
    <row r="1459" spans="17:23" x14ac:dyDescent="0.2">
      <c r="Q1459">
        <f t="shared" si="177"/>
        <v>1443</v>
      </c>
      <c r="R1459" s="48">
        <f t="shared" ca="1" si="178"/>
        <v>0.35</v>
      </c>
      <c r="S1459">
        <f t="shared" ca="1" si="179"/>
        <v>187.98477521537444</v>
      </c>
      <c r="T1459" s="61">
        <f t="shared" ca="1" si="173"/>
        <v>16800</v>
      </c>
      <c r="U1459" s="61">
        <f t="shared" ca="1" si="174"/>
        <v>15752.083111994709</v>
      </c>
      <c r="V1459" s="39">
        <f t="shared" ca="1" si="175"/>
        <v>0.1036321257368073</v>
      </c>
      <c r="W1459" s="48">
        <f t="shared" ca="1" si="176"/>
        <v>1.2251174039724453</v>
      </c>
    </row>
    <row r="1460" spans="17:23" x14ac:dyDescent="0.2">
      <c r="Q1460">
        <f t="shared" si="177"/>
        <v>1444</v>
      </c>
      <c r="R1460" s="48">
        <f t="shared" ca="1" si="178"/>
        <v>0.3</v>
      </c>
      <c r="S1460">
        <f t="shared" ca="1" si="179"/>
        <v>223.8272324376328</v>
      </c>
      <c r="T1460" s="61">
        <f t="shared" ca="1" si="173"/>
        <v>14400</v>
      </c>
      <c r="U1460" s="61">
        <f t="shared" ca="1" si="174"/>
        <v>33343.250165074365</v>
      </c>
      <c r="V1460" s="39">
        <f t="shared" ca="1" si="175"/>
        <v>0.21936348792812083</v>
      </c>
      <c r="W1460" s="48">
        <f t="shared" ca="1" si="176"/>
        <v>3.9961543460728333</v>
      </c>
    </row>
    <row r="1461" spans="17:23" x14ac:dyDescent="0.2">
      <c r="Q1461">
        <f t="shared" si="177"/>
        <v>1445</v>
      </c>
      <c r="R1461" s="48">
        <f t="shared" ca="1" si="178"/>
        <v>0.3</v>
      </c>
      <c r="S1461">
        <f t="shared" ca="1" si="179"/>
        <v>163.40498326074211</v>
      </c>
      <c r="T1461" s="61">
        <f t="shared" ca="1" si="173"/>
        <v>14400</v>
      </c>
      <c r="U1461" s="61">
        <f t="shared" ca="1" si="174"/>
        <v>-493.20937398441674</v>
      </c>
      <c r="V1461" s="39">
        <f t="shared" ca="1" si="175"/>
        <v>-3.2447985130553735E-3</v>
      </c>
      <c r="W1461" s="48">
        <f t="shared" ca="1" si="176"/>
        <v>-2.6017276975119463E-2</v>
      </c>
    </row>
    <row r="1462" spans="17:23" x14ac:dyDescent="0.2">
      <c r="Q1462">
        <f t="shared" si="177"/>
        <v>1446</v>
      </c>
      <c r="R1462" s="48">
        <f t="shared" ca="1" si="178"/>
        <v>0.15</v>
      </c>
      <c r="S1462">
        <f t="shared" ca="1" si="179"/>
        <v>176.77144817353363</v>
      </c>
      <c r="T1462" s="61">
        <f t="shared" ca="1" si="173"/>
        <v>7200</v>
      </c>
      <c r="U1462" s="61">
        <f t="shared" ca="1" si="174"/>
        <v>-1795.4152419971324</v>
      </c>
      <c r="V1462" s="39">
        <f t="shared" ca="1" si="175"/>
        <v>-1.1811942381560081E-2</v>
      </c>
      <c r="W1462" s="48">
        <f t="shared" ca="1" si="176"/>
        <v>-9.1879601651193021E-2</v>
      </c>
    </row>
    <row r="1463" spans="17:23" x14ac:dyDescent="0.2">
      <c r="Q1463">
        <f t="shared" si="177"/>
        <v>1447</v>
      </c>
      <c r="R1463" s="48">
        <f t="shared" ca="1" si="178"/>
        <v>0.35</v>
      </c>
      <c r="S1463">
        <f t="shared" ca="1" si="179"/>
        <v>206.48753057269246</v>
      </c>
      <c r="T1463" s="61">
        <f t="shared" ca="1" si="173"/>
        <v>16800</v>
      </c>
      <c r="U1463" s="61">
        <f t="shared" ca="1" si="174"/>
        <v>25373.515897800084</v>
      </c>
      <c r="V1463" s="39">
        <f t="shared" ca="1" si="175"/>
        <v>0.1669310256434216</v>
      </c>
      <c r="W1463" s="48">
        <f t="shared" ca="1" si="176"/>
        <v>2.497928751541425</v>
      </c>
    </row>
    <row r="1464" spans="17:23" x14ac:dyDescent="0.2">
      <c r="Q1464">
        <f t="shared" si="177"/>
        <v>1448</v>
      </c>
      <c r="R1464" s="48">
        <f t="shared" ca="1" si="178"/>
        <v>0.4</v>
      </c>
      <c r="S1464">
        <f t="shared" ca="1" si="179"/>
        <v>223.60675702115645</v>
      </c>
      <c r="T1464" s="61">
        <f t="shared" ca="1" si="173"/>
        <v>19200</v>
      </c>
      <c r="U1464" s="61">
        <f t="shared" ca="1" si="174"/>
        <v>35331.243370155098</v>
      </c>
      <c r="V1464" s="39">
        <f t="shared" ca="1" si="175"/>
        <v>0.23244239059312566</v>
      </c>
      <c r="W1464" s="48">
        <f t="shared" ca="1" si="176"/>
        <v>4.4477629610213132</v>
      </c>
    </row>
    <row r="1465" spans="17:23" x14ac:dyDescent="0.2">
      <c r="Q1465">
        <f t="shared" si="177"/>
        <v>1449</v>
      </c>
      <c r="R1465" s="48">
        <f t="shared" ca="1" si="178"/>
        <v>0.45</v>
      </c>
      <c r="S1465">
        <f t="shared" ca="1" si="179"/>
        <v>184.11738994336741</v>
      </c>
      <c r="T1465" s="61">
        <f t="shared" ref="T1465:T1528" ca="1" si="180">($B$8-$B$7)*($E$6*R1465)</f>
        <v>21600</v>
      </c>
      <c r="U1465" s="61">
        <f t="shared" ref="U1465:U1528" ca="1" si="181">T1465+((S1465-$B$7)*($E$6*(1-R1465)))</f>
        <v>19011.651575081662</v>
      </c>
      <c r="V1465" s="39">
        <f t="shared" ref="V1465:V1528" ca="1" si="182">U1465/$E$4</f>
        <v>0.12507665509922145</v>
      </c>
      <c r="W1465" s="48">
        <f t="shared" ref="W1465:W1528" ca="1" si="183">(1+V1465)^($J$29/$J$30)-1</f>
        <v>1.6010206981121176</v>
      </c>
    </row>
    <row r="1466" spans="17:23" x14ac:dyDescent="0.2">
      <c r="Q1466">
        <f t="shared" si="177"/>
        <v>1450</v>
      </c>
      <c r="R1466" s="48">
        <f t="shared" ca="1" si="178"/>
        <v>0.45</v>
      </c>
      <c r="S1466">
        <f t="shared" ca="1" si="179"/>
        <v>196.55090527122948</v>
      </c>
      <c r="T1466" s="61">
        <f t="shared" ca="1" si="180"/>
        <v>21600</v>
      </c>
      <c r="U1466" s="61">
        <f t="shared" ca="1" si="181"/>
        <v>24482.398319340973</v>
      </c>
      <c r="V1466" s="39">
        <f t="shared" ca="1" si="182"/>
        <v>0.1610684099956643</v>
      </c>
      <c r="W1466" s="48">
        <f t="shared" ca="1" si="183"/>
        <v>2.3579087932275584</v>
      </c>
    </row>
    <row r="1467" spans="17:23" x14ac:dyDescent="0.2">
      <c r="Q1467">
        <f t="shared" si="177"/>
        <v>1451</v>
      </c>
      <c r="R1467" s="48">
        <f t="shared" ca="1" si="178"/>
        <v>0.45</v>
      </c>
      <c r="S1467">
        <f t="shared" ca="1" si="179"/>
        <v>154.62690670291835</v>
      </c>
      <c r="T1467" s="61">
        <f t="shared" ca="1" si="180"/>
        <v>21600</v>
      </c>
      <c r="U1467" s="61">
        <f t="shared" ca="1" si="181"/>
        <v>6035.8389492840706</v>
      </c>
      <c r="V1467" s="39">
        <f t="shared" ca="1" si="182"/>
        <v>3.970946677160573E-2</v>
      </c>
      <c r="W1467" s="48">
        <f t="shared" ca="1" si="183"/>
        <v>0.37143458570765797</v>
      </c>
    </row>
    <row r="1468" spans="17:23" x14ac:dyDescent="0.2">
      <c r="Q1468">
        <f t="shared" si="177"/>
        <v>1452</v>
      </c>
      <c r="R1468" s="48">
        <f t="shared" ca="1" si="178"/>
        <v>0.5</v>
      </c>
      <c r="S1468">
        <f t="shared" ca="1" si="179"/>
        <v>168.54635606072335</v>
      </c>
      <c r="T1468" s="61">
        <f t="shared" ca="1" si="180"/>
        <v>24000</v>
      </c>
      <c r="U1468" s="61">
        <f t="shared" ca="1" si="181"/>
        <v>15418.542424289342</v>
      </c>
      <c r="V1468" s="39">
        <f t="shared" ca="1" si="182"/>
        <v>0.10143777910716673</v>
      </c>
      <c r="W1468" s="48">
        <f t="shared" ca="1" si="183"/>
        <v>1.1894849670796828</v>
      </c>
    </row>
    <row r="1469" spans="17:23" x14ac:dyDescent="0.2">
      <c r="Q1469">
        <f t="shared" si="177"/>
        <v>1453</v>
      </c>
      <c r="R1469" s="48">
        <f t="shared" ca="1" si="178"/>
        <v>0.35</v>
      </c>
      <c r="S1469">
        <f t="shared" ca="1" si="179"/>
        <v>213.70621330038611</v>
      </c>
      <c r="T1469" s="61">
        <f t="shared" ca="1" si="180"/>
        <v>16800</v>
      </c>
      <c r="U1469" s="61">
        <f t="shared" ca="1" si="181"/>
        <v>29127.230916200777</v>
      </c>
      <c r="V1469" s="39">
        <f t="shared" ca="1" si="182"/>
        <v>0.19162651918553142</v>
      </c>
      <c r="W1469" s="48">
        <f t="shared" ca="1" si="183"/>
        <v>3.1455417698668233</v>
      </c>
    </row>
    <row r="1470" spans="17:23" x14ac:dyDescent="0.2">
      <c r="Q1470">
        <f t="shared" si="177"/>
        <v>1454</v>
      </c>
      <c r="R1470" s="48">
        <f t="shared" ca="1" si="178"/>
        <v>0.3</v>
      </c>
      <c r="S1470">
        <f t="shared" ca="1" si="179"/>
        <v>196.01065510006543</v>
      </c>
      <c r="T1470" s="61">
        <f t="shared" ca="1" si="180"/>
        <v>14400</v>
      </c>
      <c r="U1470" s="61">
        <f t="shared" ca="1" si="181"/>
        <v>17765.966856036644</v>
      </c>
      <c r="V1470" s="39">
        <f t="shared" ca="1" si="182"/>
        <v>0.11688136089497793</v>
      </c>
      <c r="W1470" s="48">
        <f t="shared" ca="1" si="183"/>
        <v>1.4512661162426808</v>
      </c>
    </row>
    <row r="1471" spans="17:23" x14ac:dyDescent="0.2">
      <c r="Q1471">
        <f t="shared" si="177"/>
        <v>1455</v>
      </c>
      <c r="R1471" s="48">
        <f t="shared" ca="1" si="178"/>
        <v>0.3</v>
      </c>
      <c r="S1471">
        <f t="shared" ca="1" si="179"/>
        <v>183.68700504674555</v>
      </c>
      <c r="T1471" s="61">
        <f t="shared" ca="1" si="180"/>
        <v>14400</v>
      </c>
      <c r="U1471" s="61">
        <f t="shared" ca="1" si="181"/>
        <v>10864.722826177511</v>
      </c>
      <c r="V1471" s="39">
        <f t="shared" ca="1" si="182"/>
        <v>7.1478439645904682E-2</v>
      </c>
      <c r="W1471" s="48">
        <f t="shared" ca="1" si="183"/>
        <v>0.75064861882615497</v>
      </c>
    </row>
    <row r="1472" spans="17:23" x14ac:dyDescent="0.2">
      <c r="Q1472">
        <f t="shared" si="177"/>
        <v>1456</v>
      </c>
      <c r="R1472" s="48">
        <f t="shared" ca="1" si="178"/>
        <v>0.3</v>
      </c>
      <c r="S1472">
        <f t="shared" ca="1" si="179"/>
        <v>168.51372657635255</v>
      </c>
      <c r="T1472" s="61">
        <f t="shared" ca="1" si="180"/>
        <v>14400</v>
      </c>
      <c r="U1472" s="61">
        <f t="shared" ca="1" si="181"/>
        <v>2367.686882757429</v>
      </c>
      <c r="V1472" s="39">
        <f t="shared" ca="1" si="182"/>
        <v>1.5576887386562033E-2</v>
      </c>
      <c r="W1472" s="48">
        <f t="shared" ca="1" si="183"/>
        <v>0.13356998066016978</v>
      </c>
    </row>
    <row r="1473" spans="17:23" x14ac:dyDescent="0.2">
      <c r="Q1473">
        <f t="shared" si="177"/>
        <v>1457</v>
      </c>
      <c r="R1473" s="48">
        <f t="shared" ca="1" si="178"/>
        <v>0.3</v>
      </c>
      <c r="S1473">
        <f t="shared" ca="1" si="179"/>
        <v>202.54091986286895</v>
      </c>
      <c r="T1473" s="61">
        <f t="shared" ca="1" si="180"/>
        <v>14400</v>
      </c>
      <c r="U1473" s="61">
        <f t="shared" ca="1" si="181"/>
        <v>21422.915123206611</v>
      </c>
      <c r="V1473" s="39">
        <f t="shared" ca="1" si="182"/>
        <v>0.14094023107372769</v>
      </c>
      <c r="W1473" s="48">
        <f t="shared" ca="1" si="183"/>
        <v>1.9138399772366887</v>
      </c>
    </row>
    <row r="1474" spans="17:23" x14ac:dyDescent="0.2">
      <c r="Q1474">
        <f t="shared" si="177"/>
        <v>1458</v>
      </c>
      <c r="R1474" s="48">
        <f t="shared" ca="1" si="178"/>
        <v>0.3</v>
      </c>
      <c r="S1474">
        <f t="shared" ca="1" si="179"/>
        <v>182.98837960498784</v>
      </c>
      <c r="T1474" s="61">
        <f t="shared" ca="1" si="180"/>
        <v>14400</v>
      </c>
      <c r="U1474" s="61">
        <f t="shared" ca="1" si="181"/>
        <v>10473.492578793192</v>
      </c>
      <c r="V1474" s="39">
        <f t="shared" ca="1" si="182"/>
        <v>6.8904556439428888E-2</v>
      </c>
      <c r="W1474" s="48">
        <f t="shared" ca="1" si="183"/>
        <v>0.71682829897546152</v>
      </c>
    </row>
    <row r="1475" spans="17:23" x14ac:dyDescent="0.2">
      <c r="Q1475">
        <f t="shared" si="177"/>
        <v>1459</v>
      </c>
      <c r="R1475" s="48">
        <f t="shared" ca="1" si="178"/>
        <v>0.217</v>
      </c>
      <c r="S1475">
        <f t="shared" ca="1" si="179"/>
        <v>213.33023017969302</v>
      </c>
      <c r="T1475" s="61">
        <f t="shared" ca="1" si="180"/>
        <v>10416</v>
      </c>
      <c r="U1475" s="61">
        <f t="shared" ca="1" si="181"/>
        <v>25030.056184559704</v>
      </c>
      <c r="V1475" s="39">
        <f t="shared" ca="1" si="182"/>
        <v>0.16467142226684015</v>
      </c>
      <c r="W1475" s="48">
        <f t="shared" ca="1" si="183"/>
        <v>2.4433668130636232</v>
      </c>
    </row>
    <row r="1476" spans="17:23" x14ac:dyDescent="0.2">
      <c r="Q1476">
        <f t="shared" si="177"/>
        <v>1460</v>
      </c>
      <c r="R1476" s="48">
        <f t="shared" ca="1" si="178"/>
        <v>0.3</v>
      </c>
      <c r="S1476">
        <f t="shared" ca="1" si="179"/>
        <v>182.81698929115635</v>
      </c>
      <c r="T1476" s="61">
        <f t="shared" ca="1" si="180"/>
        <v>14400</v>
      </c>
      <c r="U1476" s="61">
        <f t="shared" ca="1" si="181"/>
        <v>10377.514003047554</v>
      </c>
      <c r="V1476" s="39">
        <f t="shared" ca="1" si="182"/>
        <v>6.8273118441102329E-2</v>
      </c>
      <c r="W1476" s="48">
        <f t="shared" ca="1" si="183"/>
        <v>0.70861936141730997</v>
      </c>
    </row>
    <row r="1477" spans="17:23" x14ac:dyDescent="0.2">
      <c r="Q1477">
        <f t="shared" si="177"/>
        <v>1461</v>
      </c>
      <c r="R1477" s="48">
        <f t="shared" ca="1" si="178"/>
        <v>0.35</v>
      </c>
      <c r="S1477">
        <f t="shared" ca="1" si="179"/>
        <v>179.94764872809407</v>
      </c>
      <c r="T1477" s="61">
        <f t="shared" ca="1" si="180"/>
        <v>16800</v>
      </c>
      <c r="U1477" s="61">
        <f t="shared" ca="1" si="181"/>
        <v>11572.777338608914</v>
      </c>
      <c r="V1477" s="39">
        <f t="shared" ca="1" si="182"/>
        <v>7.6136693017163901E-2</v>
      </c>
      <c r="W1477" s="48">
        <f t="shared" ca="1" si="183"/>
        <v>0.8133446064473584</v>
      </c>
    </row>
    <row r="1478" spans="17:23" x14ac:dyDescent="0.2">
      <c r="Q1478">
        <f t="shared" si="177"/>
        <v>1462</v>
      </c>
      <c r="R1478" s="48">
        <f t="shared" ca="1" si="178"/>
        <v>0.5</v>
      </c>
      <c r="S1478">
        <f t="shared" ca="1" si="179"/>
        <v>208.05272064542137</v>
      </c>
      <c r="T1478" s="61">
        <f t="shared" ca="1" si="180"/>
        <v>24000</v>
      </c>
      <c r="U1478" s="61">
        <f t="shared" ca="1" si="181"/>
        <v>31221.088258168551</v>
      </c>
      <c r="V1478" s="39">
        <f t="shared" ca="1" si="182"/>
        <v>0.20540189643531942</v>
      </c>
      <c r="W1478" s="48">
        <f t="shared" ca="1" si="183"/>
        <v>3.5506099854618105</v>
      </c>
    </row>
    <row r="1479" spans="17:23" x14ac:dyDescent="0.2">
      <c r="Q1479">
        <f t="shared" si="177"/>
        <v>1463</v>
      </c>
      <c r="R1479" s="48">
        <f t="shared" ca="1" si="178"/>
        <v>0.3</v>
      </c>
      <c r="S1479">
        <f t="shared" ca="1" si="179"/>
        <v>172.56463891420182</v>
      </c>
      <c r="T1479" s="61">
        <f t="shared" ca="1" si="180"/>
        <v>14400</v>
      </c>
      <c r="U1479" s="61">
        <f t="shared" ca="1" si="181"/>
        <v>4636.19779195302</v>
      </c>
      <c r="V1479" s="39">
        <f t="shared" ca="1" si="182"/>
        <v>3.0501301262848817E-2</v>
      </c>
      <c r="W1479" s="48">
        <f t="shared" ca="1" si="183"/>
        <v>0.27596333321321653</v>
      </c>
    </row>
    <row r="1480" spans="17:23" x14ac:dyDescent="0.2">
      <c r="Q1480">
        <f t="shared" si="177"/>
        <v>1464</v>
      </c>
      <c r="R1480" s="48">
        <f t="shared" ca="1" si="178"/>
        <v>0.15</v>
      </c>
      <c r="S1480">
        <f t="shared" ca="1" si="179"/>
        <v>186.45854401528774</v>
      </c>
      <c r="T1480" s="61">
        <f t="shared" ca="1" si="180"/>
        <v>7200</v>
      </c>
      <c r="U1480" s="61">
        <f t="shared" ca="1" si="181"/>
        <v>4791.8099303956651</v>
      </c>
      <c r="V1480" s="39">
        <f t="shared" ca="1" si="182"/>
        <v>3.1525065331550431E-2</v>
      </c>
      <c r="W1480" s="48">
        <f t="shared" ca="1" si="183"/>
        <v>0.28628154269521966</v>
      </c>
    </row>
    <row r="1481" spans="17:23" x14ac:dyDescent="0.2">
      <c r="Q1481">
        <f t="shared" si="177"/>
        <v>1465</v>
      </c>
      <c r="R1481" s="48">
        <f t="shared" ca="1" si="178"/>
        <v>0.35</v>
      </c>
      <c r="S1481">
        <f t="shared" ca="1" si="179"/>
        <v>198.09972163428407</v>
      </c>
      <c r="T1481" s="61">
        <f t="shared" ca="1" si="180"/>
        <v>16800</v>
      </c>
      <c r="U1481" s="61">
        <f t="shared" ca="1" si="181"/>
        <v>21011.855249827713</v>
      </c>
      <c r="V1481" s="39">
        <f t="shared" ca="1" si="182"/>
        <v>0.13823588980149812</v>
      </c>
      <c r="W1481" s="48">
        <f t="shared" ca="1" si="183"/>
        <v>1.8582896233896862</v>
      </c>
    </row>
    <row r="1482" spans="17:23" x14ac:dyDescent="0.2">
      <c r="Q1482">
        <f t="shared" si="177"/>
        <v>1466</v>
      </c>
      <c r="R1482" s="48">
        <f t="shared" ca="1" si="178"/>
        <v>0.35</v>
      </c>
      <c r="S1482">
        <f t="shared" ca="1" si="179"/>
        <v>176.22569222344393</v>
      </c>
      <c r="T1482" s="61">
        <f t="shared" ca="1" si="180"/>
        <v>16800</v>
      </c>
      <c r="U1482" s="61">
        <f t="shared" ca="1" si="181"/>
        <v>9637.3599561908431</v>
      </c>
      <c r="V1482" s="39">
        <f t="shared" ca="1" si="182"/>
        <v>6.3403683922308177E-2</v>
      </c>
      <c r="W1482" s="48">
        <f t="shared" ca="1" si="183"/>
        <v>0.64646213082615667</v>
      </c>
    </row>
    <row r="1483" spans="17:23" x14ac:dyDescent="0.2">
      <c r="Q1483">
        <f t="shared" si="177"/>
        <v>1467</v>
      </c>
      <c r="R1483" s="48">
        <f t="shared" ca="1" si="178"/>
        <v>0.45</v>
      </c>
      <c r="S1483">
        <f t="shared" ca="1" si="179"/>
        <v>170.37122605897594</v>
      </c>
      <c r="T1483" s="61">
        <f t="shared" ca="1" si="180"/>
        <v>21600</v>
      </c>
      <c r="U1483" s="61">
        <f t="shared" ca="1" si="181"/>
        <v>12963.33946594941</v>
      </c>
      <c r="V1483" s="39">
        <f t="shared" ca="1" si="182"/>
        <v>8.5285128065456642E-2</v>
      </c>
      <c r="W1483" s="48">
        <f t="shared" ca="1" si="183"/>
        <v>0.94222764444082774</v>
      </c>
    </row>
    <row r="1484" spans="17:23" x14ac:dyDescent="0.2">
      <c r="Q1484">
        <f t="shared" si="177"/>
        <v>1468</v>
      </c>
      <c r="R1484" s="48">
        <f t="shared" ca="1" si="178"/>
        <v>0.3</v>
      </c>
      <c r="S1484">
        <f t="shared" ca="1" si="179"/>
        <v>163.87415475742276</v>
      </c>
      <c r="T1484" s="61">
        <f t="shared" ca="1" si="180"/>
        <v>14400</v>
      </c>
      <c r="U1484" s="61">
        <f t="shared" ca="1" si="181"/>
        <v>-230.47333584325497</v>
      </c>
      <c r="V1484" s="39">
        <f t="shared" ca="1" si="182"/>
        <v>-1.5162719463372037E-3</v>
      </c>
      <c r="W1484" s="48">
        <f t="shared" ca="1" si="183"/>
        <v>-1.2232550279904664E-2</v>
      </c>
    </row>
    <row r="1485" spans="17:23" x14ac:dyDescent="0.2">
      <c r="Q1485">
        <f t="shared" si="177"/>
        <v>1469</v>
      </c>
      <c r="R1485" s="48">
        <f t="shared" ca="1" si="178"/>
        <v>0.35</v>
      </c>
      <c r="S1485">
        <f t="shared" ca="1" si="179"/>
        <v>199.79875440960205</v>
      </c>
      <c r="T1485" s="61">
        <f t="shared" ca="1" si="180"/>
        <v>16800</v>
      </c>
      <c r="U1485" s="61">
        <f t="shared" ca="1" si="181"/>
        <v>21895.35229299307</v>
      </c>
      <c r="V1485" s="39">
        <f t="shared" ca="1" si="182"/>
        <v>0.14404837034863863</v>
      </c>
      <c r="W1485" s="48">
        <f t="shared" ca="1" si="183"/>
        <v>1.978851923059727</v>
      </c>
    </row>
    <row r="1486" spans="17:23" x14ac:dyDescent="0.2">
      <c r="Q1486">
        <f t="shared" si="177"/>
        <v>1470</v>
      </c>
      <c r="R1486" s="48">
        <f t="shared" ca="1" si="178"/>
        <v>0.35</v>
      </c>
      <c r="S1486">
        <f t="shared" ca="1" si="179"/>
        <v>180.34427557876285</v>
      </c>
      <c r="T1486" s="61">
        <f t="shared" ca="1" si="180"/>
        <v>16800</v>
      </c>
      <c r="U1486" s="61">
        <f t="shared" ca="1" si="181"/>
        <v>11779.02330095668</v>
      </c>
      <c r="V1486" s="39">
        <f t="shared" ca="1" si="182"/>
        <v>7.7493574348399208E-2</v>
      </c>
      <c r="W1486" s="48">
        <f t="shared" ca="1" si="183"/>
        <v>0.83197331547706632</v>
      </c>
    </row>
    <row r="1487" spans="17:23" x14ac:dyDescent="0.2">
      <c r="Q1487">
        <f t="shared" si="177"/>
        <v>1471</v>
      </c>
      <c r="R1487" s="48">
        <f t="shared" ca="1" si="178"/>
        <v>0.3</v>
      </c>
      <c r="S1487">
        <f t="shared" ca="1" si="179"/>
        <v>181.12049254899412</v>
      </c>
      <c r="T1487" s="61">
        <f t="shared" ca="1" si="180"/>
        <v>14400</v>
      </c>
      <c r="U1487" s="61">
        <f t="shared" ca="1" si="181"/>
        <v>9427.4758274367086</v>
      </c>
      <c r="V1487" s="39">
        <f t="shared" ca="1" si="182"/>
        <v>6.2022867285767821E-2</v>
      </c>
      <c r="W1487" s="48">
        <f t="shared" ca="1" si="183"/>
        <v>0.62920114669161742</v>
      </c>
    </row>
    <row r="1488" spans="17:23" x14ac:dyDescent="0.2">
      <c r="Q1488">
        <f t="shared" si="177"/>
        <v>1472</v>
      </c>
      <c r="R1488" s="48">
        <f t="shared" ca="1" si="178"/>
        <v>0.217</v>
      </c>
      <c r="S1488">
        <f t="shared" ca="1" si="179"/>
        <v>191.03144845658031</v>
      </c>
      <c r="T1488" s="61">
        <f t="shared" ca="1" si="180"/>
        <v>10416</v>
      </c>
      <c r="U1488" s="61">
        <f t="shared" ca="1" si="181"/>
        <v>11062.099313201905</v>
      </c>
      <c r="V1488" s="39">
        <f t="shared" ca="1" si="182"/>
        <v>7.2776969165802008E-2</v>
      </c>
      <c r="W1488" s="48">
        <f t="shared" ca="1" si="183"/>
        <v>0.7679316409398369</v>
      </c>
    </row>
    <row r="1489" spans="17:23" x14ac:dyDescent="0.2">
      <c r="Q1489">
        <f t="shared" si="177"/>
        <v>1473</v>
      </c>
      <c r="R1489" s="48">
        <f t="shared" ca="1" si="178"/>
        <v>0.4</v>
      </c>
      <c r="S1489">
        <f t="shared" ca="1" si="179"/>
        <v>187.36802370337867</v>
      </c>
      <c r="T1489" s="61">
        <f t="shared" ca="1" si="180"/>
        <v>19200</v>
      </c>
      <c r="U1489" s="61">
        <f t="shared" ca="1" si="181"/>
        <v>17936.651377621762</v>
      </c>
      <c r="V1489" s="39">
        <f t="shared" ca="1" si="182"/>
        <v>0.11800428537909054</v>
      </c>
      <c r="W1489" s="48">
        <f t="shared" ca="1" si="183"/>
        <v>1.4713277934279714</v>
      </c>
    </row>
    <row r="1490" spans="17:23" x14ac:dyDescent="0.2">
      <c r="Q1490">
        <f t="shared" si="177"/>
        <v>1474</v>
      </c>
      <c r="R1490" s="48">
        <f t="shared" ca="1" si="178"/>
        <v>0.4</v>
      </c>
      <c r="S1490">
        <f t="shared" ca="1" si="179"/>
        <v>186.09465958694108</v>
      </c>
      <c r="T1490" s="61">
        <f t="shared" ca="1" si="180"/>
        <v>19200</v>
      </c>
      <c r="U1490" s="61">
        <f t="shared" ca="1" si="181"/>
        <v>17325.436601731715</v>
      </c>
      <c r="V1490" s="39">
        <f t="shared" ca="1" si="182"/>
        <v>0.11398313553770865</v>
      </c>
      <c r="W1490" s="48">
        <f t="shared" ca="1" si="183"/>
        <v>1.4001460213661661</v>
      </c>
    </row>
    <row r="1491" spans="17:23" x14ac:dyDescent="0.2">
      <c r="Q1491">
        <f t="shared" ref="Q1491:Q1554" si="184">Q1490+1</f>
        <v>1475</v>
      </c>
      <c r="R1491" s="48">
        <f t="shared" ref="R1491:R1554" ca="1" si="185">LOOKUP(RAND(),$U$6:$U$12,$S$6:$S$12)</f>
        <v>0.35</v>
      </c>
      <c r="S1491">
        <f t="shared" ref="S1491:S1554" ca="1" si="186">_xlfn.NORM.INV(RAND(),$Q$5,$Q$10)</f>
        <v>179.55639456246649</v>
      </c>
      <c r="T1491" s="61">
        <f t="shared" ca="1" si="180"/>
        <v>16800</v>
      </c>
      <c r="U1491" s="61">
        <f t="shared" ca="1" si="181"/>
        <v>11369.325172482577</v>
      </c>
      <c r="V1491" s="39">
        <f t="shared" ca="1" si="182"/>
        <v>7.4798191924227472E-2</v>
      </c>
      <c r="W1491" s="48">
        <f t="shared" ca="1" si="183"/>
        <v>0.79513116644922133</v>
      </c>
    </row>
    <row r="1492" spans="17:23" x14ac:dyDescent="0.2">
      <c r="Q1492">
        <f t="shared" si="184"/>
        <v>1476</v>
      </c>
      <c r="R1492" s="48">
        <f t="shared" ca="1" si="185"/>
        <v>0.3</v>
      </c>
      <c r="S1492">
        <f t="shared" ca="1" si="186"/>
        <v>201.22390947195686</v>
      </c>
      <c r="T1492" s="61">
        <f t="shared" ca="1" si="180"/>
        <v>14400</v>
      </c>
      <c r="U1492" s="61">
        <f t="shared" ca="1" si="181"/>
        <v>20685.389304295841</v>
      </c>
      <c r="V1492" s="39">
        <f t="shared" ca="1" si="182"/>
        <v>0.1360880875282621</v>
      </c>
      <c r="W1492" s="48">
        <f t="shared" ca="1" si="183"/>
        <v>1.8148349714710577</v>
      </c>
    </row>
    <row r="1493" spans="17:23" x14ac:dyDescent="0.2">
      <c r="Q1493">
        <f t="shared" si="184"/>
        <v>1477</v>
      </c>
      <c r="R1493" s="48">
        <f t="shared" ca="1" si="185"/>
        <v>0.35</v>
      </c>
      <c r="S1493">
        <f t="shared" ca="1" si="186"/>
        <v>229.97798901691209</v>
      </c>
      <c r="T1493" s="61">
        <f t="shared" ca="1" si="180"/>
        <v>16800</v>
      </c>
      <c r="U1493" s="61">
        <f t="shared" ca="1" si="181"/>
        <v>37588.554288794287</v>
      </c>
      <c r="V1493" s="39">
        <f t="shared" ca="1" si="182"/>
        <v>0.24729312032101505</v>
      </c>
      <c r="W1493" s="48">
        <f t="shared" ca="1" si="183"/>
        <v>5.0035949690808872</v>
      </c>
    </row>
    <row r="1494" spans="17:23" x14ac:dyDescent="0.2">
      <c r="Q1494">
        <f t="shared" si="184"/>
        <v>1478</v>
      </c>
      <c r="R1494" s="48">
        <f t="shared" ca="1" si="185"/>
        <v>0.35</v>
      </c>
      <c r="S1494">
        <f t="shared" ca="1" si="186"/>
        <v>165.94871978729236</v>
      </c>
      <c r="T1494" s="61">
        <f t="shared" ca="1" si="180"/>
        <v>16800</v>
      </c>
      <c r="U1494" s="61">
        <f t="shared" ca="1" si="181"/>
        <v>4293.3342893920271</v>
      </c>
      <c r="V1494" s="39">
        <f t="shared" ca="1" si="182"/>
        <v>2.8245620324947547E-2</v>
      </c>
      <c r="W1494" s="48">
        <f t="shared" ca="1" si="183"/>
        <v>0.25348471752246904</v>
      </c>
    </row>
    <row r="1495" spans="17:23" x14ac:dyDescent="0.2">
      <c r="Q1495">
        <f t="shared" si="184"/>
        <v>1479</v>
      </c>
      <c r="R1495" s="48">
        <f t="shared" ca="1" si="185"/>
        <v>0.217</v>
      </c>
      <c r="S1495">
        <f t="shared" ca="1" si="186"/>
        <v>198.32479586615969</v>
      </c>
      <c r="T1495" s="61">
        <f t="shared" ca="1" si="180"/>
        <v>10416</v>
      </c>
      <c r="U1495" s="61">
        <f t="shared" ca="1" si="181"/>
        <v>15630.65213056243</v>
      </c>
      <c r="V1495" s="39">
        <f t="shared" ca="1" si="182"/>
        <v>0.10283323770106861</v>
      </c>
      <c r="W1495" s="48">
        <f t="shared" ca="1" si="183"/>
        <v>1.2120864172518715</v>
      </c>
    </row>
    <row r="1496" spans="17:23" x14ac:dyDescent="0.2">
      <c r="Q1496">
        <f t="shared" si="184"/>
        <v>1480</v>
      </c>
      <c r="R1496" s="48">
        <f t="shared" ca="1" si="185"/>
        <v>0.45</v>
      </c>
      <c r="S1496">
        <f t="shared" ca="1" si="186"/>
        <v>182.76124772159258</v>
      </c>
      <c r="T1496" s="61">
        <f t="shared" ca="1" si="180"/>
        <v>21600</v>
      </c>
      <c r="U1496" s="61">
        <f t="shared" ca="1" si="181"/>
        <v>18414.948997500735</v>
      </c>
      <c r="V1496" s="39">
        <f t="shared" ca="1" si="182"/>
        <v>0.12115098024671536</v>
      </c>
      <c r="W1496" s="48">
        <f t="shared" ca="1" si="183"/>
        <v>1.5283141848363613</v>
      </c>
    </row>
    <row r="1497" spans="17:23" x14ac:dyDescent="0.2">
      <c r="Q1497">
        <f t="shared" si="184"/>
        <v>1481</v>
      </c>
      <c r="R1497" s="48">
        <f t="shared" ca="1" si="185"/>
        <v>0.3</v>
      </c>
      <c r="S1497">
        <f t="shared" ca="1" si="186"/>
        <v>188.83484440818233</v>
      </c>
      <c r="T1497" s="61">
        <f t="shared" ca="1" si="180"/>
        <v>14400</v>
      </c>
      <c r="U1497" s="61">
        <f t="shared" ca="1" si="181"/>
        <v>13747.512868582107</v>
      </c>
      <c r="V1497" s="39">
        <f t="shared" ca="1" si="182"/>
        <v>9.0444163609092812E-2</v>
      </c>
      <c r="W1497" s="48">
        <f t="shared" ca="1" si="183"/>
        <v>1.0183924732929781</v>
      </c>
    </row>
    <row r="1498" spans="17:23" x14ac:dyDescent="0.2">
      <c r="Q1498">
        <f t="shared" si="184"/>
        <v>1482</v>
      </c>
      <c r="R1498" s="48">
        <f t="shared" ca="1" si="185"/>
        <v>0.45</v>
      </c>
      <c r="S1498">
        <f t="shared" ca="1" si="186"/>
        <v>198.02576798260293</v>
      </c>
      <c r="T1498" s="61">
        <f t="shared" ca="1" si="180"/>
        <v>21600</v>
      </c>
      <c r="U1498" s="61">
        <f t="shared" ca="1" si="181"/>
        <v>25131.337912345291</v>
      </c>
      <c r="V1498" s="39">
        <f t="shared" ca="1" si="182"/>
        <v>0.16533774942332427</v>
      </c>
      <c r="W1498" s="48">
        <f t="shared" ca="1" si="183"/>
        <v>2.4593782866370528</v>
      </c>
    </row>
    <row r="1499" spans="17:23" x14ac:dyDescent="0.2">
      <c r="Q1499">
        <f t="shared" si="184"/>
        <v>1483</v>
      </c>
      <c r="R1499" s="48">
        <f t="shared" ca="1" si="185"/>
        <v>0.35</v>
      </c>
      <c r="S1499">
        <f t="shared" ca="1" si="186"/>
        <v>181.80667365860731</v>
      </c>
      <c r="T1499" s="61">
        <f t="shared" ca="1" si="180"/>
        <v>16800</v>
      </c>
      <c r="U1499" s="61">
        <f t="shared" ca="1" si="181"/>
        <v>12539.470302475802</v>
      </c>
      <c r="V1499" s="39">
        <f t="shared" ca="1" si="182"/>
        <v>8.2496515147867114E-2</v>
      </c>
      <c r="W1499" s="48">
        <f t="shared" ca="1" si="183"/>
        <v>0.9021169811657459</v>
      </c>
    </row>
    <row r="1500" spans="17:23" x14ac:dyDescent="0.2">
      <c r="Q1500">
        <f t="shared" si="184"/>
        <v>1484</v>
      </c>
      <c r="R1500" s="48">
        <f t="shared" ca="1" si="185"/>
        <v>0.4</v>
      </c>
      <c r="S1500">
        <f t="shared" ca="1" si="186"/>
        <v>216.34311992961497</v>
      </c>
      <c r="T1500" s="61">
        <f t="shared" ca="1" si="180"/>
        <v>19200</v>
      </c>
      <c r="U1500" s="61">
        <f t="shared" ca="1" si="181"/>
        <v>31844.697566215185</v>
      </c>
      <c r="V1500" s="39">
        <f t="shared" ca="1" si="182"/>
        <v>0.20950458925141568</v>
      </c>
      <c r="W1500" s="48">
        <f t="shared" ca="1" si="183"/>
        <v>3.6777690687592886</v>
      </c>
    </row>
    <row r="1501" spans="17:23" x14ac:dyDescent="0.2">
      <c r="Q1501">
        <f t="shared" si="184"/>
        <v>1485</v>
      </c>
      <c r="R1501" s="48">
        <f t="shared" ca="1" si="185"/>
        <v>0.35</v>
      </c>
      <c r="S1501">
        <f t="shared" ca="1" si="186"/>
        <v>212.88940797879326</v>
      </c>
      <c r="T1501" s="61">
        <f t="shared" ca="1" si="180"/>
        <v>16800</v>
      </c>
      <c r="U1501" s="61">
        <f t="shared" ca="1" si="181"/>
        <v>28702.492148972495</v>
      </c>
      <c r="V1501" s="39">
        <f t="shared" ca="1" si="182"/>
        <v>0.18883218519060851</v>
      </c>
      <c r="W1501" s="48">
        <f t="shared" ca="1" si="183"/>
        <v>3.0673464071018017</v>
      </c>
    </row>
    <row r="1502" spans="17:23" x14ac:dyDescent="0.2">
      <c r="Q1502">
        <f t="shared" si="184"/>
        <v>1486</v>
      </c>
      <c r="R1502" s="48">
        <f t="shared" ca="1" si="185"/>
        <v>0.35</v>
      </c>
      <c r="S1502">
        <f t="shared" ca="1" si="186"/>
        <v>202.70798308895658</v>
      </c>
      <c r="T1502" s="61">
        <f t="shared" ca="1" si="180"/>
        <v>16800</v>
      </c>
      <c r="U1502" s="61">
        <f t="shared" ca="1" si="181"/>
        <v>23408.151206257422</v>
      </c>
      <c r="V1502" s="39">
        <f t="shared" ca="1" si="182"/>
        <v>0.15400099477800935</v>
      </c>
      <c r="W1502" s="48">
        <f t="shared" ca="1" si="183"/>
        <v>2.1956651289483626</v>
      </c>
    </row>
    <row r="1503" spans="17:23" x14ac:dyDescent="0.2">
      <c r="Q1503">
        <f t="shared" si="184"/>
        <v>1487</v>
      </c>
      <c r="R1503" s="48">
        <f t="shared" ca="1" si="185"/>
        <v>0.4</v>
      </c>
      <c r="S1503">
        <f t="shared" ca="1" si="186"/>
        <v>142.37439278196922</v>
      </c>
      <c r="T1503" s="61">
        <f t="shared" ca="1" si="180"/>
        <v>19200</v>
      </c>
      <c r="U1503" s="61">
        <f t="shared" ca="1" si="181"/>
        <v>-3660.2914646547724</v>
      </c>
      <c r="V1503" s="39">
        <f t="shared" ca="1" si="182"/>
        <v>-2.4080864899044555E-2</v>
      </c>
      <c r="W1503" s="48">
        <f t="shared" ca="1" si="183"/>
        <v>-0.1793944941294362</v>
      </c>
    </row>
    <row r="1504" spans="17:23" x14ac:dyDescent="0.2">
      <c r="Q1504">
        <f t="shared" si="184"/>
        <v>1488</v>
      </c>
      <c r="R1504" s="48">
        <f t="shared" ca="1" si="185"/>
        <v>0.3</v>
      </c>
      <c r="S1504">
        <f t="shared" ca="1" si="186"/>
        <v>165.1885814662468</v>
      </c>
      <c r="T1504" s="61">
        <f t="shared" ca="1" si="180"/>
        <v>14400</v>
      </c>
      <c r="U1504" s="61">
        <f t="shared" ca="1" si="181"/>
        <v>505.60562109820967</v>
      </c>
      <c r="V1504" s="39">
        <f t="shared" ca="1" si="182"/>
        <v>3.3263527703829582E-3</v>
      </c>
      <c r="W1504" s="48">
        <f t="shared" ca="1" si="183"/>
        <v>2.7301686565773142E-2</v>
      </c>
    </row>
    <row r="1505" spans="17:23" x14ac:dyDescent="0.2">
      <c r="Q1505">
        <f t="shared" si="184"/>
        <v>1489</v>
      </c>
      <c r="R1505" s="48">
        <f t="shared" ca="1" si="185"/>
        <v>0.217</v>
      </c>
      <c r="S1505">
        <f t="shared" ca="1" si="186"/>
        <v>196.8669879266163</v>
      </c>
      <c r="T1505" s="61">
        <f t="shared" ca="1" si="180"/>
        <v>10416</v>
      </c>
      <c r="U1505" s="61">
        <f t="shared" ca="1" si="181"/>
        <v>14717.481237232452</v>
      </c>
      <c r="V1505" s="39">
        <f t="shared" ca="1" si="182"/>
        <v>9.6825534455476661E-2</v>
      </c>
      <c r="W1505" s="48">
        <f t="shared" ca="1" si="183"/>
        <v>1.116216749217755</v>
      </c>
    </row>
    <row r="1506" spans="17:23" x14ac:dyDescent="0.2">
      <c r="Q1506">
        <f t="shared" si="184"/>
        <v>1490</v>
      </c>
      <c r="R1506" s="48">
        <f t="shared" ca="1" si="185"/>
        <v>0.3</v>
      </c>
      <c r="S1506">
        <f t="shared" ca="1" si="186"/>
        <v>228.40374805908198</v>
      </c>
      <c r="T1506" s="61">
        <f t="shared" ca="1" si="180"/>
        <v>14400</v>
      </c>
      <c r="U1506" s="61">
        <f t="shared" ca="1" si="181"/>
        <v>35906.098913085909</v>
      </c>
      <c r="V1506" s="39">
        <f t="shared" ca="1" si="182"/>
        <v>0.23622433495451256</v>
      </c>
      <c r="W1506" s="48">
        <f t="shared" ca="1" si="183"/>
        <v>4.5848477618128252</v>
      </c>
    </row>
    <row r="1507" spans="17:23" x14ac:dyDescent="0.2">
      <c r="Q1507">
        <f t="shared" si="184"/>
        <v>1491</v>
      </c>
      <c r="R1507" s="48">
        <f t="shared" ca="1" si="185"/>
        <v>0.35</v>
      </c>
      <c r="S1507">
        <f t="shared" ca="1" si="186"/>
        <v>201.43077668654277</v>
      </c>
      <c r="T1507" s="61">
        <f t="shared" ca="1" si="180"/>
        <v>16800</v>
      </c>
      <c r="U1507" s="61">
        <f t="shared" ca="1" si="181"/>
        <v>22744.00387700224</v>
      </c>
      <c r="V1507" s="39">
        <f t="shared" ca="1" si="182"/>
        <v>0.14963160445396212</v>
      </c>
      <c r="W1507" s="48">
        <f t="shared" ca="1" si="183"/>
        <v>2.0988339080788201</v>
      </c>
    </row>
    <row r="1508" spans="17:23" x14ac:dyDescent="0.2">
      <c r="Q1508">
        <f t="shared" si="184"/>
        <v>1492</v>
      </c>
      <c r="R1508" s="48">
        <f t="shared" ca="1" si="185"/>
        <v>0.3</v>
      </c>
      <c r="S1508">
        <f t="shared" ca="1" si="186"/>
        <v>196.73264975224652</v>
      </c>
      <c r="T1508" s="61">
        <f t="shared" ca="1" si="180"/>
        <v>14400</v>
      </c>
      <c r="U1508" s="61">
        <f t="shared" ca="1" si="181"/>
        <v>18170.283861258049</v>
      </c>
      <c r="V1508" s="39">
        <f t="shared" ca="1" si="182"/>
        <v>0.11954134119248716</v>
      </c>
      <c r="W1508" s="48">
        <f t="shared" ca="1" si="183"/>
        <v>1.4990214670634447</v>
      </c>
    </row>
    <row r="1509" spans="17:23" x14ac:dyDescent="0.2">
      <c r="Q1509">
        <f t="shared" si="184"/>
        <v>1493</v>
      </c>
      <c r="R1509" s="48">
        <f t="shared" ca="1" si="185"/>
        <v>0.35</v>
      </c>
      <c r="S1509">
        <f t="shared" ca="1" si="186"/>
        <v>189.86050794791643</v>
      </c>
      <c r="T1509" s="61">
        <f t="shared" ca="1" si="180"/>
        <v>16800</v>
      </c>
      <c r="U1509" s="61">
        <f t="shared" ca="1" si="181"/>
        <v>16727.464132916546</v>
      </c>
      <c r="V1509" s="39">
        <f t="shared" ca="1" si="182"/>
        <v>0.11004910613760886</v>
      </c>
      <c r="W1509" s="48">
        <f t="shared" ca="1" si="183"/>
        <v>1.3322524224960777</v>
      </c>
    </row>
    <row r="1510" spans="17:23" x14ac:dyDescent="0.2">
      <c r="Q1510">
        <f t="shared" si="184"/>
        <v>1494</v>
      </c>
      <c r="R1510" s="48">
        <f t="shared" ca="1" si="185"/>
        <v>0.4</v>
      </c>
      <c r="S1510">
        <f t="shared" ca="1" si="186"/>
        <v>186.42208228196768</v>
      </c>
      <c r="T1510" s="61">
        <f t="shared" ca="1" si="180"/>
        <v>19200</v>
      </c>
      <c r="U1510" s="61">
        <f t="shared" ca="1" si="181"/>
        <v>17482.599495344482</v>
      </c>
      <c r="V1510" s="39">
        <f t="shared" ca="1" si="182"/>
        <v>0.11501710194305581</v>
      </c>
      <c r="W1510" s="48">
        <f t="shared" ca="1" si="183"/>
        <v>1.4182752536623102</v>
      </c>
    </row>
    <row r="1511" spans="17:23" x14ac:dyDescent="0.2">
      <c r="Q1511">
        <f t="shared" si="184"/>
        <v>1495</v>
      </c>
      <c r="R1511" s="48">
        <f t="shared" ca="1" si="185"/>
        <v>0.217</v>
      </c>
      <c r="S1511">
        <f t="shared" ca="1" si="186"/>
        <v>175.68129827151643</v>
      </c>
      <c r="T1511" s="61">
        <f t="shared" ca="1" si="180"/>
        <v>10416</v>
      </c>
      <c r="U1511" s="61">
        <f t="shared" ca="1" si="181"/>
        <v>1446.7652372778884</v>
      </c>
      <c r="V1511" s="39">
        <f t="shared" ca="1" si="182"/>
        <v>9.5181923505124246E-3</v>
      </c>
      <c r="W1511" s="48">
        <f t="shared" ca="1" si="183"/>
        <v>7.9867138425759654E-2</v>
      </c>
    </row>
    <row r="1512" spans="17:23" x14ac:dyDescent="0.2">
      <c r="Q1512">
        <f t="shared" si="184"/>
        <v>1496</v>
      </c>
      <c r="R1512" s="48">
        <f t="shared" ca="1" si="185"/>
        <v>0.45</v>
      </c>
      <c r="S1512">
        <f t="shared" ca="1" si="186"/>
        <v>203.60759315204047</v>
      </c>
      <c r="T1512" s="61">
        <f t="shared" ca="1" si="180"/>
        <v>21600</v>
      </c>
      <c r="U1512" s="61">
        <f t="shared" ca="1" si="181"/>
        <v>27587.340986897805</v>
      </c>
      <c r="V1512" s="39">
        <f t="shared" ca="1" si="182"/>
        <v>0.18149566438748557</v>
      </c>
      <c r="W1512" s="48">
        <f t="shared" ca="1" si="183"/>
        <v>2.8681657300260168</v>
      </c>
    </row>
    <row r="1513" spans="17:23" x14ac:dyDescent="0.2">
      <c r="Q1513">
        <f t="shared" si="184"/>
        <v>1497</v>
      </c>
      <c r="R1513" s="48">
        <f t="shared" ca="1" si="185"/>
        <v>0.3</v>
      </c>
      <c r="S1513">
        <f t="shared" ca="1" si="186"/>
        <v>177.3951744275634</v>
      </c>
      <c r="T1513" s="61">
        <f t="shared" ca="1" si="180"/>
        <v>14400</v>
      </c>
      <c r="U1513" s="61">
        <f t="shared" ca="1" si="181"/>
        <v>7341.2976794355063</v>
      </c>
      <c r="V1513" s="39">
        <f t="shared" ca="1" si="182"/>
        <v>4.8298011048917802E-2</v>
      </c>
      <c r="W1513" s="48">
        <f t="shared" ca="1" si="183"/>
        <v>0.46606821811238452</v>
      </c>
    </row>
    <row r="1514" spans="17:23" x14ac:dyDescent="0.2">
      <c r="Q1514">
        <f t="shared" si="184"/>
        <v>1498</v>
      </c>
      <c r="R1514" s="48">
        <f t="shared" ca="1" si="185"/>
        <v>0.35</v>
      </c>
      <c r="S1514">
        <f t="shared" ca="1" si="186"/>
        <v>195.87865228011918</v>
      </c>
      <c r="T1514" s="61">
        <f t="shared" ca="1" si="180"/>
        <v>16800</v>
      </c>
      <c r="U1514" s="61">
        <f t="shared" ca="1" si="181"/>
        <v>19856.899185661976</v>
      </c>
      <c r="V1514" s="39">
        <f t="shared" ca="1" si="182"/>
        <v>0.13063749464251301</v>
      </c>
      <c r="W1514" s="48">
        <f t="shared" ca="1" si="183"/>
        <v>1.7071473138035516</v>
      </c>
    </row>
    <row r="1515" spans="17:23" x14ac:dyDescent="0.2">
      <c r="Q1515">
        <f t="shared" si="184"/>
        <v>1499</v>
      </c>
      <c r="R1515" s="48">
        <f t="shared" ca="1" si="185"/>
        <v>0.35</v>
      </c>
      <c r="S1515">
        <f t="shared" ca="1" si="186"/>
        <v>176.9957215307939</v>
      </c>
      <c r="T1515" s="61">
        <f t="shared" ca="1" si="180"/>
        <v>16800</v>
      </c>
      <c r="U1515" s="61">
        <f t="shared" ca="1" si="181"/>
        <v>10037.775196012828</v>
      </c>
      <c r="V1515" s="39">
        <f t="shared" ca="1" si="182"/>
        <v>6.6037994710610712E-2</v>
      </c>
      <c r="W1515" s="48">
        <f t="shared" ca="1" si="183"/>
        <v>0.67983769769626634</v>
      </c>
    </row>
    <row r="1516" spans="17:23" x14ac:dyDescent="0.2">
      <c r="Q1516">
        <f t="shared" si="184"/>
        <v>1500</v>
      </c>
      <c r="R1516" s="48">
        <f t="shared" ca="1" si="185"/>
        <v>0.35</v>
      </c>
      <c r="S1516">
        <f t="shared" ca="1" si="186"/>
        <v>197.08904682663328</v>
      </c>
      <c r="T1516" s="61">
        <f t="shared" ca="1" si="180"/>
        <v>16800</v>
      </c>
      <c r="U1516" s="61">
        <f t="shared" ca="1" si="181"/>
        <v>20486.304349849306</v>
      </c>
      <c r="V1516" s="39">
        <f t="shared" ca="1" si="182"/>
        <v>0.13477831809111385</v>
      </c>
      <c r="W1516" s="48">
        <f t="shared" ca="1" si="183"/>
        <v>1.7886207813999793</v>
      </c>
    </row>
    <row r="1517" spans="17:23" x14ac:dyDescent="0.2">
      <c r="Q1517">
        <f t="shared" si="184"/>
        <v>1501</v>
      </c>
      <c r="R1517" s="48">
        <f t="shared" ca="1" si="185"/>
        <v>0.45</v>
      </c>
      <c r="S1517">
        <f t="shared" ca="1" si="186"/>
        <v>172.89402524140178</v>
      </c>
      <c r="T1517" s="61">
        <f t="shared" ca="1" si="180"/>
        <v>21600</v>
      </c>
      <c r="U1517" s="61">
        <f t="shared" ca="1" si="181"/>
        <v>14073.371106216782</v>
      </c>
      <c r="V1517" s="39">
        <f t="shared" ca="1" si="182"/>
        <v>9.2587967804057772E-2</v>
      </c>
      <c r="W1517" s="48">
        <f t="shared" ca="1" si="183"/>
        <v>1.0508044111255428</v>
      </c>
    </row>
    <row r="1518" spans="17:23" x14ac:dyDescent="0.2">
      <c r="Q1518">
        <f t="shared" si="184"/>
        <v>1502</v>
      </c>
      <c r="R1518" s="48">
        <f t="shared" ca="1" si="185"/>
        <v>0.4</v>
      </c>
      <c r="S1518">
        <f t="shared" ca="1" si="186"/>
        <v>180.8414127963423</v>
      </c>
      <c r="T1518" s="61">
        <f t="shared" ca="1" si="180"/>
        <v>19200</v>
      </c>
      <c r="U1518" s="61">
        <f t="shared" ca="1" si="181"/>
        <v>14803.878142244303</v>
      </c>
      <c r="V1518" s="39">
        <f t="shared" ca="1" si="182"/>
        <v>9.7393935146344091E-2</v>
      </c>
      <c r="W1518" s="48">
        <f t="shared" ca="1" si="183"/>
        <v>1.1251283940390855</v>
      </c>
    </row>
    <row r="1519" spans="17:23" x14ac:dyDescent="0.2">
      <c r="Q1519">
        <f t="shared" si="184"/>
        <v>1503</v>
      </c>
      <c r="R1519" s="48">
        <f t="shared" ca="1" si="185"/>
        <v>0.45</v>
      </c>
      <c r="S1519">
        <f t="shared" ca="1" si="186"/>
        <v>168.75009564302141</v>
      </c>
      <c r="T1519" s="61">
        <f t="shared" ca="1" si="180"/>
        <v>21600</v>
      </c>
      <c r="U1519" s="61">
        <f t="shared" ca="1" si="181"/>
        <v>12250.04208292942</v>
      </c>
      <c r="V1519" s="39">
        <f t="shared" ca="1" si="182"/>
        <v>8.0592382124535664E-2</v>
      </c>
      <c r="W1519" s="48">
        <f t="shared" ca="1" si="183"/>
        <v>0.87514745049888432</v>
      </c>
    </row>
    <row r="1520" spans="17:23" x14ac:dyDescent="0.2">
      <c r="Q1520">
        <f t="shared" si="184"/>
        <v>1504</v>
      </c>
      <c r="R1520" s="48">
        <f t="shared" ca="1" si="185"/>
        <v>0.3</v>
      </c>
      <c r="S1520">
        <f t="shared" ca="1" si="186"/>
        <v>192.72390203377722</v>
      </c>
      <c r="T1520" s="61">
        <f t="shared" ca="1" si="180"/>
        <v>14400</v>
      </c>
      <c r="U1520" s="61">
        <f t="shared" ca="1" si="181"/>
        <v>15925.385138915244</v>
      </c>
      <c r="V1520" s="39">
        <f t="shared" ca="1" si="182"/>
        <v>0.10477227065075818</v>
      </c>
      <c r="W1520" s="48">
        <f t="shared" ca="1" si="183"/>
        <v>1.2438313198789959</v>
      </c>
    </row>
    <row r="1521" spans="17:23" x14ac:dyDescent="0.2">
      <c r="Q1521">
        <f t="shared" si="184"/>
        <v>1505</v>
      </c>
      <c r="R1521" s="48">
        <f t="shared" ca="1" si="185"/>
        <v>0.217</v>
      </c>
      <c r="S1521">
        <f t="shared" ca="1" si="186"/>
        <v>208.03532832606589</v>
      </c>
      <c r="T1521" s="61">
        <f t="shared" ca="1" si="180"/>
        <v>10416</v>
      </c>
      <c r="U1521" s="61">
        <f t="shared" ca="1" si="181"/>
        <v>21713.329663447676</v>
      </c>
      <c r="V1521" s="39">
        <f t="shared" ca="1" si="182"/>
        <v>0.14285085304899786</v>
      </c>
      <c r="W1521" s="48">
        <f t="shared" ca="1" si="183"/>
        <v>1.9536548098243744</v>
      </c>
    </row>
    <row r="1522" spans="17:23" x14ac:dyDescent="0.2">
      <c r="Q1522">
        <f t="shared" si="184"/>
        <v>1506</v>
      </c>
      <c r="R1522" s="48">
        <f t="shared" ca="1" si="185"/>
        <v>0.3</v>
      </c>
      <c r="S1522">
        <f t="shared" ca="1" si="186"/>
        <v>181.7573024313424</v>
      </c>
      <c r="T1522" s="61">
        <f t="shared" ca="1" si="180"/>
        <v>14400</v>
      </c>
      <c r="U1522" s="61">
        <f t="shared" ca="1" si="181"/>
        <v>9784.0893615517416</v>
      </c>
      <c r="V1522" s="39">
        <f t="shared" ca="1" si="182"/>
        <v>6.4369008957577245E-2</v>
      </c>
      <c r="W1522" s="48">
        <f t="shared" ca="1" si="183"/>
        <v>0.65862425895738008</v>
      </c>
    </row>
    <row r="1523" spans="17:23" x14ac:dyDescent="0.2">
      <c r="Q1523">
        <f t="shared" si="184"/>
        <v>1507</v>
      </c>
      <c r="R1523" s="48">
        <f t="shared" ca="1" si="185"/>
        <v>0.217</v>
      </c>
      <c r="S1523">
        <f t="shared" ca="1" si="186"/>
        <v>194.43100764405412</v>
      </c>
      <c r="T1523" s="61">
        <f t="shared" ca="1" si="180"/>
        <v>10416</v>
      </c>
      <c r="U1523" s="61">
        <f t="shared" ca="1" si="181"/>
        <v>13191.583188235501</v>
      </c>
      <c r="V1523" s="39">
        <f t="shared" ca="1" si="182"/>
        <v>8.678673150154935E-2</v>
      </c>
      <c r="W1523" s="48">
        <f t="shared" ca="1" si="183"/>
        <v>0.9641319328771083</v>
      </c>
    </row>
    <row r="1524" spans="17:23" x14ac:dyDescent="0.2">
      <c r="Q1524">
        <f t="shared" si="184"/>
        <v>1508</v>
      </c>
      <c r="R1524" s="48">
        <f t="shared" ca="1" si="185"/>
        <v>0.45</v>
      </c>
      <c r="S1524">
        <f t="shared" ca="1" si="186"/>
        <v>184.8802019609839</v>
      </c>
      <c r="T1524" s="61">
        <f t="shared" ca="1" si="180"/>
        <v>21600</v>
      </c>
      <c r="U1524" s="61">
        <f t="shared" ca="1" si="181"/>
        <v>19347.288862832913</v>
      </c>
      <c r="V1524" s="39">
        <f t="shared" ca="1" si="182"/>
        <v>0.12728479515021654</v>
      </c>
      <c r="W1524" s="48">
        <f t="shared" ca="1" si="183"/>
        <v>1.6427173180550225</v>
      </c>
    </row>
    <row r="1525" spans="17:23" x14ac:dyDescent="0.2">
      <c r="Q1525">
        <f t="shared" si="184"/>
        <v>1509</v>
      </c>
      <c r="R1525" s="48">
        <f t="shared" ca="1" si="185"/>
        <v>0.4</v>
      </c>
      <c r="S1525">
        <f t="shared" ca="1" si="186"/>
        <v>160.02148979028655</v>
      </c>
      <c r="T1525" s="61">
        <f t="shared" ca="1" si="180"/>
        <v>19200</v>
      </c>
      <c r="U1525" s="61">
        <f t="shared" ca="1" si="181"/>
        <v>4810.3150993375457</v>
      </c>
      <c r="V1525" s="39">
        <f t="shared" ca="1" si="182"/>
        <v>3.1646809864062798E-2</v>
      </c>
      <c r="W1525" s="48">
        <f t="shared" ca="1" si="183"/>
        <v>0.28751342246283085</v>
      </c>
    </row>
    <row r="1526" spans="17:23" x14ac:dyDescent="0.2">
      <c r="Q1526">
        <f t="shared" si="184"/>
        <v>1510</v>
      </c>
      <c r="R1526" s="48">
        <f t="shared" ca="1" si="185"/>
        <v>0.35</v>
      </c>
      <c r="S1526">
        <f t="shared" ca="1" si="186"/>
        <v>185.90977261624079</v>
      </c>
      <c r="T1526" s="61">
        <f t="shared" ca="1" si="180"/>
        <v>16800</v>
      </c>
      <c r="U1526" s="61">
        <f t="shared" ca="1" si="181"/>
        <v>14673.08176044521</v>
      </c>
      <c r="V1526" s="39">
        <f t="shared" ca="1" si="182"/>
        <v>9.6533432634507962E-2</v>
      </c>
      <c r="W1526" s="48">
        <f t="shared" ca="1" si="183"/>
        <v>1.1116498018672747</v>
      </c>
    </row>
    <row r="1527" spans="17:23" x14ac:dyDescent="0.2">
      <c r="Q1527">
        <f t="shared" si="184"/>
        <v>1511</v>
      </c>
      <c r="R1527" s="48">
        <f t="shared" ca="1" si="185"/>
        <v>0.35</v>
      </c>
      <c r="S1527">
        <f t="shared" ca="1" si="186"/>
        <v>175.36957903409996</v>
      </c>
      <c r="T1527" s="61">
        <f t="shared" ca="1" si="180"/>
        <v>16800</v>
      </c>
      <c r="U1527" s="61">
        <f t="shared" ca="1" si="181"/>
        <v>9192.1810977319765</v>
      </c>
      <c r="V1527" s="39">
        <f t="shared" ca="1" si="182"/>
        <v>6.0474875642973533E-2</v>
      </c>
      <c r="W1527" s="48">
        <f t="shared" ca="1" si="183"/>
        <v>0.61003918763524645</v>
      </c>
    </row>
    <row r="1528" spans="17:23" x14ac:dyDescent="0.2">
      <c r="Q1528">
        <f t="shared" si="184"/>
        <v>1512</v>
      </c>
      <c r="R1528" s="48">
        <f t="shared" ca="1" si="185"/>
        <v>0.5</v>
      </c>
      <c r="S1528">
        <f t="shared" ca="1" si="186"/>
        <v>168.51008596377187</v>
      </c>
      <c r="T1528" s="61">
        <f t="shared" ca="1" si="180"/>
        <v>24000</v>
      </c>
      <c r="U1528" s="61">
        <f t="shared" ca="1" si="181"/>
        <v>15404.034385508749</v>
      </c>
      <c r="V1528" s="39">
        <f t="shared" ca="1" si="182"/>
        <v>0.10134233148361019</v>
      </c>
      <c r="W1528" s="48">
        <f t="shared" ca="1" si="183"/>
        <v>1.1879464806848716</v>
      </c>
    </row>
    <row r="1529" spans="17:23" x14ac:dyDescent="0.2">
      <c r="Q1529">
        <f t="shared" si="184"/>
        <v>1513</v>
      </c>
      <c r="R1529" s="48">
        <f t="shared" ca="1" si="185"/>
        <v>0.45</v>
      </c>
      <c r="S1529">
        <f t="shared" ca="1" si="186"/>
        <v>212.05877621731167</v>
      </c>
      <c r="T1529" s="61">
        <f t="shared" ref="T1529:T1592" ca="1" si="187">($B$8-$B$7)*($E$6*R1529)</f>
        <v>21600</v>
      </c>
      <c r="U1529" s="61">
        <f t="shared" ref="U1529:U1592" ca="1" si="188">T1529+((S1529-$B$7)*($E$6*(1-R1529)))</f>
        <v>31305.861535617136</v>
      </c>
      <c r="V1529" s="39">
        <f t="shared" ref="V1529:V1592" ca="1" si="189">U1529/$E$4</f>
        <v>0.20595961536590221</v>
      </c>
      <c r="W1529" s="48">
        <f t="shared" ref="W1529:W1592" ca="1" si="190">(1+V1529)^($J$29/$J$30)-1</f>
        <v>3.5677159679466142</v>
      </c>
    </row>
    <row r="1530" spans="17:23" x14ac:dyDescent="0.2">
      <c r="Q1530">
        <f t="shared" si="184"/>
        <v>1514</v>
      </c>
      <c r="R1530" s="48">
        <f t="shared" ca="1" si="185"/>
        <v>0.4</v>
      </c>
      <c r="S1530">
        <f t="shared" ca="1" si="186"/>
        <v>187.67587636690996</v>
      </c>
      <c r="T1530" s="61">
        <f t="shared" ca="1" si="187"/>
        <v>19200</v>
      </c>
      <c r="U1530" s="61">
        <f t="shared" ca="1" si="188"/>
        <v>18084.420656116781</v>
      </c>
      <c r="V1530" s="39">
        <f t="shared" ca="1" si="189"/>
        <v>0.11897645168497882</v>
      </c>
      <c r="W1530" s="48">
        <f t="shared" ca="1" si="190"/>
        <v>1.4888121974571371</v>
      </c>
    </row>
    <row r="1531" spans="17:23" x14ac:dyDescent="0.2">
      <c r="Q1531">
        <f t="shared" si="184"/>
        <v>1515</v>
      </c>
      <c r="R1531" s="48">
        <f t="shared" ca="1" si="185"/>
        <v>0.217</v>
      </c>
      <c r="S1531">
        <f t="shared" ca="1" si="186"/>
        <v>175.87647203601813</v>
      </c>
      <c r="T1531" s="61">
        <f t="shared" ca="1" si="187"/>
        <v>10416</v>
      </c>
      <c r="U1531" s="61">
        <f t="shared" ca="1" si="188"/>
        <v>1569.0220833617568</v>
      </c>
      <c r="V1531" s="39">
        <f t="shared" ca="1" si="189"/>
        <v>1.0322513706327347E-2</v>
      </c>
      <c r="W1531" s="48">
        <f t="shared" ca="1" si="190"/>
        <v>8.6865504713565578E-2</v>
      </c>
    </row>
    <row r="1532" spans="17:23" x14ac:dyDescent="0.2">
      <c r="Q1532">
        <f t="shared" si="184"/>
        <v>1516</v>
      </c>
      <c r="R1532" s="48">
        <f t="shared" ca="1" si="185"/>
        <v>0.4</v>
      </c>
      <c r="S1532">
        <f t="shared" ca="1" si="186"/>
        <v>189.75497718569804</v>
      </c>
      <c r="T1532" s="61">
        <f t="shared" ca="1" si="187"/>
        <v>19200</v>
      </c>
      <c r="U1532" s="61">
        <f t="shared" ca="1" si="188"/>
        <v>19082.389049135058</v>
      </c>
      <c r="V1532" s="39">
        <f t="shared" ca="1" si="189"/>
        <v>0.12554203321799379</v>
      </c>
      <c r="W1532" s="48">
        <f t="shared" ca="1" si="190"/>
        <v>1.6097602024285478</v>
      </c>
    </row>
    <row r="1533" spans="17:23" x14ac:dyDescent="0.2">
      <c r="Q1533">
        <f t="shared" si="184"/>
        <v>1517</v>
      </c>
      <c r="R1533" s="48">
        <f t="shared" ca="1" si="185"/>
        <v>0.45</v>
      </c>
      <c r="S1533">
        <f t="shared" ca="1" si="186"/>
        <v>162.97173831058649</v>
      </c>
      <c r="T1533" s="61">
        <f t="shared" ca="1" si="187"/>
        <v>21600</v>
      </c>
      <c r="U1533" s="61">
        <f t="shared" ca="1" si="188"/>
        <v>9707.564856658053</v>
      </c>
      <c r="V1533" s="39">
        <f t="shared" ca="1" si="189"/>
        <v>6.3865558267487188E-2</v>
      </c>
      <c r="W1533" s="48">
        <f t="shared" ca="1" si="190"/>
        <v>0.6522714941044947</v>
      </c>
    </row>
    <row r="1534" spans="17:23" x14ac:dyDescent="0.2">
      <c r="Q1534">
        <f t="shared" si="184"/>
        <v>1518</v>
      </c>
      <c r="R1534" s="48">
        <f t="shared" ca="1" si="185"/>
        <v>0.217</v>
      </c>
      <c r="S1534">
        <f t="shared" ca="1" si="186"/>
        <v>197.01719619627323</v>
      </c>
      <c r="T1534" s="61">
        <f t="shared" ca="1" si="187"/>
        <v>10416</v>
      </c>
      <c r="U1534" s="61">
        <f t="shared" ca="1" si="188"/>
        <v>14811.571697345553</v>
      </c>
      <c r="V1534" s="39">
        <f t="shared" ca="1" si="189"/>
        <v>9.7444550640431268E-2</v>
      </c>
      <c r="W1534" s="48">
        <f t="shared" ca="1" si="190"/>
        <v>1.1259235598012829</v>
      </c>
    </row>
    <row r="1535" spans="17:23" x14ac:dyDescent="0.2">
      <c r="Q1535">
        <f t="shared" si="184"/>
        <v>1519</v>
      </c>
      <c r="R1535" s="48">
        <f t="shared" ca="1" si="185"/>
        <v>0.3</v>
      </c>
      <c r="S1535">
        <f t="shared" ca="1" si="186"/>
        <v>198.90305994749843</v>
      </c>
      <c r="T1535" s="61">
        <f t="shared" ca="1" si="187"/>
        <v>14400</v>
      </c>
      <c r="U1535" s="61">
        <f t="shared" ca="1" si="188"/>
        <v>19385.713570599124</v>
      </c>
      <c r="V1535" s="39">
        <f t="shared" ca="1" si="189"/>
        <v>0.12753758928025741</v>
      </c>
      <c r="W1535" s="48">
        <f t="shared" ca="1" si="190"/>
        <v>1.6475280448723293</v>
      </c>
    </row>
    <row r="1536" spans="17:23" x14ac:dyDescent="0.2">
      <c r="Q1536">
        <f t="shared" si="184"/>
        <v>1520</v>
      </c>
      <c r="R1536" s="48">
        <f t="shared" ca="1" si="185"/>
        <v>0.217</v>
      </c>
      <c r="S1536">
        <f t="shared" ca="1" si="186"/>
        <v>201.8827770718045</v>
      </c>
      <c r="T1536" s="61">
        <f t="shared" ca="1" si="187"/>
        <v>10416</v>
      </c>
      <c r="U1536" s="61">
        <f t="shared" ca="1" si="188"/>
        <v>17859.371557778337</v>
      </c>
      <c r="V1536" s="39">
        <f t="shared" ca="1" si="189"/>
        <v>0.11749586551169959</v>
      </c>
      <c r="W1536" s="48">
        <f t="shared" ca="1" si="190"/>
        <v>1.4622268248360375</v>
      </c>
    </row>
    <row r="1537" spans="17:23" x14ac:dyDescent="0.2">
      <c r="Q1537">
        <f t="shared" si="184"/>
        <v>1521</v>
      </c>
      <c r="R1537" s="48">
        <f t="shared" ca="1" si="185"/>
        <v>0.3</v>
      </c>
      <c r="S1537">
        <f t="shared" ca="1" si="186"/>
        <v>193.09853298069726</v>
      </c>
      <c r="T1537" s="61">
        <f t="shared" ca="1" si="187"/>
        <v>14400</v>
      </c>
      <c r="U1537" s="61">
        <f t="shared" ca="1" si="188"/>
        <v>16135.178469190465</v>
      </c>
      <c r="V1537" s="39">
        <f t="shared" ca="1" si="189"/>
        <v>0.10615248992888464</v>
      </c>
      <c r="W1537" s="48">
        <f t="shared" ca="1" si="190"/>
        <v>1.2666702449067424</v>
      </c>
    </row>
    <row r="1538" spans="17:23" x14ac:dyDescent="0.2">
      <c r="Q1538">
        <f t="shared" si="184"/>
        <v>1522</v>
      </c>
      <c r="R1538" s="48">
        <f t="shared" ca="1" si="185"/>
        <v>0.15</v>
      </c>
      <c r="S1538">
        <f t="shared" ca="1" si="186"/>
        <v>179.36559272400561</v>
      </c>
      <c r="T1538" s="61">
        <f t="shared" ca="1" si="187"/>
        <v>7200</v>
      </c>
      <c r="U1538" s="61">
        <f t="shared" ca="1" si="188"/>
        <v>-31.396947676185846</v>
      </c>
      <c r="V1538" s="39">
        <f t="shared" ca="1" si="189"/>
        <v>-2.0655886629069635E-4</v>
      </c>
      <c r="W1538" s="48">
        <f t="shared" ca="1" si="190"/>
        <v>-1.6741919504087432E-3</v>
      </c>
    </row>
    <row r="1539" spans="17:23" x14ac:dyDescent="0.2">
      <c r="Q1539">
        <f t="shared" si="184"/>
        <v>1523</v>
      </c>
      <c r="R1539" s="48">
        <f t="shared" ca="1" si="185"/>
        <v>0.35</v>
      </c>
      <c r="S1539">
        <f t="shared" ca="1" si="186"/>
        <v>204.40972247504837</v>
      </c>
      <c r="T1539" s="61">
        <f t="shared" ca="1" si="187"/>
        <v>16800</v>
      </c>
      <c r="U1539" s="61">
        <f t="shared" ca="1" si="188"/>
        <v>24293.055687025153</v>
      </c>
      <c r="V1539" s="39">
        <f t="shared" ca="1" si="189"/>
        <v>0.15982273478306022</v>
      </c>
      <c r="W1539" s="48">
        <f t="shared" ca="1" si="190"/>
        <v>2.3287989383075942</v>
      </c>
    </row>
    <row r="1540" spans="17:23" x14ac:dyDescent="0.2">
      <c r="Q1540">
        <f t="shared" si="184"/>
        <v>1524</v>
      </c>
      <c r="R1540" s="48">
        <f t="shared" ca="1" si="185"/>
        <v>0.45</v>
      </c>
      <c r="S1540">
        <f t="shared" ca="1" si="186"/>
        <v>200.3716645293089</v>
      </c>
      <c r="T1540" s="61">
        <f t="shared" ca="1" si="187"/>
        <v>21600</v>
      </c>
      <c r="U1540" s="61">
        <f t="shared" ca="1" si="188"/>
        <v>26163.532392895919</v>
      </c>
      <c r="V1540" s="39">
        <f t="shared" ca="1" si="189"/>
        <v>0.17212850258484158</v>
      </c>
      <c r="W1540" s="48">
        <f t="shared" ca="1" si="190"/>
        <v>2.6263166865648562</v>
      </c>
    </row>
    <row r="1541" spans="17:23" x14ac:dyDescent="0.2">
      <c r="Q1541">
        <f t="shared" si="184"/>
        <v>1525</v>
      </c>
      <c r="R1541" s="48">
        <f t="shared" ca="1" si="185"/>
        <v>0.35</v>
      </c>
      <c r="S1541">
        <f t="shared" ca="1" si="186"/>
        <v>226.34400112176223</v>
      </c>
      <c r="T1541" s="61">
        <f t="shared" ca="1" si="187"/>
        <v>16800</v>
      </c>
      <c r="U1541" s="61">
        <f t="shared" ca="1" si="188"/>
        <v>35698.880583316364</v>
      </c>
      <c r="V1541" s="39">
        <f t="shared" ca="1" si="189"/>
        <v>0.23486105646918662</v>
      </c>
      <c r="W1541" s="48">
        <f t="shared" ca="1" si="190"/>
        <v>4.5350881928619753</v>
      </c>
    </row>
    <row r="1542" spans="17:23" x14ac:dyDescent="0.2">
      <c r="Q1542">
        <f t="shared" si="184"/>
        <v>1526</v>
      </c>
      <c r="R1542" s="48">
        <f t="shared" ca="1" si="185"/>
        <v>0.217</v>
      </c>
      <c r="S1542">
        <f t="shared" ca="1" si="186"/>
        <v>201.36223115839428</v>
      </c>
      <c r="T1542" s="61">
        <f t="shared" ca="1" si="187"/>
        <v>10416</v>
      </c>
      <c r="U1542" s="61">
        <f t="shared" ca="1" si="188"/>
        <v>17533.301597618178</v>
      </c>
      <c r="V1542" s="39">
        <f t="shared" ca="1" si="189"/>
        <v>0.11535066840538274</v>
      </c>
      <c r="W1542" s="48">
        <f t="shared" ca="1" si="190"/>
        <v>1.4241494561949475</v>
      </c>
    </row>
    <row r="1543" spans="17:23" x14ac:dyDescent="0.2">
      <c r="Q1543">
        <f t="shared" si="184"/>
        <v>1527</v>
      </c>
      <c r="R1543" s="48">
        <f t="shared" ca="1" si="185"/>
        <v>0.35</v>
      </c>
      <c r="S1543">
        <f t="shared" ca="1" si="186"/>
        <v>195.4967270140092</v>
      </c>
      <c r="T1543" s="61">
        <f t="shared" ca="1" si="187"/>
        <v>16800</v>
      </c>
      <c r="U1543" s="61">
        <f t="shared" ca="1" si="188"/>
        <v>19658.298047284781</v>
      </c>
      <c r="V1543" s="39">
        <f t="shared" ca="1" si="189"/>
        <v>0.12933090820582094</v>
      </c>
      <c r="W1543" s="48">
        <f t="shared" ca="1" si="190"/>
        <v>1.6818762759260082</v>
      </c>
    </row>
    <row r="1544" spans="17:23" x14ac:dyDescent="0.2">
      <c r="Q1544">
        <f t="shared" si="184"/>
        <v>1528</v>
      </c>
      <c r="R1544" s="48">
        <f t="shared" ca="1" si="185"/>
        <v>0.4</v>
      </c>
      <c r="S1544">
        <f t="shared" ca="1" si="186"/>
        <v>197.20268884832825</v>
      </c>
      <c r="T1544" s="61">
        <f t="shared" ca="1" si="187"/>
        <v>19200</v>
      </c>
      <c r="U1544" s="61">
        <f t="shared" ca="1" si="188"/>
        <v>22657.290647197558</v>
      </c>
      <c r="V1544" s="39">
        <f t="shared" ca="1" si="189"/>
        <v>0.14906112267893132</v>
      </c>
      <c r="W1544" s="48">
        <f t="shared" ca="1" si="190"/>
        <v>2.0863831564044801</v>
      </c>
    </row>
    <row r="1545" spans="17:23" x14ac:dyDescent="0.2">
      <c r="Q1545">
        <f t="shared" si="184"/>
        <v>1529</v>
      </c>
      <c r="R1545" s="48">
        <f t="shared" ca="1" si="185"/>
        <v>0.3</v>
      </c>
      <c r="S1545">
        <f t="shared" ca="1" si="186"/>
        <v>181.17502330090326</v>
      </c>
      <c r="T1545" s="61">
        <f t="shared" ca="1" si="187"/>
        <v>14400</v>
      </c>
      <c r="U1545" s="61">
        <f t="shared" ca="1" si="188"/>
        <v>9458.0130485058271</v>
      </c>
      <c r="V1545" s="39">
        <f t="shared" ca="1" si="189"/>
        <v>6.2223770055959388E-2</v>
      </c>
      <c r="W1545" s="48">
        <f t="shared" ca="1" si="190"/>
        <v>0.63170263937818105</v>
      </c>
    </row>
    <row r="1546" spans="17:23" x14ac:dyDescent="0.2">
      <c r="Q1546">
        <f t="shared" si="184"/>
        <v>1530</v>
      </c>
      <c r="R1546" s="48">
        <f t="shared" ca="1" si="185"/>
        <v>0.45</v>
      </c>
      <c r="S1546">
        <f t="shared" ca="1" si="186"/>
        <v>200.57265325850184</v>
      </c>
      <c r="T1546" s="61">
        <f t="shared" ca="1" si="187"/>
        <v>21600</v>
      </c>
      <c r="U1546" s="61">
        <f t="shared" ca="1" si="188"/>
        <v>26251.967433740814</v>
      </c>
      <c r="V1546" s="39">
        <f t="shared" ca="1" si="189"/>
        <v>0.1727103120640843</v>
      </c>
      <c r="W1546" s="48">
        <f t="shared" ca="1" si="190"/>
        <v>2.6409424389827842</v>
      </c>
    </row>
    <row r="1547" spans="17:23" x14ac:dyDescent="0.2">
      <c r="Q1547">
        <f t="shared" si="184"/>
        <v>1531</v>
      </c>
      <c r="R1547" s="48">
        <f t="shared" ca="1" si="185"/>
        <v>0.4</v>
      </c>
      <c r="S1547">
        <f t="shared" ca="1" si="186"/>
        <v>155.15680054094918</v>
      </c>
      <c r="T1547" s="61">
        <f t="shared" ca="1" si="187"/>
        <v>19200</v>
      </c>
      <c r="U1547" s="61">
        <f t="shared" ca="1" si="188"/>
        <v>2475.2642596556034</v>
      </c>
      <c r="V1547" s="39">
        <f t="shared" ca="1" si="189"/>
        <v>1.6284633287207917E-2</v>
      </c>
      <c r="W1547" s="48">
        <f t="shared" ca="1" si="190"/>
        <v>0.13999344835624261</v>
      </c>
    </row>
    <row r="1548" spans="17:23" x14ac:dyDescent="0.2">
      <c r="Q1548">
        <f t="shared" si="184"/>
        <v>1532</v>
      </c>
      <c r="R1548" s="48">
        <f t="shared" ca="1" si="185"/>
        <v>0.35</v>
      </c>
      <c r="S1548">
        <f t="shared" ca="1" si="186"/>
        <v>213.50788487247704</v>
      </c>
      <c r="T1548" s="61">
        <f t="shared" ca="1" si="187"/>
        <v>16800</v>
      </c>
      <c r="U1548" s="61">
        <f t="shared" ca="1" si="188"/>
        <v>29024.100133688058</v>
      </c>
      <c r="V1548" s="39">
        <f t="shared" ca="1" si="189"/>
        <v>0.19094802719531617</v>
      </c>
      <c r="W1548" s="48">
        <f t="shared" ca="1" si="190"/>
        <v>3.1264350065529367</v>
      </c>
    </row>
    <row r="1549" spans="17:23" x14ac:dyDescent="0.2">
      <c r="Q1549">
        <f t="shared" si="184"/>
        <v>1533</v>
      </c>
      <c r="R1549" s="48">
        <f t="shared" ca="1" si="185"/>
        <v>0.4</v>
      </c>
      <c r="S1549">
        <f t="shared" ca="1" si="186"/>
        <v>222.07175487615899</v>
      </c>
      <c r="T1549" s="61">
        <f t="shared" ca="1" si="187"/>
        <v>19200</v>
      </c>
      <c r="U1549" s="61">
        <f t="shared" ca="1" si="188"/>
        <v>34594.442340556314</v>
      </c>
      <c r="V1549" s="39">
        <f t="shared" ca="1" si="189"/>
        <v>0.2275950153983968</v>
      </c>
      <c r="W1549" s="48">
        <f t="shared" ca="1" si="190"/>
        <v>4.2763785185010166</v>
      </c>
    </row>
    <row r="1550" spans="17:23" x14ac:dyDescent="0.2">
      <c r="Q1550">
        <f t="shared" si="184"/>
        <v>1534</v>
      </c>
      <c r="R1550" s="48">
        <f t="shared" ca="1" si="185"/>
        <v>0.217</v>
      </c>
      <c r="S1550">
        <f t="shared" ca="1" si="186"/>
        <v>172.12220923813112</v>
      </c>
      <c r="T1550" s="61">
        <f t="shared" ca="1" si="187"/>
        <v>10416</v>
      </c>
      <c r="U1550" s="61">
        <f t="shared" ca="1" si="188"/>
        <v>-782.6481332346666</v>
      </c>
      <c r="V1550" s="39">
        <f t="shared" ca="1" si="189"/>
        <v>-5.1490008765438591E-3</v>
      </c>
      <c r="W1550" s="48">
        <f t="shared" ca="1" si="190"/>
        <v>-4.1007486289578177E-2</v>
      </c>
    </row>
    <row r="1551" spans="17:23" x14ac:dyDescent="0.2">
      <c r="Q1551">
        <f t="shared" si="184"/>
        <v>1535</v>
      </c>
      <c r="R1551" s="48">
        <f t="shared" ca="1" si="185"/>
        <v>0.35</v>
      </c>
      <c r="S1551">
        <f t="shared" ca="1" si="186"/>
        <v>185.09438347059029</v>
      </c>
      <c r="T1551" s="61">
        <f t="shared" ca="1" si="187"/>
        <v>16800</v>
      </c>
      <c r="U1551" s="61">
        <f t="shared" ca="1" si="188"/>
        <v>14249.07940470695</v>
      </c>
      <c r="V1551" s="39">
        <f t="shared" ca="1" si="189"/>
        <v>9.3743943452019404E-2</v>
      </c>
      <c r="W1551" s="48">
        <f t="shared" ca="1" si="190"/>
        <v>1.0684701195008035</v>
      </c>
    </row>
    <row r="1552" spans="17:23" x14ac:dyDescent="0.2">
      <c r="Q1552">
        <f t="shared" si="184"/>
        <v>1536</v>
      </c>
      <c r="R1552" s="48">
        <f t="shared" ca="1" si="185"/>
        <v>0.45</v>
      </c>
      <c r="S1552">
        <f t="shared" ca="1" si="186"/>
        <v>207.50859072101949</v>
      </c>
      <c r="T1552" s="61">
        <f t="shared" ca="1" si="187"/>
        <v>21600</v>
      </c>
      <c r="U1552" s="61">
        <f t="shared" ca="1" si="188"/>
        <v>29303.779917248576</v>
      </c>
      <c r="V1552" s="39">
        <f t="shared" ca="1" si="189"/>
        <v>0.19278802577137222</v>
      </c>
      <c r="W1552" s="48">
        <f t="shared" ca="1" si="190"/>
        <v>3.1784306185164128</v>
      </c>
    </row>
    <row r="1553" spans="17:23" x14ac:dyDescent="0.2">
      <c r="Q1553">
        <f t="shared" si="184"/>
        <v>1537</v>
      </c>
      <c r="R1553" s="48">
        <f t="shared" ca="1" si="185"/>
        <v>0.45</v>
      </c>
      <c r="S1553">
        <f t="shared" ca="1" si="186"/>
        <v>187.16923263353695</v>
      </c>
      <c r="T1553" s="61">
        <f t="shared" ca="1" si="187"/>
        <v>21600</v>
      </c>
      <c r="U1553" s="61">
        <f t="shared" ca="1" si="188"/>
        <v>20354.462358756256</v>
      </c>
      <c r="V1553" s="39">
        <f t="shared" ca="1" si="189"/>
        <v>0.13391093657076483</v>
      </c>
      <c r="W1553" s="48">
        <f t="shared" ca="1" si="190"/>
        <v>1.7713787320260801</v>
      </c>
    </row>
    <row r="1554" spans="17:23" x14ac:dyDescent="0.2">
      <c r="Q1554">
        <f t="shared" si="184"/>
        <v>1538</v>
      </c>
      <c r="R1554" s="48">
        <f t="shared" ca="1" si="185"/>
        <v>0.3</v>
      </c>
      <c r="S1554">
        <f t="shared" ca="1" si="186"/>
        <v>178.53038930287588</v>
      </c>
      <c r="T1554" s="61">
        <f t="shared" ca="1" si="187"/>
        <v>14400</v>
      </c>
      <c r="U1554" s="61">
        <f t="shared" ca="1" si="188"/>
        <v>7977.0180096104905</v>
      </c>
      <c r="V1554" s="39">
        <f t="shared" ca="1" si="189"/>
        <v>5.2480381642174279E-2</v>
      </c>
      <c r="W1554" s="48">
        <f t="shared" ca="1" si="190"/>
        <v>0.51418973440867166</v>
      </c>
    </row>
    <row r="1555" spans="17:23" x14ac:dyDescent="0.2">
      <c r="Q1555">
        <f t="shared" ref="Q1555:Q1618" si="191">Q1554+1</f>
        <v>1539</v>
      </c>
      <c r="R1555" s="48">
        <f t="shared" ref="R1555:R1618" ca="1" si="192">LOOKUP(RAND(),$U$6:$U$12,$S$6:$S$12)</f>
        <v>0.4</v>
      </c>
      <c r="S1555">
        <f t="shared" ref="S1555:S1618" ca="1" si="193">_xlfn.NORM.INV(RAND(),$Q$5,$Q$10)</f>
        <v>190.12101642798947</v>
      </c>
      <c r="T1555" s="61">
        <f t="shared" ca="1" si="187"/>
        <v>19200</v>
      </c>
      <c r="U1555" s="61">
        <f t="shared" ca="1" si="188"/>
        <v>19258.087885434947</v>
      </c>
      <c r="V1555" s="39">
        <f t="shared" ca="1" si="189"/>
        <v>0.1266979466147036</v>
      </c>
      <c r="W1555" s="48">
        <f t="shared" ca="1" si="190"/>
        <v>1.6315789983612143</v>
      </c>
    </row>
    <row r="1556" spans="17:23" x14ac:dyDescent="0.2">
      <c r="Q1556">
        <f t="shared" si="191"/>
        <v>1540</v>
      </c>
      <c r="R1556" s="48">
        <f t="shared" ca="1" si="192"/>
        <v>0.45</v>
      </c>
      <c r="S1556">
        <f t="shared" ca="1" si="193"/>
        <v>210.25714692963814</v>
      </c>
      <c r="T1556" s="61">
        <f t="shared" ca="1" si="187"/>
        <v>21600</v>
      </c>
      <c r="U1556" s="61">
        <f t="shared" ca="1" si="188"/>
        <v>30513.144649040783</v>
      </c>
      <c r="V1556" s="39">
        <f t="shared" ca="1" si="189"/>
        <v>0.2007443726910578</v>
      </c>
      <c r="W1556" s="48">
        <f t="shared" ca="1" si="190"/>
        <v>3.4099363367265827</v>
      </c>
    </row>
    <row r="1557" spans="17:23" x14ac:dyDescent="0.2">
      <c r="Q1557">
        <f t="shared" si="191"/>
        <v>1541</v>
      </c>
      <c r="R1557" s="48">
        <f t="shared" ca="1" si="192"/>
        <v>0.4</v>
      </c>
      <c r="S1557">
        <f t="shared" ca="1" si="193"/>
        <v>200.67458030984614</v>
      </c>
      <c r="T1557" s="61">
        <f t="shared" ca="1" si="187"/>
        <v>19200</v>
      </c>
      <c r="U1557" s="61">
        <f t="shared" ca="1" si="188"/>
        <v>24323.798548726147</v>
      </c>
      <c r="V1557" s="39">
        <f t="shared" ca="1" si="189"/>
        <v>0.16002499045214572</v>
      </c>
      <c r="W1557" s="48">
        <f t="shared" ca="1" si="190"/>
        <v>2.3335102983143758</v>
      </c>
    </row>
    <row r="1558" spans="17:23" x14ac:dyDescent="0.2">
      <c r="Q1558">
        <f t="shared" si="191"/>
        <v>1542</v>
      </c>
      <c r="R1558" s="48">
        <f t="shared" ca="1" si="192"/>
        <v>0.3</v>
      </c>
      <c r="S1558">
        <f t="shared" ca="1" si="193"/>
        <v>205.5749682957204</v>
      </c>
      <c r="T1558" s="61">
        <f t="shared" ca="1" si="187"/>
        <v>14400</v>
      </c>
      <c r="U1558" s="61">
        <f t="shared" ca="1" si="188"/>
        <v>23121.982245603424</v>
      </c>
      <c r="V1558" s="39">
        <f t="shared" ca="1" si="189"/>
        <v>0.15211830424739095</v>
      </c>
      <c r="W1558" s="48">
        <f t="shared" ca="1" si="190"/>
        <v>2.1536218841133308</v>
      </c>
    </row>
    <row r="1559" spans="17:23" x14ac:dyDescent="0.2">
      <c r="Q1559">
        <f t="shared" si="191"/>
        <v>1543</v>
      </c>
      <c r="R1559" s="48">
        <f t="shared" ca="1" si="192"/>
        <v>0.15</v>
      </c>
      <c r="S1559">
        <f t="shared" ca="1" si="193"/>
        <v>223.10231035946072</v>
      </c>
      <c r="T1559" s="61">
        <f t="shared" ca="1" si="187"/>
        <v>7200</v>
      </c>
      <c r="U1559" s="61">
        <f t="shared" ca="1" si="188"/>
        <v>29709.571044433287</v>
      </c>
      <c r="V1559" s="39">
        <f t="shared" ca="1" si="189"/>
        <v>0.19545770423969269</v>
      </c>
      <c r="W1559" s="48">
        <f t="shared" ca="1" si="190"/>
        <v>3.254892915689485</v>
      </c>
    </row>
    <row r="1560" spans="17:23" x14ac:dyDescent="0.2">
      <c r="Q1560">
        <f t="shared" si="191"/>
        <v>1544</v>
      </c>
      <c r="R1560" s="48">
        <f t="shared" ca="1" si="192"/>
        <v>0.3</v>
      </c>
      <c r="S1560">
        <f t="shared" ca="1" si="193"/>
        <v>228.46026859445996</v>
      </c>
      <c r="T1560" s="61">
        <f t="shared" ca="1" si="187"/>
        <v>14400</v>
      </c>
      <c r="U1560" s="61">
        <f t="shared" ca="1" si="188"/>
        <v>35937.750412897578</v>
      </c>
      <c r="V1560" s="39">
        <f t="shared" ca="1" si="189"/>
        <v>0.23643256850590511</v>
      </c>
      <c r="W1560" s="48">
        <f t="shared" ca="1" si="190"/>
        <v>4.5924826946617436</v>
      </c>
    </row>
    <row r="1561" spans="17:23" x14ac:dyDescent="0.2">
      <c r="Q1561">
        <f t="shared" si="191"/>
        <v>1545</v>
      </c>
      <c r="R1561" s="48">
        <f t="shared" ca="1" si="192"/>
        <v>0.3</v>
      </c>
      <c r="S1561">
        <f t="shared" ca="1" si="193"/>
        <v>190.35115832404972</v>
      </c>
      <c r="T1561" s="61">
        <f t="shared" ca="1" si="187"/>
        <v>14400</v>
      </c>
      <c r="U1561" s="61">
        <f t="shared" ca="1" si="188"/>
        <v>14596.648661467843</v>
      </c>
      <c r="V1561" s="39">
        <f t="shared" ca="1" si="189"/>
        <v>9.6030583299130542E-2</v>
      </c>
      <c r="W1561" s="48">
        <f t="shared" ca="1" si="190"/>
        <v>1.1038081020691721</v>
      </c>
    </row>
    <row r="1562" spans="17:23" x14ac:dyDescent="0.2">
      <c r="Q1562">
        <f t="shared" si="191"/>
        <v>1546</v>
      </c>
      <c r="R1562" s="48">
        <f t="shared" ca="1" si="192"/>
        <v>0.3</v>
      </c>
      <c r="S1562">
        <f t="shared" ca="1" si="193"/>
        <v>159.74746390701705</v>
      </c>
      <c r="T1562" s="61">
        <f t="shared" ca="1" si="187"/>
        <v>14400</v>
      </c>
      <c r="U1562" s="61">
        <f t="shared" ca="1" si="188"/>
        <v>-2541.4202120704504</v>
      </c>
      <c r="V1562" s="39">
        <f t="shared" ca="1" si="189"/>
        <v>-1.6719869816252963E-2</v>
      </c>
      <c r="W1562" s="48">
        <f t="shared" ca="1" si="190"/>
        <v>-0.12782332515869144</v>
      </c>
    </row>
    <row r="1563" spans="17:23" x14ac:dyDescent="0.2">
      <c r="Q1563">
        <f t="shared" si="191"/>
        <v>1547</v>
      </c>
      <c r="R1563" s="48">
        <f t="shared" ca="1" si="192"/>
        <v>0.45</v>
      </c>
      <c r="S1563">
        <f t="shared" ca="1" si="193"/>
        <v>190.5336258777146</v>
      </c>
      <c r="T1563" s="61">
        <f t="shared" ca="1" si="187"/>
        <v>21600</v>
      </c>
      <c r="U1563" s="61">
        <f t="shared" ca="1" si="188"/>
        <v>21834.795386194422</v>
      </c>
      <c r="V1563" s="39">
        <f t="shared" ca="1" si="189"/>
        <v>0.14364996964601592</v>
      </c>
      <c r="W1563" s="48">
        <f t="shared" ca="1" si="190"/>
        <v>1.970448285966198</v>
      </c>
    </row>
    <row r="1564" spans="17:23" x14ac:dyDescent="0.2">
      <c r="Q1564">
        <f t="shared" si="191"/>
        <v>1548</v>
      </c>
      <c r="R1564" s="48">
        <f t="shared" ca="1" si="192"/>
        <v>0.4</v>
      </c>
      <c r="S1564">
        <f t="shared" ca="1" si="193"/>
        <v>196.0313934004669</v>
      </c>
      <c r="T1564" s="61">
        <f t="shared" ca="1" si="187"/>
        <v>19200</v>
      </c>
      <c r="U1564" s="61">
        <f t="shared" ca="1" si="188"/>
        <v>22095.068832224111</v>
      </c>
      <c r="V1564" s="39">
        <f t="shared" ca="1" si="189"/>
        <v>0.14536229494884284</v>
      </c>
      <c r="W1564" s="48">
        <f t="shared" ca="1" si="190"/>
        <v>2.0067150141979151</v>
      </c>
    </row>
    <row r="1565" spans="17:23" x14ac:dyDescent="0.2">
      <c r="Q1565">
        <f t="shared" si="191"/>
        <v>1549</v>
      </c>
      <c r="R1565" s="48">
        <f t="shared" ca="1" si="192"/>
        <v>0.35</v>
      </c>
      <c r="S1565">
        <f t="shared" ca="1" si="193"/>
        <v>209.40037015496398</v>
      </c>
      <c r="T1565" s="61">
        <f t="shared" ca="1" si="187"/>
        <v>16800</v>
      </c>
      <c r="U1565" s="61">
        <f t="shared" ca="1" si="188"/>
        <v>26888.192480581271</v>
      </c>
      <c r="V1565" s="39">
        <f t="shared" ca="1" si="189"/>
        <v>0.17689600316171888</v>
      </c>
      <c r="W1565" s="48">
        <f t="shared" ca="1" si="190"/>
        <v>2.7476971732823783</v>
      </c>
    </row>
    <row r="1566" spans="17:23" x14ac:dyDescent="0.2">
      <c r="Q1566">
        <f t="shared" si="191"/>
        <v>1550</v>
      </c>
      <c r="R1566" s="48">
        <f t="shared" ca="1" si="192"/>
        <v>0.35</v>
      </c>
      <c r="S1566">
        <f t="shared" ca="1" si="193"/>
        <v>184.2910901899163</v>
      </c>
      <c r="T1566" s="61">
        <f t="shared" ca="1" si="187"/>
        <v>16800</v>
      </c>
      <c r="U1566" s="61">
        <f t="shared" ca="1" si="188"/>
        <v>13831.366898756478</v>
      </c>
      <c r="V1566" s="39">
        <f t="shared" ca="1" si="189"/>
        <v>9.0995834860239988E-2</v>
      </c>
      <c r="W1566" s="48">
        <f t="shared" ca="1" si="190"/>
        <v>1.0266899148626898</v>
      </c>
    </row>
    <row r="1567" spans="17:23" x14ac:dyDescent="0.2">
      <c r="Q1567">
        <f t="shared" si="191"/>
        <v>1551</v>
      </c>
      <c r="R1567" s="48">
        <f t="shared" ca="1" si="192"/>
        <v>0.45</v>
      </c>
      <c r="S1567">
        <f t="shared" ca="1" si="193"/>
        <v>184.86163838484865</v>
      </c>
      <c r="T1567" s="61">
        <f t="shared" ca="1" si="187"/>
        <v>21600</v>
      </c>
      <c r="U1567" s="61">
        <f t="shared" ca="1" si="188"/>
        <v>19339.120889333404</v>
      </c>
      <c r="V1567" s="39">
        <f t="shared" ca="1" si="189"/>
        <v>0.12723105848245661</v>
      </c>
      <c r="W1567" s="48">
        <f t="shared" ca="1" si="190"/>
        <v>1.6416956859401264</v>
      </c>
    </row>
    <row r="1568" spans="17:23" x14ac:dyDescent="0.2">
      <c r="Q1568">
        <f t="shared" si="191"/>
        <v>1552</v>
      </c>
      <c r="R1568" s="48">
        <f t="shared" ca="1" si="192"/>
        <v>0.45</v>
      </c>
      <c r="S1568">
        <f t="shared" ca="1" si="193"/>
        <v>198.39520563126834</v>
      </c>
      <c r="T1568" s="61">
        <f t="shared" ca="1" si="187"/>
        <v>21600</v>
      </c>
      <c r="U1568" s="61">
        <f t="shared" ca="1" si="188"/>
        <v>25293.890477758068</v>
      </c>
      <c r="V1568" s="39">
        <f t="shared" ca="1" si="189"/>
        <v>0.16640717419577677</v>
      </c>
      <c r="W1568" s="48">
        <f t="shared" ca="1" si="190"/>
        <v>2.4852124400279547</v>
      </c>
    </row>
    <row r="1569" spans="17:23" x14ac:dyDescent="0.2">
      <c r="Q1569">
        <f t="shared" si="191"/>
        <v>1553</v>
      </c>
      <c r="R1569" s="48">
        <f t="shared" ca="1" si="192"/>
        <v>0.35</v>
      </c>
      <c r="S1569">
        <f t="shared" ca="1" si="193"/>
        <v>178.53994171789813</v>
      </c>
      <c r="T1569" s="61">
        <f t="shared" ca="1" si="187"/>
        <v>16800</v>
      </c>
      <c r="U1569" s="61">
        <f t="shared" ca="1" si="188"/>
        <v>10840.769693307029</v>
      </c>
      <c r="V1569" s="39">
        <f t="shared" ca="1" si="189"/>
        <v>7.1320853245440977E-2</v>
      </c>
      <c r="W1569" s="48">
        <f t="shared" ca="1" si="190"/>
        <v>0.74856130601488724</v>
      </c>
    </row>
    <row r="1570" spans="17:23" x14ac:dyDescent="0.2">
      <c r="Q1570">
        <f t="shared" si="191"/>
        <v>1554</v>
      </c>
      <c r="R1570" s="48">
        <f t="shared" ca="1" si="192"/>
        <v>0.4</v>
      </c>
      <c r="S1570">
        <f t="shared" ca="1" si="193"/>
        <v>177.90175806666053</v>
      </c>
      <c r="T1570" s="61">
        <f t="shared" ca="1" si="187"/>
        <v>19200</v>
      </c>
      <c r="U1570" s="61">
        <f t="shared" ca="1" si="188"/>
        <v>13392.843871997056</v>
      </c>
      <c r="V1570" s="39">
        <f t="shared" ca="1" si="189"/>
        <v>8.8110814947349056E-2</v>
      </c>
      <c r="W1570" s="48">
        <f t="shared" ca="1" si="190"/>
        <v>0.98362606697338562</v>
      </c>
    </row>
    <row r="1571" spans="17:23" x14ac:dyDescent="0.2">
      <c r="Q1571">
        <f t="shared" si="191"/>
        <v>1555</v>
      </c>
      <c r="R1571" s="48">
        <f t="shared" ca="1" si="192"/>
        <v>0.217</v>
      </c>
      <c r="S1571">
        <f t="shared" ca="1" si="193"/>
        <v>215.16395318369587</v>
      </c>
      <c r="T1571" s="61">
        <f t="shared" ca="1" si="187"/>
        <v>10416</v>
      </c>
      <c r="U1571" s="61">
        <f t="shared" ca="1" si="188"/>
        <v>26178.700274267088</v>
      </c>
      <c r="V1571" s="39">
        <f t="shared" ca="1" si="189"/>
        <v>0.17222829127807296</v>
      </c>
      <c r="W1571" s="48">
        <f t="shared" ca="1" si="190"/>
        <v>2.6288215476856283</v>
      </c>
    </row>
    <row r="1572" spans="17:23" x14ac:dyDescent="0.2">
      <c r="Q1572">
        <f t="shared" si="191"/>
        <v>1556</v>
      </c>
      <c r="R1572" s="48">
        <f t="shared" ca="1" si="192"/>
        <v>0.4</v>
      </c>
      <c r="S1572">
        <f t="shared" ca="1" si="193"/>
        <v>141.49591986375171</v>
      </c>
      <c r="T1572" s="61">
        <f t="shared" ca="1" si="187"/>
        <v>19200</v>
      </c>
      <c r="U1572" s="61">
        <f t="shared" ca="1" si="188"/>
        <v>-4081.9584653991806</v>
      </c>
      <c r="V1572" s="39">
        <f t="shared" ca="1" si="189"/>
        <v>-2.6854989903941976E-2</v>
      </c>
      <c r="W1572" s="48">
        <f t="shared" ca="1" si="190"/>
        <v>-0.19812462589660496</v>
      </c>
    </row>
    <row r="1573" spans="17:23" x14ac:dyDescent="0.2">
      <c r="Q1573">
        <f t="shared" si="191"/>
        <v>1557</v>
      </c>
      <c r="R1573" s="48">
        <f t="shared" ca="1" si="192"/>
        <v>0.3</v>
      </c>
      <c r="S1573">
        <f t="shared" ca="1" si="193"/>
        <v>185.99445698473545</v>
      </c>
      <c r="T1573" s="61">
        <f t="shared" ca="1" si="187"/>
        <v>14400</v>
      </c>
      <c r="U1573" s="61">
        <f t="shared" ca="1" si="188"/>
        <v>12156.895911451851</v>
      </c>
      <c r="V1573" s="39">
        <f t="shared" ca="1" si="189"/>
        <v>7.9979578364814813E-2</v>
      </c>
      <c r="W1573" s="48">
        <f t="shared" ca="1" si="190"/>
        <v>0.86653950059068663</v>
      </c>
    </row>
    <row r="1574" spans="17:23" x14ac:dyDescent="0.2">
      <c r="Q1574">
        <f t="shared" si="191"/>
        <v>1558</v>
      </c>
      <c r="R1574" s="48">
        <f t="shared" ca="1" si="192"/>
        <v>0.3</v>
      </c>
      <c r="S1574">
        <f t="shared" ca="1" si="193"/>
        <v>184.79013880782597</v>
      </c>
      <c r="T1574" s="61">
        <f t="shared" ca="1" si="187"/>
        <v>14400</v>
      </c>
      <c r="U1574" s="61">
        <f t="shared" ca="1" si="188"/>
        <v>11482.477732382542</v>
      </c>
      <c r="V1574" s="39">
        <f t="shared" ca="1" si="189"/>
        <v>7.5542616660411455E-2</v>
      </c>
      <c r="W1574" s="48">
        <f t="shared" ca="1" si="190"/>
        <v>0.80524090932199388</v>
      </c>
    </row>
    <row r="1575" spans="17:23" x14ac:dyDescent="0.2">
      <c r="Q1575">
        <f t="shared" si="191"/>
        <v>1559</v>
      </c>
      <c r="R1575" s="48">
        <f t="shared" ca="1" si="192"/>
        <v>0.217</v>
      </c>
      <c r="S1575">
        <f t="shared" ca="1" si="193"/>
        <v>189.85872099549908</v>
      </c>
      <c r="T1575" s="61">
        <f t="shared" ca="1" si="187"/>
        <v>10416</v>
      </c>
      <c r="U1575" s="61">
        <f t="shared" ca="1" si="188"/>
        <v>10327.502831580627</v>
      </c>
      <c r="V1575" s="39">
        <f t="shared" ca="1" si="189"/>
        <v>6.7944097576188328E-2</v>
      </c>
      <c r="W1575" s="48">
        <f t="shared" ca="1" si="190"/>
        <v>0.70435561604244157</v>
      </c>
    </row>
    <row r="1576" spans="17:23" x14ac:dyDescent="0.2">
      <c r="Q1576">
        <f t="shared" si="191"/>
        <v>1560</v>
      </c>
      <c r="R1576" s="48">
        <f t="shared" ca="1" si="192"/>
        <v>0.217</v>
      </c>
      <c r="S1576">
        <f t="shared" ca="1" si="193"/>
        <v>200.35895263214132</v>
      </c>
      <c r="T1576" s="61">
        <f t="shared" ca="1" si="187"/>
        <v>10416</v>
      </c>
      <c r="U1576" s="61">
        <f t="shared" ca="1" si="188"/>
        <v>16904.847928773324</v>
      </c>
      <c r="V1576" s="39">
        <f t="shared" ca="1" si="189"/>
        <v>0.11121610479456134</v>
      </c>
      <c r="W1576" s="48">
        <f t="shared" ca="1" si="190"/>
        <v>1.3522145989004892</v>
      </c>
    </row>
    <row r="1577" spans="17:23" x14ac:dyDescent="0.2">
      <c r="Q1577">
        <f t="shared" si="191"/>
        <v>1561</v>
      </c>
      <c r="R1577" s="48">
        <f t="shared" ca="1" si="192"/>
        <v>0.3</v>
      </c>
      <c r="S1577">
        <f t="shared" ca="1" si="193"/>
        <v>214.55610946126058</v>
      </c>
      <c r="T1577" s="61">
        <f t="shared" ca="1" si="187"/>
        <v>14400</v>
      </c>
      <c r="U1577" s="61">
        <f t="shared" ca="1" si="188"/>
        <v>28151.421298305922</v>
      </c>
      <c r="V1577" s="39">
        <f t="shared" ca="1" si="189"/>
        <v>0.18520671906780212</v>
      </c>
      <c r="W1577" s="48">
        <f t="shared" ca="1" si="190"/>
        <v>2.9678220267554587</v>
      </c>
    </row>
    <row r="1578" spans="17:23" x14ac:dyDescent="0.2">
      <c r="Q1578">
        <f t="shared" si="191"/>
        <v>1562</v>
      </c>
      <c r="R1578" s="48">
        <f t="shared" ca="1" si="192"/>
        <v>0.4</v>
      </c>
      <c r="S1578">
        <f t="shared" ca="1" si="193"/>
        <v>212.30965464621008</v>
      </c>
      <c r="T1578" s="61">
        <f t="shared" ca="1" si="187"/>
        <v>19200</v>
      </c>
      <c r="U1578" s="61">
        <f t="shared" ca="1" si="188"/>
        <v>29908.634230180836</v>
      </c>
      <c r="V1578" s="39">
        <f t="shared" ca="1" si="189"/>
        <v>0.19676733046171602</v>
      </c>
      <c r="W1578" s="48">
        <f t="shared" ca="1" si="190"/>
        <v>3.2928483740090959</v>
      </c>
    </row>
    <row r="1579" spans="17:23" x14ac:dyDescent="0.2">
      <c r="Q1579">
        <f t="shared" si="191"/>
        <v>1563</v>
      </c>
      <c r="R1579" s="48">
        <f t="shared" ca="1" si="192"/>
        <v>0.35</v>
      </c>
      <c r="S1579">
        <f t="shared" ca="1" si="193"/>
        <v>187.10650831644583</v>
      </c>
      <c r="T1579" s="61">
        <f t="shared" ca="1" si="187"/>
        <v>16800</v>
      </c>
      <c r="U1579" s="61">
        <f t="shared" ca="1" si="188"/>
        <v>15295.384324551829</v>
      </c>
      <c r="V1579" s="39">
        <f t="shared" ca="1" si="189"/>
        <v>0.10062752845099887</v>
      </c>
      <c r="W1579" s="48">
        <f t="shared" ca="1" si="190"/>
        <v>1.1764549186758906</v>
      </c>
    </row>
    <row r="1580" spans="17:23" x14ac:dyDescent="0.2">
      <c r="Q1580">
        <f t="shared" si="191"/>
        <v>1564</v>
      </c>
      <c r="R1580" s="48">
        <f t="shared" ca="1" si="192"/>
        <v>0.217</v>
      </c>
      <c r="S1580">
        <f t="shared" ca="1" si="193"/>
        <v>164.97071314513317</v>
      </c>
      <c r="T1580" s="61">
        <f t="shared" ca="1" si="187"/>
        <v>10416</v>
      </c>
      <c r="U1580" s="61">
        <f t="shared" ca="1" si="188"/>
        <v>-5262.3452858885794</v>
      </c>
      <c r="V1580" s="39">
        <f t="shared" ca="1" si="189"/>
        <v>-3.46206926703196E-2</v>
      </c>
      <c r="W1580" s="48">
        <f t="shared" ca="1" si="190"/>
        <v>-0.24857842432785771</v>
      </c>
    </row>
    <row r="1581" spans="17:23" x14ac:dyDescent="0.2">
      <c r="Q1581">
        <f t="shared" si="191"/>
        <v>1565</v>
      </c>
      <c r="R1581" s="48">
        <f t="shared" ca="1" si="192"/>
        <v>0.3</v>
      </c>
      <c r="S1581">
        <f t="shared" ca="1" si="193"/>
        <v>180.76007931143872</v>
      </c>
      <c r="T1581" s="61">
        <f t="shared" ca="1" si="187"/>
        <v>14400</v>
      </c>
      <c r="U1581" s="61">
        <f t="shared" ca="1" si="188"/>
        <v>9225.6444144056804</v>
      </c>
      <c r="V1581" s="39">
        <f t="shared" ca="1" si="189"/>
        <v>6.0695029042142634E-2</v>
      </c>
      <c r="W1581" s="48">
        <f t="shared" ca="1" si="190"/>
        <v>0.61275226633428836</v>
      </c>
    </row>
    <row r="1582" spans="17:23" x14ac:dyDescent="0.2">
      <c r="Q1582">
        <f t="shared" si="191"/>
        <v>1566</v>
      </c>
      <c r="R1582" s="48">
        <f t="shared" ca="1" si="192"/>
        <v>0.35</v>
      </c>
      <c r="S1582">
        <f t="shared" ca="1" si="193"/>
        <v>204.24303132879763</v>
      </c>
      <c r="T1582" s="61">
        <f t="shared" ca="1" si="187"/>
        <v>16800</v>
      </c>
      <c r="U1582" s="61">
        <f t="shared" ca="1" si="188"/>
        <v>24206.376290974767</v>
      </c>
      <c r="V1582" s="39">
        <f t="shared" ca="1" si="189"/>
        <v>0.15925247559851821</v>
      </c>
      <c r="W1582" s="48">
        <f t="shared" ca="1" si="190"/>
        <v>2.3155466933587436</v>
      </c>
    </row>
    <row r="1583" spans="17:23" x14ac:dyDescent="0.2">
      <c r="Q1583">
        <f t="shared" si="191"/>
        <v>1567</v>
      </c>
      <c r="R1583" s="48">
        <f t="shared" ca="1" si="192"/>
        <v>0.3</v>
      </c>
      <c r="S1583">
        <f t="shared" ca="1" si="193"/>
        <v>189.65455763777445</v>
      </c>
      <c r="T1583" s="61">
        <f t="shared" ca="1" si="187"/>
        <v>14400</v>
      </c>
      <c r="U1583" s="61">
        <f t="shared" ca="1" si="188"/>
        <v>14206.552277153689</v>
      </c>
      <c r="V1583" s="39">
        <f t="shared" ca="1" si="189"/>
        <v>9.3464159718116377E-2</v>
      </c>
      <c r="W1583" s="48">
        <f t="shared" ca="1" si="190"/>
        <v>1.0641822512987704</v>
      </c>
    </row>
    <row r="1584" spans="17:23" x14ac:dyDescent="0.2">
      <c r="Q1584">
        <f t="shared" si="191"/>
        <v>1568</v>
      </c>
      <c r="R1584" s="48">
        <f t="shared" ca="1" si="192"/>
        <v>0.4</v>
      </c>
      <c r="S1584">
        <f t="shared" ca="1" si="193"/>
        <v>201.3401565669551</v>
      </c>
      <c r="T1584" s="61">
        <f t="shared" ca="1" si="187"/>
        <v>19200</v>
      </c>
      <c r="U1584" s="61">
        <f t="shared" ca="1" si="188"/>
        <v>24643.275152138449</v>
      </c>
      <c r="V1584" s="39">
        <f t="shared" ca="1" si="189"/>
        <v>0.16212681021143716</v>
      </c>
      <c r="W1584" s="48">
        <f t="shared" ca="1" si="190"/>
        <v>2.382817392412012</v>
      </c>
    </row>
    <row r="1585" spans="17:23" x14ac:dyDescent="0.2">
      <c r="Q1585">
        <f t="shared" si="191"/>
        <v>1569</v>
      </c>
      <c r="R1585" s="48">
        <f t="shared" ca="1" si="192"/>
        <v>0.217</v>
      </c>
      <c r="S1585">
        <f t="shared" ca="1" si="193"/>
        <v>147.04308008488763</v>
      </c>
      <c r="T1585" s="61">
        <f t="shared" ca="1" si="187"/>
        <v>10416</v>
      </c>
      <c r="U1585" s="61">
        <f t="shared" ca="1" si="188"/>
        <v>-16492.214634826385</v>
      </c>
      <c r="V1585" s="39">
        <f t="shared" ca="1" si="189"/>
        <v>-0.10850141207122621</v>
      </c>
      <c r="W1585" s="48">
        <f t="shared" ca="1" si="190"/>
        <v>-0.60606630646709436</v>
      </c>
    </row>
    <row r="1586" spans="17:23" x14ac:dyDescent="0.2">
      <c r="Q1586">
        <f t="shared" si="191"/>
        <v>1570</v>
      </c>
      <c r="R1586" s="48">
        <f t="shared" ca="1" si="192"/>
        <v>0.4</v>
      </c>
      <c r="S1586">
        <f t="shared" ca="1" si="193"/>
        <v>178.99266955917798</v>
      </c>
      <c r="T1586" s="61">
        <f t="shared" ca="1" si="187"/>
        <v>19200</v>
      </c>
      <c r="U1586" s="61">
        <f t="shared" ca="1" si="188"/>
        <v>13916.481388405431</v>
      </c>
      <c r="V1586" s="39">
        <f t="shared" ca="1" si="189"/>
        <v>9.1555798607930464E-2</v>
      </c>
      <c r="W1586" s="48">
        <f t="shared" ca="1" si="190"/>
        <v>1.0351426475499159</v>
      </c>
    </row>
    <row r="1587" spans="17:23" x14ac:dyDescent="0.2">
      <c r="Q1587">
        <f t="shared" si="191"/>
        <v>1571</v>
      </c>
      <c r="R1587" s="48">
        <f t="shared" ca="1" si="192"/>
        <v>0.35</v>
      </c>
      <c r="S1587">
        <f t="shared" ca="1" si="193"/>
        <v>189.22371206992904</v>
      </c>
      <c r="T1587" s="61">
        <f t="shared" ca="1" si="187"/>
        <v>16800</v>
      </c>
      <c r="U1587" s="61">
        <f t="shared" ca="1" si="188"/>
        <v>16396.3302763631</v>
      </c>
      <c r="V1587" s="39">
        <f t="shared" ca="1" si="189"/>
        <v>0.10787059392344145</v>
      </c>
      <c r="W1587" s="48">
        <f t="shared" ca="1" si="190"/>
        <v>1.2953848289407355</v>
      </c>
    </row>
    <row r="1588" spans="17:23" x14ac:dyDescent="0.2">
      <c r="Q1588">
        <f t="shared" si="191"/>
        <v>1572</v>
      </c>
      <c r="R1588" s="48">
        <f t="shared" ca="1" si="192"/>
        <v>0.35</v>
      </c>
      <c r="S1588">
        <f t="shared" ca="1" si="193"/>
        <v>197.57020771551791</v>
      </c>
      <c r="T1588" s="61">
        <f t="shared" ca="1" si="187"/>
        <v>16800</v>
      </c>
      <c r="U1588" s="61">
        <f t="shared" ca="1" si="188"/>
        <v>20736.508012069313</v>
      </c>
      <c r="V1588" s="39">
        <f t="shared" ca="1" si="189"/>
        <v>0.13642439481624549</v>
      </c>
      <c r="W1588" s="48">
        <f t="shared" ca="1" si="190"/>
        <v>1.8216007020826979</v>
      </c>
    </row>
    <row r="1589" spans="17:23" x14ac:dyDescent="0.2">
      <c r="Q1589">
        <f t="shared" si="191"/>
        <v>1573</v>
      </c>
      <c r="R1589" s="48">
        <f t="shared" ca="1" si="192"/>
        <v>0.3</v>
      </c>
      <c r="S1589">
        <f t="shared" ca="1" si="193"/>
        <v>219.52969496266331</v>
      </c>
      <c r="T1589" s="61">
        <f t="shared" ca="1" si="187"/>
        <v>14400</v>
      </c>
      <c r="U1589" s="61">
        <f t="shared" ca="1" si="188"/>
        <v>30936.629179091455</v>
      </c>
      <c r="V1589" s="39">
        <f t="shared" ca="1" si="189"/>
        <v>0.20353045512560167</v>
      </c>
      <c r="W1589" s="48">
        <f t="shared" ca="1" si="190"/>
        <v>3.4936200849125232</v>
      </c>
    </row>
    <row r="1590" spans="17:23" x14ac:dyDescent="0.2">
      <c r="Q1590">
        <f t="shared" si="191"/>
        <v>1574</v>
      </c>
      <c r="R1590" s="48">
        <f t="shared" ca="1" si="192"/>
        <v>0.3</v>
      </c>
      <c r="S1590">
        <f t="shared" ca="1" si="193"/>
        <v>198.27994277206597</v>
      </c>
      <c r="T1590" s="61">
        <f t="shared" ca="1" si="187"/>
        <v>14400</v>
      </c>
      <c r="U1590" s="61">
        <f t="shared" ca="1" si="188"/>
        <v>19036.767952356939</v>
      </c>
      <c r="V1590" s="39">
        <f t="shared" ca="1" si="189"/>
        <v>0.12524189442340092</v>
      </c>
      <c r="W1590" s="48">
        <f t="shared" ca="1" si="190"/>
        <v>1.6041208448729161</v>
      </c>
    </row>
    <row r="1591" spans="17:23" x14ac:dyDescent="0.2">
      <c r="Q1591">
        <f t="shared" si="191"/>
        <v>1575</v>
      </c>
      <c r="R1591" s="48">
        <f t="shared" ca="1" si="192"/>
        <v>0.217</v>
      </c>
      <c r="S1591">
        <f t="shared" ca="1" si="193"/>
        <v>198.80589827045267</v>
      </c>
      <c r="T1591" s="61">
        <f t="shared" ca="1" si="187"/>
        <v>10416</v>
      </c>
      <c r="U1591" s="61">
        <f t="shared" ca="1" si="188"/>
        <v>15932.014676611554</v>
      </c>
      <c r="V1591" s="39">
        <f t="shared" ca="1" si="189"/>
        <v>0.10481588603033917</v>
      </c>
      <c r="W1591" s="48">
        <f t="shared" ca="1" si="190"/>
        <v>1.2445499384069341</v>
      </c>
    </row>
    <row r="1592" spans="17:23" x14ac:dyDescent="0.2">
      <c r="Q1592">
        <f t="shared" si="191"/>
        <v>1576</v>
      </c>
      <c r="R1592" s="48">
        <f t="shared" ca="1" si="192"/>
        <v>0.217</v>
      </c>
      <c r="S1592">
        <f t="shared" ca="1" si="193"/>
        <v>186.73110805936133</v>
      </c>
      <c r="T1592" s="61">
        <f t="shared" ca="1" si="187"/>
        <v>10416</v>
      </c>
      <c r="U1592" s="61">
        <f t="shared" ca="1" si="188"/>
        <v>8368.3660883839384</v>
      </c>
      <c r="V1592" s="39">
        <f t="shared" ca="1" si="189"/>
        <v>5.5055040055157489E-2</v>
      </c>
      <c r="W1592" s="48">
        <f t="shared" ca="1" si="190"/>
        <v>0.54449695301496814</v>
      </c>
    </row>
    <row r="1593" spans="17:23" x14ac:dyDescent="0.2">
      <c r="Q1593">
        <f t="shared" si="191"/>
        <v>1577</v>
      </c>
      <c r="R1593" s="48">
        <f t="shared" ca="1" si="192"/>
        <v>0.45</v>
      </c>
      <c r="S1593">
        <f t="shared" ca="1" si="193"/>
        <v>212.50003665834649</v>
      </c>
      <c r="T1593" s="61">
        <f t="shared" ref="T1593:T1656" ca="1" si="194">($B$8-$B$7)*($E$6*R1593)</f>
        <v>21600</v>
      </c>
      <c r="U1593" s="61">
        <f t="shared" ref="U1593:U1656" ca="1" si="195">T1593+((S1593-$B$7)*($E$6*(1-R1593)))</f>
        <v>31500.016129672455</v>
      </c>
      <c r="V1593" s="39">
        <f t="shared" ref="V1593:V1656" ca="1" si="196">U1593/$E$4</f>
        <v>0.2072369482215293</v>
      </c>
      <c r="W1593" s="48">
        <f t="shared" ref="W1593:W1656" ca="1" si="197">(1+V1593)^($J$29/$J$30)-1</f>
        <v>3.6071060382122999</v>
      </c>
    </row>
    <row r="1594" spans="17:23" x14ac:dyDescent="0.2">
      <c r="Q1594">
        <f t="shared" si="191"/>
        <v>1578</v>
      </c>
      <c r="R1594" s="48">
        <f t="shared" ca="1" si="192"/>
        <v>0.35</v>
      </c>
      <c r="S1594">
        <f t="shared" ca="1" si="193"/>
        <v>166.42642185204127</v>
      </c>
      <c r="T1594" s="61">
        <f t="shared" ca="1" si="194"/>
        <v>16800</v>
      </c>
      <c r="U1594" s="61">
        <f t="shared" ca="1" si="195"/>
        <v>4541.7393630614624</v>
      </c>
      <c r="V1594" s="39">
        <f t="shared" ca="1" si="196"/>
        <v>2.9879864230667515E-2</v>
      </c>
      <c r="W1594" s="48">
        <f t="shared" ca="1" si="197"/>
        <v>0.26973551278473029</v>
      </c>
    </row>
    <row r="1595" spans="17:23" x14ac:dyDescent="0.2">
      <c r="Q1595">
        <f t="shared" si="191"/>
        <v>1579</v>
      </c>
      <c r="R1595" s="48">
        <f t="shared" ca="1" si="192"/>
        <v>0.3</v>
      </c>
      <c r="S1595">
        <f t="shared" ca="1" si="193"/>
        <v>204.32563162253655</v>
      </c>
      <c r="T1595" s="61">
        <f t="shared" ca="1" si="194"/>
        <v>14400</v>
      </c>
      <c r="U1595" s="61">
        <f t="shared" ca="1" si="195"/>
        <v>22422.353708620467</v>
      </c>
      <c r="V1595" s="39">
        <f t="shared" ca="1" si="196"/>
        <v>0.14751548492513464</v>
      </c>
      <c r="W1595" s="48">
        <f t="shared" ca="1" si="197"/>
        <v>2.0528697627306998</v>
      </c>
    </row>
    <row r="1596" spans="17:23" x14ac:dyDescent="0.2">
      <c r="Q1596">
        <f t="shared" si="191"/>
        <v>1580</v>
      </c>
      <c r="R1596" s="48">
        <f t="shared" ca="1" si="192"/>
        <v>0.4</v>
      </c>
      <c r="S1596">
        <f t="shared" ca="1" si="193"/>
        <v>192.87599980532698</v>
      </c>
      <c r="T1596" s="61">
        <f t="shared" ca="1" si="194"/>
        <v>19200</v>
      </c>
      <c r="U1596" s="61">
        <f t="shared" ca="1" si="195"/>
        <v>20580.479906556953</v>
      </c>
      <c r="V1596" s="39">
        <f t="shared" ca="1" si="196"/>
        <v>0.13539789412208522</v>
      </c>
      <c r="W1596" s="48">
        <f t="shared" ca="1" si="197"/>
        <v>1.8009943964610011</v>
      </c>
    </row>
    <row r="1597" spans="17:23" x14ac:dyDescent="0.2">
      <c r="Q1597">
        <f t="shared" si="191"/>
        <v>1581</v>
      </c>
      <c r="R1597" s="48">
        <f t="shared" ca="1" si="192"/>
        <v>0.35</v>
      </c>
      <c r="S1597">
        <f t="shared" ca="1" si="193"/>
        <v>168.78530779536527</v>
      </c>
      <c r="T1597" s="61">
        <f t="shared" ca="1" si="194"/>
        <v>16800</v>
      </c>
      <c r="U1597" s="61">
        <f t="shared" ca="1" si="195"/>
        <v>5768.3600535899404</v>
      </c>
      <c r="V1597" s="39">
        <f t="shared" ca="1" si="196"/>
        <v>3.7949737194670659E-2</v>
      </c>
      <c r="W1597" s="48">
        <f t="shared" ca="1" si="197"/>
        <v>0.35272013803244606</v>
      </c>
    </row>
    <row r="1598" spans="17:23" x14ac:dyDescent="0.2">
      <c r="Q1598">
        <f t="shared" si="191"/>
        <v>1582</v>
      </c>
      <c r="R1598" s="48">
        <f t="shared" ca="1" si="192"/>
        <v>0.4</v>
      </c>
      <c r="S1598">
        <f t="shared" ca="1" si="193"/>
        <v>185.96201329636142</v>
      </c>
      <c r="T1598" s="61">
        <f t="shared" ca="1" si="194"/>
        <v>19200</v>
      </c>
      <c r="U1598" s="61">
        <f t="shared" ca="1" si="195"/>
        <v>17261.766382253481</v>
      </c>
      <c r="V1598" s="39">
        <f t="shared" ca="1" si="196"/>
        <v>0.11356425251482553</v>
      </c>
      <c r="W1598" s="48">
        <f t="shared" ca="1" si="197"/>
        <v>1.3928354457107766</v>
      </c>
    </row>
    <row r="1599" spans="17:23" x14ac:dyDescent="0.2">
      <c r="Q1599">
        <f t="shared" si="191"/>
        <v>1583</v>
      </c>
      <c r="R1599" s="48">
        <f t="shared" ca="1" si="192"/>
        <v>0.3</v>
      </c>
      <c r="S1599">
        <f t="shared" ca="1" si="193"/>
        <v>160.09310722111974</v>
      </c>
      <c r="T1599" s="61">
        <f t="shared" ca="1" si="194"/>
        <v>14400</v>
      </c>
      <c r="U1599" s="61">
        <f t="shared" ca="1" si="195"/>
        <v>-2347.8599561729461</v>
      </c>
      <c r="V1599" s="39">
        <f t="shared" ca="1" si="196"/>
        <v>-1.5446447080085171E-2</v>
      </c>
      <c r="W1599" s="48">
        <f t="shared" ca="1" si="197"/>
        <v>-0.11861924001263713</v>
      </c>
    </row>
    <row r="1600" spans="17:23" x14ac:dyDescent="0.2">
      <c r="Q1600">
        <f t="shared" si="191"/>
        <v>1584</v>
      </c>
      <c r="R1600" s="48">
        <f t="shared" ca="1" si="192"/>
        <v>0.3</v>
      </c>
      <c r="S1600">
        <f t="shared" ca="1" si="193"/>
        <v>201.22498864564375</v>
      </c>
      <c r="T1600" s="61">
        <f t="shared" ca="1" si="194"/>
        <v>14400</v>
      </c>
      <c r="U1600" s="61">
        <f t="shared" ca="1" si="195"/>
        <v>20685.993641560497</v>
      </c>
      <c r="V1600" s="39">
        <f t="shared" ca="1" si="196"/>
        <v>0.13609206343131905</v>
      </c>
      <c r="W1600" s="48">
        <f t="shared" ca="1" si="197"/>
        <v>1.81491487435843</v>
      </c>
    </row>
    <row r="1601" spans="17:23" x14ac:dyDescent="0.2">
      <c r="Q1601">
        <f t="shared" si="191"/>
        <v>1585</v>
      </c>
      <c r="R1601" s="48">
        <f t="shared" ca="1" si="192"/>
        <v>0.45</v>
      </c>
      <c r="S1601">
        <f t="shared" ca="1" si="193"/>
        <v>160.85687729744618</v>
      </c>
      <c r="T1601" s="61">
        <f t="shared" ca="1" si="194"/>
        <v>21600</v>
      </c>
      <c r="U1601" s="61">
        <f t="shared" ca="1" si="195"/>
        <v>8777.0260108763159</v>
      </c>
      <c r="V1601" s="39">
        <f t="shared" ca="1" si="196"/>
        <v>5.7743592176817869E-2</v>
      </c>
      <c r="W1601" s="48">
        <f t="shared" ca="1" si="197"/>
        <v>0.57671121987951746</v>
      </c>
    </row>
    <row r="1602" spans="17:23" x14ac:dyDescent="0.2">
      <c r="Q1602">
        <f t="shared" si="191"/>
        <v>1586</v>
      </c>
      <c r="R1602" s="48">
        <f t="shared" ca="1" si="192"/>
        <v>0.4</v>
      </c>
      <c r="S1602">
        <f t="shared" ca="1" si="193"/>
        <v>230.39367520712995</v>
      </c>
      <c r="T1602" s="61">
        <f t="shared" ca="1" si="194"/>
        <v>19200</v>
      </c>
      <c r="U1602" s="61">
        <f t="shared" ca="1" si="195"/>
        <v>38588.964099422374</v>
      </c>
      <c r="V1602" s="39">
        <f t="shared" ca="1" si="196"/>
        <v>0.25387476381198931</v>
      </c>
      <c r="W1602" s="48">
        <f t="shared" ca="1" si="197"/>
        <v>5.2654233600427522</v>
      </c>
    </row>
    <row r="1603" spans="17:23" x14ac:dyDescent="0.2">
      <c r="Q1603">
        <f t="shared" si="191"/>
        <v>1587</v>
      </c>
      <c r="R1603" s="48">
        <f t="shared" ca="1" si="192"/>
        <v>0.35</v>
      </c>
      <c r="S1603">
        <f t="shared" ca="1" si="193"/>
        <v>207.42986291523573</v>
      </c>
      <c r="T1603" s="61">
        <f t="shared" ca="1" si="194"/>
        <v>16800</v>
      </c>
      <c r="U1603" s="61">
        <f t="shared" ca="1" si="195"/>
        <v>25863.528715922581</v>
      </c>
      <c r="V1603" s="39">
        <f t="shared" ca="1" si="196"/>
        <v>0.17015479418370119</v>
      </c>
      <c r="W1603" s="48">
        <f t="shared" ca="1" si="197"/>
        <v>2.5770838539765943</v>
      </c>
    </row>
    <row r="1604" spans="17:23" x14ac:dyDescent="0.2">
      <c r="Q1604">
        <f t="shared" si="191"/>
        <v>1588</v>
      </c>
      <c r="R1604" s="48">
        <f t="shared" ca="1" si="192"/>
        <v>0.3</v>
      </c>
      <c r="S1604">
        <f t="shared" ca="1" si="193"/>
        <v>213.00066303349041</v>
      </c>
      <c r="T1604" s="61">
        <f t="shared" ca="1" si="194"/>
        <v>14400</v>
      </c>
      <c r="U1604" s="61">
        <f t="shared" ca="1" si="195"/>
        <v>27280.371298754631</v>
      </c>
      <c r="V1604" s="39">
        <f t="shared" ca="1" si="196"/>
        <v>0.17947612696549101</v>
      </c>
      <c r="W1604" s="48">
        <f t="shared" ca="1" si="197"/>
        <v>2.8148608548309166</v>
      </c>
    </row>
    <row r="1605" spans="17:23" x14ac:dyDescent="0.2">
      <c r="Q1605">
        <f t="shared" si="191"/>
        <v>1589</v>
      </c>
      <c r="R1605" s="48">
        <f t="shared" ca="1" si="192"/>
        <v>0.45</v>
      </c>
      <c r="S1605">
        <f t="shared" ca="1" si="193"/>
        <v>171.99250635312623</v>
      </c>
      <c r="T1605" s="61">
        <f t="shared" ca="1" si="194"/>
        <v>21600</v>
      </c>
      <c r="U1605" s="61">
        <f t="shared" ca="1" si="195"/>
        <v>13676.702795375541</v>
      </c>
      <c r="V1605" s="39">
        <f t="shared" ca="1" si="196"/>
        <v>8.9978307864312768E-2</v>
      </c>
      <c r="W1605" s="48">
        <f t="shared" ca="1" si="197"/>
        <v>1.0114089533930808</v>
      </c>
    </row>
    <row r="1606" spans="17:23" x14ac:dyDescent="0.2">
      <c r="Q1606">
        <f t="shared" si="191"/>
        <v>1590</v>
      </c>
      <c r="R1606" s="48">
        <f t="shared" ca="1" si="192"/>
        <v>0.45</v>
      </c>
      <c r="S1606">
        <f t="shared" ca="1" si="193"/>
        <v>171.12723961530827</v>
      </c>
      <c r="T1606" s="61">
        <f t="shared" ca="1" si="194"/>
        <v>21600</v>
      </c>
      <c r="U1606" s="61">
        <f t="shared" ca="1" si="195"/>
        <v>13295.985430735638</v>
      </c>
      <c r="V1606" s="39">
        <f t="shared" ca="1" si="196"/>
        <v>8.7473588360102883E-2</v>
      </c>
      <c r="W1606" s="48">
        <f t="shared" ca="1" si="197"/>
        <v>0.97422327656308449</v>
      </c>
    </row>
    <row r="1607" spans="17:23" x14ac:dyDescent="0.2">
      <c r="Q1607">
        <f t="shared" si="191"/>
        <v>1591</v>
      </c>
      <c r="R1607" s="48">
        <f t="shared" ca="1" si="192"/>
        <v>0.35</v>
      </c>
      <c r="S1607">
        <f t="shared" ca="1" si="193"/>
        <v>234.78411432147374</v>
      </c>
      <c r="T1607" s="61">
        <f t="shared" ca="1" si="194"/>
        <v>16800</v>
      </c>
      <c r="U1607" s="61">
        <f t="shared" ca="1" si="195"/>
        <v>40087.739447166343</v>
      </c>
      <c r="V1607" s="39">
        <f t="shared" ca="1" si="196"/>
        <v>0.26373512794188386</v>
      </c>
      <c r="W1607" s="48">
        <f t="shared" ca="1" si="197"/>
        <v>5.6764189196457133</v>
      </c>
    </row>
    <row r="1608" spans="17:23" x14ac:dyDescent="0.2">
      <c r="Q1608">
        <f t="shared" si="191"/>
        <v>1592</v>
      </c>
      <c r="R1608" s="48">
        <f t="shared" ca="1" si="192"/>
        <v>0.3</v>
      </c>
      <c r="S1608">
        <f t="shared" ca="1" si="193"/>
        <v>172.63616395701601</v>
      </c>
      <c r="T1608" s="61">
        <f t="shared" ca="1" si="194"/>
        <v>14400</v>
      </c>
      <c r="U1608" s="61">
        <f t="shared" ca="1" si="195"/>
        <v>4676.2518159289648</v>
      </c>
      <c r="V1608" s="39">
        <f t="shared" ca="1" si="196"/>
        <v>3.0764814578480033E-2</v>
      </c>
      <c r="W1608" s="48">
        <f t="shared" ca="1" si="197"/>
        <v>0.27861224474923652</v>
      </c>
    </row>
    <row r="1609" spans="17:23" x14ac:dyDescent="0.2">
      <c r="Q1609">
        <f t="shared" si="191"/>
        <v>1593</v>
      </c>
      <c r="R1609" s="48">
        <f t="shared" ca="1" si="192"/>
        <v>0.4</v>
      </c>
      <c r="S1609">
        <f t="shared" ca="1" si="193"/>
        <v>227.59623480026164</v>
      </c>
      <c r="T1609" s="61">
        <f t="shared" ca="1" si="194"/>
        <v>19200</v>
      </c>
      <c r="U1609" s="61">
        <f t="shared" ca="1" si="195"/>
        <v>37246.192704125584</v>
      </c>
      <c r="V1609" s="39">
        <f t="shared" ca="1" si="196"/>
        <v>0.24504074147451041</v>
      </c>
      <c r="W1609" s="48">
        <f t="shared" ca="1" si="197"/>
        <v>4.9162219190645358</v>
      </c>
    </row>
    <row r="1610" spans="17:23" x14ac:dyDescent="0.2">
      <c r="Q1610">
        <f t="shared" si="191"/>
        <v>1594</v>
      </c>
      <c r="R1610" s="48">
        <f t="shared" ca="1" si="192"/>
        <v>0.4</v>
      </c>
      <c r="S1610">
        <f t="shared" ca="1" si="193"/>
        <v>201.27083495155165</v>
      </c>
      <c r="T1610" s="61">
        <f t="shared" ca="1" si="194"/>
        <v>19200</v>
      </c>
      <c r="U1610" s="61">
        <f t="shared" ca="1" si="195"/>
        <v>24610.00077674479</v>
      </c>
      <c r="V1610" s="39">
        <f t="shared" ca="1" si="196"/>
        <v>0.16190789984700518</v>
      </c>
      <c r="W1610" s="48">
        <f t="shared" ca="1" si="197"/>
        <v>2.3776522672552773</v>
      </c>
    </row>
    <row r="1611" spans="17:23" x14ac:dyDescent="0.2">
      <c r="Q1611">
        <f t="shared" si="191"/>
        <v>1595</v>
      </c>
      <c r="R1611" s="48">
        <f t="shared" ca="1" si="192"/>
        <v>0.15</v>
      </c>
      <c r="S1611">
        <f t="shared" ca="1" si="193"/>
        <v>201.8652525338199</v>
      </c>
      <c r="T1611" s="61">
        <f t="shared" ca="1" si="194"/>
        <v>7200</v>
      </c>
      <c r="U1611" s="61">
        <f t="shared" ca="1" si="195"/>
        <v>15268.37172299753</v>
      </c>
      <c r="V1611" s="39">
        <f t="shared" ca="1" si="196"/>
        <v>0.10044981396708902</v>
      </c>
      <c r="W1611" s="48">
        <f t="shared" ca="1" si="197"/>
        <v>1.1736061108025924</v>
      </c>
    </row>
    <row r="1612" spans="17:23" x14ac:dyDescent="0.2">
      <c r="Q1612">
        <f t="shared" si="191"/>
        <v>1596</v>
      </c>
      <c r="R1612" s="48">
        <f t="shared" ca="1" si="192"/>
        <v>0.5</v>
      </c>
      <c r="S1612">
        <f t="shared" ca="1" si="193"/>
        <v>191.80750459883936</v>
      </c>
      <c r="T1612" s="61">
        <f t="shared" ca="1" si="194"/>
        <v>24000</v>
      </c>
      <c r="U1612" s="61">
        <f t="shared" ca="1" si="195"/>
        <v>24723.001839535744</v>
      </c>
      <c r="V1612" s="39">
        <f t="shared" ca="1" si="196"/>
        <v>0.16265132789168252</v>
      </c>
      <c r="W1612" s="48">
        <f t="shared" ca="1" si="197"/>
        <v>2.3952214148493525</v>
      </c>
    </row>
    <row r="1613" spans="17:23" x14ac:dyDescent="0.2">
      <c r="Q1613">
        <f t="shared" si="191"/>
        <v>1597</v>
      </c>
      <c r="R1613" s="48">
        <f t="shared" ca="1" si="192"/>
        <v>0.217</v>
      </c>
      <c r="S1613">
        <f t="shared" ca="1" si="193"/>
        <v>152.01154835073822</v>
      </c>
      <c r="T1613" s="61">
        <f t="shared" ca="1" si="194"/>
        <v>10416</v>
      </c>
      <c r="U1613" s="61">
        <f t="shared" ca="1" si="195"/>
        <v>-13379.966113097576</v>
      </c>
      <c r="V1613" s="39">
        <f t="shared" ca="1" si="196"/>
        <v>-8.8026092849326165E-2</v>
      </c>
      <c r="W1613" s="48">
        <f t="shared" ca="1" si="197"/>
        <v>-0.52639868095934572</v>
      </c>
    </row>
    <row r="1614" spans="17:23" x14ac:dyDescent="0.2">
      <c r="Q1614">
        <f t="shared" si="191"/>
        <v>1598</v>
      </c>
      <c r="R1614" s="48">
        <f t="shared" ca="1" si="192"/>
        <v>0.35</v>
      </c>
      <c r="S1614">
        <f t="shared" ca="1" si="193"/>
        <v>186.72683701213583</v>
      </c>
      <c r="T1614" s="61">
        <f t="shared" ca="1" si="194"/>
        <v>16800</v>
      </c>
      <c r="U1614" s="61">
        <f t="shared" ca="1" si="195"/>
        <v>15097.955246310632</v>
      </c>
      <c r="V1614" s="39">
        <f t="shared" ca="1" si="196"/>
        <v>9.9328652936254161E-2</v>
      </c>
      <c r="W1614" s="48">
        <f t="shared" ca="1" si="197"/>
        <v>1.1557088673442037</v>
      </c>
    </row>
    <row r="1615" spans="17:23" x14ac:dyDescent="0.2">
      <c r="Q1615">
        <f t="shared" si="191"/>
        <v>1599</v>
      </c>
      <c r="R1615" s="48">
        <f t="shared" ca="1" si="192"/>
        <v>0.4</v>
      </c>
      <c r="S1615">
        <f t="shared" ca="1" si="193"/>
        <v>208.37037052062624</v>
      </c>
      <c r="T1615" s="61">
        <f t="shared" ca="1" si="194"/>
        <v>19200</v>
      </c>
      <c r="U1615" s="61">
        <f t="shared" ca="1" si="195"/>
        <v>28017.777849900594</v>
      </c>
      <c r="V1615" s="39">
        <f t="shared" ca="1" si="196"/>
        <v>0.18432748585460917</v>
      </c>
      <c r="W1615" s="48">
        <f t="shared" ca="1" si="197"/>
        <v>2.9440099530532549</v>
      </c>
    </row>
    <row r="1616" spans="17:23" x14ac:dyDescent="0.2">
      <c r="Q1616">
        <f t="shared" si="191"/>
        <v>1600</v>
      </c>
      <c r="R1616" s="48">
        <f t="shared" ca="1" si="192"/>
        <v>0.45</v>
      </c>
      <c r="S1616">
        <f t="shared" ca="1" si="193"/>
        <v>180.36682627065642</v>
      </c>
      <c r="T1616" s="61">
        <f t="shared" ca="1" si="194"/>
        <v>21600</v>
      </c>
      <c r="U1616" s="61">
        <f t="shared" ca="1" si="195"/>
        <v>17361.403559088823</v>
      </c>
      <c r="V1616" s="39">
        <f t="shared" ca="1" si="196"/>
        <v>0.11421976025716331</v>
      </c>
      <c r="W1616" s="48">
        <f t="shared" ca="1" si="197"/>
        <v>1.4042843743233573</v>
      </c>
    </row>
    <row r="1617" spans="17:23" x14ac:dyDescent="0.2">
      <c r="Q1617">
        <f t="shared" si="191"/>
        <v>1601</v>
      </c>
      <c r="R1617" s="48">
        <f t="shared" ca="1" si="192"/>
        <v>0.217</v>
      </c>
      <c r="S1617">
        <f t="shared" ca="1" si="193"/>
        <v>179.59717770780972</v>
      </c>
      <c r="T1617" s="61">
        <f t="shared" ca="1" si="194"/>
        <v>10416</v>
      </c>
      <c r="U1617" s="61">
        <f t="shared" ca="1" si="195"/>
        <v>3899.6721161720088</v>
      </c>
      <c r="V1617" s="39">
        <f t="shared" ca="1" si="196"/>
        <v>2.5655737606394793E-2</v>
      </c>
      <c r="W1617" s="48">
        <f t="shared" ca="1" si="197"/>
        <v>0.22810447067018891</v>
      </c>
    </row>
    <row r="1618" spans="17:23" x14ac:dyDescent="0.2">
      <c r="Q1618">
        <f t="shared" si="191"/>
        <v>1602</v>
      </c>
      <c r="R1618" s="48">
        <f t="shared" ca="1" si="192"/>
        <v>0.217</v>
      </c>
      <c r="S1618">
        <f t="shared" ca="1" si="193"/>
        <v>196.40858441502488</v>
      </c>
      <c r="T1618" s="61">
        <f t="shared" ca="1" si="194"/>
        <v>10416</v>
      </c>
      <c r="U1618" s="61">
        <f t="shared" ca="1" si="195"/>
        <v>14430.337277571582</v>
      </c>
      <c r="V1618" s="39">
        <f t="shared" ca="1" si="196"/>
        <v>9.4936429457707777E-2</v>
      </c>
      <c r="W1618" s="48">
        <f t="shared" ca="1" si="197"/>
        <v>1.0868334423799531</v>
      </c>
    </row>
    <row r="1619" spans="17:23" x14ac:dyDescent="0.2">
      <c r="Q1619">
        <f t="shared" ref="Q1619:Q1682" si="198">Q1618+1</f>
        <v>1603</v>
      </c>
      <c r="R1619" s="48">
        <f t="shared" ref="R1619:R1682" ca="1" si="199">LOOKUP(RAND(),$U$6:$U$12,$S$6:$S$12)</f>
        <v>0.217</v>
      </c>
      <c r="S1619">
        <f t="shared" ref="S1619:S1682" ca="1" si="200">_xlfn.NORM.INV(RAND(),$Q$5,$Q$10)</f>
        <v>186.2149363796299</v>
      </c>
      <c r="T1619" s="61">
        <f t="shared" ca="1" si="194"/>
        <v>10416</v>
      </c>
      <c r="U1619" s="61">
        <f t="shared" ca="1" si="195"/>
        <v>8045.0361482001717</v>
      </c>
      <c r="V1619" s="39">
        <f t="shared" ca="1" si="196"/>
        <v>5.2927869396053762E-2</v>
      </c>
      <c r="W1619" s="48">
        <f t="shared" ca="1" si="197"/>
        <v>0.51941952624208332</v>
      </c>
    </row>
    <row r="1620" spans="17:23" x14ac:dyDescent="0.2">
      <c r="Q1620">
        <f t="shared" si="198"/>
        <v>1604</v>
      </c>
      <c r="R1620" s="48">
        <f t="shared" ca="1" si="199"/>
        <v>0.217</v>
      </c>
      <c r="S1620">
        <f t="shared" ca="1" si="200"/>
        <v>193.54923900458647</v>
      </c>
      <c r="T1620" s="61">
        <f t="shared" ca="1" si="194"/>
        <v>10416</v>
      </c>
      <c r="U1620" s="61">
        <f t="shared" ca="1" si="195"/>
        <v>12639.243312472963</v>
      </c>
      <c r="V1620" s="39">
        <f t="shared" ca="1" si="196"/>
        <v>8.3152916529427384E-2</v>
      </c>
      <c r="W1620" s="48">
        <f t="shared" ca="1" si="197"/>
        <v>0.91149253739016767</v>
      </c>
    </row>
    <row r="1621" spans="17:23" x14ac:dyDescent="0.2">
      <c r="Q1621">
        <f t="shared" si="198"/>
        <v>1605</v>
      </c>
      <c r="R1621" s="48">
        <f t="shared" ca="1" si="199"/>
        <v>0.217</v>
      </c>
      <c r="S1621">
        <f t="shared" ca="1" si="200"/>
        <v>178.51482768000275</v>
      </c>
      <c r="T1621" s="61">
        <f t="shared" ca="1" si="194"/>
        <v>10416</v>
      </c>
      <c r="U1621" s="61">
        <f t="shared" ca="1" si="195"/>
        <v>3221.6880587537253</v>
      </c>
      <c r="V1621" s="39">
        <f t="shared" ca="1" si="196"/>
        <v>2.119531617601135E-2</v>
      </c>
      <c r="W1621" s="48">
        <f t="shared" ca="1" si="197"/>
        <v>0.1854482613902011</v>
      </c>
    </row>
    <row r="1622" spans="17:23" x14ac:dyDescent="0.2">
      <c r="Q1622">
        <f t="shared" si="198"/>
        <v>1606</v>
      </c>
      <c r="R1622" s="48">
        <f t="shared" ca="1" si="199"/>
        <v>0.35</v>
      </c>
      <c r="S1622">
        <f t="shared" ca="1" si="200"/>
        <v>195.5227001498717</v>
      </c>
      <c r="T1622" s="61">
        <f t="shared" ca="1" si="194"/>
        <v>16800</v>
      </c>
      <c r="U1622" s="61">
        <f t="shared" ca="1" si="195"/>
        <v>19671.80407793328</v>
      </c>
      <c r="V1622" s="39">
        <f t="shared" ca="1" si="196"/>
        <v>0.1294197636706137</v>
      </c>
      <c r="W1622" s="48">
        <f t="shared" ca="1" si="197"/>
        <v>1.6835882749559024</v>
      </c>
    </row>
    <row r="1623" spans="17:23" x14ac:dyDescent="0.2">
      <c r="Q1623">
        <f t="shared" si="198"/>
        <v>1607</v>
      </c>
      <c r="R1623" s="48">
        <f t="shared" ca="1" si="199"/>
        <v>0.15</v>
      </c>
      <c r="S1623">
        <f t="shared" ca="1" si="200"/>
        <v>173.9112968389889</v>
      </c>
      <c r="T1623" s="61">
        <f t="shared" ca="1" si="194"/>
        <v>7200</v>
      </c>
      <c r="U1623" s="61">
        <f t="shared" ca="1" si="195"/>
        <v>-3740.3181494875462</v>
      </c>
      <c r="V1623" s="39">
        <f t="shared" ca="1" si="196"/>
        <v>-2.4607356246628593E-2</v>
      </c>
      <c r="W1623" s="48">
        <f t="shared" ca="1" si="197"/>
        <v>-0.18297842193263514</v>
      </c>
    </row>
    <row r="1624" spans="17:23" x14ac:dyDescent="0.2">
      <c r="Q1624">
        <f t="shared" si="198"/>
        <v>1608</v>
      </c>
      <c r="R1624" s="48">
        <f t="shared" ca="1" si="199"/>
        <v>0.217</v>
      </c>
      <c r="S1624">
        <f t="shared" ca="1" si="200"/>
        <v>180.21551129961645</v>
      </c>
      <c r="T1624" s="61">
        <f t="shared" ca="1" si="194"/>
        <v>10416</v>
      </c>
      <c r="U1624" s="61">
        <f t="shared" ca="1" si="195"/>
        <v>4286.9962780797459</v>
      </c>
      <c r="V1624" s="39">
        <f t="shared" ca="1" si="196"/>
        <v>2.8203922882103591E-2</v>
      </c>
      <c r="W1624" s="48">
        <f t="shared" ca="1" si="197"/>
        <v>0.2530724782816125</v>
      </c>
    </row>
    <row r="1625" spans="17:23" x14ac:dyDescent="0.2">
      <c r="Q1625">
        <f t="shared" si="198"/>
        <v>1609</v>
      </c>
      <c r="R1625" s="48">
        <f t="shared" ca="1" si="199"/>
        <v>0.3</v>
      </c>
      <c r="S1625">
        <f t="shared" ca="1" si="200"/>
        <v>218.14814769644468</v>
      </c>
      <c r="T1625" s="61">
        <f t="shared" ca="1" si="194"/>
        <v>14400</v>
      </c>
      <c r="U1625" s="61">
        <f t="shared" ca="1" si="195"/>
        <v>30162.962710009022</v>
      </c>
      <c r="V1625" s="39">
        <f t="shared" ca="1" si="196"/>
        <v>0.1984405441447962</v>
      </c>
      <c r="W1625" s="48">
        <f t="shared" ca="1" si="197"/>
        <v>3.3417729721941463</v>
      </c>
    </row>
    <row r="1626" spans="17:23" x14ac:dyDescent="0.2">
      <c r="Q1626">
        <f t="shared" si="198"/>
        <v>1610</v>
      </c>
      <c r="R1626" s="48">
        <f t="shared" ca="1" si="199"/>
        <v>0.35</v>
      </c>
      <c r="S1626">
        <f t="shared" ca="1" si="200"/>
        <v>205.69322425817674</v>
      </c>
      <c r="T1626" s="61">
        <f t="shared" ca="1" si="194"/>
        <v>16800</v>
      </c>
      <c r="U1626" s="61">
        <f t="shared" ca="1" si="195"/>
        <v>24960.476614251907</v>
      </c>
      <c r="V1626" s="39">
        <f t="shared" ca="1" si="196"/>
        <v>0.16421366193586781</v>
      </c>
      <c r="W1626" s="48">
        <f t="shared" ca="1" si="197"/>
        <v>2.4324047694877509</v>
      </c>
    </row>
    <row r="1627" spans="17:23" x14ac:dyDescent="0.2">
      <c r="Q1627">
        <f t="shared" si="198"/>
        <v>1611</v>
      </c>
      <c r="R1627" s="48">
        <f t="shared" ca="1" si="199"/>
        <v>0.3</v>
      </c>
      <c r="S1627">
        <f t="shared" ca="1" si="200"/>
        <v>186.49033438305665</v>
      </c>
      <c r="T1627" s="61">
        <f t="shared" ca="1" si="194"/>
        <v>14400</v>
      </c>
      <c r="U1627" s="61">
        <f t="shared" ca="1" si="195"/>
        <v>12434.587254511724</v>
      </c>
      <c r="V1627" s="39">
        <f t="shared" ca="1" si="196"/>
        <v>8.1806495095471859E-2</v>
      </c>
      <c r="W1627" s="48">
        <f t="shared" ca="1" si="197"/>
        <v>0.89230473031884738</v>
      </c>
    </row>
    <row r="1628" spans="17:23" x14ac:dyDescent="0.2">
      <c r="Q1628">
        <f t="shared" si="198"/>
        <v>1612</v>
      </c>
      <c r="R1628" s="48">
        <f t="shared" ca="1" si="199"/>
        <v>0.4</v>
      </c>
      <c r="S1628">
        <f t="shared" ca="1" si="200"/>
        <v>161.94131279173581</v>
      </c>
      <c r="T1628" s="61">
        <f t="shared" ca="1" si="194"/>
        <v>19200</v>
      </c>
      <c r="U1628" s="61">
        <f t="shared" ca="1" si="195"/>
        <v>5731.8301400331893</v>
      </c>
      <c r="V1628" s="39">
        <f t="shared" ca="1" si="196"/>
        <v>3.7709408816007824E-2</v>
      </c>
      <c r="W1628" s="48">
        <f t="shared" ca="1" si="197"/>
        <v>0.350181741158339</v>
      </c>
    </row>
    <row r="1629" spans="17:23" x14ac:dyDescent="0.2">
      <c r="Q1629">
        <f t="shared" si="198"/>
        <v>1613</v>
      </c>
      <c r="R1629" s="48">
        <f t="shared" ca="1" si="199"/>
        <v>0.45</v>
      </c>
      <c r="S1629">
        <f t="shared" ca="1" si="200"/>
        <v>178.14016076335506</v>
      </c>
      <c r="T1629" s="61">
        <f t="shared" ca="1" si="194"/>
        <v>21600</v>
      </c>
      <c r="U1629" s="61">
        <f t="shared" ca="1" si="195"/>
        <v>16381.670735876225</v>
      </c>
      <c r="V1629" s="39">
        <f t="shared" ca="1" si="196"/>
        <v>0.10777414957813305</v>
      </c>
      <c r="W1629" s="48">
        <f t="shared" ca="1" si="197"/>
        <v>1.2937645523033172</v>
      </c>
    </row>
    <row r="1630" spans="17:23" x14ac:dyDescent="0.2">
      <c r="Q1630">
        <f t="shared" si="198"/>
        <v>1614</v>
      </c>
      <c r="R1630" s="48">
        <f t="shared" ca="1" si="199"/>
        <v>0.3</v>
      </c>
      <c r="S1630">
        <f t="shared" ca="1" si="200"/>
        <v>205.62031197794275</v>
      </c>
      <c r="T1630" s="61">
        <f t="shared" ca="1" si="194"/>
        <v>14400</v>
      </c>
      <c r="U1630" s="61">
        <f t="shared" ca="1" si="195"/>
        <v>23147.374707647941</v>
      </c>
      <c r="V1630" s="39">
        <f t="shared" ca="1" si="196"/>
        <v>0.15228535991873646</v>
      </c>
      <c r="W1630" s="48">
        <f t="shared" ca="1" si="197"/>
        <v>2.1573327736624766</v>
      </c>
    </row>
    <row r="1631" spans="17:23" x14ac:dyDescent="0.2">
      <c r="Q1631">
        <f t="shared" si="198"/>
        <v>1615</v>
      </c>
      <c r="R1631" s="48">
        <f t="shared" ca="1" si="199"/>
        <v>0.45</v>
      </c>
      <c r="S1631">
        <f t="shared" ca="1" si="200"/>
        <v>199.27214120420223</v>
      </c>
      <c r="T1631" s="61">
        <f t="shared" ca="1" si="194"/>
        <v>21600</v>
      </c>
      <c r="U1631" s="61">
        <f t="shared" ca="1" si="195"/>
        <v>25679.742129848979</v>
      </c>
      <c r="V1631" s="39">
        <f t="shared" ca="1" si="196"/>
        <v>0.16894567190690118</v>
      </c>
      <c r="W1631" s="48">
        <f t="shared" ca="1" si="197"/>
        <v>2.5472134410816691</v>
      </c>
    </row>
    <row r="1632" spans="17:23" x14ac:dyDescent="0.2">
      <c r="Q1632">
        <f t="shared" si="198"/>
        <v>1616</v>
      </c>
      <c r="R1632" s="48">
        <f t="shared" ca="1" si="199"/>
        <v>0.35</v>
      </c>
      <c r="S1632">
        <f t="shared" ca="1" si="200"/>
        <v>170.83359669522113</v>
      </c>
      <c r="T1632" s="61">
        <f t="shared" ca="1" si="194"/>
        <v>16800</v>
      </c>
      <c r="U1632" s="61">
        <f t="shared" ca="1" si="195"/>
        <v>6833.4702815149885</v>
      </c>
      <c r="V1632" s="39">
        <f t="shared" ca="1" si="196"/>
        <v>4.4957041325756501E-2</v>
      </c>
      <c r="W1632" s="48">
        <f t="shared" ca="1" si="197"/>
        <v>0.42859637123545458</v>
      </c>
    </row>
    <row r="1633" spans="17:23" x14ac:dyDescent="0.2">
      <c r="Q1633">
        <f t="shared" si="198"/>
        <v>1617</v>
      </c>
      <c r="R1633" s="48">
        <f t="shared" ca="1" si="199"/>
        <v>0.35</v>
      </c>
      <c r="S1633">
        <f t="shared" ca="1" si="200"/>
        <v>197.12613538970365</v>
      </c>
      <c r="T1633" s="61">
        <f t="shared" ca="1" si="194"/>
        <v>16800</v>
      </c>
      <c r="U1633" s="61">
        <f t="shared" ca="1" si="195"/>
        <v>20505.590402645896</v>
      </c>
      <c r="V1633" s="39">
        <f t="shared" ca="1" si="196"/>
        <v>0.13490520001740722</v>
      </c>
      <c r="W1633" s="48">
        <f t="shared" ca="1" si="197"/>
        <v>1.7911508436389583</v>
      </c>
    </row>
    <row r="1634" spans="17:23" x14ac:dyDescent="0.2">
      <c r="Q1634">
        <f t="shared" si="198"/>
        <v>1618</v>
      </c>
      <c r="R1634" s="48">
        <f t="shared" ca="1" si="199"/>
        <v>0.4</v>
      </c>
      <c r="S1634">
        <f t="shared" ca="1" si="200"/>
        <v>218.70345135072316</v>
      </c>
      <c r="T1634" s="61">
        <f t="shared" ca="1" si="194"/>
        <v>19200</v>
      </c>
      <c r="U1634" s="61">
        <f t="shared" ca="1" si="195"/>
        <v>32977.656648347111</v>
      </c>
      <c r="V1634" s="39">
        <f t="shared" ca="1" si="196"/>
        <v>0.21695826742333627</v>
      </c>
      <c r="W1634" s="48">
        <f t="shared" ca="1" si="197"/>
        <v>3.916777546201744</v>
      </c>
    </row>
    <row r="1635" spans="17:23" x14ac:dyDescent="0.2">
      <c r="Q1635">
        <f t="shared" si="198"/>
        <v>1619</v>
      </c>
      <c r="R1635" s="48">
        <f t="shared" ca="1" si="199"/>
        <v>0.217</v>
      </c>
      <c r="S1635">
        <f t="shared" ca="1" si="200"/>
        <v>215.33961465257099</v>
      </c>
      <c r="T1635" s="61">
        <f t="shared" ca="1" si="194"/>
        <v>10416</v>
      </c>
      <c r="U1635" s="61">
        <f t="shared" ca="1" si="195"/>
        <v>26288.734618370465</v>
      </c>
      <c r="V1635" s="39">
        <f t="shared" ca="1" si="196"/>
        <v>0.1729522014366478</v>
      </c>
      <c r="W1635" s="48">
        <f t="shared" ca="1" si="197"/>
        <v>2.647038351571029</v>
      </c>
    </row>
    <row r="1636" spans="17:23" x14ac:dyDescent="0.2">
      <c r="Q1636">
        <f t="shared" si="198"/>
        <v>1620</v>
      </c>
      <c r="R1636" s="48">
        <f t="shared" ca="1" si="199"/>
        <v>0.217</v>
      </c>
      <c r="S1636">
        <f t="shared" ca="1" si="200"/>
        <v>204.58527753242649</v>
      </c>
      <c r="T1636" s="61">
        <f t="shared" ca="1" si="194"/>
        <v>10416</v>
      </c>
      <c r="U1636" s="61">
        <f t="shared" ca="1" si="195"/>
        <v>19552.217846311953</v>
      </c>
      <c r="V1636" s="39">
        <f t="shared" ca="1" si="196"/>
        <v>0.12863301214678916</v>
      </c>
      <c r="W1636" s="48">
        <f t="shared" ca="1" si="197"/>
        <v>1.6684630102826543</v>
      </c>
    </row>
    <row r="1637" spans="17:23" x14ac:dyDescent="0.2">
      <c r="Q1637">
        <f t="shared" si="198"/>
        <v>1621</v>
      </c>
      <c r="R1637" s="48">
        <f t="shared" ca="1" si="199"/>
        <v>0.217</v>
      </c>
      <c r="S1637">
        <f t="shared" ca="1" si="200"/>
        <v>200.77678948999124</v>
      </c>
      <c r="T1637" s="61">
        <f t="shared" ca="1" si="194"/>
        <v>10416</v>
      </c>
      <c r="U1637" s="61">
        <f t="shared" ca="1" si="195"/>
        <v>17166.580936530518</v>
      </c>
      <c r="V1637" s="39">
        <f t="shared" ca="1" si="196"/>
        <v>0.11293803247717446</v>
      </c>
      <c r="W1637" s="48">
        <f t="shared" ca="1" si="197"/>
        <v>1.3819427186252988</v>
      </c>
    </row>
    <row r="1638" spans="17:23" x14ac:dyDescent="0.2">
      <c r="Q1638">
        <f t="shared" si="198"/>
        <v>1622</v>
      </c>
      <c r="R1638" s="48">
        <f t="shared" ca="1" si="199"/>
        <v>0.3</v>
      </c>
      <c r="S1638">
        <f t="shared" ca="1" si="200"/>
        <v>183.75364963952634</v>
      </c>
      <c r="T1638" s="61">
        <f t="shared" ca="1" si="194"/>
        <v>14400</v>
      </c>
      <c r="U1638" s="61">
        <f t="shared" ca="1" si="195"/>
        <v>10902.043798134753</v>
      </c>
      <c r="V1638" s="39">
        <f t="shared" ca="1" si="196"/>
        <v>7.172397235614969E-2</v>
      </c>
      <c r="W1638" s="48">
        <f t="shared" ca="1" si="197"/>
        <v>0.75390517914785482</v>
      </c>
    </row>
    <row r="1639" spans="17:23" x14ac:dyDescent="0.2">
      <c r="Q1639">
        <f t="shared" si="198"/>
        <v>1623</v>
      </c>
      <c r="R1639" s="48">
        <f t="shared" ca="1" si="199"/>
        <v>0.35</v>
      </c>
      <c r="S1639">
        <f t="shared" ca="1" si="200"/>
        <v>167.6051636402803</v>
      </c>
      <c r="T1639" s="61">
        <f t="shared" ca="1" si="194"/>
        <v>16800</v>
      </c>
      <c r="U1639" s="61">
        <f t="shared" ca="1" si="195"/>
        <v>5154.6850929457541</v>
      </c>
      <c r="V1639" s="39">
        <f t="shared" ca="1" si="196"/>
        <v>3.3912401927274696E-2</v>
      </c>
      <c r="W1639" s="48">
        <f t="shared" ca="1" si="197"/>
        <v>0.31062746080315251</v>
      </c>
    </row>
    <row r="1640" spans="17:23" x14ac:dyDescent="0.2">
      <c r="Q1640">
        <f t="shared" si="198"/>
        <v>1624</v>
      </c>
      <c r="R1640" s="48">
        <f t="shared" ca="1" si="199"/>
        <v>0.45</v>
      </c>
      <c r="S1640">
        <f t="shared" ca="1" si="200"/>
        <v>183.33869937004908</v>
      </c>
      <c r="T1640" s="61">
        <f t="shared" ca="1" si="194"/>
        <v>21600</v>
      </c>
      <c r="U1640" s="61">
        <f t="shared" ca="1" si="195"/>
        <v>18669.027722821596</v>
      </c>
      <c r="V1640" s="39">
        <f t="shared" ca="1" si="196"/>
        <v>0.12282255080803682</v>
      </c>
      <c r="W1640" s="48">
        <f t="shared" ca="1" si="197"/>
        <v>1.5590521519926948</v>
      </c>
    </row>
    <row r="1641" spans="17:23" x14ac:dyDescent="0.2">
      <c r="Q1641">
        <f t="shared" si="198"/>
        <v>1625</v>
      </c>
      <c r="R1641" s="48">
        <f t="shared" ca="1" si="199"/>
        <v>0.35</v>
      </c>
      <c r="S1641">
        <f t="shared" ca="1" si="200"/>
        <v>195.27418932109299</v>
      </c>
      <c r="T1641" s="61">
        <f t="shared" ca="1" si="194"/>
        <v>16800</v>
      </c>
      <c r="U1641" s="61">
        <f t="shared" ca="1" si="195"/>
        <v>19542.578446968357</v>
      </c>
      <c r="V1641" s="39">
        <f t="shared" ca="1" si="196"/>
        <v>0.12856959504584445</v>
      </c>
      <c r="W1641" s="48">
        <f t="shared" ca="1" si="197"/>
        <v>1.667247080742341</v>
      </c>
    </row>
    <row r="1642" spans="17:23" x14ac:dyDescent="0.2">
      <c r="Q1642">
        <f t="shared" si="198"/>
        <v>1626</v>
      </c>
      <c r="R1642" s="48">
        <f t="shared" ca="1" si="199"/>
        <v>0.35</v>
      </c>
      <c r="S1642">
        <f t="shared" ca="1" si="200"/>
        <v>195.06793663078486</v>
      </c>
      <c r="T1642" s="61">
        <f t="shared" ca="1" si="194"/>
        <v>16800</v>
      </c>
      <c r="U1642" s="61">
        <f t="shared" ca="1" si="195"/>
        <v>19435.327048008126</v>
      </c>
      <c r="V1642" s="39">
        <f t="shared" ca="1" si="196"/>
        <v>0.12786399373689558</v>
      </c>
      <c r="W1642" s="48">
        <f t="shared" ca="1" si="197"/>
        <v>1.6537509476195336</v>
      </c>
    </row>
    <row r="1643" spans="17:23" x14ac:dyDescent="0.2">
      <c r="Q1643">
        <f t="shared" si="198"/>
        <v>1627</v>
      </c>
      <c r="R1643" s="48">
        <f t="shared" ca="1" si="199"/>
        <v>0.45</v>
      </c>
      <c r="S1643">
        <f t="shared" ca="1" si="200"/>
        <v>176.46194374589413</v>
      </c>
      <c r="T1643" s="61">
        <f t="shared" ca="1" si="194"/>
        <v>21600</v>
      </c>
      <c r="U1643" s="61">
        <f t="shared" ca="1" si="195"/>
        <v>15643.255248193418</v>
      </c>
      <c r="V1643" s="39">
        <f t="shared" ca="1" si="196"/>
        <v>0.10291615294864091</v>
      </c>
      <c r="W1643" s="48">
        <f t="shared" ca="1" si="197"/>
        <v>1.2134357625280416</v>
      </c>
    </row>
    <row r="1644" spans="17:23" x14ac:dyDescent="0.2">
      <c r="Q1644">
        <f t="shared" si="198"/>
        <v>1628</v>
      </c>
      <c r="R1644" s="48">
        <f t="shared" ca="1" si="199"/>
        <v>0.3</v>
      </c>
      <c r="S1644">
        <f t="shared" ca="1" si="200"/>
        <v>204.04306554327815</v>
      </c>
      <c r="T1644" s="61">
        <f t="shared" ca="1" si="194"/>
        <v>14400</v>
      </c>
      <c r="U1644" s="61">
        <f t="shared" ca="1" si="195"/>
        <v>22264.116704235763</v>
      </c>
      <c r="V1644" s="39">
        <f t="shared" ca="1" si="196"/>
        <v>0.14647445200155107</v>
      </c>
      <c r="W1644" s="48">
        <f t="shared" ca="1" si="197"/>
        <v>2.0304777053439724</v>
      </c>
    </row>
    <row r="1645" spans="17:23" x14ac:dyDescent="0.2">
      <c r="Q1645">
        <f t="shared" si="198"/>
        <v>1629</v>
      </c>
      <c r="R1645" s="48">
        <f t="shared" ca="1" si="199"/>
        <v>0.15</v>
      </c>
      <c r="S1645">
        <f t="shared" ca="1" si="200"/>
        <v>199.11427877029251</v>
      </c>
      <c r="T1645" s="61">
        <f t="shared" ca="1" si="194"/>
        <v>7200</v>
      </c>
      <c r="U1645" s="61">
        <f t="shared" ca="1" si="195"/>
        <v>13397.70956379891</v>
      </c>
      <c r="V1645" s="39">
        <f t="shared" ca="1" si="196"/>
        <v>8.81428260776244E-2</v>
      </c>
      <c r="W1645" s="48">
        <f t="shared" ca="1" si="197"/>
        <v>0.98409945085600614</v>
      </c>
    </row>
    <row r="1646" spans="17:23" x14ac:dyDescent="0.2">
      <c r="Q1646">
        <f t="shared" si="198"/>
        <v>1630</v>
      </c>
      <c r="R1646" s="48">
        <f t="shared" ca="1" si="199"/>
        <v>0.3</v>
      </c>
      <c r="S1646">
        <f t="shared" ca="1" si="200"/>
        <v>191.72915206333755</v>
      </c>
      <c r="T1646" s="61">
        <f t="shared" ca="1" si="194"/>
        <v>14400</v>
      </c>
      <c r="U1646" s="61">
        <f t="shared" ca="1" si="195"/>
        <v>15368.325155469029</v>
      </c>
      <c r="V1646" s="39">
        <f t="shared" ca="1" si="196"/>
        <v>0.10110740233861203</v>
      </c>
      <c r="W1646" s="48">
        <f t="shared" ca="1" si="197"/>
        <v>1.1841637776975205</v>
      </c>
    </row>
    <row r="1647" spans="17:23" x14ac:dyDescent="0.2">
      <c r="Q1647">
        <f t="shared" si="198"/>
        <v>1631</v>
      </c>
      <c r="R1647" s="48">
        <f t="shared" ca="1" si="199"/>
        <v>0.217</v>
      </c>
      <c r="S1647">
        <f t="shared" ca="1" si="200"/>
        <v>194.88627492857285</v>
      </c>
      <c r="T1647" s="61">
        <f t="shared" ca="1" si="194"/>
        <v>10416</v>
      </c>
      <c r="U1647" s="61">
        <f t="shared" ca="1" si="195"/>
        <v>13476.762615258031</v>
      </c>
      <c r="V1647" s="39">
        <f t="shared" ca="1" si="196"/>
        <v>8.8662911942487044E-2</v>
      </c>
      <c r="W1647" s="48">
        <f t="shared" ca="1" si="197"/>
        <v>0.99180442291260329</v>
      </c>
    </row>
    <row r="1648" spans="17:23" x14ac:dyDescent="0.2">
      <c r="Q1648">
        <f t="shared" si="198"/>
        <v>1632</v>
      </c>
      <c r="R1648" s="48">
        <f t="shared" ca="1" si="199"/>
        <v>0.45</v>
      </c>
      <c r="S1648">
        <f t="shared" ca="1" si="200"/>
        <v>192.32734499009706</v>
      </c>
      <c r="T1648" s="61">
        <f t="shared" ca="1" si="194"/>
        <v>21600</v>
      </c>
      <c r="U1648" s="61">
        <f t="shared" ca="1" si="195"/>
        <v>22624.031795642706</v>
      </c>
      <c r="V1648" s="39">
        <f t="shared" ca="1" si="196"/>
        <v>0.1488423144450178</v>
      </c>
      <c r="W1648" s="48">
        <f t="shared" ca="1" si="197"/>
        <v>2.0816193216201055</v>
      </c>
    </row>
    <row r="1649" spans="17:23" x14ac:dyDescent="0.2">
      <c r="Q1649">
        <f t="shared" si="198"/>
        <v>1633</v>
      </c>
      <c r="R1649" s="48">
        <f t="shared" ca="1" si="199"/>
        <v>0.4</v>
      </c>
      <c r="S1649">
        <f t="shared" ca="1" si="200"/>
        <v>184.84065868747106</v>
      </c>
      <c r="T1649" s="61">
        <f t="shared" ca="1" si="194"/>
        <v>19200</v>
      </c>
      <c r="U1649" s="61">
        <f t="shared" ca="1" si="195"/>
        <v>16723.516169986109</v>
      </c>
      <c r="V1649" s="39">
        <f t="shared" ca="1" si="196"/>
        <v>0.11002313269727704</v>
      </c>
      <c r="W1649" s="48">
        <f t="shared" ca="1" si="197"/>
        <v>1.3318098269292178</v>
      </c>
    </row>
    <row r="1650" spans="17:23" x14ac:dyDescent="0.2">
      <c r="Q1650">
        <f t="shared" si="198"/>
        <v>1634</v>
      </c>
      <c r="R1650" s="48">
        <f t="shared" ca="1" si="199"/>
        <v>0.45</v>
      </c>
      <c r="S1650">
        <f t="shared" ca="1" si="200"/>
        <v>240.75952251971287</v>
      </c>
      <c r="T1650" s="61">
        <f t="shared" ca="1" si="194"/>
        <v>21600</v>
      </c>
      <c r="U1650" s="61">
        <f t="shared" ca="1" si="195"/>
        <v>43934.189908673667</v>
      </c>
      <c r="V1650" s="39">
        <f t="shared" ca="1" si="196"/>
        <v>0.28904072308337936</v>
      </c>
      <c r="W1650" s="48">
        <f t="shared" ca="1" si="197"/>
        <v>6.8412436755523585</v>
      </c>
    </row>
    <row r="1651" spans="17:23" x14ac:dyDescent="0.2">
      <c r="Q1651">
        <f t="shared" si="198"/>
        <v>1635</v>
      </c>
      <c r="R1651" s="48">
        <f t="shared" ca="1" si="199"/>
        <v>0.3</v>
      </c>
      <c r="S1651">
        <f t="shared" ca="1" si="200"/>
        <v>185.09759578327191</v>
      </c>
      <c r="T1651" s="61">
        <f t="shared" ca="1" si="194"/>
        <v>14400</v>
      </c>
      <c r="U1651" s="61">
        <f t="shared" ca="1" si="195"/>
        <v>11654.653638632271</v>
      </c>
      <c r="V1651" s="39">
        <f t="shared" ca="1" si="196"/>
        <v>7.6675352885738624E-2</v>
      </c>
      <c r="W1651" s="48">
        <f t="shared" ca="1" si="197"/>
        <v>0.82071992706647867</v>
      </c>
    </row>
    <row r="1652" spans="17:23" x14ac:dyDescent="0.2">
      <c r="Q1652">
        <f t="shared" si="198"/>
        <v>1636</v>
      </c>
      <c r="R1652" s="48">
        <f t="shared" ca="1" si="199"/>
        <v>0.35</v>
      </c>
      <c r="S1652">
        <f t="shared" ca="1" si="200"/>
        <v>211.79674431994422</v>
      </c>
      <c r="T1652" s="61">
        <f t="shared" ca="1" si="194"/>
        <v>16800</v>
      </c>
      <c r="U1652" s="61">
        <f t="shared" ca="1" si="195"/>
        <v>28134.307046370996</v>
      </c>
      <c r="V1652" s="39">
        <f t="shared" ca="1" si="196"/>
        <v>0.18509412530507233</v>
      </c>
      <c r="W1652" s="48">
        <f t="shared" ca="1" si="197"/>
        <v>2.9647656557401993</v>
      </c>
    </row>
    <row r="1653" spans="17:23" x14ac:dyDescent="0.2">
      <c r="Q1653">
        <f t="shared" si="198"/>
        <v>1637</v>
      </c>
      <c r="R1653" s="48">
        <f t="shared" ca="1" si="199"/>
        <v>0.4</v>
      </c>
      <c r="S1653">
        <f t="shared" ca="1" si="200"/>
        <v>222.09660215807236</v>
      </c>
      <c r="T1653" s="61">
        <f t="shared" ca="1" si="194"/>
        <v>19200</v>
      </c>
      <c r="U1653" s="61">
        <f t="shared" ca="1" si="195"/>
        <v>34606.369035874734</v>
      </c>
      <c r="V1653" s="39">
        <f t="shared" ca="1" si="196"/>
        <v>0.22767348049917588</v>
      </c>
      <c r="W1653" s="48">
        <f t="shared" ca="1" si="197"/>
        <v>4.2791146465329968</v>
      </c>
    </row>
    <row r="1654" spans="17:23" x14ac:dyDescent="0.2">
      <c r="Q1654">
        <f t="shared" si="198"/>
        <v>1638</v>
      </c>
      <c r="R1654" s="48">
        <f t="shared" ca="1" si="199"/>
        <v>0.4</v>
      </c>
      <c r="S1654">
        <f t="shared" ca="1" si="200"/>
        <v>215.4087137139243</v>
      </c>
      <c r="T1654" s="61">
        <f t="shared" ca="1" si="194"/>
        <v>19200</v>
      </c>
      <c r="U1654" s="61">
        <f t="shared" ca="1" si="195"/>
        <v>31396.182582683665</v>
      </c>
      <c r="V1654" s="39">
        <f t="shared" ca="1" si="196"/>
        <v>0.20655383278081357</v>
      </c>
      <c r="W1654" s="48">
        <f t="shared" ca="1" si="197"/>
        <v>3.586003411927785</v>
      </c>
    </row>
    <row r="1655" spans="17:23" x14ac:dyDescent="0.2">
      <c r="Q1655">
        <f t="shared" si="198"/>
        <v>1639</v>
      </c>
      <c r="R1655" s="48">
        <f t="shared" ca="1" si="199"/>
        <v>0.217</v>
      </c>
      <c r="S1655">
        <f t="shared" ca="1" si="200"/>
        <v>194.27355442135385</v>
      </c>
      <c r="T1655" s="61">
        <f t="shared" ca="1" si="194"/>
        <v>10416</v>
      </c>
      <c r="U1655" s="61">
        <f t="shared" ca="1" si="195"/>
        <v>13092.954489536052</v>
      </c>
      <c r="V1655" s="39">
        <f t="shared" ca="1" si="196"/>
        <v>8.6137858483789811E-2</v>
      </c>
      <c r="W1655" s="48">
        <f t="shared" ca="1" si="197"/>
        <v>0.95464022009452143</v>
      </c>
    </row>
    <row r="1656" spans="17:23" x14ac:dyDescent="0.2">
      <c r="Q1656">
        <f t="shared" si="198"/>
        <v>1640</v>
      </c>
      <c r="R1656" s="48">
        <f t="shared" ca="1" si="199"/>
        <v>0.4</v>
      </c>
      <c r="S1656">
        <f t="shared" ca="1" si="200"/>
        <v>194.95999291596951</v>
      </c>
      <c r="T1656" s="61">
        <f t="shared" ca="1" si="194"/>
        <v>19200</v>
      </c>
      <c r="U1656" s="61">
        <f t="shared" ca="1" si="195"/>
        <v>21580.796599665366</v>
      </c>
      <c r="V1656" s="39">
        <f t="shared" ca="1" si="196"/>
        <v>0.14197892499779846</v>
      </c>
      <c r="W1656" s="48">
        <f t="shared" ca="1" si="197"/>
        <v>1.9354262098911899</v>
      </c>
    </row>
    <row r="1657" spans="17:23" x14ac:dyDescent="0.2">
      <c r="Q1657">
        <f t="shared" si="198"/>
        <v>1641</v>
      </c>
      <c r="R1657" s="48">
        <f t="shared" ca="1" si="199"/>
        <v>0.35</v>
      </c>
      <c r="S1657">
        <f t="shared" ca="1" si="200"/>
        <v>170.1391464726058</v>
      </c>
      <c r="T1657" s="61">
        <f t="shared" ref="T1657:T1720" ca="1" si="201">($B$8-$B$7)*($E$6*R1657)</f>
        <v>16800</v>
      </c>
      <c r="U1657" s="61">
        <f t="shared" ref="U1657:U1720" ca="1" si="202">T1657+((S1657-$B$7)*($E$6*(1-R1657)))</f>
        <v>6472.3561657550163</v>
      </c>
      <c r="V1657" s="39">
        <f t="shared" ref="V1657:V1720" ca="1" si="203">U1657/$E$4</f>
        <v>4.258129056417774E-2</v>
      </c>
      <c r="W1657" s="48">
        <f t="shared" ref="W1657:W1720" ca="1" si="204">(1+V1657)^($J$29/$J$30)-1</f>
        <v>0.40246370590186098</v>
      </c>
    </row>
    <row r="1658" spans="17:23" x14ac:dyDescent="0.2">
      <c r="Q1658">
        <f t="shared" si="198"/>
        <v>1642</v>
      </c>
      <c r="R1658" s="48">
        <f t="shared" ca="1" si="199"/>
        <v>0.217</v>
      </c>
      <c r="S1658">
        <f t="shared" ca="1" si="200"/>
        <v>211.72020321484331</v>
      </c>
      <c r="T1658" s="61">
        <f t="shared" ca="1" si="201"/>
        <v>10416</v>
      </c>
      <c r="U1658" s="61">
        <f t="shared" ca="1" si="202"/>
        <v>24021.535293777848</v>
      </c>
      <c r="V1658" s="39">
        <f t="shared" ca="1" si="203"/>
        <v>0.15803641640643321</v>
      </c>
      <c r="W1658" s="48">
        <f t="shared" ca="1" si="204"/>
        <v>2.2874410975047015</v>
      </c>
    </row>
    <row r="1659" spans="17:23" x14ac:dyDescent="0.2">
      <c r="Q1659">
        <f t="shared" si="198"/>
        <v>1643</v>
      </c>
      <c r="R1659" s="48">
        <f t="shared" ca="1" si="199"/>
        <v>0.3</v>
      </c>
      <c r="S1659">
        <f t="shared" ca="1" si="200"/>
        <v>170.59308548941553</v>
      </c>
      <c r="T1659" s="61">
        <f t="shared" ca="1" si="201"/>
        <v>14400</v>
      </c>
      <c r="U1659" s="61">
        <f t="shared" ca="1" si="202"/>
        <v>3532.1278740726957</v>
      </c>
      <c r="V1659" s="39">
        <f t="shared" ca="1" si="203"/>
        <v>2.3237683382057207E-2</v>
      </c>
      <c r="W1659" s="48">
        <f t="shared" ca="1" si="204"/>
        <v>0.20481595231679228</v>
      </c>
    </row>
    <row r="1660" spans="17:23" x14ac:dyDescent="0.2">
      <c r="Q1660">
        <f t="shared" si="198"/>
        <v>1644</v>
      </c>
      <c r="R1660" s="48">
        <f t="shared" ca="1" si="199"/>
        <v>0.3</v>
      </c>
      <c r="S1660">
        <f t="shared" ca="1" si="200"/>
        <v>177.75400303797079</v>
      </c>
      <c r="T1660" s="61">
        <f t="shared" ca="1" si="201"/>
        <v>14400</v>
      </c>
      <c r="U1660" s="61">
        <f t="shared" ca="1" si="202"/>
        <v>7542.2417012636424</v>
      </c>
      <c r="V1660" s="39">
        <f t="shared" ca="1" si="203"/>
        <v>4.9620011192523961E-2</v>
      </c>
      <c r="W1660" s="48">
        <f t="shared" ca="1" si="204"/>
        <v>0.48113183393341341</v>
      </c>
    </row>
    <row r="1661" spans="17:23" x14ac:dyDescent="0.2">
      <c r="Q1661">
        <f t="shared" si="198"/>
        <v>1645</v>
      </c>
      <c r="R1661" s="48">
        <f t="shared" ca="1" si="199"/>
        <v>0.217</v>
      </c>
      <c r="S1661">
        <f t="shared" ca="1" si="200"/>
        <v>175.4773904253378</v>
      </c>
      <c r="T1661" s="61">
        <f t="shared" ca="1" si="201"/>
        <v>10416</v>
      </c>
      <c r="U1661" s="61">
        <f t="shared" ca="1" si="202"/>
        <v>1319.0373624315998</v>
      </c>
      <c r="V1661" s="39">
        <f t="shared" ca="1" si="203"/>
        <v>8.6778773844184195E-3</v>
      </c>
      <c r="W1661" s="48">
        <f t="shared" ca="1" si="204"/>
        <v>7.2597822271312173E-2</v>
      </c>
    </row>
    <row r="1662" spans="17:23" x14ac:dyDescent="0.2">
      <c r="Q1662">
        <f t="shared" si="198"/>
        <v>1646</v>
      </c>
      <c r="R1662" s="48">
        <f t="shared" ca="1" si="199"/>
        <v>0.3</v>
      </c>
      <c r="S1662">
        <f t="shared" ca="1" si="200"/>
        <v>182.02791060921308</v>
      </c>
      <c r="T1662" s="61">
        <f t="shared" ca="1" si="201"/>
        <v>14400</v>
      </c>
      <c r="U1662" s="61">
        <f t="shared" ca="1" si="202"/>
        <v>9935.6299411593245</v>
      </c>
      <c r="V1662" s="39">
        <f t="shared" ca="1" si="203"/>
        <v>6.5365986454995556E-2</v>
      </c>
      <c r="W1662" s="48">
        <f t="shared" ca="1" si="204"/>
        <v>0.67126778589157121</v>
      </c>
    </row>
    <row r="1663" spans="17:23" x14ac:dyDescent="0.2">
      <c r="Q1663">
        <f t="shared" si="198"/>
        <v>1647</v>
      </c>
      <c r="R1663" s="48">
        <f t="shared" ca="1" si="199"/>
        <v>0.5</v>
      </c>
      <c r="S1663">
        <f t="shared" ca="1" si="200"/>
        <v>162.65559511904073</v>
      </c>
      <c r="T1663" s="61">
        <f t="shared" ca="1" si="201"/>
        <v>24000</v>
      </c>
      <c r="U1663" s="61">
        <f t="shared" ca="1" si="202"/>
        <v>13062.238047616291</v>
      </c>
      <c r="V1663" s="39">
        <f t="shared" ca="1" si="203"/>
        <v>8.593577662905455E-2</v>
      </c>
      <c r="W1663" s="48">
        <f t="shared" ca="1" si="204"/>
        <v>0.95169239125146277</v>
      </c>
    </row>
    <row r="1664" spans="17:23" x14ac:dyDescent="0.2">
      <c r="Q1664">
        <f t="shared" si="198"/>
        <v>1648</v>
      </c>
      <c r="R1664" s="48">
        <f t="shared" ca="1" si="199"/>
        <v>0.4</v>
      </c>
      <c r="S1664">
        <f t="shared" ca="1" si="200"/>
        <v>236.83455854095095</v>
      </c>
      <c r="T1664" s="61">
        <f t="shared" ca="1" si="201"/>
        <v>19200</v>
      </c>
      <c r="U1664" s="61">
        <f t="shared" ca="1" si="202"/>
        <v>41680.588099656452</v>
      </c>
      <c r="V1664" s="39">
        <f t="shared" ca="1" si="203"/>
        <v>0.27421439539247666</v>
      </c>
      <c r="W1664" s="48">
        <f t="shared" ca="1" si="204"/>
        <v>6.1389389745307161</v>
      </c>
    </row>
    <row r="1665" spans="17:23" x14ac:dyDescent="0.2">
      <c r="Q1665">
        <f t="shared" si="198"/>
        <v>1649</v>
      </c>
      <c r="R1665" s="48">
        <f t="shared" ca="1" si="199"/>
        <v>0.15</v>
      </c>
      <c r="S1665">
        <f t="shared" ca="1" si="200"/>
        <v>212.12807671785646</v>
      </c>
      <c r="T1665" s="61">
        <f t="shared" ca="1" si="201"/>
        <v>7200</v>
      </c>
      <c r="U1665" s="61">
        <f t="shared" ca="1" si="202"/>
        <v>22247.092168142393</v>
      </c>
      <c r="V1665" s="39">
        <f t="shared" ca="1" si="203"/>
        <v>0.14636244847462102</v>
      </c>
      <c r="W1665" s="48">
        <f t="shared" ca="1" si="204"/>
        <v>2.0280771710743637</v>
      </c>
    </row>
    <row r="1666" spans="17:23" x14ac:dyDescent="0.2">
      <c r="Q1666">
        <f t="shared" si="198"/>
        <v>1650</v>
      </c>
      <c r="R1666" s="48">
        <f t="shared" ca="1" si="199"/>
        <v>0.35</v>
      </c>
      <c r="S1666">
        <f t="shared" ca="1" si="200"/>
        <v>145.34400867818903</v>
      </c>
      <c r="T1666" s="61">
        <f t="shared" ca="1" si="201"/>
        <v>16800</v>
      </c>
      <c r="U1666" s="61">
        <f t="shared" ca="1" si="202"/>
        <v>-6421.1154873417072</v>
      </c>
      <c r="V1666" s="39">
        <f t="shared" ca="1" si="203"/>
        <v>-4.2244180837774391E-2</v>
      </c>
      <c r="W1666" s="48">
        <f t="shared" ca="1" si="204"/>
        <v>-0.29537897987417694</v>
      </c>
    </row>
    <row r="1667" spans="17:23" x14ac:dyDescent="0.2">
      <c r="Q1667">
        <f t="shared" si="198"/>
        <v>1651</v>
      </c>
      <c r="R1667" s="48">
        <f t="shared" ca="1" si="199"/>
        <v>0.3</v>
      </c>
      <c r="S1667">
        <f t="shared" ca="1" si="200"/>
        <v>218.21621933366012</v>
      </c>
      <c r="T1667" s="61">
        <f t="shared" ca="1" si="201"/>
        <v>14400</v>
      </c>
      <c r="U1667" s="61">
        <f t="shared" ca="1" si="202"/>
        <v>30201.08282684967</v>
      </c>
      <c r="V1667" s="39">
        <f t="shared" ca="1" si="203"/>
        <v>0.19869133438716888</v>
      </c>
      <c r="W1667" s="48">
        <f t="shared" ca="1" si="204"/>
        <v>3.3491480186022153</v>
      </c>
    </row>
    <row r="1668" spans="17:23" x14ac:dyDescent="0.2">
      <c r="Q1668">
        <f t="shared" si="198"/>
        <v>1652</v>
      </c>
      <c r="R1668" s="48">
        <f t="shared" ca="1" si="199"/>
        <v>0.45</v>
      </c>
      <c r="S1668">
        <f t="shared" ca="1" si="200"/>
        <v>161.86075243114533</v>
      </c>
      <c r="T1668" s="61">
        <f t="shared" ca="1" si="201"/>
        <v>21600</v>
      </c>
      <c r="U1668" s="61">
        <f t="shared" ca="1" si="202"/>
        <v>9218.7310697039429</v>
      </c>
      <c r="V1668" s="39">
        <f t="shared" ca="1" si="203"/>
        <v>6.0649546511210149E-2</v>
      </c>
      <c r="W1668" s="48">
        <f t="shared" ca="1" si="204"/>
        <v>0.61219143032688517</v>
      </c>
    </row>
    <row r="1669" spans="17:23" x14ac:dyDescent="0.2">
      <c r="Q1669">
        <f t="shared" si="198"/>
        <v>1653</v>
      </c>
      <c r="R1669" s="48">
        <f t="shared" ca="1" si="199"/>
        <v>0.4</v>
      </c>
      <c r="S1669">
        <f t="shared" ca="1" si="200"/>
        <v>167.06067110913281</v>
      </c>
      <c r="T1669" s="61">
        <f t="shared" ca="1" si="201"/>
        <v>19200</v>
      </c>
      <c r="U1669" s="61">
        <f t="shared" ca="1" si="202"/>
        <v>8189.122132383749</v>
      </c>
      <c r="V1669" s="39">
        <f t="shared" ca="1" si="203"/>
        <v>5.3875803502524668E-2</v>
      </c>
      <c r="W1669" s="48">
        <f t="shared" ca="1" si="204"/>
        <v>0.53055037001496164</v>
      </c>
    </row>
    <row r="1670" spans="17:23" x14ac:dyDescent="0.2">
      <c r="Q1670">
        <f t="shared" si="198"/>
        <v>1654</v>
      </c>
      <c r="R1670" s="48">
        <f t="shared" ca="1" si="199"/>
        <v>0.4</v>
      </c>
      <c r="S1670">
        <f t="shared" ca="1" si="200"/>
        <v>181.4437438082447</v>
      </c>
      <c r="T1670" s="61">
        <f t="shared" ca="1" si="201"/>
        <v>19200</v>
      </c>
      <c r="U1670" s="61">
        <f t="shared" ca="1" si="202"/>
        <v>15092.997027957459</v>
      </c>
      <c r="V1670" s="39">
        <f t="shared" ca="1" si="203"/>
        <v>9.9296033078667495E-2</v>
      </c>
      <c r="W1670" s="48">
        <f t="shared" ca="1" si="204"/>
        <v>1.1551900922078842</v>
      </c>
    </row>
    <row r="1671" spans="17:23" x14ac:dyDescent="0.2">
      <c r="Q1671">
        <f t="shared" si="198"/>
        <v>1655</v>
      </c>
      <c r="R1671" s="48">
        <f t="shared" ca="1" si="199"/>
        <v>0.4</v>
      </c>
      <c r="S1671">
        <f t="shared" ca="1" si="200"/>
        <v>186.43231673917865</v>
      </c>
      <c r="T1671" s="61">
        <f t="shared" ca="1" si="201"/>
        <v>19200</v>
      </c>
      <c r="U1671" s="61">
        <f t="shared" ca="1" si="202"/>
        <v>17487.51203480575</v>
      </c>
      <c r="V1671" s="39">
        <f t="shared" ca="1" si="203"/>
        <v>0.11504942128161677</v>
      </c>
      <c r="W1671" s="48">
        <f t="shared" ca="1" si="204"/>
        <v>1.4188438601052673</v>
      </c>
    </row>
    <row r="1672" spans="17:23" x14ac:dyDescent="0.2">
      <c r="Q1672">
        <f t="shared" si="198"/>
        <v>1656</v>
      </c>
      <c r="R1672" s="48">
        <f t="shared" ca="1" si="199"/>
        <v>0.5</v>
      </c>
      <c r="S1672">
        <f t="shared" ca="1" si="200"/>
        <v>199.35560742318501</v>
      </c>
      <c r="T1672" s="61">
        <f t="shared" ca="1" si="201"/>
        <v>24000</v>
      </c>
      <c r="U1672" s="61">
        <f t="shared" ca="1" si="202"/>
        <v>27742.242969274004</v>
      </c>
      <c r="V1672" s="39">
        <f t="shared" ca="1" si="203"/>
        <v>0.18251475637680267</v>
      </c>
      <c r="W1672" s="48">
        <f t="shared" ca="1" si="204"/>
        <v>2.8953112947487583</v>
      </c>
    </row>
    <row r="1673" spans="17:23" x14ac:dyDescent="0.2">
      <c r="Q1673">
        <f t="shared" si="198"/>
        <v>1657</v>
      </c>
      <c r="R1673" s="48">
        <f t="shared" ca="1" si="199"/>
        <v>0.4</v>
      </c>
      <c r="S1673">
        <f t="shared" ca="1" si="200"/>
        <v>181.61666813472834</v>
      </c>
      <c r="T1673" s="61">
        <f t="shared" ca="1" si="201"/>
        <v>19200</v>
      </c>
      <c r="U1673" s="61">
        <f t="shared" ca="1" si="202"/>
        <v>15176.000704669605</v>
      </c>
      <c r="V1673" s="39">
        <f t="shared" ca="1" si="203"/>
        <v>9.9842109899142134E-2</v>
      </c>
      <c r="W1673" s="48">
        <f t="shared" ca="1" si="204"/>
        <v>1.1638891491856498</v>
      </c>
    </row>
    <row r="1674" spans="17:23" x14ac:dyDescent="0.2">
      <c r="Q1674">
        <f t="shared" si="198"/>
        <v>1658</v>
      </c>
      <c r="R1674" s="48">
        <f t="shared" ca="1" si="199"/>
        <v>0.35</v>
      </c>
      <c r="S1674">
        <f t="shared" ca="1" si="200"/>
        <v>169.46007884380558</v>
      </c>
      <c r="T1674" s="61">
        <f t="shared" ca="1" si="201"/>
        <v>16800</v>
      </c>
      <c r="U1674" s="61">
        <f t="shared" ca="1" si="202"/>
        <v>6119.2409987788997</v>
      </c>
      <c r="V1674" s="39">
        <f t="shared" ca="1" si="203"/>
        <v>4.0258164465650656E-2</v>
      </c>
      <c r="W1674" s="48">
        <f t="shared" ca="1" si="204"/>
        <v>0.37731613325809699</v>
      </c>
    </row>
    <row r="1675" spans="17:23" x14ac:dyDescent="0.2">
      <c r="Q1675">
        <f t="shared" si="198"/>
        <v>1659</v>
      </c>
      <c r="R1675" s="48">
        <f t="shared" ca="1" si="199"/>
        <v>0.4</v>
      </c>
      <c r="S1675">
        <f t="shared" ca="1" si="200"/>
        <v>184.77376315880358</v>
      </c>
      <c r="T1675" s="61">
        <f t="shared" ca="1" si="201"/>
        <v>19200</v>
      </c>
      <c r="U1675" s="61">
        <f t="shared" ca="1" si="202"/>
        <v>16691.406316225715</v>
      </c>
      <c r="V1675" s="39">
        <f t="shared" ca="1" si="203"/>
        <v>0.1098118836593797</v>
      </c>
      <c r="W1675" s="48">
        <f t="shared" ca="1" si="204"/>
        <v>1.3282128112233909</v>
      </c>
    </row>
    <row r="1676" spans="17:23" x14ac:dyDescent="0.2">
      <c r="Q1676">
        <f t="shared" si="198"/>
        <v>1660</v>
      </c>
      <c r="R1676" s="48">
        <f t="shared" ca="1" si="199"/>
        <v>0.35</v>
      </c>
      <c r="S1676">
        <f t="shared" ca="1" si="200"/>
        <v>184.30566502589872</v>
      </c>
      <c r="T1676" s="61">
        <f t="shared" ca="1" si="201"/>
        <v>16800</v>
      </c>
      <c r="U1676" s="61">
        <f t="shared" ca="1" si="202"/>
        <v>13838.945813467333</v>
      </c>
      <c r="V1676" s="39">
        <f t="shared" ca="1" si="203"/>
        <v>9.1045696141232452E-2</v>
      </c>
      <c r="W1676" s="48">
        <f t="shared" ca="1" si="204"/>
        <v>1.0274413276285936</v>
      </c>
    </row>
    <row r="1677" spans="17:23" x14ac:dyDescent="0.2">
      <c r="Q1677">
        <f t="shared" si="198"/>
        <v>1661</v>
      </c>
      <c r="R1677" s="48">
        <f t="shared" ca="1" si="199"/>
        <v>0.3</v>
      </c>
      <c r="S1677">
        <f t="shared" ca="1" si="200"/>
        <v>214.29268634651399</v>
      </c>
      <c r="T1677" s="61">
        <f t="shared" ca="1" si="201"/>
        <v>14400</v>
      </c>
      <c r="U1677" s="61">
        <f t="shared" ca="1" si="202"/>
        <v>28003.904354047834</v>
      </c>
      <c r="V1677" s="39">
        <f t="shared" ca="1" si="203"/>
        <v>0.18423621285557787</v>
      </c>
      <c r="W1677" s="48">
        <f t="shared" ca="1" si="204"/>
        <v>2.941545220146859</v>
      </c>
    </row>
    <row r="1678" spans="17:23" x14ac:dyDescent="0.2">
      <c r="Q1678">
        <f t="shared" si="198"/>
        <v>1662</v>
      </c>
      <c r="R1678" s="48">
        <f t="shared" ca="1" si="199"/>
        <v>0.5</v>
      </c>
      <c r="S1678">
        <f t="shared" ca="1" si="200"/>
        <v>175.65795417722177</v>
      </c>
      <c r="T1678" s="61">
        <f t="shared" ca="1" si="201"/>
        <v>24000</v>
      </c>
      <c r="U1678" s="61">
        <f t="shared" ca="1" si="202"/>
        <v>18263.181670888705</v>
      </c>
      <c r="V1678" s="39">
        <f t="shared" ca="1" si="203"/>
        <v>0.12015251099268885</v>
      </c>
      <c r="W1678" s="48">
        <f t="shared" ca="1" si="204"/>
        <v>1.5101084959826117</v>
      </c>
    </row>
    <row r="1679" spans="17:23" x14ac:dyDescent="0.2">
      <c r="Q1679">
        <f t="shared" si="198"/>
        <v>1663</v>
      </c>
      <c r="R1679" s="48">
        <f t="shared" ca="1" si="199"/>
        <v>0.35</v>
      </c>
      <c r="S1679">
        <f t="shared" ca="1" si="200"/>
        <v>185.17444566314961</v>
      </c>
      <c r="T1679" s="61">
        <f t="shared" ca="1" si="201"/>
        <v>16800</v>
      </c>
      <c r="U1679" s="61">
        <f t="shared" ca="1" si="202"/>
        <v>14290.711744837798</v>
      </c>
      <c r="V1679" s="39">
        <f t="shared" ca="1" si="203"/>
        <v>9.4017840426564456E-2</v>
      </c>
      <c r="W1679" s="48">
        <f t="shared" ca="1" si="204"/>
        <v>1.0726753314680013</v>
      </c>
    </row>
    <row r="1680" spans="17:23" x14ac:dyDescent="0.2">
      <c r="Q1680">
        <f t="shared" si="198"/>
        <v>1664</v>
      </c>
      <c r="R1680" s="48">
        <f t="shared" ca="1" si="199"/>
        <v>0.217</v>
      </c>
      <c r="S1680">
        <f t="shared" ca="1" si="200"/>
        <v>154.92338300623871</v>
      </c>
      <c r="T1680" s="61">
        <f t="shared" ca="1" si="201"/>
        <v>10416</v>
      </c>
      <c r="U1680" s="61">
        <f t="shared" ca="1" si="202"/>
        <v>-11555.992884892072</v>
      </c>
      <c r="V1680" s="39">
        <f t="shared" ca="1" si="203"/>
        <v>-7.6026268979553099E-2</v>
      </c>
      <c r="W1680" s="48">
        <f t="shared" ca="1" si="204"/>
        <v>-0.47342359356083985</v>
      </c>
    </row>
    <row r="1681" spans="17:23" x14ac:dyDescent="0.2">
      <c r="Q1681">
        <f t="shared" si="198"/>
        <v>1665</v>
      </c>
      <c r="R1681" s="48">
        <f t="shared" ca="1" si="199"/>
        <v>0.4</v>
      </c>
      <c r="S1681">
        <f t="shared" ca="1" si="200"/>
        <v>187.17734484919666</v>
      </c>
      <c r="T1681" s="61">
        <f t="shared" ca="1" si="201"/>
        <v>19200</v>
      </c>
      <c r="U1681" s="61">
        <f t="shared" ca="1" si="202"/>
        <v>17845.125527614397</v>
      </c>
      <c r="V1681" s="39">
        <f t="shared" ca="1" si="203"/>
        <v>0.11740214162904208</v>
      </c>
      <c r="W1681" s="48">
        <f t="shared" ca="1" si="204"/>
        <v>1.4605523321663996</v>
      </c>
    </row>
    <row r="1682" spans="17:23" x14ac:dyDescent="0.2">
      <c r="Q1682">
        <f t="shared" si="198"/>
        <v>1666</v>
      </c>
      <c r="R1682" s="48">
        <f t="shared" ca="1" si="199"/>
        <v>0.35</v>
      </c>
      <c r="S1682">
        <f t="shared" ca="1" si="200"/>
        <v>169.89701190084452</v>
      </c>
      <c r="T1682" s="61">
        <f t="shared" ca="1" si="201"/>
        <v>16800</v>
      </c>
      <c r="U1682" s="61">
        <f t="shared" ca="1" si="202"/>
        <v>6346.4461884391494</v>
      </c>
      <c r="V1682" s="39">
        <f t="shared" ca="1" si="203"/>
        <v>4.1752935450257565E-2</v>
      </c>
      <c r="W1682" s="48">
        <f t="shared" ca="1" si="204"/>
        <v>0.39345106648720929</v>
      </c>
    </row>
    <row r="1683" spans="17:23" x14ac:dyDescent="0.2">
      <c r="Q1683">
        <f t="shared" ref="Q1683:Q1746" si="205">Q1682+1</f>
        <v>1667</v>
      </c>
      <c r="R1683" s="48">
        <f t="shared" ref="R1683:R1746" ca="1" si="206">LOOKUP(RAND(),$U$6:$U$12,$S$6:$S$12)</f>
        <v>0.4</v>
      </c>
      <c r="S1683">
        <f t="shared" ref="S1683:S1746" ca="1" si="207">_xlfn.NORM.INV(RAND(),$Q$5,$Q$10)</f>
        <v>195.08073594994343</v>
      </c>
      <c r="T1683" s="61">
        <f t="shared" ca="1" si="201"/>
        <v>19200</v>
      </c>
      <c r="U1683" s="61">
        <f t="shared" ca="1" si="202"/>
        <v>21638.753255972846</v>
      </c>
      <c r="V1683" s="39">
        <f t="shared" ca="1" si="203"/>
        <v>0.14236021878929503</v>
      </c>
      <c r="W1683" s="48">
        <f t="shared" ca="1" si="204"/>
        <v>1.9433853982833744</v>
      </c>
    </row>
    <row r="1684" spans="17:23" x14ac:dyDescent="0.2">
      <c r="Q1684">
        <f t="shared" si="205"/>
        <v>1668</v>
      </c>
      <c r="R1684" s="48">
        <f t="shared" ca="1" si="206"/>
        <v>0.4</v>
      </c>
      <c r="S1684">
        <f t="shared" ca="1" si="207"/>
        <v>195.05166852991471</v>
      </c>
      <c r="T1684" s="61">
        <f t="shared" ca="1" si="201"/>
        <v>19200</v>
      </c>
      <c r="U1684" s="61">
        <f t="shared" ca="1" si="202"/>
        <v>21624.800894359061</v>
      </c>
      <c r="V1684" s="39">
        <f t="shared" ca="1" si="203"/>
        <v>0.14226842693657277</v>
      </c>
      <c r="W1684" s="48">
        <f t="shared" ca="1" si="204"/>
        <v>1.941467593172534</v>
      </c>
    </row>
    <row r="1685" spans="17:23" x14ac:dyDescent="0.2">
      <c r="Q1685">
        <f t="shared" si="205"/>
        <v>1669</v>
      </c>
      <c r="R1685" s="48">
        <f t="shared" ca="1" si="206"/>
        <v>0.3</v>
      </c>
      <c r="S1685">
        <f t="shared" ca="1" si="207"/>
        <v>207.54016914097619</v>
      </c>
      <c r="T1685" s="61">
        <f t="shared" ca="1" si="201"/>
        <v>14400</v>
      </c>
      <c r="U1685" s="61">
        <f t="shared" ca="1" si="202"/>
        <v>24222.494718946666</v>
      </c>
      <c r="V1685" s="39">
        <f t="shared" ca="1" si="203"/>
        <v>0.159358517887807</v>
      </c>
      <c r="W1685" s="48">
        <f t="shared" ca="1" si="204"/>
        <v>2.318007501851036</v>
      </c>
    </row>
    <row r="1686" spans="17:23" x14ac:dyDescent="0.2">
      <c r="Q1686">
        <f t="shared" si="205"/>
        <v>1670</v>
      </c>
      <c r="R1686" s="48">
        <f t="shared" ca="1" si="206"/>
        <v>0.217</v>
      </c>
      <c r="S1686">
        <f t="shared" ca="1" si="207"/>
        <v>179.74546352886256</v>
      </c>
      <c r="T1686" s="61">
        <f t="shared" ca="1" si="201"/>
        <v>10416</v>
      </c>
      <c r="U1686" s="61">
        <f t="shared" ca="1" si="202"/>
        <v>3992.5583544795063</v>
      </c>
      <c r="V1686" s="39">
        <f t="shared" ca="1" si="203"/>
        <v>2.6266831279470437E-2</v>
      </c>
      <c r="W1686" s="48">
        <f t="shared" ca="1" si="204"/>
        <v>0.23405207405427686</v>
      </c>
    </row>
    <row r="1687" spans="17:23" x14ac:dyDescent="0.2">
      <c r="Q1687">
        <f t="shared" si="205"/>
        <v>1671</v>
      </c>
      <c r="R1687" s="48">
        <f t="shared" ca="1" si="206"/>
        <v>0.35</v>
      </c>
      <c r="S1687">
        <f t="shared" ca="1" si="207"/>
        <v>172.32320081539802</v>
      </c>
      <c r="T1687" s="61">
        <f t="shared" ca="1" si="201"/>
        <v>16800</v>
      </c>
      <c r="U1687" s="61">
        <f t="shared" ca="1" si="202"/>
        <v>7608.0644240069723</v>
      </c>
      <c r="V1687" s="39">
        <f t="shared" ca="1" si="203"/>
        <v>5.0053055421098502E-2</v>
      </c>
      <c r="W1687" s="48">
        <f t="shared" ca="1" si="204"/>
        <v>0.48609560067659285</v>
      </c>
    </row>
    <row r="1688" spans="17:23" x14ac:dyDescent="0.2">
      <c r="Q1688">
        <f t="shared" si="205"/>
        <v>1672</v>
      </c>
      <c r="R1688" s="48">
        <f t="shared" ca="1" si="206"/>
        <v>0.35</v>
      </c>
      <c r="S1688">
        <f t="shared" ca="1" si="207"/>
        <v>185.15671415979332</v>
      </c>
      <c r="T1688" s="61">
        <f t="shared" ca="1" si="201"/>
        <v>16800</v>
      </c>
      <c r="U1688" s="61">
        <f t="shared" ca="1" si="202"/>
        <v>14281.491363092529</v>
      </c>
      <c r="V1688" s="39">
        <f t="shared" ca="1" si="203"/>
        <v>9.3957180020345588E-2</v>
      </c>
      <c r="W1688" s="48">
        <f t="shared" ca="1" si="204"/>
        <v>1.071743350763235</v>
      </c>
    </row>
    <row r="1689" spans="17:23" x14ac:dyDescent="0.2">
      <c r="Q1689">
        <f t="shared" si="205"/>
        <v>1673</v>
      </c>
      <c r="R1689" s="48">
        <f t="shared" ca="1" si="206"/>
        <v>0.45</v>
      </c>
      <c r="S1689">
        <f t="shared" ca="1" si="207"/>
        <v>172.72157917418471</v>
      </c>
      <c r="T1689" s="61">
        <f t="shared" ca="1" si="201"/>
        <v>21600</v>
      </c>
      <c r="U1689" s="61">
        <f t="shared" ca="1" si="202"/>
        <v>13997.494836641272</v>
      </c>
      <c r="V1689" s="39">
        <f t="shared" ca="1" si="203"/>
        <v>9.2088781820008361E-2</v>
      </c>
      <c r="W1689" s="48">
        <f t="shared" ca="1" si="204"/>
        <v>1.043216798589131</v>
      </c>
    </row>
    <row r="1690" spans="17:23" x14ac:dyDescent="0.2">
      <c r="Q1690">
        <f t="shared" si="205"/>
        <v>1674</v>
      </c>
      <c r="R1690" s="48">
        <f t="shared" ca="1" si="206"/>
        <v>0.4</v>
      </c>
      <c r="S1690">
        <f t="shared" ca="1" si="207"/>
        <v>168.4905094428143</v>
      </c>
      <c r="T1690" s="61">
        <f t="shared" ca="1" si="201"/>
        <v>19200</v>
      </c>
      <c r="U1690" s="61">
        <f t="shared" ca="1" si="202"/>
        <v>8875.4445325508641</v>
      </c>
      <c r="V1690" s="39">
        <f t="shared" ca="1" si="203"/>
        <v>5.8391082450992525E-2</v>
      </c>
      <c r="W1690" s="48">
        <f t="shared" ca="1" si="204"/>
        <v>0.58455690276549443</v>
      </c>
    </row>
    <row r="1691" spans="17:23" x14ac:dyDescent="0.2">
      <c r="Q1691">
        <f t="shared" si="205"/>
        <v>1675</v>
      </c>
      <c r="R1691" s="48">
        <f t="shared" ca="1" si="206"/>
        <v>0.3</v>
      </c>
      <c r="S1691">
        <f t="shared" ca="1" si="207"/>
        <v>173.6819097890797</v>
      </c>
      <c r="T1691" s="61">
        <f t="shared" ca="1" si="201"/>
        <v>14400</v>
      </c>
      <c r="U1691" s="61">
        <f t="shared" ca="1" si="202"/>
        <v>5261.8694818846307</v>
      </c>
      <c r="V1691" s="39">
        <f t="shared" ca="1" si="203"/>
        <v>3.4617562380819936E-2</v>
      </c>
      <c r="W1691" s="48">
        <f t="shared" ca="1" si="204"/>
        <v>0.31789549843871656</v>
      </c>
    </row>
    <row r="1692" spans="17:23" x14ac:dyDescent="0.2">
      <c r="Q1692">
        <f t="shared" si="205"/>
        <v>1676</v>
      </c>
      <c r="R1692" s="48">
        <f t="shared" ca="1" si="206"/>
        <v>0.35</v>
      </c>
      <c r="S1692">
        <f t="shared" ca="1" si="207"/>
        <v>157.67963895311371</v>
      </c>
      <c r="T1692" s="61">
        <f t="shared" ca="1" si="201"/>
        <v>16800</v>
      </c>
      <c r="U1692" s="61">
        <f t="shared" ca="1" si="202"/>
        <v>-6.5877443808712997</v>
      </c>
      <c r="V1692" s="39">
        <f t="shared" ca="1" si="203"/>
        <v>-4.3340423558363813E-5</v>
      </c>
      <c r="W1692" s="48">
        <f t="shared" ca="1" si="204"/>
        <v>-3.5148482396007985E-4</v>
      </c>
    </row>
    <row r="1693" spans="17:23" x14ac:dyDescent="0.2">
      <c r="Q1693">
        <f t="shared" si="205"/>
        <v>1677</v>
      </c>
      <c r="R1693" s="48">
        <f t="shared" ca="1" si="206"/>
        <v>0.15</v>
      </c>
      <c r="S1693">
        <f t="shared" ca="1" si="207"/>
        <v>183.00168890801683</v>
      </c>
      <c r="T1693" s="61">
        <f t="shared" ca="1" si="201"/>
        <v>7200</v>
      </c>
      <c r="U1693" s="61">
        <f t="shared" ca="1" si="202"/>
        <v>2441.1484574514452</v>
      </c>
      <c r="V1693" s="39">
        <f t="shared" ca="1" si="203"/>
        <v>1.6060187220075298E-2</v>
      </c>
      <c r="W1693" s="48">
        <f t="shared" ca="1" si="204"/>
        <v>0.13795294017739468</v>
      </c>
    </row>
    <row r="1694" spans="17:23" x14ac:dyDescent="0.2">
      <c r="Q1694">
        <f t="shared" si="205"/>
        <v>1678</v>
      </c>
      <c r="R1694" s="48">
        <f t="shared" ca="1" si="206"/>
        <v>0.35</v>
      </c>
      <c r="S1694">
        <f t="shared" ca="1" si="207"/>
        <v>182.41941308124638</v>
      </c>
      <c r="T1694" s="61">
        <f t="shared" ca="1" si="201"/>
        <v>16800</v>
      </c>
      <c r="U1694" s="61">
        <f t="shared" ca="1" si="202"/>
        <v>12858.094802248115</v>
      </c>
      <c r="V1694" s="39">
        <f t="shared" ca="1" si="203"/>
        <v>8.459272896215865E-2</v>
      </c>
      <c r="W1694" s="48">
        <f t="shared" ca="1" si="204"/>
        <v>0.93219978736667453</v>
      </c>
    </row>
    <row r="1695" spans="17:23" x14ac:dyDescent="0.2">
      <c r="Q1695">
        <f t="shared" si="205"/>
        <v>1679</v>
      </c>
      <c r="R1695" s="48">
        <f t="shared" ca="1" si="206"/>
        <v>0.45</v>
      </c>
      <c r="S1695">
        <f t="shared" ca="1" si="207"/>
        <v>188.51110420937675</v>
      </c>
      <c r="T1695" s="61">
        <f t="shared" ca="1" si="201"/>
        <v>21600</v>
      </c>
      <c r="U1695" s="61">
        <f t="shared" ca="1" si="202"/>
        <v>20944.885852125772</v>
      </c>
      <c r="V1695" s="39">
        <f t="shared" ca="1" si="203"/>
        <v>0.13779530165872217</v>
      </c>
      <c r="W1695" s="48">
        <f t="shared" ca="1" si="204"/>
        <v>1.8493279428010254</v>
      </c>
    </row>
    <row r="1696" spans="17:23" x14ac:dyDescent="0.2">
      <c r="Q1696">
        <f t="shared" si="205"/>
        <v>1680</v>
      </c>
      <c r="R1696" s="48">
        <f t="shared" ca="1" si="206"/>
        <v>0.35</v>
      </c>
      <c r="S1696">
        <f t="shared" ca="1" si="207"/>
        <v>174.63160864336174</v>
      </c>
      <c r="T1696" s="61">
        <f t="shared" ca="1" si="201"/>
        <v>16800</v>
      </c>
      <c r="U1696" s="61">
        <f t="shared" ca="1" si="202"/>
        <v>8808.4364945481066</v>
      </c>
      <c r="V1696" s="39">
        <f t="shared" ca="1" si="203"/>
        <v>5.7950240095711231E-2</v>
      </c>
      <c r="W1696" s="48">
        <f t="shared" ca="1" si="204"/>
        <v>0.57921147792863192</v>
      </c>
    </row>
    <row r="1697" spans="17:23" x14ac:dyDescent="0.2">
      <c r="Q1697">
        <f t="shared" si="205"/>
        <v>1681</v>
      </c>
      <c r="R1697" s="48">
        <f t="shared" ca="1" si="206"/>
        <v>0.3</v>
      </c>
      <c r="S1697">
        <f t="shared" ca="1" si="207"/>
        <v>141.83574364134364</v>
      </c>
      <c r="T1697" s="61">
        <f t="shared" ca="1" si="201"/>
        <v>14400</v>
      </c>
      <c r="U1697" s="61">
        <f t="shared" ca="1" si="202"/>
        <v>-12571.983560847562</v>
      </c>
      <c r="V1697" s="39">
        <f t="shared" ca="1" si="203"/>
        <v>-8.27104181634708E-2</v>
      </c>
      <c r="W1697" s="48">
        <f t="shared" ca="1" si="204"/>
        <v>-0.50353831227486667</v>
      </c>
    </row>
    <row r="1698" spans="17:23" x14ac:dyDescent="0.2">
      <c r="Q1698">
        <f t="shared" si="205"/>
        <v>1682</v>
      </c>
      <c r="R1698" s="48">
        <f t="shared" ca="1" si="206"/>
        <v>0.35</v>
      </c>
      <c r="S1698">
        <f t="shared" ca="1" si="207"/>
        <v>178.43333583290584</v>
      </c>
      <c r="T1698" s="61">
        <f t="shared" ca="1" si="201"/>
        <v>16800</v>
      </c>
      <c r="U1698" s="61">
        <f t="shared" ca="1" si="202"/>
        <v>10785.334633111037</v>
      </c>
      <c r="V1698" s="39">
        <f t="shared" ca="1" si="203"/>
        <v>7.0956148902046295E-2</v>
      </c>
      <c r="W1698" s="48">
        <f t="shared" ca="1" si="204"/>
        <v>0.7437389755571997</v>
      </c>
    </row>
    <row r="1699" spans="17:23" x14ac:dyDescent="0.2">
      <c r="Q1699">
        <f t="shared" si="205"/>
        <v>1683</v>
      </c>
      <c r="R1699" s="48">
        <f t="shared" ca="1" si="206"/>
        <v>0.35</v>
      </c>
      <c r="S1699">
        <f t="shared" ca="1" si="207"/>
        <v>183.76921535189547</v>
      </c>
      <c r="T1699" s="61">
        <f t="shared" ca="1" si="201"/>
        <v>16800</v>
      </c>
      <c r="U1699" s="61">
        <f t="shared" ca="1" si="202"/>
        <v>13559.991982985644</v>
      </c>
      <c r="V1699" s="39">
        <f t="shared" ca="1" si="203"/>
        <v>8.9210473572273977E-2</v>
      </c>
      <c r="W1699" s="48">
        <f t="shared" ca="1" si="204"/>
        <v>0.99994477865944376</v>
      </c>
    </row>
    <row r="1700" spans="17:23" x14ac:dyDescent="0.2">
      <c r="Q1700">
        <f t="shared" si="205"/>
        <v>1684</v>
      </c>
      <c r="R1700" s="48">
        <f t="shared" ca="1" si="206"/>
        <v>0.3</v>
      </c>
      <c r="S1700">
        <f t="shared" ca="1" si="207"/>
        <v>179.90732571721929</v>
      </c>
      <c r="T1700" s="61">
        <f t="shared" ca="1" si="201"/>
        <v>14400</v>
      </c>
      <c r="U1700" s="61">
        <f t="shared" ca="1" si="202"/>
        <v>8748.1024016428055</v>
      </c>
      <c r="V1700" s="39">
        <f t="shared" ca="1" si="203"/>
        <v>5.7553305273965828E-2</v>
      </c>
      <c r="W1700" s="48">
        <f t="shared" ca="1" si="204"/>
        <v>0.57441198561031981</v>
      </c>
    </row>
    <row r="1701" spans="17:23" x14ac:dyDescent="0.2">
      <c r="Q1701">
        <f t="shared" si="205"/>
        <v>1685</v>
      </c>
      <c r="R1701" s="48">
        <f t="shared" ca="1" si="206"/>
        <v>0.4</v>
      </c>
      <c r="S1701">
        <f t="shared" ca="1" si="207"/>
        <v>185.15071340995146</v>
      </c>
      <c r="T1701" s="61">
        <f t="shared" ca="1" si="201"/>
        <v>19200</v>
      </c>
      <c r="U1701" s="61">
        <f t="shared" ca="1" si="202"/>
        <v>16872.342436776704</v>
      </c>
      <c r="V1701" s="39">
        <f t="shared" ca="1" si="203"/>
        <v>0.11100225287353095</v>
      </c>
      <c r="W1701" s="48">
        <f t="shared" ca="1" si="204"/>
        <v>1.3485453703468839</v>
      </c>
    </row>
    <row r="1702" spans="17:23" x14ac:dyDescent="0.2">
      <c r="Q1702">
        <f t="shared" si="205"/>
        <v>1686</v>
      </c>
      <c r="R1702" s="48">
        <f t="shared" ca="1" si="206"/>
        <v>0.217</v>
      </c>
      <c r="S1702">
        <f t="shared" ca="1" si="207"/>
        <v>174.68280307968863</v>
      </c>
      <c r="T1702" s="61">
        <f t="shared" ca="1" si="201"/>
        <v>10416</v>
      </c>
      <c r="U1702" s="61">
        <f t="shared" ca="1" si="202"/>
        <v>821.30784911695446</v>
      </c>
      <c r="V1702" s="39">
        <f t="shared" ca="1" si="203"/>
        <v>5.4033411126115424E-3</v>
      </c>
      <c r="W1702" s="48">
        <f t="shared" ca="1" si="204"/>
        <v>4.4678433116099647E-2</v>
      </c>
    </row>
    <row r="1703" spans="17:23" x14ac:dyDescent="0.2">
      <c r="Q1703">
        <f t="shared" si="205"/>
        <v>1687</v>
      </c>
      <c r="R1703" s="48">
        <f t="shared" ca="1" si="206"/>
        <v>0.4</v>
      </c>
      <c r="S1703">
        <f t="shared" ca="1" si="207"/>
        <v>180.23399598879266</v>
      </c>
      <c r="T1703" s="61">
        <f t="shared" ca="1" si="201"/>
        <v>19200</v>
      </c>
      <c r="U1703" s="61">
        <f t="shared" ca="1" si="202"/>
        <v>14512.318074620474</v>
      </c>
      <c r="V1703" s="39">
        <f t="shared" ca="1" si="203"/>
        <v>9.5475776806713653E-2</v>
      </c>
      <c r="W1703" s="48">
        <f t="shared" ca="1" si="204"/>
        <v>1.0951857889230139</v>
      </c>
    </row>
    <row r="1704" spans="17:23" x14ac:dyDescent="0.2">
      <c r="Q1704">
        <f t="shared" si="205"/>
        <v>1688</v>
      </c>
      <c r="R1704" s="48">
        <f t="shared" ca="1" si="206"/>
        <v>0.35</v>
      </c>
      <c r="S1704">
        <f t="shared" ca="1" si="207"/>
        <v>151.04151717863323</v>
      </c>
      <c r="T1704" s="61">
        <f t="shared" ca="1" si="201"/>
        <v>16800</v>
      </c>
      <c r="U1704" s="61">
        <f t="shared" ca="1" si="202"/>
        <v>-3458.4110671107228</v>
      </c>
      <c r="V1704" s="39">
        <f t="shared" ca="1" si="203"/>
        <v>-2.2752704388886335E-2</v>
      </c>
      <c r="W1704" s="48">
        <f t="shared" ca="1" si="204"/>
        <v>-0.17029213968857759</v>
      </c>
    </row>
    <row r="1705" spans="17:23" x14ac:dyDescent="0.2">
      <c r="Q1705">
        <f t="shared" si="205"/>
        <v>1689</v>
      </c>
      <c r="R1705" s="48">
        <f t="shared" ca="1" si="206"/>
        <v>0.35</v>
      </c>
      <c r="S1705">
        <f t="shared" ca="1" si="207"/>
        <v>176.20012770622716</v>
      </c>
      <c r="T1705" s="61">
        <f t="shared" ca="1" si="201"/>
        <v>16800</v>
      </c>
      <c r="U1705" s="61">
        <f t="shared" ca="1" si="202"/>
        <v>9624.066407238126</v>
      </c>
      <c r="V1705" s="39">
        <f t="shared" ca="1" si="203"/>
        <v>6.3316226363408723E-2</v>
      </c>
      <c r="W1705" s="48">
        <f t="shared" ca="1" si="204"/>
        <v>0.64536412588602476</v>
      </c>
    </row>
    <row r="1706" spans="17:23" x14ac:dyDescent="0.2">
      <c r="Q1706">
        <f t="shared" si="205"/>
        <v>1690</v>
      </c>
      <c r="R1706" s="48">
        <f t="shared" ca="1" si="206"/>
        <v>0.4</v>
      </c>
      <c r="S1706">
        <f t="shared" ca="1" si="207"/>
        <v>213.65660336681191</v>
      </c>
      <c r="T1706" s="61">
        <f t="shared" ca="1" si="201"/>
        <v>19200</v>
      </c>
      <c r="U1706" s="61">
        <f t="shared" ca="1" si="202"/>
        <v>30555.169616069717</v>
      </c>
      <c r="V1706" s="39">
        <f t="shared" ca="1" si="203"/>
        <v>0.20102085273730078</v>
      </c>
      <c r="W1706" s="48">
        <f t="shared" ca="1" si="204"/>
        <v>3.4181792642025144</v>
      </c>
    </row>
    <row r="1707" spans="17:23" x14ac:dyDescent="0.2">
      <c r="Q1707">
        <f t="shared" si="205"/>
        <v>1691</v>
      </c>
      <c r="R1707" s="48">
        <f t="shared" ca="1" si="206"/>
        <v>0.3</v>
      </c>
      <c r="S1707">
        <f t="shared" ca="1" si="207"/>
        <v>203.6126036455106</v>
      </c>
      <c r="T1707" s="61">
        <f t="shared" ca="1" si="201"/>
        <v>14400</v>
      </c>
      <c r="U1707" s="61">
        <f t="shared" ca="1" si="202"/>
        <v>22023.058041485936</v>
      </c>
      <c r="V1707" s="39">
        <f t="shared" ca="1" si="203"/>
        <v>0.144888539746618</v>
      </c>
      <c r="W1707" s="48">
        <f t="shared" ca="1" si="204"/>
        <v>1.9966423330509295</v>
      </c>
    </row>
    <row r="1708" spans="17:23" x14ac:dyDescent="0.2">
      <c r="Q1708">
        <f t="shared" si="205"/>
        <v>1692</v>
      </c>
      <c r="R1708" s="48">
        <f t="shared" ca="1" si="206"/>
        <v>0.4</v>
      </c>
      <c r="S1708">
        <f t="shared" ca="1" si="207"/>
        <v>205.97862520666692</v>
      </c>
      <c r="T1708" s="61">
        <f t="shared" ca="1" si="201"/>
        <v>19200</v>
      </c>
      <c r="U1708" s="61">
        <f t="shared" ca="1" si="202"/>
        <v>26869.74009920012</v>
      </c>
      <c r="V1708" s="39">
        <f t="shared" ca="1" si="203"/>
        <v>0.17677460591579028</v>
      </c>
      <c r="W1708" s="48">
        <f t="shared" ca="1" si="204"/>
        <v>2.7445627596181006</v>
      </c>
    </row>
    <row r="1709" spans="17:23" x14ac:dyDescent="0.2">
      <c r="Q1709">
        <f t="shared" si="205"/>
        <v>1693</v>
      </c>
      <c r="R1709" s="48">
        <f t="shared" ca="1" si="206"/>
        <v>0.3</v>
      </c>
      <c r="S1709">
        <f t="shared" ca="1" si="207"/>
        <v>201.61643305126873</v>
      </c>
      <c r="T1709" s="61">
        <f t="shared" ca="1" si="201"/>
        <v>14400</v>
      </c>
      <c r="U1709" s="61">
        <f t="shared" ca="1" si="202"/>
        <v>20905.202508710488</v>
      </c>
      <c r="V1709" s="39">
        <f t="shared" ca="1" si="203"/>
        <v>0.13753422703099005</v>
      </c>
      <c r="W1709" s="48">
        <f t="shared" ca="1" si="204"/>
        <v>1.8440292465648578</v>
      </c>
    </row>
    <row r="1710" spans="17:23" x14ac:dyDescent="0.2">
      <c r="Q1710">
        <f t="shared" si="205"/>
        <v>1694</v>
      </c>
      <c r="R1710" s="48">
        <f t="shared" ca="1" si="206"/>
        <v>0.3</v>
      </c>
      <c r="S1710">
        <f t="shared" ca="1" si="207"/>
        <v>189.99318799146323</v>
      </c>
      <c r="T1710" s="61">
        <f t="shared" ca="1" si="201"/>
        <v>14400</v>
      </c>
      <c r="U1710" s="61">
        <f t="shared" ca="1" si="202"/>
        <v>14396.18527521941</v>
      </c>
      <c r="V1710" s="39">
        <f t="shared" ca="1" si="203"/>
        <v>9.471174523170664E-2</v>
      </c>
      <c r="W1710" s="48">
        <f t="shared" ca="1" si="204"/>
        <v>1.0833625993904055</v>
      </c>
    </row>
    <row r="1711" spans="17:23" x14ac:dyDescent="0.2">
      <c r="Q1711">
        <f t="shared" si="205"/>
        <v>1695</v>
      </c>
      <c r="R1711" s="48">
        <f t="shared" ca="1" si="206"/>
        <v>0.3</v>
      </c>
      <c r="S1711">
        <f t="shared" ca="1" si="207"/>
        <v>152.94026723471964</v>
      </c>
      <c r="T1711" s="61">
        <f t="shared" ca="1" si="201"/>
        <v>14400</v>
      </c>
      <c r="U1711" s="61">
        <f t="shared" ca="1" si="202"/>
        <v>-6353.4503485570021</v>
      </c>
      <c r="V1711" s="39">
        <f t="shared" ca="1" si="203"/>
        <v>-4.1799015451032907E-2</v>
      </c>
      <c r="W1711" s="48">
        <f t="shared" ca="1" si="204"/>
        <v>-0.29271813015443304</v>
      </c>
    </row>
    <row r="1712" spans="17:23" x14ac:dyDescent="0.2">
      <c r="Q1712">
        <f t="shared" si="205"/>
        <v>1696</v>
      </c>
      <c r="R1712" s="48">
        <f t="shared" ca="1" si="206"/>
        <v>0.217</v>
      </c>
      <c r="S1712">
        <f t="shared" ca="1" si="207"/>
        <v>188.0182045976054</v>
      </c>
      <c r="T1712" s="61">
        <f t="shared" ca="1" si="201"/>
        <v>10416</v>
      </c>
      <c r="U1712" s="61">
        <f t="shared" ca="1" si="202"/>
        <v>9174.6033599400253</v>
      </c>
      <c r="V1712" s="39">
        <f t="shared" ca="1" si="203"/>
        <v>6.0359232631184374E-2</v>
      </c>
      <c r="W1712" s="48">
        <f t="shared" ca="1" si="204"/>
        <v>0.60861565501229498</v>
      </c>
    </row>
    <row r="1713" spans="17:23" x14ac:dyDescent="0.2">
      <c r="Q1713">
        <f t="shared" si="205"/>
        <v>1697</v>
      </c>
      <c r="R1713" s="48">
        <f t="shared" ca="1" si="206"/>
        <v>0.35</v>
      </c>
      <c r="S1713">
        <f t="shared" ca="1" si="207"/>
        <v>201.95061876895471</v>
      </c>
      <c r="T1713" s="61">
        <f t="shared" ca="1" si="201"/>
        <v>16800</v>
      </c>
      <c r="U1713" s="61">
        <f t="shared" ca="1" si="202"/>
        <v>23014.321759856452</v>
      </c>
      <c r="V1713" s="39">
        <f t="shared" ca="1" si="203"/>
        <v>0.15141001157800296</v>
      </c>
      <c r="W1713" s="48">
        <f t="shared" ca="1" si="204"/>
        <v>2.1379306723108558</v>
      </c>
    </row>
    <row r="1714" spans="17:23" x14ac:dyDescent="0.2">
      <c r="Q1714">
        <f t="shared" si="205"/>
        <v>1698</v>
      </c>
      <c r="R1714" s="48">
        <f t="shared" ca="1" si="206"/>
        <v>0.217</v>
      </c>
      <c r="S1714">
        <f t="shared" ca="1" si="207"/>
        <v>181.22866771722656</v>
      </c>
      <c r="T1714" s="61">
        <f t="shared" ca="1" si="201"/>
        <v>10416</v>
      </c>
      <c r="U1714" s="61">
        <f t="shared" ca="1" si="202"/>
        <v>4921.6374580707152</v>
      </c>
      <c r="V1714" s="39">
        <f t="shared" ca="1" si="203"/>
        <v>3.2379193803096812E-2</v>
      </c>
      <c r="W1714" s="48">
        <f t="shared" ca="1" si="204"/>
        <v>0.29494594636220151</v>
      </c>
    </row>
    <row r="1715" spans="17:23" x14ac:dyDescent="0.2">
      <c r="Q1715">
        <f t="shared" si="205"/>
        <v>1699</v>
      </c>
      <c r="R1715" s="48">
        <f t="shared" ca="1" si="206"/>
        <v>0.35</v>
      </c>
      <c r="S1715">
        <f t="shared" ca="1" si="207"/>
        <v>185.94938819639029</v>
      </c>
      <c r="T1715" s="61">
        <f t="shared" ca="1" si="201"/>
        <v>16800</v>
      </c>
      <c r="U1715" s="61">
        <f t="shared" ca="1" si="202"/>
        <v>14693.68186212295</v>
      </c>
      <c r="V1715" s="39">
        <f t="shared" ca="1" si="203"/>
        <v>9.666895961922993E-2</v>
      </c>
      <c r="W1715" s="48">
        <f t="shared" ca="1" si="204"/>
        <v>1.1137676606717779</v>
      </c>
    </row>
    <row r="1716" spans="17:23" x14ac:dyDescent="0.2">
      <c r="Q1716">
        <f t="shared" si="205"/>
        <v>1700</v>
      </c>
      <c r="R1716" s="48">
        <f t="shared" ca="1" si="206"/>
        <v>0.35</v>
      </c>
      <c r="S1716">
        <f t="shared" ca="1" si="207"/>
        <v>182.06357791089854</v>
      </c>
      <c r="T1716" s="61">
        <f t="shared" ca="1" si="201"/>
        <v>16800</v>
      </c>
      <c r="U1716" s="61">
        <f t="shared" ca="1" si="202"/>
        <v>12673.060513667242</v>
      </c>
      <c r="V1716" s="39">
        <f t="shared" ca="1" si="203"/>
        <v>8.3375398116231861E-2</v>
      </c>
      <c r="W1716" s="48">
        <f t="shared" ca="1" si="204"/>
        <v>0.91467948150022105</v>
      </c>
    </row>
    <row r="1717" spans="17:23" x14ac:dyDescent="0.2">
      <c r="Q1717">
        <f t="shared" si="205"/>
        <v>1701</v>
      </c>
      <c r="R1717" s="48">
        <f t="shared" ca="1" si="206"/>
        <v>0.35</v>
      </c>
      <c r="S1717">
        <f t="shared" ca="1" si="207"/>
        <v>198.06729517689286</v>
      </c>
      <c r="T1717" s="61">
        <f t="shared" ca="1" si="201"/>
        <v>16800</v>
      </c>
      <c r="U1717" s="61">
        <f t="shared" ca="1" si="202"/>
        <v>20994.993491984285</v>
      </c>
      <c r="V1717" s="39">
        <f t="shared" ca="1" si="203"/>
        <v>0.13812495718410714</v>
      </c>
      <c r="W1717" s="48">
        <f t="shared" ca="1" si="204"/>
        <v>1.8560308998494164</v>
      </c>
    </row>
    <row r="1718" spans="17:23" x14ac:dyDescent="0.2">
      <c r="Q1718">
        <f t="shared" si="205"/>
        <v>1702</v>
      </c>
      <c r="R1718" s="48">
        <f t="shared" ca="1" si="206"/>
        <v>0.35</v>
      </c>
      <c r="S1718">
        <f t="shared" ca="1" si="207"/>
        <v>142.33096792366428</v>
      </c>
      <c r="T1718" s="61">
        <f t="shared" ca="1" si="201"/>
        <v>16800</v>
      </c>
      <c r="U1718" s="61">
        <f t="shared" ca="1" si="202"/>
        <v>-7987.8966796945751</v>
      </c>
      <c r="V1718" s="39">
        <f t="shared" ca="1" si="203"/>
        <v>-5.2551951840095888E-2</v>
      </c>
      <c r="W1718" s="48">
        <f t="shared" ca="1" si="204"/>
        <v>-0.35458613847378628</v>
      </c>
    </row>
    <row r="1719" spans="17:23" x14ac:dyDescent="0.2">
      <c r="Q1719">
        <f t="shared" si="205"/>
        <v>1703</v>
      </c>
      <c r="R1719" s="48">
        <f t="shared" ca="1" si="206"/>
        <v>0.3</v>
      </c>
      <c r="S1719">
        <f t="shared" ca="1" si="207"/>
        <v>177.83039640143352</v>
      </c>
      <c r="T1719" s="61">
        <f t="shared" ca="1" si="201"/>
        <v>14400</v>
      </c>
      <c r="U1719" s="61">
        <f t="shared" ca="1" si="202"/>
        <v>7585.02198480277</v>
      </c>
      <c r="V1719" s="39">
        <f t="shared" ca="1" si="203"/>
        <v>4.9901460426334011E-2</v>
      </c>
      <c r="W1719" s="48">
        <f t="shared" ca="1" si="204"/>
        <v>0.48435628745403503</v>
      </c>
    </row>
    <row r="1720" spans="17:23" x14ac:dyDescent="0.2">
      <c r="Q1720">
        <f t="shared" si="205"/>
        <v>1704</v>
      </c>
      <c r="R1720" s="48">
        <f t="shared" ca="1" si="206"/>
        <v>0.4</v>
      </c>
      <c r="S1720">
        <f t="shared" ca="1" si="207"/>
        <v>170.33296976197045</v>
      </c>
      <c r="T1720" s="61">
        <f t="shared" ca="1" si="201"/>
        <v>19200</v>
      </c>
      <c r="U1720" s="61">
        <f t="shared" ca="1" si="202"/>
        <v>9759.8254857458141</v>
      </c>
      <c r="V1720" s="39">
        <f t="shared" ca="1" si="203"/>
        <v>6.4209378195696151E-2</v>
      </c>
      <c r="W1720" s="48">
        <f t="shared" ca="1" si="204"/>
        <v>0.65660765251467601</v>
      </c>
    </row>
    <row r="1721" spans="17:23" x14ac:dyDescent="0.2">
      <c r="Q1721">
        <f t="shared" si="205"/>
        <v>1705</v>
      </c>
      <c r="R1721" s="48">
        <f t="shared" ca="1" si="206"/>
        <v>0.217</v>
      </c>
      <c r="S1721">
        <f t="shared" ca="1" si="207"/>
        <v>228.33383365541005</v>
      </c>
      <c r="T1721" s="61">
        <f t="shared" ref="T1721:T1784" ca="1" si="208">($B$8-$B$7)*($E$6*R1721)</f>
        <v>10416</v>
      </c>
      <c r="U1721" s="61">
        <f t="shared" ref="U1721:U1784" ca="1" si="209">T1721+((S1721-$B$7)*($E$6*(1-R1721)))</f>
        <v>34428.313401748848</v>
      </c>
      <c r="V1721" s="39">
        <f t="shared" ref="V1721:V1784" ca="1" si="210">U1721/$E$4</f>
        <v>0.22650206185361085</v>
      </c>
      <c r="W1721" s="48">
        <f t="shared" ref="W1721:W1784" ca="1" si="211">(1+V1721)^($J$29/$J$30)-1</f>
        <v>4.238395593819229</v>
      </c>
    </row>
    <row r="1722" spans="17:23" x14ac:dyDescent="0.2">
      <c r="Q1722">
        <f t="shared" si="205"/>
        <v>1706</v>
      </c>
      <c r="R1722" s="48">
        <f t="shared" ca="1" si="206"/>
        <v>0.45</v>
      </c>
      <c r="S1722">
        <f t="shared" ca="1" si="207"/>
        <v>212.67650184818132</v>
      </c>
      <c r="T1722" s="61">
        <f t="shared" ca="1" si="208"/>
        <v>21600</v>
      </c>
      <c r="U1722" s="61">
        <f t="shared" ca="1" si="209"/>
        <v>31577.660813199778</v>
      </c>
      <c r="V1722" s="39">
        <f t="shared" ca="1" si="210"/>
        <v>0.20774776850789328</v>
      </c>
      <c r="W1722" s="48">
        <f t="shared" ca="1" si="211"/>
        <v>3.6229417515060929</v>
      </c>
    </row>
    <row r="1723" spans="17:23" x14ac:dyDescent="0.2">
      <c r="Q1723">
        <f t="shared" si="205"/>
        <v>1707</v>
      </c>
      <c r="R1723" s="48">
        <f t="shared" ca="1" si="206"/>
        <v>0.217</v>
      </c>
      <c r="S1723">
        <f t="shared" ca="1" si="207"/>
        <v>236.51877342380564</v>
      </c>
      <c r="T1723" s="61">
        <f t="shared" ca="1" si="208"/>
        <v>10416</v>
      </c>
      <c r="U1723" s="61">
        <f t="shared" ca="1" si="209"/>
        <v>39555.359672671853</v>
      </c>
      <c r="V1723" s="39">
        <f t="shared" ca="1" si="210"/>
        <v>0.26023262942547271</v>
      </c>
      <c r="W1723" s="48">
        <f t="shared" ca="1" si="211"/>
        <v>5.5278016706988611</v>
      </c>
    </row>
    <row r="1724" spans="17:23" x14ac:dyDescent="0.2">
      <c r="Q1724">
        <f t="shared" si="205"/>
        <v>1708</v>
      </c>
      <c r="R1724" s="48">
        <f t="shared" ca="1" si="206"/>
        <v>0.4</v>
      </c>
      <c r="S1724">
        <f t="shared" ca="1" si="207"/>
        <v>190.51251728493082</v>
      </c>
      <c r="T1724" s="61">
        <f t="shared" ca="1" si="208"/>
        <v>19200</v>
      </c>
      <c r="U1724" s="61">
        <f t="shared" ca="1" si="209"/>
        <v>19446.008296766795</v>
      </c>
      <c r="V1724" s="39">
        <f t="shared" ca="1" si="210"/>
        <v>0.12793426511030787</v>
      </c>
      <c r="W1724" s="48">
        <f t="shared" ca="1" si="211"/>
        <v>1.6550923480220252</v>
      </c>
    </row>
    <row r="1725" spans="17:23" x14ac:dyDescent="0.2">
      <c r="Q1725">
        <f t="shared" si="205"/>
        <v>1709</v>
      </c>
      <c r="R1725" s="48">
        <f t="shared" ca="1" si="206"/>
        <v>0.4</v>
      </c>
      <c r="S1725">
        <f t="shared" ca="1" si="207"/>
        <v>214.42771794902148</v>
      </c>
      <c r="T1725" s="61">
        <f t="shared" ca="1" si="208"/>
        <v>19200</v>
      </c>
      <c r="U1725" s="61">
        <f t="shared" ca="1" si="209"/>
        <v>30925.304615530313</v>
      </c>
      <c r="V1725" s="39">
        <f t="shared" ca="1" si="210"/>
        <v>0.20345595141796258</v>
      </c>
      <c r="W1725" s="48">
        <f t="shared" ca="1" si="211"/>
        <v>3.4913642780399998</v>
      </c>
    </row>
    <row r="1726" spans="17:23" x14ac:dyDescent="0.2">
      <c r="Q1726">
        <f t="shared" si="205"/>
        <v>1710</v>
      </c>
      <c r="R1726" s="48">
        <f t="shared" ca="1" si="206"/>
        <v>0.35</v>
      </c>
      <c r="S1726">
        <f t="shared" ca="1" si="207"/>
        <v>180.03402910971897</v>
      </c>
      <c r="T1726" s="61">
        <f t="shared" ca="1" si="208"/>
        <v>16800</v>
      </c>
      <c r="U1726" s="61">
        <f t="shared" ca="1" si="209"/>
        <v>11617.695137053866</v>
      </c>
      <c r="V1726" s="39">
        <f t="shared" ca="1" si="210"/>
        <v>7.6432204849038593E-2</v>
      </c>
      <c r="W1726" s="48">
        <f t="shared" ca="1" si="211"/>
        <v>0.81738749893786933</v>
      </c>
    </row>
    <row r="1727" spans="17:23" x14ac:dyDescent="0.2">
      <c r="Q1727">
        <f t="shared" si="205"/>
        <v>1711</v>
      </c>
      <c r="R1727" s="48">
        <f t="shared" ca="1" si="206"/>
        <v>0.4</v>
      </c>
      <c r="S1727">
        <f t="shared" ca="1" si="207"/>
        <v>197.2212206711512</v>
      </c>
      <c r="T1727" s="61">
        <f t="shared" ca="1" si="208"/>
        <v>19200</v>
      </c>
      <c r="U1727" s="61">
        <f t="shared" ca="1" si="209"/>
        <v>22666.185922152577</v>
      </c>
      <c r="V1727" s="39">
        <f t="shared" ca="1" si="210"/>
        <v>0.14911964422468801</v>
      </c>
      <c r="W1727" s="48">
        <f t="shared" ca="1" si="211"/>
        <v>2.0876583657696854</v>
      </c>
    </row>
    <row r="1728" spans="17:23" x14ac:dyDescent="0.2">
      <c r="Q1728">
        <f t="shared" si="205"/>
        <v>1712</v>
      </c>
      <c r="R1728" s="48">
        <f t="shared" ca="1" si="206"/>
        <v>0.3</v>
      </c>
      <c r="S1728">
        <f t="shared" ca="1" si="207"/>
        <v>140.547903158059</v>
      </c>
      <c r="T1728" s="61">
        <f t="shared" ca="1" si="208"/>
        <v>14400</v>
      </c>
      <c r="U1728" s="61">
        <f t="shared" ca="1" si="209"/>
        <v>-13293.174231486959</v>
      </c>
      <c r="V1728" s="39">
        <f t="shared" ca="1" si="210"/>
        <v>-8.7455093628203681E-2</v>
      </c>
      <c r="W1728" s="48">
        <f t="shared" ca="1" si="211"/>
        <v>-0.5239881465668359</v>
      </c>
    </row>
    <row r="1729" spans="17:23" x14ac:dyDescent="0.2">
      <c r="Q1729">
        <f t="shared" si="205"/>
        <v>1713</v>
      </c>
      <c r="R1729" s="48">
        <f t="shared" ca="1" si="206"/>
        <v>0.5</v>
      </c>
      <c r="S1729">
        <f t="shared" ca="1" si="207"/>
        <v>174.43522720663879</v>
      </c>
      <c r="T1729" s="61">
        <f t="shared" ca="1" si="208"/>
        <v>24000</v>
      </c>
      <c r="U1729" s="61">
        <f t="shared" ca="1" si="209"/>
        <v>17774.090882655513</v>
      </c>
      <c r="V1729" s="39">
        <f t="shared" ca="1" si="210"/>
        <v>0.11693480843852311</v>
      </c>
      <c r="W1729" s="48">
        <f t="shared" ca="1" si="211"/>
        <v>1.4522177403046364</v>
      </c>
    </row>
    <row r="1730" spans="17:23" x14ac:dyDescent="0.2">
      <c r="Q1730">
        <f t="shared" si="205"/>
        <v>1714</v>
      </c>
      <c r="R1730" s="48">
        <f t="shared" ca="1" si="206"/>
        <v>0.217</v>
      </c>
      <c r="S1730">
        <f t="shared" ca="1" si="207"/>
        <v>175.16401899768303</v>
      </c>
      <c r="T1730" s="61">
        <f t="shared" ca="1" si="208"/>
        <v>10416</v>
      </c>
      <c r="U1730" s="61">
        <f t="shared" ca="1" si="209"/>
        <v>1122.7415001486497</v>
      </c>
      <c r="V1730" s="39">
        <f t="shared" ca="1" si="210"/>
        <v>7.3864572378200639E-3</v>
      </c>
      <c r="W1730" s="48">
        <f t="shared" ca="1" si="211"/>
        <v>6.1509751741224861E-2</v>
      </c>
    </row>
    <row r="1731" spans="17:23" x14ac:dyDescent="0.2">
      <c r="Q1731">
        <f t="shared" si="205"/>
        <v>1715</v>
      </c>
      <c r="R1731" s="48">
        <f t="shared" ca="1" si="206"/>
        <v>0.15</v>
      </c>
      <c r="S1731">
        <f t="shared" ca="1" si="207"/>
        <v>194.0139282650569</v>
      </c>
      <c r="T1731" s="61">
        <f t="shared" ca="1" si="208"/>
        <v>7200</v>
      </c>
      <c r="U1731" s="61">
        <f t="shared" ca="1" si="209"/>
        <v>9929.4712202386945</v>
      </c>
      <c r="V1731" s="39">
        <f t="shared" ca="1" si="210"/>
        <v>6.5325468554201932E-2</v>
      </c>
      <c r="W1731" s="48">
        <f t="shared" ca="1" si="211"/>
        <v>0.67075230119614782</v>
      </c>
    </row>
    <row r="1732" spans="17:23" x14ac:dyDescent="0.2">
      <c r="Q1732">
        <f t="shared" si="205"/>
        <v>1716</v>
      </c>
      <c r="R1732" s="48">
        <f t="shared" ca="1" si="206"/>
        <v>0.3</v>
      </c>
      <c r="S1732">
        <f t="shared" ca="1" si="207"/>
        <v>178.72823318901146</v>
      </c>
      <c r="T1732" s="61">
        <f t="shared" ca="1" si="208"/>
        <v>14400</v>
      </c>
      <c r="U1732" s="61">
        <f t="shared" ca="1" si="209"/>
        <v>8087.8105858464187</v>
      </c>
      <c r="V1732" s="39">
        <f t="shared" ca="1" si="210"/>
        <v>5.3209280170042228E-2</v>
      </c>
      <c r="W1732" s="48">
        <f t="shared" ca="1" si="211"/>
        <v>0.52271648019571204</v>
      </c>
    </row>
    <row r="1733" spans="17:23" x14ac:dyDescent="0.2">
      <c r="Q1733">
        <f t="shared" si="205"/>
        <v>1717</v>
      </c>
      <c r="R1733" s="48">
        <f t="shared" ca="1" si="206"/>
        <v>0.4</v>
      </c>
      <c r="S1733">
        <f t="shared" ca="1" si="207"/>
        <v>188.82539698809902</v>
      </c>
      <c r="T1733" s="61">
        <f t="shared" ca="1" si="208"/>
        <v>19200</v>
      </c>
      <c r="U1733" s="61">
        <f t="shared" ca="1" si="209"/>
        <v>18636.190554287528</v>
      </c>
      <c r="V1733" s="39">
        <f t="shared" ca="1" si="210"/>
        <v>0.12260651680452321</v>
      </c>
      <c r="W1733" s="48">
        <f t="shared" ca="1" si="211"/>
        <v>1.5550612286163132</v>
      </c>
    </row>
    <row r="1734" spans="17:23" x14ac:dyDescent="0.2">
      <c r="Q1734">
        <f t="shared" si="205"/>
        <v>1718</v>
      </c>
      <c r="R1734" s="48">
        <f t="shared" ca="1" si="206"/>
        <v>0.4</v>
      </c>
      <c r="S1734">
        <f t="shared" ca="1" si="207"/>
        <v>195.46483837033068</v>
      </c>
      <c r="T1734" s="61">
        <f t="shared" ca="1" si="208"/>
        <v>19200</v>
      </c>
      <c r="U1734" s="61">
        <f t="shared" ca="1" si="209"/>
        <v>21823.122417758728</v>
      </c>
      <c r="V1734" s="39">
        <f t="shared" ca="1" si="210"/>
        <v>0.14357317380104426</v>
      </c>
      <c r="W1734" s="48">
        <f t="shared" ca="1" si="211"/>
        <v>1.9688307898037345</v>
      </c>
    </row>
    <row r="1735" spans="17:23" x14ac:dyDescent="0.2">
      <c r="Q1735">
        <f t="shared" si="205"/>
        <v>1719</v>
      </c>
      <c r="R1735" s="48">
        <f t="shared" ca="1" si="206"/>
        <v>0.4</v>
      </c>
      <c r="S1735">
        <f t="shared" ca="1" si="207"/>
        <v>198.72648551915958</v>
      </c>
      <c r="T1735" s="61">
        <f t="shared" ca="1" si="208"/>
        <v>19200</v>
      </c>
      <c r="U1735" s="61">
        <f t="shared" ca="1" si="209"/>
        <v>23388.713049196598</v>
      </c>
      <c r="V1735" s="39">
        <f t="shared" ca="1" si="210"/>
        <v>0.1538731121657671</v>
      </c>
      <c r="W1735" s="48">
        <f t="shared" ca="1" si="211"/>
        <v>2.192793847159118</v>
      </c>
    </row>
    <row r="1736" spans="17:23" x14ac:dyDescent="0.2">
      <c r="Q1736">
        <f t="shared" si="205"/>
        <v>1720</v>
      </c>
      <c r="R1736" s="48">
        <f t="shared" ca="1" si="206"/>
        <v>0.3</v>
      </c>
      <c r="S1736">
        <f t="shared" ca="1" si="207"/>
        <v>188.58707989891366</v>
      </c>
      <c r="T1736" s="61">
        <f t="shared" ca="1" si="208"/>
        <v>14400</v>
      </c>
      <c r="U1736" s="61">
        <f t="shared" ca="1" si="209"/>
        <v>13608.764743391648</v>
      </c>
      <c r="V1736" s="39">
        <f t="shared" ca="1" si="210"/>
        <v>8.9531346995997685E-2</v>
      </c>
      <c r="W1736" s="48">
        <f t="shared" ca="1" si="211"/>
        <v>1.0047286030295872</v>
      </c>
    </row>
    <row r="1737" spans="17:23" x14ac:dyDescent="0.2">
      <c r="Q1737">
        <f t="shared" si="205"/>
        <v>1721</v>
      </c>
      <c r="R1737" s="48">
        <f t="shared" ca="1" si="206"/>
        <v>0.45</v>
      </c>
      <c r="S1737">
        <f t="shared" ca="1" si="207"/>
        <v>176.84297680394906</v>
      </c>
      <c r="T1737" s="61">
        <f t="shared" ca="1" si="208"/>
        <v>21600</v>
      </c>
      <c r="U1737" s="61">
        <f t="shared" ca="1" si="209"/>
        <v>15810.909793737585</v>
      </c>
      <c r="V1737" s="39">
        <f t="shared" ca="1" si="210"/>
        <v>0.10401914337985253</v>
      </c>
      <c r="W1737" s="48">
        <f t="shared" ca="1" si="211"/>
        <v>1.2314543682655579</v>
      </c>
    </row>
    <row r="1738" spans="17:23" x14ac:dyDescent="0.2">
      <c r="Q1738">
        <f t="shared" si="205"/>
        <v>1722</v>
      </c>
      <c r="R1738" s="48">
        <f t="shared" ca="1" si="206"/>
        <v>0.4</v>
      </c>
      <c r="S1738">
        <f t="shared" ca="1" si="207"/>
        <v>228.83391182187097</v>
      </c>
      <c r="T1738" s="61">
        <f t="shared" ca="1" si="208"/>
        <v>19200</v>
      </c>
      <c r="U1738" s="61">
        <f t="shared" ca="1" si="209"/>
        <v>37840.277674498066</v>
      </c>
      <c r="V1738" s="39">
        <f t="shared" ca="1" si="210"/>
        <v>0.24894919522696096</v>
      </c>
      <c r="W1738" s="48">
        <f t="shared" ca="1" si="211"/>
        <v>5.0685561815932267</v>
      </c>
    </row>
    <row r="1739" spans="17:23" x14ac:dyDescent="0.2">
      <c r="Q1739">
        <f t="shared" si="205"/>
        <v>1723</v>
      </c>
      <c r="R1739" s="48">
        <f t="shared" ca="1" si="206"/>
        <v>0.45</v>
      </c>
      <c r="S1739">
        <f t="shared" ca="1" si="207"/>
        <v>177.26614911652166</v>
      </c>
      <c r="T1739" s="61">
        <f t="shared" ca="1" si="208"/>
        <v>21600</v>
      </c>
      <c r="U1739" s="61">
        <f t="shared" ca="1" si="209"/>
        <v>15997.10561126953</v>
      </c>
      <c r="V1739" s="39">
        <f t="shared" ca="1" si="210"/>
        <v>0.10524411586361533</v>
      </c>
      <c r="W1739" s="48">
        <f t="shared" ca="1" si="211"/>
        <v>1.2516162895189584</v>
      </c>
    </row>
    <row r="1740" spans="17:23" x14ac:dyDescent="0.2">
      <c r="Q1740">
        <f t="shared" si="205"/>
        <v>1724</v>
      </c>
      <c r="R1740" s="48">
        <f t="shared" ca="1" si="206"/>
        <v>0.5</v>
      </c>
      <c r="S1740">
        <f t="shared" ca="1" si="207"/>
        <v>205.73487556107966</v>
      </c>
      <c r="T1740" s="61">
        <f t="shared" ca="1" si="208"/>
        <v>24000</v>
      </c>
      <c r="U1740" s="61">
        <f t="shared" ca="1" si="209"/>
        <v>30293.950224431865</v>
      </c>
      <c r="V1740" s="39">
        <f t="shared" ca="1" si="210"/>
        <v>0.19930230410810437</v>
      </c>
      <c r="W1740" s="48">
        <f t="shared" ca="1" si="211"/>
        <v>3.3671609343764359</v>
      </c>
    </row>
    <row r="1741" spans="17:23" x14ac:dyDescent="0.2">
      <c r="Q1741">
        <f t="shared" si="205"/>
        <v>1725</v>
      </c>
      <c r="R1741" s="48">
        <f t="shared" ca="1" si="206"/>
        <v>0.45</v>
      </c>
      <c r="S1741">
        <f t="shared" ca="1" si="207"/>
        <v>213.2499435852352</v>
      </c>
      <c r="T1741" s="61">
        <f t="shared" ca="1" si="208"/>
        <v>21600</v>
      </c>
      <c r="U1741" s="61">
        <f t="shared" ca="1" si="209"/>
        <v>31829.975177503489</v>
      </c>
      <c r="V1741" s="39">
        <f t="shared" ca="1" si="210"/>
        <v>0.20940773143094402</v>
      </c>
      <c r="W1741" s="48">
        <f t="shared" ca="1" si="211"/>
        <v>3.674731524283291</v>
      </c>
    </row>
    <row r="1742" spans="17:23" x14ac:dyDescent="0.2">
      <c r="Q1742">
        <f t="shared" si="205"/>
        <v>1726</v>
      </c>
      <c r="R1742" s="48">
        <f t="shared" ca="1" si="206"/>
        <v>0.3</v>
      </c>
      <c r="S1742">
        <f t="shared" ca="1" si="207"/>
        <v>181.86384195097699</v>
      </c>
      <c r="T1742" s="61">
        <f t="shared" ca="1" si="208"/>
        <v>14400</v>
      </c>
      <c r="U1742" s="61">
        <f t="shared" ca="1" si="209"/>
        <v>9843.751492547115</v>
      </c>
      <c r="V1742" s="39">
        <f t="shared" ca="1" si="210"/>
        <v>6.4761522977283645E-2</v>
      </c>
      <c r="W1742" s="48">
        <f t="shared" ca="1" si="211"/>
        <v>0.66359202139780726</v>
      </c>
    </row>
    <row r="1743" spans="17:23" x14ac:dyDescent="0.2">
      <c r="Q1743">
        <f t="shared" si="205"/>
        <v>1727</v>
      </c>
      <c r="R1743" s="48">
        <f t="shared" ca="1" si="206"/>
        <v>0.45</v>
      </c>
      <c r="S1743">
        <f t="shared" ca="1" si="207"/>
        <v>159.22735917598806</v>
      </c>
      <c r="T1743" s="61">
        <f t="shared" ca="1" si="208"/>
        <v>21600</v>
      </c>
      <c r="U1743" s="61">
        <f t="shared" ca="1" si="209"/>
        <v>8060.0380374347424</v>
      </c>
      <c r="V1743" s="39">
        <f t="shared" ca="1" si="210"/>
        <v>5.3026566035754882E-2</v>
      </c>
      <c r="W1743" s="48">
        <f t="shared" ca="1" si="211"/>
        <v>0.52057512361388825</v>
      </c>
    </row>
    <row r="1744" spans="17:23" x14ac:dyDescent="0.2">
      <c r="Q1744">
        <f t="shared" si="205"/>
        <v>1728</v>
      </c>
      <c r="R1744" s="48">
        <f t="shared" ca="1" si="206"/>
        <v>0.35</v>
      </c>
      <c r="S1744">
        <f t="shared" ca="1" si="207"/>
        <v>175.8308698404949</v>
      </c>
      <c r="T1744" s="61">
        <f t="shared" ca="1" si="208"/>
        <v>16800</v>
      </c>
      <c r="U1744" s="61">
        <f t="shared" ca="1" si="209"/>
        <v>9432.052317057347</v>
      </c>
      <c r="V1744" s="39">
        <f t="shared" ca="1" si="210"/>
        <v>6.2052975770114122E-2</v>
      </c>
      <c r="W1744" s="48">
        <f t="shared" ca="1" si="211"/>
        <v>0.62957582095397147</v>
      </c>
    </row>
    <row r="1745" spans="17:23" x14ac:dyDescent="0.2">
      <c r="Q1745">
        <f t="shared" si="205"/>
        <v>1729</v>
      </c>
      <c r="R1745" s="48">
        <f t="shared" ca="1" si="206"/>
        <v>0.4</v>
      </c>
      <c r="S1745">
        <f t="shared" ca="1" si="207"/>
        <v>182.08075106103382</v>
      </c>
      <c r="T1745" s="61">
        <f t="shared" ca="1" si="208"/>
        <v>19200</v>
      </c>
      <c r="U1745" s="61">
        <f t="shared" ca="1" si="209"/>
        <v>15398.760509296235</v>
      </c>
      <c r="V1745" s="39">
        <f t="shared" ca="1" si="210"/>
        <v>0.10130763492958049</v>
      </c>
      <c r="W1745" s="48">
        <f t="shared" ca="1" si="211"/>
        <v>1.187387454165846</v>
      </c>
    </row>
    <row r="1746" spans="17:23" x14ac:dyDescent="0.2">
      <c r="Q1746">
        <f t="shared" si="205"/>
        <v>1730</v>
      </c>
      <c r="R1746" s="48">
        <f t="shared" ca="1" si="206"/>
        <v>0.4</v>
      </c>
      <c r="S1746">
        <f t="shared" ca="1" si="207"/>
        <v>200.90447357260629</v>
      </c>
      <c r="T1746" s="61">
        <f t="shared" ca="1" si="208"/>
        <v>19200</v>
      </c>
      <c r="U1746" s="61">
        <f t="shared" ca="1" si="209"/>
        <v>24434.147314851019</v>
      </c>
      <c r="V1746" s="39">
        <f t="shared" ca="1" si="210"/>
        <v>0.16075096917665144</v>
      </c>
      <c r="W1746" s="48">
        <f t="shared" ca="1" si="211"/>
        <v>2.350469493457314</v>
      </c>
    </row>
    <row r="1747" spans="17:23" x14ac:dyDescent="0.2">
      <c r="Q1747">
        <f t="shared" ref="Q1747:Q1810" si="212">Q1746+1</f>
        <v>1731</v>
      </c>
      <c r="R1747" s="48">
        <f t="shared" ref="R1747:R1810" ca="1" si="213">LOOKUP(RAND(),$U$6:$U$12,$S$6:$S$12)</f>
        <v>0.3</v>
      </c>
      <c r="S1747">
        <f t="shared" ref="S1747:S1810" ca="1" si="214">_xlfn.NORM.INV(RAND(),$Q$5,$Q$10)</f>
        <v>183.8850009732358</v>
      </c>
      <c r="T1747" s="61">
        <f t="shared" ca="1" si="208"/>
        <v>14400</v>
      </c>
      <c r="U1747" s="61">
        <f t="shared" ca="1" si="209"/>
        <v>10975.60054501205</v>
      </c>
      <c r="V1747" s="39">
        <f t="shared" ca="1" si="210"/>
        <v>7.22078983224477E-2</v>
      </c>
      <c r="W1747" s="48">
        <f t="shared" ca="1" si="211"/>
        <v>0.76033916012236746</v>
      </c>
    </row>
    <row r="1748" spans="17:23" x14ac:dyDescent="0.2">
      <c r="Q1748">
        <f t="shared" si="212"/>
        <v>1732</v>
      </c>
      <c r="R1748" s="48">
        <f t="shared" ca="1" si="213"/>
        <v>0.35</v>
      </c>
      <c r="S1748">
        <f t="shared" ca="1" si="214"/>
        <v>203.18264341292434</v>
      </c>
      <c r="T1748" s="61">
        <f t="shared" ca="1" si="208"/>
        <v>16800</v>
      </c>
      <c r="U1748" s="61">
        <f t="shared" ca="1" si="209"/>
        <v>23654.974574720654</v>
      </c>
      <c r="V1748" s="39">
        <f t="shared" ca="1" si="210"/>
        <v>0.15562483272842537</v>
      </c>
      <c r="W1748" s="48">
        <f t="shared" ca="1" si="211"/>
        <v>2.2323216927561753</v>
      </c>
    </row>
    <row r="1749" spans="17:23" x14ac:dyDescent="0.2">
      <c r="Q1749">
        <f t="shared" si="212"/>
        <v>1733</v>
      </c>
      <c r="R1749" s="48">
        <f t="shared" ca="1" si="213"/>
        <v>0.3</v>
      </c>
      <c r="S1749">
        <f t="shared" ca="1" si="214"/>
        <v>200.63358978659036</v>
      </c>
      <c r="T1749" s="61">
        <f t="shared" ca="1" si="208"/>
        <v>14400</v>
      </c>
      <c r="U1749" s="61">
        <f t="shared" ca="1" si="209"/>
        <v>20354.810280490601</v>
      </c>
      <c r="V1749" s="39">
        <f t="shared" ca="1" si="210"/>
        <v>0.13391322552954343</v>
      </c>
      <c r="W1749" s="48">
        <f t="shared" ca="1" si="211"/>
        <v>1.7714241092972207</v>
      </c>
    </row>
    <row r="1750" spans="17:23" x14ac:dyDescent="0.2">
      <c r="Q1750">
        <f t="shared" si="212"/>
        <v>1734</v>
      </c>
      <c r="R1750" s="48">
        <f t="shared" ca="1" si="213"/>
        <v>0.5</v>
      </c>
      <c r="S1750">
        <f t="shared" ca="1" si="214"/>
        <v>212.48183023231883</v>
      </c>
      <c r="T1750" s="61">
        <f t="shared" ca="1" si="208"/>
        <v>24000</v>
      </c>
      <c r="U1750" s="61">
        <f t="shared" ca="1" si="209"/>
        <v>32992.73209292753</v>
      </c>
      <c r="V1750" s="39">
        <f t="shared" ca="1" si="210"/>
        <v>0.21705744797978638</v>
      </c>
      <c r="W1750" s="48">
        <f t="shared" ca="1" si="211"/>
        <v>3.9200287007515291</v>
      </c>
    </row>
    <row r="1751" spans="17:23" x14ac:dyDescent="0.2">
      <c r="Q1751">
        <f t="shared" si="212"/>
        <v>1735</v>
      </c>
      <c r="R1751" s="48">
        <f t="shared" ca="1" si="213"/>
        <v>0.4</v>
      </c>
      <c r="S1751">
        <f t="shared" ca="1" si="214"/>
        <v>180.7009211075119</v>
      </c>
      <c r="T1751" s="61">
        <f t="shared" ca="1" si="208"/>
        <v>19200</v>
      </c>
      <c r="U1751" s="61">
        <f t="shared" ca="1" si="209"/>
        <v>14736.442131605712</v>
      </c>
      <c r="V1751" s="39">
        <f t="shared" ca="1" si="210"/>
        <v>9.6950277181616529E-2</v>
      </c>
      <c r="W1751" s="48">
        <f t="shared" ca="1" si="211"/>
        <v>1.1181697112487519</v>
      </c>
    </row>
    <row r="1752" spans="17:23" x14ac:dyDescent="0.2">
      <c r="Q1752">
        <f t="shared" si="212"/>
        <v>1736</v>
      </c>
      <c r="R1752" s="48">
        <f t="shared" ca="1" si="213"/>
        <v>0.5</v>
      </c>
      <c r="S1752">
        <f t="shared" ca="1" si="214"/>
        <v>195.90688246357792</v>
      </c>
      <c r="T1752" s="61">
        <f t="shared" ca="1" si="208"/>
        <v>24000</v>
      </c>
      <c r="U1752" s="61">
        <f t="shared" ca="1" si="209"/>
        <v>26362.752985431165</v>
      </c>
      <c r="V1752" s="39">
        <f t="shared" ca="1" si="210"/>
        <v>0.1734391643778366</v>
      </c>
      <c r="W1752" s="48">
        <f t="shared" ca="1" si="211"/>
        <v>2.659337567322142</v>
      </c>
    </row>
    <row r="1753" spans="17:23" x14ac:dyDescent="0.2">
      <c r="Q1753">
        <f t="shared" si="212"/>
        <v>1737</v>
      </c>
      <c r="R1753" s="48">
        <f t="shared" ca="1" si="213"/>
        <v>0.45</v>
      </c>
      <c r="S1753">
        <f t="shared" ca="1" si="214"/>
        <v>204.17317616383264</v>
      </c>
      <c r="T1753" s="61">
        <f t="shared" ca="1" si="208"/>
        <v>21600</v>
      </c>
      <c r="U1753" s="61">
        <f t="shared" ca="1" si="209"/>
        <v>27836.197512086361</v>
      </c>
      <c r="V1753" s="39">
        <f t="shared" ca="1" si="210"/>
        <v>0.18313287836898923</v>
      </c>
      <c r="W1753" s="48">
        <f t="shared" ca="1" si="211"/>
        <v>2.9118574622474567</v>
      </c>
    </row>
    <row r="1754" spans="17:23" x14ac:dyDescent="0.2">
      <c r="Q1754">
        <f t="shared" si="212"/>
        <v>1738</v>
      </c>
      <c r="R1754" s="48">
        <f t="shared" ca="1" si="213"/>
        <v>0.3</v>
      </c>
      <c r="S1754">
        <f t="shared" ca="1" si="214"/>
        <v>169.83500768903423</v>
      </c>
      <c r="T1754" s="61">
        <f t="shared" ca="1" si="208"/>
        <v>14400</v>
      </c>
      <c r="U1754" s="61">
        <f t="shared" ca="1" si="209"/>
        <v>3107.6043058591677</v>
      </c>
      <c r="V1754" s="39">
        <f t="shared" ca="1" si="210"/>
        <v>2.0444765170126104E-2</v>
      </c>
      <c r="W1754" s="48">
        <f t="shared" ca="1" si="211"/>
        <v>0.17839971351681227</v>
      </c>
    </row>
    <row r="1755" spans="17:23" x14ac:dyDescent="0.2">
      <c r="Q1755">
        <f t="shared" si="212"/>
        <v>1739</v>
      </c>
      <c r="R1755" s="48">
        <f t="shared" ca="1" si="213"/>
        <v>0.15</v>
      </c>
      <c r="S1755">
        <f t="shared" ca="1" si="214"/>
        <v>216.90105575498623</v>
      </c>
      <c r="T1755" s="61">
        <f t="shared" ca="1" si="208"/>
        <v>7200</v>
      </c>
      <c r="U1755" s="61">
        <f t="shared" ca="1" si="209"/>
        <v>25492.717913390636</v>
      </c>
      <c r="V1755" s="39">
        <f t="shared" ca="1" si="210"/>
        <v>0.16771524943020155</v>
      </c>
      <c r="W1755" s="48">
        <f t="shared" ca="1" si="211"/>
        <v>2.5170415398704051</v>
      </c>
    </row>
    <row r="1756" spans="17:23" x14ac:dyDescent="0.2">
      <c r="Q1756">
        <f t="shared" si="212"/>
        <v>1740</v>
      </c>
      <c r="R1756" s="48">
        <f t="shared" ca="1" si="213"/>
        <v>0.4</v>
      </c>
      <c r="S1756">
        <f t="shared" ca="1" si="214"/>
        <v>205.89045923335956</v>
      </c>
      <c r="T1756" s="61">
        <f t="shared" ca="1" si="208"/>
        <v>19200</v>
      </c>
      <c r="U1756" s="61">
        <f t="shared" ca="1" si="209"/>
        <v>26827.42043201259</v>
      </c>
      <c r="V1756" s="39">
        <f t="shared" ca="1" si="210"/>
        <v>0.17649618705271441</v>
      </c>
      <c r="W1756" s="48">
        <f t="shared" ca="1" si="211"/>
        <v>2.7373828080508362</v>
      </c>
    </row>
    <row r="1757" spans="17:23" x14ac:dyDescent="0.2">
      <c r="Q1757">
        <f t="shared" si="212"/>
        <v>1741</v>
      </c>
      <c r="R1757" s="48">
        <f t="shared" ca="1" si="213"/>
        <v>0.45</v>
      </c>
      <c r="S1757">
        <f t="shared" ca="1" si="214"/>
        <v>163.58999001492865</v>
      </c>
      <c r="T1757" s="61">
        <f t="shared" ca="1" si="208"/>
        <v>21600</v>
      </c>
      <c r="U1757" s="61">
        <f t="shared" ca="1" si="209"/>
        <v>9979.5956065686023</v>
      </c>
      <c r="V1757" s="39">
        <f t="shared" ca="1" si="210"/>
        <v>6.5655234253740799E-2</v>
      </c>
      <c r="W1757" s="48">
        <f t="shared" ca="1" si="211"/>
        <v>0.67495176278890834</v>
      </c>
    </row>
    <row r="1758" spans="17:23" x14ac:dyDescent="0.2">
      <c r="Q1758">
        <f t="shared" si="212"/>
        <v>1742</v>
      </c>
      <c r="R1758" s="48">
        <f t="shared" ca="1" si="213"/>
        <v>0.3</v>
      </c>
      <c r="S1758">
        <f t="shared" ca="1" si="214"/>
        <v>181.39961443201381</v>
      </c>
      <c r="T1758" s="61">
        <f t="shared" ca="1" si="208"/>
        <v>14400</v>
      </c>
      <c r="U1758" s="61">
        <f t="shared" ca="1" si="209"/>
        <v>9583.7840819277317</v>
      </c>
      <c r="V1758" s="39">
        <f t="shared" ca="1" si="210"/>
        <v>6.3051211065314028E-2</v>
      </c>
      <c r="W1758" s="48">
        <f t="shared" ca="1" si="211"/>
        <v>0.64204085268826461</v>
      </c>
    </row>
    <row r="1759" spans="17:23" x14ac:dyDescent="0.2">
      <c r="Q1759">
        <f t="shared" si="212"/>
        <v>1743</v>
      </c>
      <c r="R1759" s="48">
        <f t="shared" ca="1" si="213"/>
        <v>0.45</v>
      </c>
      <c r="S1759">
        <f t="shared" ca="1" si="214"/>
        <v>164.93204509515252</v>
      </c>
      <c r="T1759" s="61">
        <f t="shared" ca="1" si="208"/>
        <v>21600</v>
      </c>
      <c r="U1759" s="61">
        <f t="shared" ca="1" si="209"/>
        <v>10570.099841867106</v>
      </c>
      <c r="V1759" s="39">
        <f t="shared" ca="1" si="210"/>
        <v>6.9540130538599379E-2</v>
      </c>
      <c r="W1759" s="48">
        <f t="shared" ca="1" si="211"/>
        <v>0.72512590440034086</v>
      </c>
    </row>
    <row r="1760" spans="17:23" x14ac:dyDescent="0.2">
      <c r="Q1760">
        <f t="shared" si="212"/>
        <v>1744</v>
      </c>
      <c r="R1760" s="48">
        <f t="shared" ca="1" si="213"/>
        <v>0.4</v>
      </c>
      <c r="S1760">
        <f t="shared" ca="1" si="214"/>
        <v>185.43209049805685</v>
      </c>
      <c r="T1760" s="61">
        <f t="shared" ca="1" si="208"/>
        <v>19200</v>
      </c>
      <c r="U1760" s="61">
        <f t="shared" ca="1" si="209"/>
        <v>17007.40343906729</v>
      </c>
      <c r="V1760" s="39">
        <f t="shared" ca="1" si="210"/>
        <v>0.11189081209912691</v>
      </c>
      <c r="W1760" s="48">
        <f t="shared" ca="1" si="211"/>
        <v>1.3638240558363606</v>
      </c>
    </row>
    <row r="1761" spans="17:23" x14ac:dyDescent="0.2">
      <c r="Q1761">
        <f t="shared" si="212"/>
        <v>1745</v>
      </c>
      <c r="R1761" s="48">
        <f t="shared" ca="1" si="213"/>
        <v>0.35</v>
      </c>
      <c r="S1761">
        <f t="shared" ca="1" si="214"/>
        <v>195.99754769702977</v>
      </c>
      <c r="T1761" s="61">
        <f t="shared" ca="1" si="208"/>
        <v>16800</v>
      </c>
      <c r="U1761" s="61">
        <f t="shared" ca="1" si="209"/>
        <v>19918.724802455483</v>
      </c>
      <c r="V1761" s="39">
        <f t="shared" ca="1" si="210"/>
        <v>0.13104424212141766</v>
      </c>
      <c r="W1761" s="48">
        <f t="shared" ca="1" si="211"/>
        <v>1.7150568185254911</v>
      </c>
    </row>
    <row r="1762" spans="17:23" x14ac:dyDescent="0.2">
      <c r="Q1762">
        <f t="shared" si="212"/>
        <v>1746</v>
      </c>
      <c r="R1762" s="48">
        <f t="shared" ca="1" si="213"/>
        <v>0.45</v>
      </c>
      <c r="S1762">
        <f t="shared" ca="1" si="214"/>
        <v>198.08257103859032</v>
      </c>
      <c r="T1762" s="61">
        <f t="shared" ca="1" si="208"/>
        <v>21600</v>
      </c>
      <c r="U1762" s="61">
        <f t="shared" ca="1" si="209"/>
        <v>25156.331256979742</v>
      </c>
      <c r="V1762" s="39">
        <f t="shared" ca="1" si="210"/>
        <v>0.16550217932223515</v>
      </c>
      <c r="W1762" s="48">
        <f t="shared" ca="1" si="211"/>
        <v>2.4633394729547753</v>
      </c>
    </row>
    <row r="1763" spans="17:23" x14ac:dyDescent="0.2">
      <c r="Q1763">
        <f t="shared" si="212"/>
        <v>1747</v>
      </c>
      <c r="R1763" s="48">
        <f t="shared" ca="1" si="213"/>
        <v>0.45</v>
      </c>
      <c r="S1763">
        <f t="shared" ca="1" si="214"/>
        <v>210.41327116852514</v>
      </c>
      <c r="T1763" s="61">
        <f t="shared" ca="1" si="208"/>
        <v>21600</v>
      </c>
      <c r="U1763" s="61">
        <f t="shared" ca="1" si="209"/>
        <v>30581.839314151064</v>
      </c>
      <c r="V1763" s="39">
        <f t="shared" ca="1" si="210"/>
        <v>0.20119631127730964</v>
      </c>
      <c r="W1763" s="48">
        <f t="shared" ca="1" si="211"/>
        <v>3.4234173576686437</v>
      </c>
    </row>
    <row r="1764" spans="17:23" x14ac:dyDescent="0.2">
      <c r="Q1764">
        <f t="shared" si="212"/>
        <v>1748</v>
      </c>
      <c r="R1764" s="48">
        <f t="shared" ca="1" si="213"/>
        <v>0.4</v>
      </c>
      <c r="S1764">
        <f t="shared" ca="1" si="214"/>
        <v>199.71250047575197</v>
      </c>
      <c r="T1764" s="61">
        <f t="shared" ca="1" si="208"/>
        <v>19200</v>
      </c>
      <c r="U1764" s="61">
        <f t="shared" ca="1" si="209"/>
        <v>23862.000228360943</v>
      </c>
      <c r="V1764" s="39">
        <f t="shared" ca="1" si="210"/>
        <v>0.15698684360763779</v>
      </c>
      <c r="W1764" s="48">
        <f t="shared" ca="1" si="211"/>
        <v>2.2633515035088001</v>
      </c>
    </row>
    <row r="1765" spans="17:23" x14ac:dyDescent="0.2">
      <c r="Q1765">
        <f t="shared" si="212"/>
        <v>1749</v>
      </c>
      <c r="R1765" s="48">
        <f t="shared" ca="1" si="213"/>
        <v>0.45</v>
      </c>
      <c r="S1765">
        <f t="shared" ca="1" si="214"/>
        <v>216.26705890146062</v>
      </c>
      <c r="T1765" s="61">
        <f t="shared" ca="1" si="208"/>
        <v>21600</v>
      </c>
      <c r="U1765" s="61">
        <f t="shared" ca="1" si="209"/>
        <v>33157.505916642673</v>
      </c>
      <c r="V1765" s="39">
        <f t="shared" ca="1" si="210"/>
        <v>0.21814148629370178</v>
      </c>
      <c r="W1765" s="48">
        <f t="shared" ca="1" si="211"/>
        <v>3.9556867225363836</v>
      </c>
    </row>
    <row r="1766" spans="17:23" x14ac:dyDescent="0.2">
      <c r="Q1766">
        <f t="shared" si="212"/>
        <v>1750</v>
      </c>
      <c r="R1766" s="48">
        <f t="shared" ca="1" si="213"/>
        <v>0.3</v>
      </c>
      <c r="S1766">
        <f t="shared" ca="1" si="214"/>
        <v>207.17306306340615</v>
      </c>
      <c r="T1766" s="61">
        <f t="shared" ca="1" si="208"/>
        <v>14400</v>
      </c>
      <c r="U1766" s="61">
        <f t="shared" ca="1" si="209"/>
        <v>24016.915315507442</v>
      </c>
      <c r="V1766" s="39">
        <f t="shared" ca="1" si="210"/>
        <v>0.15800602181254897</v>
      </c>
      <c r="W1766" s="48">
        <f t="shared" ca="1" si="211"/>
        <v>2.2867413007400201</v>
      </c>
    </row>
    <row r="1767" spans="17:23" x14ac:dyDescent="0.2">
      <c r="Q1767">
        <f t="shared" si="212"/>
        <v>1751</v>
      </c>
      <c r="R1767" s="48">
        <f t="shared" ca="1" si="213"/>
        <v>0.217</v>
      </c>
      <c r="S1767">
        <f t="shared" ca="1" si="214"/>
        <v>207.32776889038428</v>
      </c>
      <c r="T1767" s="61">
        <f t="shared" ca="1" si="208"/>
        <v>10416</v>
      </c>
      <c r="U1767" s="61">
        <f t="shared" ca="1" si="209"/>
        <v>21270.114432936709</v>
      </c>
      <c r="V1767" s="39">
        <f t="shared" ca="1" si="210"/>
        <v>0.13993496337458361</v>
      </c>
      <c r="W1767" s="48">
        <f t="shared" ca="1" si="211"/>
        <v>1.8930810620018246</v>
      </c>
    </row>
    <row r="1768" spans="17:23" x14ac:dyDescent="0.2">
      <c r="Q1768">
        <f t="shared" si="212"/>
        <v>1752</v>
      </c>
      <c r="R1768" s="48">
        <f t="shared" ca="1" si="213"/>
        <v>0.35</v>
      </c>
      <c r="S1768">
        <f t="shared" ca="1" si="214"/>
        <v>148.19342485713446</v>
      </c>
      <c r="T1768" s="61">
        <f t="shared" ca="1" si="208"/>
        <v>16800</v>
      </c>
      <c r="U1768" s="61">
        <f t="shared" ca="1" si="209"/>
        <v>-4939.4190742900828</v>
      </c>
      <c r="V1768" s="39">
        <f t="shared" ca="1" si="210"/>
        <v>-3.249617812032949E-2</v>
      </c>
      <c r="W1768" s="48">
        <f t="shared" ca="1" si="211"/>
        <v>-0.23506000532281512</v>
      </c>
    </row>
    <row r="1769" spans="17:23" x14ac:dyDescent="0.2">
      <c r="Q1769">
        <f t="shared" si="212"/>
        <v>1753</v>
      </c>
      <c r="R1769" s="48">
        <f t="shared" ca="1" si="213"/>
        <v>0.3</v>
      </c>
      <c r="S1769">
        <f t="shared" ca="1" si="214"/>
        <v>184.46096861151096</v>
      </c>
      <c r="T1769" s="61">
        <f t="shared" ca="1" si="208"/>
        <v>14400</v>
      </c>
      <c r="U1769" s="61">
        <f t="shared" ca="1" si="209"/>
        <v>11298.142422446141</v>
      </c>
      <c r="V1769" s="39">
        <f t="shared" ca="1" si="210"/>
        <v>7.4329884358198289E-2</v>
      </c>
      <c r="W1769" s="48">
        <f t="shared" ca="1" si="211"/>
        <v>0.78879672909560883</v>
      </c>
    </row>
    <row r="1770" spans="17:23" x14ac:dyDescent="0.2">
      <c r="Q1770">
        <f t="shared" si="212"/>
        <v>1754</v>
      </c>
      <c r="R1770" s="48">
        <f t="shared" ca="1" si="213"/>
        <v>0.35</v>
      </c>
      <c r="S1770">
        <f t="shared" ca="1" si="214"/>
        <v>211.98219852563852</v>
      </c>
      <c r="T1770" s="61">
        <f t="shared" ca="1" si="208"/>
        <v>16800</v>
      </c>
      <c r="U1770" s="61">
        <f t="shared" ca="1" si="209"/>
        <v>28230.743233332032</v>
      </c>
      <c r="V1770" s="39">
        <f t="shared" ca="1" si="210"/>
        <v>0.1857285739035002</v>
      </c>
      <c r="W1770" s="48">
        <f t="shared" ca="1" si="211"/>
        <v>2.9820148280729852</v>
      </c>
    </row>
    <row r="1771" spans="17:23" x14ac:dyDescent="0.2">
      <c r="Q1771">
        <f t="shared" si="212"/>
        <v>1755</v>
      </c>
      <c r="R1771" s="48">
        <f t="shared" ca="1" si="213"/>
        <v>0.3</v>
      </c>
      <c r="S1771">
        <f t="shared" ca="1" si="214"/>
        <v>176.56332818303099</v>
      </c>
      <c r="T1771" s="61">
        <f t="shared" ca="1" si="208"/>
        <v>14400</v>
      </c>
      <c r="U1771" s="61">
        <f t="shared" ca="1" si="209"/>
        <v>6875.4637824973543</v>
      </c>
      <c r="V1771" s="39">
        <f t="shared" ca="1" si="210"/>
        <v>4.5233314358535226E-2</v>
      </c>
      <c r="W1771" s="48">
        <f t="shared" ca="1" si="211"/>
        <v>0.43166283780933323</v>
      </c>
    </row>
    <row r="1772" spans="17:23" x14ac:dyDescent="0.2">
      <c r="Q1772">
        <f t="shared" si="212"/>
        <v>1756</v>
      </c>
      <c r="R1772" s="48">
        <f t="shared" ca="1" si="213"/>
        <v>0.15</v>
      </c>
      <c r="S1772">
        <f t="shared" ca="1" si="214"/>
        <v>175.09255934902109</v>
      </c>
      <c r="T1772" s="61">
        <f t="shared" ca="1" si="208"/>
        <v>7200</v>
      </c>
      <c r="U1772" s="61">
        <f t="shared" ca="1" si="209"/>
        <v>-2937.0596426656612</v>
      </c>
      <c r="V1772" s="39">
        <f t="shared" ca="1" si="210"/>
        <v>-1.9322760807010928E-2</v>
      </c>
      <c r="W1772" s="48">
        <f t="shared" ca="1" si="211"/>
        <v>-0.14637481245612549</v>
      </c>
    </row>
    <row r="1773" spans="17:23" x14ac:dyDescent="0.2">
      <c r="Q1773">
        <f t="shared" si="212"/>
        <v>1757</v>
      </c>
      <c r="R1773" s="48">
        <f t="shared" ca="1" si="213"/>
        <v>0.3</v>
      </c>
      <c r="S1773">
        <f t="shared" ca="1" si="214"/>
        <v>194.16613900219164</v>
      </c>
      <c r="T1773" s="61">
        <f t="shared" ca="1" si="208"/>
        <v>14400</v>
      </c>
      <c r="U1773" s="61">
        <f t="shared" ca="1" si="209"/>
        <v>16733.03784122732</v>
      </c>
      <c r="V1773" s="39">
        <f t="shared" ca="1" si="210"/>
        <v>0.11008577527123237</v>
      </c>
      <c r="W1773" s="48">
        <f t="shared" ca="1" si="211"/>
        <v>1.3328774014186324</v>
      </c>
    </row>
    <row r="1774" spans="17:23" x14ac:dyDescent="0.2">
      <c r="Q1774">
        <f t="shared" si="212"/>
        <v>1758</v>
      </c>
      <c r="R1774" s="48">
        <f t="shared" ca="1" si="213"/>
        <v>0.3</v>
      </c>
      <c r="S1774">
        <f t="shared" ca="1" si="214"/>
        <v>200.95583336927081</v>
      </c>
      <c r="T1774" s="61">
        <f t="shared" ca="1" si="208"/>
        <v>14400</v>
      </c>
      <c r="U1774" s="61">
        <f t="shared" ca="1" si="209"/>
        <v>20535.266686791652</v>
      </c>
      <c r="V1774" s="39">
        <f t="shared" ca="1" si="210"/>
        <v>0.13510043872889244</v>
      </c>
      <c r="W1774" s="48">
        <f t="shared" ca="1" si="211"/>
        <v>1.7950478907877607</v>
      </c>
    </row>
    <row r="1775" spans="17:23" x14ac:dyDescent="0.2">
      <c r="Q1775">
        <f t="shared" si="212"/>
        <v>1759</v>
      </c>
      <c r="R1775" s="48">
        <f t="shared" ca="1" si="213"/>
        <v>0.3</v>
      </c>
      <c r="S1775">
        <f t="shared" ca="1" si="214"/>
        <v>188.74723823227473</v>
      </c>
      <c r="T1775" s="61">
        <f t="shared" ca="1" si="208"/>
        <v>14400</v>
      </c>
      <c r="U1775" s="61">
        <f t="shared" ca="1" si="209"/>
        <v>13698.453410073846</v>
      </c>
      <c r="V1775" s="39">
        <f t="shared" ca="1" si="210"/>
        <v>9.0121404013643727E-2</v>
      </c>
      <c r="W1775" s="48">
        <f t="shared" ca="1" si="211"/>
        <v>1.0135518121752041</v>
      </c>
    </row>
    <row r="1776" spans="17:23" x14ac:dyDescent="0.2">
      <c r="Q1776">
        <f t="shared" si="212"/>
        <v>1760</v>
      </c>
      <c r="R1776" s="48">
        <f t="shared" ca="1" si="213"/>
        <v>0.5</v>
      </c>
      <c r="S1776">
        <f t="shared" ca="1" si="214"/>
        <v>190.58877680483101</v>
      </c>
      <c r="T1776" s="61">
        <f t="shared" ca="1" si="208"/>
        <v>24000</v>
      </c>
      <c r="U1776" s="61">
        <f t="shared" ca="1" si="209"/>
        <v>24235.510721932405</v>
      </c>
      <c r="V1776" s="39">
        <f t="shared" ca="1" si="210"/>
        <v>0.1594441494863974</v>
      </c>
      <c r="W1776" s="48">
        <f t="shared" ca="1" si="211"/>
        <v>2.3199958300154377</v>
      </c>
    </row>
    <row r="1777" spans="17:23" x14ac:dyDescent="0.2">
      <c r="Q1777">
        <f t="shared" si="212"/>
        <v>1761</v>
      </c>
      <c r="R1777" s="48">
        <f t="shared" ca="1" si="213"/>
        <v>0.3</v>
      </c>
      <c r="S1777">
        <f t="shared" ca="1" si="214"/>
        <v>201.50049919464874</v>
      </c>
      <c r="T1777" s="61">
        <f t="shared" ca="1" si="208"/>
        <v>14400</v>
      </c>
      <c r="U1777" s="61">
        <f t="shared" ca="1" si="209"/>
        <v>20840.279549003295</v>
      </c>
      <c r="V1777" s="39">
        <f t="shared" ca="1" si="210"/>
        <v>0.13710710229607431</v>
      </c>
      <c r="W1777" s="48">
        <f t="shared" ca="1" si="211"/>
        <v>1.8353790712486178</v>
      </c>
    </row>
    <row r="1778" spans="17:23" x14ac:dyDescent="0.2">
      <c r="Q1778">
        <f t="shared" si="212"/>
        <v>1762</v>
      </c>
      <c r="R1778" s="48">
        <f t="shared" ca="1" si="213"/>
        <v>0.45</v>
      </c>
      <c r="S1778">
        <f t="shared" ca="1" si="214"/>
        <v>178.44783147926989</v>
      </c>
      <c r="T1778" s="61">
        <f t="shared" ca="1" si="208"/>
        <v>21600</v>
      </c>
      <c r="U1778" s="61">
        <f t="shared" ca="1" si="209"/>
        <v>16517.045850878752</v>
      </c>
      <c r="V1778" s="39">
        <f t="shared" ca="1" si="210"/>
        <v>0.10866477533472864</v>
      </c>
      <c r="W1778" s="48">
        <f t="shared" ca="1" si="211"/>
        <v>1.308765370200148</v>
      </c>
    </row>
    <row r="1779" spans="17:23" x14ac:dyDescent="0.2">
      <c r="Q1779">
        <f t="shared" si="212"/>
        <v>1763</v>
      </c>
      <c r="R1779" s="48">
        <f t="shared" ca="1" si="213"/>
        <v>0.4</v>
      </c>
      <c r="S1779">
        <f t="shared" ca="1" si="214"/>
        <v>165.1246702163192</v>
      </c>
      <c r="T1779" s="61">
        <f t="shared" ca="1" si="208"/>
        <v>19200</v>
      </c>
      <c r="U1779" s="61">
        <f t="shared" ca="1" si="209"/>
        <v>7259.8417038332173</v>
      </c>
      <c r="V1779" s="39">
        <f t="shared" ca="1" si="210"/>
        <v>4.7762116472586956E-2</v>
      </c>
      <c r="W1779" s="48">
        <f t="shared" ca="1" si="211"/>
        <v>0.46000029800786013</v>
      </c>
    </row>
    <row r="1780" spans="17:23" x14ac:dyDescent="0.2">
      <c r="Q1780">
        <f t="shared" si="212"/>
        <v>1764</v>
      </c>
      <c r="R1780" s="48">
        <f t="shared" ca="1" si="213"/>
        <v>0.3</v>
      </c>
      <c r="S1780">
        <f t="shared" ca="1" si="214"/>
        <v>179.31853123970239</v>
      </c>
      <c r="T1780" s="61">
        <f t="shared" ca="1" si="208"/>
        <v>14400</v>
      </c>
      <c r="U1780" s="61">
        <f t="shared" ca="1" si="209"/>
        <v>8418.3774942333403</v>
      </c>
      <c r="V1780" s="39">
        <f t="shared" ca="1" si="210"/>
        <v>5.5384062462061449E-2</v>
      </c>
      <c r="W1780" s="48">
        <f t="shared" ca="1" si="211"/>
        <v>0.54840805692891426</v>
      </c>
    </row>
    <row r="1781" spans="17:23" x14ac:dyDescent="0.2">
      <c r="Q1781">
        <f t="shared" si="212"/>
        <v>1765</v>
      </c>
      <c r="R1781" s="48">
        <f t="shared" ca="1" si="213"/>
        <v>0.3</v>
      </c>
      <c r="S1781">
        <f t="shared" ca="1" si="214"/>
        <v>193.40624816250926</v>
      </c>
      <c r="T1781" s="61">
        <f t="shared" ca="1" si="208"/>
        <v>14400</v>
      </c>
      <c r="U1781" s="61">
        <f t="shared" ca="1" si="209"/>
        <v>16307.498971005185</v>
      </c>
      <c r="V1781" s="39">
        <f t="shared" ca="1" si="210"/>
        <v>0.10728617744082358</v>
      </c>
      <c r="W1781" s="48">
        <f t="shared" ca="1" si="211"/>
        <v>1.2855819232144965</v>
      </c>
    </row>
    <row r="1782" spans="17:23" x14ac:dyDescent="0.2">
      <c r="Q1782">
        <f t="shared" si="212"/>
        <v>1766</v>
      </c>
      <c r="R1782" s="48">
        <f t="shared" ca="1" si="213"/>
        <v>0.3</v>
      </c>
      <c r="S1782">
        <f t="shared" ca="1" si="214"/>
        <v>168.61928957498313</v>
      </c>
      <c r="T1782" s="61">
        <f t="shared" ca="1" si="208"/>
        <v>14400</v>
      </c>
      <c r="U1782" s="61">
        <f t="shared" ca="1" si="209"/>
        <v>2426.8021619905521</v>
      </c>
      <c r="V1782" s="39">
        <f t="shared" ca="1" si="210"/>
        <v>1.5965803697306265E-2</v>
      </c>
      <c r="W1782" s="48">
        <f t="shared" ca="1" si="211"/>
        <v>0.13709582740794279</v>
      </c>
    </row>
    <row r="1783" spans="17:23" x14ac:dyDescent="0.2">
      <c r="Q1783">
        <f t="shared" si="212"/>
        <v>1767</v>
      </c>
      <c r="R1783" s="48">
        <f t="shared" ca="1" si="213"/>
        <v>0.45</v>
      </c>
      <c r="S1783">
        <f t="shared" ca="1" si="214"/>
        <v>195.4118237257741</v>
      </c>
      <c r="T1783" s="61">
        <f t="shared" ca="1" si="208"/>
        <v>21600</v>
      </c>
      <c r="U1783" s="61">
        <f t="shared" ca="1" si="209"/>
        <v>23981.202439340603</v>
      </c>
      <c r="V1783" s="39">
        <f t="shared" ca="1" si="210"/>
        <v>0.15777106867987239</v>
      </c>
      <c r="W1783" s="48">
        <f t="shared" ca="1" si="211"/>
        <v>2.2813362097399916</v>
      </c>
    </row>
    <row r="1784" spans="17:23" x14ac:dyDescent="0.2">
      <c r="Q1784">
        <f t="shared" si="212"/>
        <v>1768</v>
      </c>
      <c r="R1784" s="48">
        <f t="shared" ca="1" si="213"/>
        <v>0.217</v>
      </c>
      <c r="S1784">
        <f t="shared" ca="1" si="214"/>
        <v>179.52415730802423</v>
      </c>
      <c r="T1784" s="61">
        <f t="shared" ca="1" si="208"/>
        <v>10416</v>
      </c>
      <c r="U1784" s="61">
        <f t="shared" ca="1" si="209"/>
        <v>3853.9321377463775</v>
      </c>
      <c r="V1784" s="39">
        <f t="shared" ca="1" si="210"/>
        <v>2.5354816695699851E-2</v>
      </c>
      <c r="W1784" s="48">
        <f t="shared" ca="1" si="211"/>
        <v>0.22518493756024305</v>
      </c>
    </row>
    <row r="1785" spans="17:23" x14ac:dyDescent="0.2">
      <c r="Q1785">
        <f t="shared" si="212"/>
        <v>1769</v>
      </c>
      <c r="R1785" s="48">
        <f t="shared" ca="1" si="213"/>
        <v>0.4</v>
      </c>
      <c r="S1785">
        <f t="shared" ca="1" si="214"/>
        <v>207.96260819443705</v>
      </c>
      <c r="T1785" s="61">
        <f t="shared" ref="T1785:T1848" ca="1" si="215">($B$8-$B$7)*($E$6*R1785)</f>
        <v>19200</v>
      </c>
      <c r="U1785" s="61">
        <f t="shared" ref="U1785:U1848" ca="1" si="216">T1785+((S1785-$B$7)*($E$6*(1-R1785)))</f>
        <v>27822.051933329785</v>
      </c>
      <c r="V1785" s="39">
        <f t="shared" ref="V1785:V1848" ca="1" si="217">U1785/$E$4</f>
        <v>0.18303981535085384</v>
      </c>
      <c r="W1785" s="48">
        <f t="shared" ref="W1785:W1848" ca="1" si="218">(1+V1785)^($J$29/$J$30)-1</f>
        <v>2.9093623762194012</v>
      </c>
    </row>
    <row r="1786" spans="17:23" x14ac:dyDescent="0.2">
      <c r="Q1786">
        <f t="shared" si="212"/>
        <v>1770</v>
      </c>
      <c r="R1786" s="48">
        <f t="shared" ca="1" si="213"/>
        <v>0.5</v>
      </c>
      <c r="S1786">
        <f t="shared" ca="1" si="214"/>
        <v>209.52230043506754</v>
      </c>
      <c r="T1786" s="61">
        <f t="shared" ca="1" si="215"/>
        <v>24000</v>
      </c>
      <c r="U1786" s="61">
        <f t="shared" ca="1" si="216"/>
        <v>31808.920174027015</v>
      </c>
      <c r="V1786" s="39">
        <f t="shared" ca="1" si="217"/>
        <v>0.20926921167123036</v>
      </c>
      <c r="W1786" s="48">
        <f t="shared" ca="1" si="218"/>
        <v>3.6703904306004302</v>
      </c>
    </row>
    <row r="1787" spans="17:23" x14ac:dyDescent="0.2">
      <c r="Q1787">
        <f t="shared" si="212"/>
        <v>1771</v>
      </c>
      <c r="R1787" s="48">
        <f t="shared" ca="1" si="213"/>
        <v>0.217</v>
      </c>
      <c r="S1787">
        <f t="shared" ca="1" si="214"/>
        <v>192.96712942704443</v>
      </c>
      <c r="T1787" s="61">
        <f t="shared" ca="1" si="215"/>
        <v>10416</v>
      </c>
      <c r="U1787" s="61">
        <f t="shared" ca="1" si="216"/>
        <v>12274.609873100628</v>
      </c>
      <c r="V1787" s="39">
        <f t="shared" ca="1" si="217"/>
        <v>8.075401232303045E-2</v>
      </c>
      <c r="W1787" s="48">
        <f t="shared" ca="1" si="218"/>
        <v>0.87742363444746041</v>
      </c>
    </row>
    <row r="1788" spans="17:23" x14ac:dyDescent="0.2">
      <c r="Q1788">
        <f t="shared" si="212"/>
        <v>1772</v>
      </c>
      <c r="R1788" s="48">
        <f t="shared" ca="1" si="213"/>
        <v>0.45</v>
      </c>
      <c r="S1788">
        <f t="shared" ca="1" si="214"/>
        <v>159.03576335914227</v>
      </c>
      <c r="T1788" s="61">
        <f t="shared" ca="1" si="215"/>
        <v>21600</v>
      </c>
      <c r="U1788" s="61">
        <f t="shared" ca="1" si="216"/>
        <v>7975.735878022595</v>
      </c>
      <c r="V1788" s="39">
        <f t="shared" ca="1" si="217"/>
        <v>5.2471946565938128E-2</v>
      </c>
      <c r="W1788" s="48">
        <f t="shared" ca="1" si="218"/>
        <v>0.51409130536276471</v>
      </c>
    </row>
    <row r="1789" spans="17:23" x14ac:dyDescent="0.2">
      <c r="Q1789">
        <f t="shared" si="212"/>
        <v>1773</v>
      </c>
      <c r="R1789" s="48">
        <f t="shared" ca="1" si="213"/>
        <v>0.3</v>
      </c>
      <c r="S1789">
        <f t="shared" ca="1" si="214"/>
        <v>177.10195385788631</v>
      </c>
      <c r="T1789" s="61">
        <f t="shared" ca="1" si="215"/>
        <v>14400</v>
      </c>
      <c r="U1789" s="61">
        <f t="shared" ca="1" si="216"/>
        <v>7177.0941604163363</v>
      </c>
      <c r="V1789" s="39">
        <f t="shared" ca="1" si="217"/>
        <v>4.7217724739581163E-2</v>
      </c>
      <c r="W1789" s="48">
        <f t="shared" ca="1" si="218"/>
        <v>0.45385872065772848</v>
      </c>
    </row>
    <row r="1790" spans="17:23" x14ac:dyDescent="0.2">
      <c r="Q1790">
        <f t="shared" si="212"/>
        <v>1774</v>
      </c>
      <c r="R1790" s="48">
        <f t="shared" ca="1" si="213"/>
        <v>0.3</v>
      </c>
      <c r="S1790">
        <f t="shared" ca="1" si="214"/>
        <v>175.38755957689045</v>
      </c>
      <c r="T1790" s="61">
        <f t="shared" ca="1" si="215"/>
        <v>14400</v>
      </c>
      <c r="U1790" s="61">
        <f t="shared" ca="1" si="216"/>
        <v>6217.0333630586538</v>
      </c>
      <c r="V1790" s="39">
        <f t="shared" ca="1" si="217"/>
        <v>4.0901535283280617E-2</v>
      </c>
      <c r="W1790" s="48">
        <f t="shared" ca="1" si="218"/>
        <v>0.38424064860748564</v>
      </c>
    </row>
    <row r="1791" spans="17:23" x14ac:dyDescent="0.2">
      <c r="Q1791">
        <f t="shared" si="212"/>
        <v>1775</v>
      </c>
      <c r="R1791" s="48">
        <f t="shared" ca="1" si="213"/>
        <v>0.45</v>
      </c>
      <c r="S1791">
        <f t="shared" ca="1" si="214"/>
        <v>183.96881874355856</v>
      </c>
      <c r="T1791" s="61">
        <f t="shared" ca="1" si="215"/>
        <v>21600</v>
      </c>
      <c r="U1791" s="61">
        <f t="shared" ca="1" si="216"/>
        <v>18946.280247165763</v>
      </c>
      <c r="V1791" s="39">
        <f t="shared" ca="1" si="217"/>
        <v>0.12464658057345897</v>
      </c>
      <c r="W1791" s="48">
        <f t="shared" ca="1" si="218"/>
        <v>1.592966996231103</v>
      </c>
    </row>
    <row r="1792" spans="17:23" x14ac:dyDescent="0.2">
      <c r="Q1792">
        <f t="shared" si="212"/>
        <v>1776</v>
      </c>
      <c r="R1792" s="48">
        <f t="shared" ca="1" si="213"/>
        <v>0.4</v>
      </c>
      <c r="S1792">
        <f t="shared" ca="1" si="214"/>
        <v>179.36082919749552</v>
      </c>
      <c r="T1792" s="61">
        <f t="shared" ca="1" si="215"/>
        <v>19200</v>
      </c>
      <c r="U1792" s="61">
        <f t="shared" ca="1" si="216"/>
        <v>14093.19801479785</v>
      </c>
      <c r="V1792" s="39">
        <f t="shared" ca="1" si="217"/>
        <v>9.271840799209112E-2</v>
      </c>
      <c r="W1792" s="48">
        <f t="shared" ca="1" si="218"/>
        <v>1.0527911644733758</v>
      </c>
    </row>
    <row r="1793" spans="17:23" x14ac:dyDescent="0.2">
      <c r="Q1793">
        <f t="shared" si="212"/>
        <v>1777</v>
      </c>
      <c r="R1793" s="48">
        <f t="shared" ca="1" si="213"/>
        <v>0.4</v>
      </c>
      <c r="S1793">
        <f t="shared" ca="1" si="214"/>
        <v>182.33504571585266</v>
      </c>
      <c r="T1793" s="61">
        <f t="shared" ca="1" si="215"/>
        <v>19200</v>
      </c>
      <c r="U1793" s="61">
        <f t="shared" ca="1" si="216"/>
        <v>15520.821943609277</v>
      </c>
      <c r="V1793" s="39">
        <f t="shared" ca="1" si="217"/>
        <v>0.10211067068163998</v>
      </c>
      <c r="W1793" s="48">
        <f t="shared" ca="1" si="218"/>
        <v>1.2003580061397123</v>
      </c>
    </row>
    <row r="1794" spans="17:23" x14ac:dyDescent="0.2">
      <c r="Q1794">
        <f t="shared" si="212"/>
        <v>1778</v>
      </c>
      <c r="R1794" s="48">
        <f t="shared" ca="1" si="213"/>
        <v>0.217</v>
      </c>
      <c r="S1794">
        <f t="shared" ca="1" si="214"/>
        <v>229.76611979273753</v>
      </c>
      <c r="T1794" s="61">
        <f t="shared" ca="1" si="215"/>
        <v>10416</v>
      </c>
      <c r="U1794" s="61">
        <f t="shared" ca="1" si="216"/>
        <v>35325.497438170787</v>
      </c>
      <c r="V1794" s="39">
        <f t="shared" ca="1" si="217"/>
        <v>0.23240458840901834</v>
      </c>
      <c r="W1794" s="48">
        <f t="shared" ca="1" si="218"/>
        <v>4.4464077670669555</v>
      </c>
    </row>
    <row r="1795" spans="17:23" x14ac:dyDescent="0.2">
      <c r="Q1795">
        <f t="shared" si="212"/>
        <v>1779</v>
      </c>
      <c r="R1795" s="48">
        <f t="shared" ca="1" si="213"/>
        <v>0.35</v>
      </c>
      <c r="S1795">
        <f t="shared" ca="1" si="214"/>
        <v>160.95331599523055</v>
      </c>
      <c r="T1795" s="61">
        <f t="shared" ca="1" si="215"/>
        <v>16800</v>
      </c>
      <c r="U1795" s="61">
        <f t="shared" ca="1" si="216"/>
        <v>1695.7243175198873</v>
      </c>
      <c r="V1795" s="39">
        <f t="shared" ca="1" si="217"/>
        <v>1.1156081036315048E-2</v>
      </c>
      <c r="W1795" s="48">
        <f t="shared" ca="1" si="218"/>
        <v>9.4160266107862656E-2</v>
      </c>
    </row>
    <row r="1796" spans="17:23" x14ac:dyDescent="0.2">
      <c r="Q1796">
        <f t="shared" si="212"/>
        <v>1780</v>
      </c>
      <c r="R1796" s="48">
        <f t="shared" ca="1" si="213"/>
        <v>0.3</v>
      </c>
      <c r="S1796">
        <f t="shared" ca="1" si="214"/>
        <v>205.62782400415028</v>
      </c>
      <c r="T1796" s="61">
        <f t="shared" ca="1" si="215"/>
        <v>14400</v>
      </c>
      <c r="U1796" s="61">
        <f t="shared" ca="1" si="216"/>
        <v>23151.581442324161</v>
      </c>
      <c r="V1796" s="39">
        <f t="shared" ca="1" si="217"/>
        <v>0.15231303580476421</v>
      </c>
      <c r="W1796" s="48">
        <f t="shared" ca="1" si="218"/>
        <v>2.1579479211944852</v>
      </c>
    </row>
    <row r="1797" spans="17:23" x14ac:dyDescent="0.2">
      <c r="Q1797">
        <f t="shared" si="212"/>
        <v>1781</v>
      </c>
      <c r="R1797" s="48">
        <f t="shared" ca="1" si="213"/>
        <v>0.45</v>
      </c>
      <c r="S1797">
        <f t="shared" ca="1" si="214"/>
        <v>171.54484811291417</v>
      </c>
      <c r="T1797" s="61">
        <f t="shared" ca="1" si="215"/>
        <v>21600</v>
      </c>
      <c r="U1797" s="61">
        <f t="shared" ca="1" si="216"/>
        <v>13479.733169682233</v>
      </c>
      <c r="V1797" s="39">
        <f t="shared" ca="1" si="217"/>
        <v>8.8682455063698901E-2</v>
      </c>
      <c r="W1797" s="48">
        <f t="shared" ca="1" si="218"/>
        <v>0.99209446115252531</v>
      </c>
    </row>
    <row r="1798" spans="17:23" x14ac:dyDescent="0.2">
      <c r="Q1798">
        <f t="shared" si="212"/>
        <v>1782</v>
      </c>
      <c r="R1798" s="48">
        <f t="shared" ca="1" si="213"/>
        <v>0.45</v>
      </c>
      <c r="S1798">
        <f t="shared" ca="1" si="214"/>
        <v>170.51393121684177</v>
      </c>
      <c r="T1798" s="61">
        <f t="shared" ca="1" si="215"/>
        <v>21600</v>
      </c>
      <c r="U1798" s="61">
        <f t="shared" ca="1" si="216"/>
        <v>13026.129735410377</v>
      </c>
      <c r="V1798" s="39">
        <f t="shared" ca="1" si="217"/>
        <v>8.5698221943489319E-2</v>
      </c>
      <c r="W1798" s="48">
        <f t="shared" ca="1" si="218"/>
        <v>0.94823209402268249</v>
      </c>
    </row>
    <row r="1799" spans="17:23" x14ac:dyDescent="0.2">
      <c r="Q1799">
        <f t="shared" si="212"/>
        <v>1783</v>
      </c>
      <c r="R1799" s="48">
        <f t="shared" ca="1" si="213"/>
        <v>0.5</v>
      </c>
      <c r="S1799">
        <f t="shared" ca="1" si="214"/>
        <v>213.21123801413191</v>
      </c>
      <c r="T1799" s="61">
        <f t="shared" ca="1" si="215"/>
        <v>24000</v>
      </c>
      <c r="U1799" s="61">
        <f t="shared" ca="1" si="216"/>
        <v>33284.495205652762</v>
      </c>
      <c r="V1799" s="39">
        <f t="shared" ca="1" si="217"/>
        <v>0.21897694214245239</v>
      </c>
      <c r="W1799" s="48">
        <f t="shared" ca="1" si="218"/>
        <v>3.9833223420840742</v>
      </c>
    </row>
    <row r="1800" spans="17:23" x14ac:dyDescent="0.2">
      <c r="Q1800">
        <f t="shared" si="212"/>
        <v>1784</v>
      </c>
      <c r="R1800" s="48">
        <f t="shared" ca="1" si="213"/>
        <v>0.35</v>
      </c>
      <c r="S1800">
        <f t="shared" ca="1" si="214"/>
        <v>213.33307225187696</v>
      </c>
      <c r="T1800" s="61">
        <f t="shared" ca="1" si="215"/>
        <v>16800</v>
      </c>
      <c r="U1800" s="61">
        <f t="shared" ca="1" si="216"/>
        <v>28933.197570976015</v>
      </c>
      <c r="V1800" s="39">
        <f t="shared" ca="1" si="217"/>
        <v>0.19034998401957906</v>
      </c>
      <c r="W1800" s="48">
        <f t="shared" ca="1" si="218"/>
        <v>3.1096577950190509</v>
      </c>
    </row>
    <row r="1801" spans="17:23" x14ac:dyDescent="0.2">
      <c r="Q1801">
        <f t="shared" si="212"/>
        <v>1785</v>
      </c>
      <c r="R1801" s="48">
        <f t="shared" ca="1" si="213"/>
        <v>0.45</v>
      </c>
      <c r="S1801">
        <f t="shared" ca="1" si="214"/>
        <v>222.08089835212337</v>
      </c>
      <c r="T1801" s="61">
        <f t="shared" ca="1" si="215"/>
        <v>21600</v>
      </c>
      <c r="U1801" s="61">
        <f t="shared" ca="1" si="216"/>
        <v>35715.595274934283</v>
      </c>
      <c r="V1801" s="39">
        <f t="shared" ca="1" si="217"/>
        <v>0.23497102154562027</v>
      </c>
      <c r="W1801" s="48">
        <f t="shared" ca="1" si="218"/>
        <v>4.5390874478293908</v>
      </c>
    </row>
    <row r="1802" spans="17:23" x14ac:dyDescent="0.2">
      <c r="Q1802">
        <f t="shared" si="212"/>
        <v>1786</v>
      </c>
      <c r="R1802" s="48">
        <f t="shared" ca="1" si="213"/>
        <v>0.45</v>
      </c>
      <c r="S1802">
        <f t="shared" ca="1" si="214"/>
        <v>206.45529861138445</v>
      </c>
      <c r="T1802" s="61">
        <f t="shared" ca="1" si="215"/>
        <v>21600</v>
      </c>
      <c r="U1802" s="61">
        <f t="shared" ca="1" si="216"/>
        <v>28840.331389009159</v>
      </c>
      <c r="V1802" s="39">
        <f t="shared" ca="1" si="217"/>
        <v>0.18973902229611289</v>
      </c>
      <c r="W1802" s="48">
        <f t="shared" ca="1" si="218"/>
        <v>3.092579956972596</v>
      </c>
    </row>
    <row r="1803" spans="17:23" x14ac:dyDescent="0.2">
      <c r="Q1803">
        <f t="shared" si="212"/>
        <v>1787</v>
      </c>
      <c r="R1803" s="48">
        <f t="shared" ca="1" si="213"/>
        <v>0.3</v>
      </c>
      <c r="S1803">
        <f t="shared" ca="1" si="214"/>
        <v>189.78691625762104</v>
      </c>
      <c r="T1803" s="61">
        <f t="shared" ca="1" si="215"/>
        <v>14400</v>
      </c>
      <c r="U1803" s="61">
        <f t="shared" ca="1" si="216"/>
        <v>14280.673104267786</v>
      </c>
      <c r="V1803" s="39">
        <f t="shared" ca="1" si="217"/>
        <v>9.3951796738603849E-2</v>
      </c>
      <c r="W1803" s="48">
        <f t="shared" ca="1" si="218"/>
        <v>1.0716606602871357</v>
      </c>
    </row>
    <row r="1804" spans="17:23" x14ac:dyDescent="0.2">
      <c r="Q1804">
        <f t="shared" si="212"/>
        <v>1788</v>
      </c>
      <c r="R1804" s="48">
        <f t="shared" ca="1" si="213"/>
        <v>0.3</v>
      </c>
      <c r="S1804">
        <f t="shared" ca="1" si="214"/>
        <v>214.70481489962114</v>
      </c>
      <c r="T1804" s="61">
        <f t="shared" ca="1" si="215"/>
        <v>14400</v>
      </c>
      <c r="U1804" s="61">
        <f t="shared" ca="1" si="216"/>
        <v>28234.696343787837</v>
      </c>
      <c r="V1804" s="39">
        <f t="shared" ca="1" si="217"/>
        <v>0.18575458120913049</v>
      </c>
      <c r="W1804" s="48">
        <f t="shared" ca="1" si="218"/>
        <v>2.9827233073773503</v>
      </c>
    </row>
    <row r="1805" spans="17:23" x14ac:dyDescent="0.2">
      <c r="Q1805">
        <f t="shared" si="212"/>
        <v>1789</v>
      </c>
      <c r="R1805" s="48">
        <f t="shared" ca="1" si="213"/>
        <v>0.4</v>
      </c>
      <c r="S1805">
        <f t="shared" ca="1" si="214"/>
        <v>176.29706117585701</v>
      </c>
      <c r="T1805" s="61">
        <f t="shared" ca="1" si="215"/>
        <v>19200</v>
      </c>
      <c r="U1805" s="61">
        <f t="shared" ca="1" si="216"/>
        <v>12622.589364411364</v>
      </c>
      <c r="V1805" s="39">
        <f t="shared" ca="1" si="217"/>
        <v>8.3043351081653713E-2</v>
      </c>
      <c r="W1805" s="48">
        <f t="shared" ca="1" si="218"/>
        <v>0.9099247736775502</v>
      </c>
    </row>
    <row r="1806" spans="17:23" x14ac:dyDescent="0.2">
      <c r="Q1806">
        <f t="shared" si="212"/>
        <v>1790</v>
      </c>
      <c r="R1806" s="48">
        <f t="shared" ca="1" si="213"/>
        <v>0.35</v>
      </c>
      <c r="S1806">
        <f t="shared" ca="1" si="214"/>
        <v>197.2021714913617</v>
      </c>
      <c r="T1806" s="61">
        <f t="shared" ca="1" si="215"/>
        <v>16800</v>
      </c>
      <c r="U1806" s="61">
        <f t="shared" ca="1" si="216"/>
        <v>20545.129175508082</v>
      </c>
      <c r="V1806" s="39">
        <f t="shared" ca="1" si="217"/>
        <v>0.1351653235230795</v>
      </c>
      <c r="W1806" s="48">
        <f t="shared" ca="1" si="218"/>
        <v>1.7963440743597094</v>
      </c>
    </row>
    <row r="1807" spans="17:23" x14ac:dyDescent="0.2">
      <c r="Q1807">
        <f t="shared" si="212"/>
        <v>1791</v>
      </c>
      <c r="R1807" s="48">
        <f t="shared" ca="1" si="213"/>
        <v>0.3</v>
      </c>
      <c r="S1807">
        <f t="shared" ca="1" si="214"/>
        <v>195.05910360713887</v>
      </c>
      <c r="T1807" s="61">
        <f t="shared" ca="1" si="215"/>
        <v>14400</v>
      </c>
      <c r="U1807" s="61">
        <f t="shared" ca="1" si="216"/>
        <v>17233.098019997764</v>
      </c>
      <c r="V1807" s="39">
        <f t="shared" ca="1" si="217"/>
        <v>0.11337564486840634</v>
      </c>
      <c r="W1807" s="48">
        <f t="shared" ca="1" si="218"/>
        <v>1.3895501408836228</v>
      </c>
    </row>
    <row r="1808" spans="17:23" x14ac:dyDescent="0.2">
      <c r="Q1808">
        <f t="shared" si="212"/>
        <v>1792</v>
      </c>
      <c r="R1808" s="48">
        <f t="shared" ca="1" si="213"/>
        <v>0.3</v>
      </c>
      <c r="S1808">
        <f t="shared" ca="1" si="214"/>
        <v>182.12980886040313</v>
      </c>
      <c r="T1808" s="61">
        <f t="shared" ca="1" si="215"/>
        <v>14400</v>
      </c>
      <c r="U1808" s="61">
        <f t="shared" ca="1" si="216"/>
        <v>9992.6929618257527</v>
      </c>
      <c r="V1808" s="39">
        <f t="shared" ca="1" si="217"/>
        <v>6.5741401064643115E-2</v>
      </c>
      <c r="W1808" s="48">
        <f t="shared" ca="1" si="218"/>
        <v>0.67605059355930019</v>
      </c>
    </row>
    <row r="1809" spans="17:23" x14ac:dyDescent="0.2">
      <c r="Q1809">
        <f t="shared" si="212"/>
        <v>1793</v>
      </c>
      <c r="R1809" s="48">
        <f t="shared" ca="1" si="213"/>
        <v>0.3</v>
      </c>
      <c r="S1809">
        <f t="shared" ca="1" si="214"/>
        <v>212.37322120162696</v>
      </c>
      <c r="T1809" s="61">
        <f t="shared" ca="1" si="215"/>
        <v>14400</v>
      </c>
      <c r="U1809" s="61">
        <f t="shared" ca="1" si="216"/>
        <v>26929.003872911097</v>
      </c>
      <c r="V1809" s="39">
        <f t="shared" ca="1" si="217"/>
        <v>0.17716449916388879</v>
      </c>
      <c r="W1809" s="48">
        <f t="shared" ca="1" si="218"/>
        <v>2.7546377711286407</v>
      </c>
    </row>
    <row r="1810" spans="17:23" x14ac:dyDescent="0.2">
      <c r="Q1810">
        <f t="shared" si="212"/>
        <v>1794</v>
      </c>
      <c r="R1810" s="48">
        <f t="shared" ca="1" si="213"/>
        <v>0.4</v>
      </c>
      <c r="S1810">
        <f t="shared" ca="1" si="214"/>
        <v>168.23813835011975</v>
      </c>
      <c r="T1810" s="61">
        <f t="shared" ca="1" si="215"/>
        <v>19200</v>
      </c>
      <c r="U1810" s="61">
        <f t="shared" ca="1" si="216"/>
        <v>8754.3064080574823</v>
      </c>
      <c r="V1810" s="39">
        <f t="shared" ca="1" si="217"/>
        <v>5.7594121105641334E-2</v>
      </c>
      <c r="W1810" s="48">
        <f t="shared" ca="1" si="218"/>
        <v>0.57490491500609098</v>
      </c>
    </row>
    <row r="1811" spans="17:23" x14ac:dyDescent="0.2">
      <c r="Q1811">
        <f t="shared" ref="Q1811:Q1874" si="219">Q1810+1</f>
        <v>1795</v>
      </c>
      <c r="R1811" s="48">
        <f t="shared" ref="R1811:R1874" ca="1" si="220">LOOKUP(RAND(),$U$6:$U$12,$S$6:$S$12)</f>
        <v>0.3</v>
      </c>
      <c r="S1811">
        <f t="shared" ref="S1811:S1874" ca="1" si="221">_xlfn.NORM.INV(RAND(),$Q$5,$Q$10)</f>
        <v>203.25578689340904</v>
      </c>
      <c r="T1811" s="61">
        <f t="shared" ca="1" si="215"/>
        <v>14400</v>
      </c>
      <c r="U1811" s="61">
        <f t="shared" ca="1" si="216"/>
        <v>21823.24066030906</v>
      </c>
      <c r="V1811" s="39">
        <f t="shared" ca="1" si="217"/>
        <v>0.1435739517125596</v>
      </c>
      <c r="W1811" s="48">
        <f t="shared" ca="1" si="218"/>
        <v>1.9688471705275452</v>
      </c>
    </row>
    <row r="1812" spans="17:23" x14ac:dyDescent="0.2">
      <c r="Q1812">
        <f t="shared" si="219"/>
        <v>1796</v>
      </c>
      <c r="R1812" s="48">
        <f t="shared" ca="1" si="220"/>
        <v>0.35</v>
      </c>
      <c r="S1812">
        <f t="shared" ca="1" si="221"/>
        <v>176.99509187544336</v>
      </c>
      <c r="T1812" s="61">
        <f t="shared" ca="1" si="215"/>
        <v>16800</v>
      </c>
      <c r="U1812" s="61">
        <f t="shared" ca="1" si="216"/>
        <v>10037.44777523055</v>
      </c>
      <c r="V1812" s="39">
        <f t="shared" ca="1" si="217"/>
        <v>6.6035840626516781E-2</v>
      </c>
      <c r="W1812" s="48">
        <f t="shared" ca="1" si="218"/>
        <v>0.67981016590147836</v>
      </c>
    </row>
    <row r="1813" spans="17:23" x14ac:dyDescent="0.2">
      <c r="Q1813">
        <f t="shared" si="219"/>
        <v>1797</v>
      </c>
      <c r="R1813" s="48">
        <f t="shared" ca="1" si="220"/>
        <v>0.3</v>
      </c>
      <c r="S1813">
        <f t="shared" ca="1" si="221"/>
        <v>190.58172930434338</v>
      </c>
      <c r="T1813" s="61">
        <f t="shared" ca="1" si="215"/>
        <v>14400</v>
      </c>
      <c r="U1813" s="61">
        <f t="shared" ca="1" si="216"/>
        <v>14725.768410432294</v>
      </c>
      <c r="V1813" s="39">
        <f t="shared" ca="1" si="217"/>
        <v>9.6880055331791406E-2</v>
      </c>
      <c r="W1813" s="48">
        <f t="shared" ca="1" si="218"/>
        <v>1.1170701293566405</v>
      </c>
    </row>
    <row r="1814" spans="17:23" x14ac:dyDescent="0.2">
      <c r="Q1814">
        <f t="shared" si="219"/>
        <v>1798</v>
      </c>
      <c r="R1814" s="48">
        <f t="shared" ca="1" si="220"/>
        <v>0.3</v>
      </c>
      <c r="S1814">
        <f t="shared" ca="1" si="221"/>
        <v>179.67400223844993</v>
      </c>
      <c r="T1814" s="61">
        <f t="shared" ca="1" si="215"/>
        <v>14400</v>
      </c>
      <c r="U1814" s="61">
        <f t="shared" ca="1" si="216"/>
        <v>8617.4412535319607</v>
      </c>
      <c r="V1814" s="39">
        <f t="shared" ca="1" si="217"/>
        <v>5.6693692457447112E-2</v>
      </c>
      <c r="W1814" s="48">
        <f t="shared" ca="1" si="218"/>
        <v>0.5640618872445915</v>
      </c>
    </row>
    <row r="1815" spans="17:23" x14ac:dyDescent="0.2">
      <c r="Q1815">
        <f t="shared" si="219"/>
        <v>1799</v>
      </c>
      <c r="R1815" s="48">
        <f t="shared" ca="1" si="220"/>
        <v>0.3</v>
      </c>
      <c r="S1815">
        <f t="shared" ca="1" si="221"/>
        <v>200.13072558592145</v>
      </c>
      <c r="T1815" s="61">
        <f t="shared" ca="1" si="215"/>
        <v>14400</v>
      </c>
      <c r="U1815" s="61">
        <f t="shared" ca="1" si="216"/>
        <v>20073.206328116015</v>
      </c>
      <c r="V1815" s="39">
        <f t="shared" ca="1" si="217"/>
        <v>0.13206056794813167</v>
      </c>
      <c r="W1815" s="48">
        <f t="shared" ca="1" si="218"/>
        <v>1.7349086465205228</v>
      </c>
    </row>
    <row r="1816" spans="17:23" x14ac:dyDescent="0.2">
      <c r="Q1816">
        <f t="shared" si="219"/>
        <v>1800</v>
      </c>
      <c r="R1816" s="48">
        <f t="shared" ca="1" si="220"/>
        <v>0.3</v>
      </c>
      <c r="S1816">
        <f t="shared" ca="1" si="221"/>
        <v>187.29720876192013</v>
      </c>
      <c r="T1816" s="61">
        <f t="shared" ca="1" si="215"/>
        <v>14400</v>
      </c>
      <c r="U1816" s="61">
        <f t="shared" ca="1" si="216"/>
        <v>12886.436906675273</v>
      </c>
      <c r="V1816" s="39">
        <f t="shared" ca="1" si="217"/>
        <v>8.477919017549522E-2</v>
      </c>
      <c r="W1816" s="48">
        <f t="shared" ca="1" si="218"/>
        <v>0.93489578606797052</v>
      </c>
    </row>
    <row r="1817" spans="17:23" x14ac:dyDescent="0.2">
      <c r="Q1817">
        <f t="shared" si="219"/>
        <v>1801</v>
      </c>
      <c r="R1817" s="48">
        <f t="shared" ca="1" si="220"/>
        <v>0.3</v>
      </c>
      <c r="S1817">
        <f t="shared" ca="1" si="221"/>
        <v>172.6691218333269</v>
      </c>
      <c r="T1817" s="61">
        <f t="shared" ca="1" si="215"/>
        <v>14400</v>
      </c>
      <c r="U1817" s="61">
        <f t="shared" ca="1" si="216"/>
        <v>4694.7082266630623</v>
      </c>
      <c r="V1817" s="39">
        <f t="shared" ca="1" si="217"/>
        <v>3.0886238333309619E-2</v>
      </c>
      <c r="W1817" s="48">
        <f t="shared" ca="1" si="218"/>
        <v>0.27983445294021925</v>
      </c>
    </row>
    <row r="1818" spans="17:23" x14ac:dyDescent="0.2">
      <c r="Q1818">
        <f t="shared" si="219"/>
        <v>1802</v>
      </c>
      <c r="R1818" s="48">
        <f t="shared" ca="1" si="220"/>
        <v>0.4</v>
      </c>
      <c r="S1818">
        <f t="shared" ca="1" si="221"/>
        <v>181.64429678974059</v>
      </c>
      <c r="T1818" s="61">
        <f t="shared" ca="1" si="215"/>
        <v>19200</v>
      </c>
      <c r="U1818" s="61">
        <f t="shared" ca="1" si="216"/>
        <v>15189.262459075486</v>
      </c>
      <c r="V1818" s="39">
        <f t="shared" ca="1" si="217"/>
        <v>9.9929358283391348E-2</v>
      </c>
      <c r="W1818" s="48">
        <f t="shared" ca="1" si="218"/>
        <v>1.1652818726959602</v>
      </c>
    </row>
    <row r="1819" spans="17:23" x14ac:dyDescent="0.2">
      <c r="Q1819">
        <f t="shared" si="219"/>
        <v>1803</v>
      </c>
      <c r="R1819" s="48">
        <f t="shared" ca="1" si="220"/>
        <v>0.35</v>
      </c>
      <c r="S1819">
        <f t="shared" ca="1" si="221"/>
        <v>201.98064767913854</v>
      </c>
      <c r="T1819" s="61">
        <f t="shared" ca="1" si="215"/>
        <v>16800</v>
      </c>
      <c r="U1819" s="61">
        <f t="shared" ca="1" si="216"/>
        <v>23029.936793152043</v>
      </c>
      <c r="V1819" s="39">
        <f t="shared" ca="1" si="217"/>
        <v>0.15151274206021081</v>
      </c>
      <c r="W1819" s="48">
        <f t="shared" ca="1" si="218"/>
        <v>2.1402022667429703</v>
      </c>
    </row>
    <row r="1820" spans="17:23" x14ac:dyDescent="0.2">
      <c r="Q1820">
        <f t="shared" si="219"/>
        <v>1804</v>
      </c>
      <c r="R1820" s="48">
        <f t="shared" ca="1" si="220"/>
        <v>0.35</v>
      </c>
      <c r="S1820">
        <f t="shared" ca="1" si="221"/>
        <v>189.78053461346249</v>
      </c>
      <c r="T1820" s="61">
        <f t="shared" ca="1" si="215"/>
        <v>16800</v>
      </c>
      <c r="U1820" s="61">
        <f t="shared" ca="1" si="216"/>
        <v>16685.877999000495</v>
      </c>
      <c r="V1820" s="39">
        <f t="shared" ca="1" si="217"/>
        <v>0.10977551315131905</v>
      </c>
      <c r="W1820" s="48">
        <f t="shared" ca="1" si="218"/>
        <v>1.3275940082129067</v>
      </c>
    </row>
    <row r="1821" spans="17:23" x14ac:dyDescent="0.2">
      <c r="Q1821">
        <f t="shared" si="219"/>
        <v>1805</v>
      </c>
      <c r="R1821" s="48">
        <f t="shared" ca="1" si="220"/>
        <v>0.3</v>
      </c>
      <c r="S1821">
        <f t="shared" ca="1" si="221"/>
        <v>198.95012554108379</v>
      </c>
      <c r="T1821" s="61">
        <f t="shared" ca="1" si="215"/>
        <v>14400</v>
      </c>
      <c r="U1821" s="61">
        <f t="shared" ca="1" si="216"/>
        <v>19412.070303006923</v>
      </c>
      <c r="V1821" s="39">
        <f t="shared" ca="1" si="217"/>
        <v>0.12771098883557186</v>
      </c>
      <c r="W1821" s="48">
        <f t="shared" ca="1" si="218"/>
        <v>1.6508323135202949</v>
      </c>
    </row>
    <row r="1822" spans="17:23" x14ac:dyDescent="0.2">
      <c r="Q1822">
        <f t="shared" si="219"/>
        <v>1806</v>
      </c>
      <c r="R1822" s="48">
        <f t="shared" ca="1" si="220"/>
        <v>0.35</v>
      </c>
      <c r="S1822">
        <f t="shared" ca="1" si="221"/>
        <v>193.47642551785748</v>
      </c>
      <c r="T1822" s="61">
        <f t="shared" ca="1" si="215"/>
        <v>16800</v>
      </c>
      <c r="U1822" s="61">
        <f t="shared" ca="1" si="216"/>
        <v>18607.741269285889</v>
      </c>
      <c r="V1822" s="39">
        <f t="shared" ca="1" si="217"/>
        <v>0.12241935045582822</v>
      </c>
      <c r="W1822" s="48">
        <f t="shared" ca="1" si="218"/>
        <v>1.5516080071393437</v>
      </c>
    </row>
    <row r="1823" spans="17:23" x14ac:dyDescent="0.2">
      <c r="Q1823">
        <f t="shared" si="219"/>
        <v>1807</v>
      </c>
      <c r="R1823" s="48">
        <f t="shared" ca="1" si="220"/>
        <v>0.3</v>
      </c>
      <c r="S1823">
        <f t="shared" ca="1" si="221"/>
        <v>202.24779411909566</v>
      </c>
      <c r="T1823" s="61">
        <f t="shared" ca="1" si="215"/>
        <v>14400</v>
      </c>
      <c r="U1823" s="61">
        <f t="shared" ca="1" si="216"/>
        <v>21258.764706693568</v>
      </c>
      <c r="V1823" s="39">
        <f t="shared" ca="1" si="217"/>
        <v>0.13986029412298401</v>
      </c>
      <c r="W1823" s="48">
        <f t="shared" ca="1" si="218"/>
        <v>1.8915443179814502</v>
      </c>
    </row>
    <row r="1824" spans="17:23" x14ac:dyDescent="0.2">
      <c r="Q1824">
        <f t="shared" si="219"/>
        <v>1808</v>
      </c>
      <c r="R1824" s="48">
        <f t="shared" ca="1" si="220"/>
        <v>0.3</v>
      </c>
      <c r="S1824">
        <f t="shared" ca="1" si="221"/>
        <v>179.16024006497327</v>
      </c>
      <c r="T1824" s="61">
        <f t="shared" ca="1" si="215"/>
        <v>14400</v>
      </c>
      <c r="U1824" s="61">
        <f t="shared" ca="1" si="216"/>
        <v>8329.7344363850279</v>
      </c>
      <c r="V1824" s="39">
        <f t="shared" ca="1" si="217"/>
        <v>5.4800884449901499E-2</v>
      </c>
      <c r="W1824" s="48">
        <f t="shared" ca="1" si="218"/>
        <v>0.54148172591105626</v>
      </c>
    </row>
    <row r="1825" spans="17:23" x14ac:dyDescent="0.2">
      <c r="Q1825">
        <f t="shared" si="219"/>
        <v>1809</v>
      </c>
      <c r="R1825" s="48">
        <f t="shared" ca="1" si="220"/>
        <v>0.35</v>
      </c>
      <c r="S1825">
        <f t="shared" ca="1" si="221"/>
        <v>166.1586174876424</v>
      </c>
      <c r="T1825" s="61">
        <f t="shared" ca="1" si="215"/>
        <v>16800</v>
      </c>
      <c r="U1825" s="61">
        <f t="shared" ca="1" si="216"/>
        <v>4402.4810935740497</v>
      </c>
      <c r="V1825" s="39">
        <f t="shared" ca="1" si="217"/>
        <v>2.8963691405092432E-2</v>
      </c>
      <c r="W1825" s="48">
        <f t="shared" ca="1" si="218"/>
        <v>0.26060256230764689</v>
      </c>
    </row>
    <row r="1826" spans="17:23" x14ac:dyDescent="0.2">
      <c r="Q1826">
        <f t="shared" si="219"/>
        <v>1810</v>
      </c>
      <c r="R1826" s="48">
        <f t="shared" ca="1" si="220"/>
        <v>0.4</v>
      </c>
      <c r="S1826">
        <f t="shared" ca="1" si="221"/>
        <v>227.38081296109092</v>
      </c>
      <c r="T1826" s="61">
        <f t="shared" ca="1" si="215"/>
        <v>19200</v>
      </c>
      <c r="U1826" s="61">
        <f t="shared" ca="1" si="216"/>
        <v>37142.790221323645</v>
      </c>
      <c r="V1826" s="39">
        <f t="shared" ca="1" si="217"/>
        <v>0.24436046198239239</v>
      </c>
      <c r="W1826" s="48">
        <f t="shared" ca="1" si="218"/>
        <v>4.8900530455844162</v>
      </c>
    </row>
    <row r="1827" spans="17:23" x14ac:dyDescent="0.2">
      <c r="Q1827">
        <f t="shared" si="219"/>
        <v>1811</v>
      </c>
      <c r="R1827" s="48">
        <f t="shared" ca="1" si="220"/>
        <v>0.3</v>
      </c>
      <c r="S1827">
        <f t="shared" ca="1" si="221"/>
        <v>201.41923211797328</v>
      </c>
      <c r="T1827" s="61">
        <f t="shared" ca="1" si="215"/>
        <v>14400</v>
      </c>
      <c r="U1827" s="61">
        <f t="shared" ca="1" si="216"/>
        <v>20794.769986065039</v>
      </c>
      <c r="V1827" s="39">
        <f t="shared" ca="1" si="217"/>
        <v>0.13680769727674369</v>
      </c>
      <c r="W1827" s="48">
        <f t="shared" ca="1" si="218"/>
        <v>1.8293292487983654</v>
      </c>
    </row>
    <row r="1828" spans="17:23" x14ac:dyDescent="0.2">
      <c r="Q1828">
        <f t="shared" si="219"/>
        <v>1812</v>
      </c>
      <c r="R1828" s="48">
        <f t="shared" ca="1" si="220"/>
        <v>0.3</v>
      </c>
      <c r="S1828">
        <f t="shared" ca="1" si="221"/>
        <v>204.29169055902244</v>
      </c>
      <c r="T1828" s="61">
        <f t="shared" ca="1" si="215"/>
        <v>14400</v>
      </c>
      <c r="U1828" s="61">
        <f t="shared" ca="1" si="216"/>
        <v>22403.346713052568</v>
      </c>
      <c r="V1828" s="39">
        <f t="shared" ca="1" si="217"/>
        <v>0.14739043890166162</v>
      </c>
      <c r="W1828" s="48">
        <f t="shared" ca="1" si="218"/>
        <v>2.0501724475601382</v>
      </c>
    </row>
    <row r="1829" spans="17:23" x14ac:dyDescent="0.2">
      <c r="Q1829">
        <f t="shared" si="219"/>
        <v>1813</v>
      </c>
      <c r="R1829" s="48">
        <f t="shared" ca="1" si="220"/>
        <v>0.45</v>
      </c>
      <c r="S1829">
        <f t="shared" ca="1" si="221"/>
        <v>197.09001887140658</v>
      </c>
      <c r="T1829" s="61">
        <f t="shared" ca="1" si="215"/>
        <v>21600</v>
      </c>
      <c r="U1829" s="61">
        <f t="shared" ca="1" si="216"/>
        <v>24719.6083034189</v>
      </c>
      <c r="V1829" s="39">
        <f t="shared" ca="1" si="217"/>
        <v>0.16262900199617697</v>
      </c>
      <c r="W1829" s="48">
        <f t="shared" ca="1" si="218"/>
        <v>2.3946926309826533</v>
      </c>
    </row>
    <row r="1830" spans="17:23" x14ac:dyDescent="0.2">
      <c r="Q1830">
        <f t="shared" si="219"/>
        <v>1814</v>
      </c>
      <c r="R1830" s="48">
        <f t="shared" ca="1" si="220"/>
        <v>0.4</v>
      </c>
      <c r="S1830">
        <f t="shared" ca="1" si="221"/>
        <v>197.54832111486843</v>
      </c>
      <c r="T1830" s="61">
        <f t="shared" ca="1" si="215"/>
        <v>19200</v>
      </c>
      <c r="U1830" s="61">
        <f t="shared" ca="1" si="216"/>
        <v>22823.194135136844</v>
      </c>
      <c r="V1830" s="39">
        <f t="shared" ca="1" si="217"/>
        <v>0.15015259299432135</v>
      </c>
      <c r="W1830" s="48">
        <f t="shared" ca="1" si="218"/>
        <v>2.1102429187960303</v>
      </c>
    </row>
    <row r="1831" spans="17:23" x14ac:dyDescent="0.2">
      <c r="Q1831">
        <f t="shared" si="219"/>
        <v>1815</v>
      </c>
      <c r="R1831" s="48">
        <f t="shared" ca="1" si="220"/>
        <v>0.45</v>
      </c>
      <c r="S1831">
        <f t="shared" ca="1" si="221"/>
        <v>198.38753707879059</v>
      </c>
      <c r="T1831" s="61">
        <f t="shared" ca="1" si="215"/>
        <v>21600</v>
      </c>
      <c r="U1831" s="61">
        <f t="shared" ca="1" si="216"/>
        <v>25290.516314667861</v>
      </c>
      <c r="V1831" s="39">
        <f t="shared" ca="1" si="217"/>
        <v>0.16638497575439382</v>
      </c>
      <c r="W1831" s="48">
        <f t="shared" ca="1" si="218"/>
        <v>2.4846744768889617</v>
      </c>
    </row>
    <row r="1832" spans="17:23" x14ac:dyDescent="0.2">
      <c r="Q1832">
        <f t="shared" si="219"/>
        <v>1816</v>
      </c>
      <c r="R1832" s="48">
        <f t="shared" ca="1" si="220"/>
        <v>0.45</v>
      </c>
      <c r="S1832">
        <f t="shared" ca="1" si="221"/>
        <v>176.37070999180773</v>
      </c>
      <c r="T1832" s="61">
        <f t="shared" ca="1" si="215"/>
        <v>21600</v>
      </c>
      <c r="U1832" s="61">
        <f t="shared" ca="1" si="216"/>
        <v>15603.1123963954</v>
      </c>
      <c r="V1832" s="39">
        <f t="shared" ca="1" si="217"/>
        <v>0.10265205523944342</v>
      </c>
      <c r="W1832" s="48">
        <f t="shared" ca="1" si="218"/>
        <v>1.2091404014435998</v>
      </c>
    </row>
    <row r="1833" spans="17:23" x14ac:dyDescent="0.2">
      <c r="Q1833">
        <f t="shared" si="219"/>
        <v>1817</v>
      </c>
      <c r="R1833" s="48">
        <f t="shared" ca="1" si="220"/>
        <v>0.35</v>
      </c>
      <c r="S1833">
        <f t="shared" ca="1" si="221"/>
        <v>180.10823124758411</v>
      </c>
      <c r="T1833" s="61">
        <f t="shared" ca="1" si="215"/>
        <v>16800</v>
      </c>
      <c r="U1833" s="61">
        <f t="shared" ca="1" si="216"/>
        <v>11656.28024874374</v>
      </c>
      <c r="V1833" s="39">
        <f t="shared" ca="1" si="217"/>
        <v>7.6686054268050918E-2</v>
      </c>
      <c r="W1833" s="48">
        <f t="shared" ca="1" si="218"/>
        <v>0.82086671621535845</v>
      </c>
    </row>
    <row r="1834" spans="17:23" x14ac:dyDescent="0.2">
      <c r="Q1834">
        <f t="shared" si="219"/>
        <v>1818</v>
      </c>
      <c r="R1834" s="48">
        <f t="shared" ca="1" si="220"/>
        <v>0.4</v>
      </c>
      <c r="S1834">
        <f t="shared" ca="1" si="221"/>
        <v>173.48079571937006</v>
      </c>
      <c r="T1834" s="61">
        <f t="shared" ca="1" si="215"/>
        <v>19200</v>
      </c>
      <c r="U1834" s="61">
        <f t="shared" ca="1" si="216"/>
        <v>11270.781945297631</v>
      </c>
      <c r="V1834" s="39">
        <f t="shared" ca="1" si="217"/>
        <v>7.4149881219063365E-2</v>
      </c>
      <c r="W1834" s="48">
        <f t="shared" ca="1" si="218"/>
        <v>0.78636718350011869</v>
      </c>
    </row>
    <row r="1835" spans="17:23" x14ac:dyDescent="0.2">
      <c r="Q1835">
        <f t="shared" si="219"/>
        <v>1819</v>
      </c>
      <c r="R1835" s="48">
        <f t="shared" ca="1" si="220"/>
        <v>0.4</v>
      </c>
      <c r="S1835">
        <f t="shared" ca="1" si="221"/>
        <v>206.34668241172301</v>
      </c>
      <c r="T1835" s="61">
        <f t="shared" ca="1" si="215"/>
        <v>19200</v>
      </c>
      <c r="U1835" s="61">
        <f t="shared" ca="1" si="216"/>
        <v>27046.407557627044</v>
      </c>
      <c r="V1835" s="39">
        <f t="shared" ca="1" si="217"/>
        <v>0.17793689182649372</v>
      </c>
      <c r="W1835" s="48">
        <f t="shared" ca="1" si="218"/>
        <v>2.7746669315639889</v>
      </c>
    </row>
    <row r="1836" spans="17:23" x14ac:dyDescent="0.2">
      <c r="Q1836">
        <f t="shared" si="219"/>
        <v>1820</v>
      </c>
      <c r="R1836" s="48">
        <f t="shared" ca="1" si="220"/>
        <v>0.5</v>
      </c>
      <c r="S1836">
        <f t="shared" ca="1" si="221"/>
        <v>147.60143829594239</v>
      </c>
      <c r="T1836" s="61">
        <f t="shared" ca="1" si="215"/>
        <v>24000</v>
      </c>
      <c r="U1836" s="61">
        <f t="shared" ca="1" si="216"/>
        <v>7040.5753183769557</v>
      </c>
      <c r="V1836" s="39">
        <f t="shared" ca="1" si="217"/>
        <v>4.6319574463006288E-2</v>
      </c>
      <c r="W1836" s="48">
        <f t="shared" ca="1" si="218"/>
        <v>0.44377570313453885</v>
      </c>
    </row>
    <row r="1837" spans="17:23" x14ac:dyDescent="0.2">
      <c r="Q1837">
        <f t="shared" si="219"/>
        <v>1821</v>
      </c>
      <c r="R1837" s="48">
        <f t="shared" ca="1" si="220"/>
        <v>0.35</v>
      </c>
      <c r="S1837">
        <f t="shared" ca="1" si="221"/>
        <v>141.0375566780323</v>
      </c>
      <c r="T1837" s="61">
        <f t="shared" ca="1" si="215"/>
        <v>16800</v>
      </c>
      <c r="U1837" s="61">
        <f t="shared" ca="1" si="216"/>
        <v>-8660.4705274232037</v>
      </c>
      <c r="V1837" s="39">
        <f t="shared" ca="1" si="217"/>
        <v>-5.6976779785678972E-2</v>
      </c>
      <c r="W1837" s="48">
        <f t="shared" ca="1" si="218"/>
        <v>-0.37863291138793742</v>
      </c>
    </row>
    <row r="1838" spans="17:23" x14ac:dyDescent="0.2">
      <c r="Q1838">
        <f t="shared" si="219"/>
        <v>1822</v>
      </c>
      <c r="R1838" s="48">
        <f t="shared" ca="1" si="220"/>
        <v>0.217</v>
      </c>
      <c r="S1838">
        <f t="shared" ca="1" si="221"/>
        <v>197.7246575115924</v>
      </c>
      <c r="T1838" s="61">
        <f t="shared" ca="1" si="215"/>
        <v>10416</v>
      </c>
      <c r="U1838" s="61">
        <f t="shared" ca="1" si="216"/>
        <v>15254.725465261477</v>
      </c>
      <c r="V1838" s="39">
        <f t="shared" ca="1" si="217"/>
        <v>0.10036003595566761</v>
      </c>
      <c r="W1838" s="48">
        <f t="shared" ca="1" si="218"/>
        <v>1.1721681900128211</v>
      </c>
    </row>
    <row r="1839" spans="17:23" x14ac:dyDescent="0.2">
      <c r="Q1839">
        <f t="shared" si="219"/>
        <v>1823</v>
      </c>
      <c r="R1839" s="48">
        <f t="shared" ca="1" si="220"/>
        <v>0.4</v>
      </c>
      <c r="S1839">
        <f t="shared" ca="1" si="221"/>
        <v>190.97673645381641</v>
      </c>
      <c r="T1839" s="61">
        <f t="shared" ca="1" si="215"/>
        <v>19200</v>
      </c>
      <c r="U1839" s="61">
        <f t="shared" ca="1" si="216"/>
        <v>19668.833497831878</v>
      </c>
      <c r="V1839" s="39">
        <f t="shared" ca="1" si="217"/>
        <v>0.12940022038047289</v>
      </c>
      <c r="W1839" s="48">
        <f t="shared" ca="1" si="218"/>
        <v>1.6832116476417984</v>
      </c>
    </row>
    <row r="1840" spans="17:23" x14ac:dyDescent="0.2">
      <c r="Q1840">
        <f t="shared" si="219"/>
        <v>1824</v>
      </c>
      <c r="R1840" s="48">
        <f t="shared" ca="1" si="220"/>
        <v>0.3</v>
      </c>
      <c r="S1840">
        <f t="shared" ca="1" si="221"/>
        <v>175.77911174107555</v>
      </c>
      <c r="T1840" s="61">
        <f t="shared" ca="1" si="215"/>
        <v>14400</v>
      </c>
      <c r="U1840" s="61">
        <f t="shared" ca="1" si="216"/>
        <v>6436.3025750023098</v>
      </c>
      <c r="V1840" s="39">
        <f t="shared" ca="1" si="217"/>
        <v>4.2344095888173089E-2</v>
      </c>
      <c r="W1840" s="48">
        <f t="shared" ca="1" si="218"/>
        <v>0.3998777822099846</v>
      </c>
    </row>
    <row r="1841" spans="17:23" x14ac:dyDescent="0.2">
      <c r="Q1841">
        <f t="shared" si="219"/>
        <v>1825</v>
      </c>
      <c r="R1841" s="48">
        <f t="shared" ca="1" si="220"/>
        <v>0.3</v>
      </c>
      <c r="S1841">
        <f t="shared" ca="1" si="221"/>
        <v>204.75430742256424</v>
      </c>
      <c r="T1841" s="61">
        <f t="shared" ca="1" si="215"/>
        <v>14400</v>
      </c>
      <c r="U1841" s="61">
        <f t="shared" ca="1" si="216"/>
        <v>22662.412156635975</v>
      </c>
      <c r="V1841" s="39">
        <f t="shared" ca="1" si="217"/>
        <v>0.14909481681997352</v>
      </c>
      <c r="W1841" s="48">
        <f t="shared" ca="1" si="218"/>
        <v>2.087117309660659</v>
      </c>
    </row>
    <row r="1842" spans="17:23" x14ac:dyDescent="0.2">
      <c r="Q1842">
        <f t="shared" si="219"/>
        <v>1826</v>
      </c>
      <c r="R1842" s="48">
        <f t="shared" ca="1" si="220"/>
        <v>0.35</v>
      </c>
      <c r="S1842">
        <f t="shared" ca="1" si="221"/>
        <v>178.01197175957574</v>
      </c>
      <c r="T1842" s="61">
        <f t="shared" ca="1" si="215"/>
        <v>16800</v>
      </c>
      <c r="U1842" s="61">
        <f t="shared" ca="1" si="216"/>
        <v>10566.225314979387</v>
      </c>
      <c r="V1842" s="39">
        <f t="shared" ca="1" si="217"/>
        <v>6.9514640230127545E-2</v>
      </c>
      <c r="W1842" s="48">
        <f t="shared" ca="1" si="218"/>
        <v>0.72479244547037269</v>
      </c>
    </row>
    <row r="1843" spans="17:23" x14ac:dyDescent="0.2">
      <c r="Q1843">
        <f t="shared" si="219"/>
        <v>1827</v>
      </c>
      <c r="R1843" s="48">
        <f t="shared" ca="1" si="220"/>
        <v>0.4</v>
      </c>
      <c r="S1843">
        <f t="shared" ca="1" si="221"/>
        <v>162.3787836045897</v>
      </c>
      <c r="T1843" s="61">
        <f t="shared" ca="1" si="215"/>
        <v>19200</v>
      </c>
      <c r="U1843" s="61">
        <f t="shared" ca="1" si="216"/>
        <v>5941.8161302030567</v>
      </c>
      <c r="V1843" s="39">
        <f t="shared" ca="1" si="217"/>
        <v>3.9090895593441165E-2</v>
      </c>
      <c r="W1843" s="48">
        <f t="shared" ca="1" si="218"/>
        <v>0.36483047140551661</v>
      </c>
    </row>
    <row r="1844" spans="17:23" x14ac:dyDescent="0.2">
      <c r="Q1844">
        <f t="shared" si="219"/>
        <v>1828</v>
      </c>
      <c r="R1844" s="48">
        <f t="shared" ca="1" si="220"/>
        <v>0.45</v>
      </c>
      <c r="S1844">
        <f t="shared" ca="1" si="221"/>
        <v>189.57802569080954</v>
      </c>
      <c r="T1844" s="61">
        <f t="shared" ca="1" si="215"/>
        <v>21600</v>
      </c>
      <c r="U1844" s="61">
        <f t="shared" ca="1" si="216"/>
        <v>21414.331303956198</v>
      </c>
      <c r="V1844" s="39">
        <f t="shared" ca="1" si="217"/>
        <v>0.1408837585786592</v>
      </c>
      <c r="W1844" s="48">
        <f t="shared" ca="1" si="218"/>
        <v>1.912670360159356</v>
      </c>
    </row>
    <row r="1845" spans="17:23" x14ac:dyDescent="0.2">
      <c r="Q1845">
        <f t="shared" si="219"/>
        <v>1829</v>
      </c>
      <c r="R1845" s="48">
        <f t="shared" ca="1" si="220"/>
        <v>0.4</v>
      </c>
      <c r="S1845">
        <f t="shared" ca="1" si="221"/>
        <v>199.42637852918389</v>
      </c>
      <c r="T1845" s="61">
        <f t="shared" ca="1" si="215"/>
        <v>19200</v>
      </c>
      <c r="U1845" s="61">
        <f t="shared" ca="1" si="216"/>
        <v>23724.661694008268</v>
      </c>
      <c r="V1845" s="39">
        <f t="shared" ca="1" si="217"/>
        <v>0.15608330061847545</v>
      </c>
      <c r="W1845" s="48">
        <f t="shared" ca="1" si="218"/>
        <v>2.2427376612769829</v>
      </c>
    </row>
    <row r="1846" spans="17:23" x14ac:dyDescent="0.2">
      <c r="Q1846">
        <f t="shared" si="219"/>
        <v>1830</v>
      </c>
      <c r="R1846" s="48">
        <f t="shared" ca="1" si="220"/>
        <v>0.4</v>
      </c>
      <c r="S1846">
        <f t="shared" ca="1" si="221"/>
        <v>202.73987021928633</v>
      </c>
      <c r="T1846" s="61">
        <f t="shared" ca="1" si="215"/>
        <v>19200</v>
      </c>
      <c r="U1846" s="61">
        <f t="shared" ca="1" si="216"/>
        <v>25315.137705257439</v>
      </c>
      <c r="V1846" s="39">
        <f t="shared" ca="1" si="217"/>
        <v>0.16654695858721999</v>
      </c>
      <c r="W1846" s="48">
        <f t="shared" ca="1" si="218"/>
        <v>2.4886016865932876</v>
      </c>
    </row>
    <row r="1847" spans="17:23" x14ac:dyDescent="0.2">
      <c r="Q1847">
        <f t="shared" si="219"/>
        <v>1831</v>
      </c>
      <c r="R1847" s="48">
        <f t="shared" ca="1" si="220"/>
        <v>0.35</v>
      </c>
      <c r="S1847">
        <f t="shared" ca="1" si="221"/>
        <v>188.04472447670753</v>
      </c>
      <c r="T1847" s="61">
        <f t="shared" ca="1" si="215"/>
        <v>16800</v>
      </c>
      <c r="U1847" s="61">
        <f t="shared" ca="1" si="216"/>
        <v>15783.256727887914</v>
      </c>
      <c r="V1847" s="39">
        <f t="shared" ca="1" si="217"/>
        <v>0.10383721531505206</v>
      </c>
      <c r="W1847" s="48">
        <f t="shared" ca="1" si="218"/>
        <v>1.2284735396249529</v>
      </c>
    </row>
    <row r="1848" spans="17:23" x14ac:dyDescent="0.2">
      <c r="Q1848">
        <f t="shared" si="219"/>
        <v>1832</v>
      </c>
      <c r="R1848" s="48">
        <f t="shared" ca="1" si="220"/>
        <v>0.3</v>
      </c>
      <c r="S1848">
        <f t="shared" ca="1" si="221"/>
        <v>189.69947289793265</v>
      </c>
      <c r="T1848" s="61">
        <f t="shared" ca="1" si="215"/>
        <v>14400</v>
      </c>
      <c r="U1848" s="61">
        <f t="shared" ca="1" si="216"/>
        <v>14231.704822842285</v>
      </c>
      <c r="V1848" s="39">
        <f t="shared" ca="1" si="217"/>
        <v>9.3629636992383455E-2</v>
      </c>
      <c r="W1848" s="48">
        <f t="shared" ca="1" si="218"/>
        <v>1.0667173559221235</v>
      </c>
    </row>
    <row r="1849" spans="17:23" x14ac:dyDescent="0.2">
      <c r="Q1849">
        <f t="shared" si="219"/>
        <v>1833</v>
      </c>
      <c r="R1849" s="48">
        <f t="shared" ca="1" si="220"/>
        <v>0.35</v>
      </c>
      <c r="S1849">
        <f t="shared" ca="1" si="221"/>
        <v>185.76460248706178</v>
      </c>
      <c r="T1849" s="61">
        <f t="shared" ref="T1849:T1912" ca="1" si="222">($B$8-$B$7)*($E$6*R1849)</f>
        <v>16800</v>
      </c>
      <c r="U1849" s="61">
        <f t="shared" ref="U1849:U1912" ca="1" si="223">T1849+((S1849-$B$7)*($E$6*(1-R1849)))</f>
        <v>14597.593293272126</v>
      </c>
      <c r="V1849" s="39">
        <f t="shared" ref="V1849:V1912" ca="1" si="224">U1849/$E$4</f>
        <v>9.603679798205346E-2</v>
      </c>
      <c r="W1849" s="48">
        <f t="shared" ref="W1849:W1912" ca="1" si="225">(1+V1849)^($J$29/$J$30)-1</f>
        <v>1.103904861105081</v>
      </c>
    </row>
    <row r="1850" spans="17:23" x14ac:dyDescent="0.2">
      <c r="Q1850">
        <f t="shared" si="219"/>
        <v>1834</v>
      </c>
      <c r="R1850" s="48">
        <f t="shared" ca="1" si="220"/>
        <v>0.35</v>
      </c>
      <c r="S1850">
        <f t="shared" ca="1" si="221"/>
        <v>211.46387404200229</v>
      </c>
      <c r="T1850" s="61">
        <f t="shared" ca="1" si="222"/>
        <v>16800</v>
      </c>
      <c r="U1850" s="61">
        <f t="shared" ca="1" si="223"/>
        <v>27961.21450184119</v>
      </c>
      <c r="V1850" s="39">
        <f t="shared" ca="1" si="224"/>
        <v>0.18395535856474468</v>
      </c>
      <c r="W1850" s="48">
        <f t="shared" ca="1" si="225"/>
        <v>2.9339695091410087</v>
      </c>
    </row>
    <row r="1851" spans="17:23" x14ac:dyDescent="0.2">
      <c r="Q1851">
        <f t="shared" si="219"/>
        <v>1835</v>
      </c>
      <c r="R1851" s="48">
        <f t="shared" ca="1" si="220"/>
        <v>0.3</v>
      </c>
      <c r="S1851">
        <f t="shared" ca="1" si="221"/>
        <v>178.46796010673984</v>
      </c>
      <c r="T1851" s="61">
        <f t="shared" ca="1" si="222"/>
        <v>14400</v>
      </c>
      <c r="U1851" s="61">
        <f t="shared" ca="1" si="223"/>
        <v>7942.0576597743093</v>
      </c>
      <c r="V1851" s="39">
        <f t="shared" ca="1" si="224"/>
        <v>5.2250379340620455E-2</v>
      </c>
      <c r="W1851" s="48">
        <f t="shared" ca="1" si="225"/>
        <v>0.51150784176201092</v>
      </c>
    </row>
    <row r="1852" spans="17:23" x14ac:dyDescent="0.2">
      <c r="Q1852">
        <f t="shared" si="219"/>
        <v>1836</v>
      </c>
      <c r="R1852" s="48">
        <f t="shared" ca="1" si="220"/>
        <v>0.3</v>
      </c>
      <c r="S1852">
        <f t="shared" ca="1" si="221"/>
        <v>175.54547398936586</v>
      </c>
      <c r="T1852" s="61">
        <f t="shared" ca="1" si="222"/>
        <v>14400</v>
      </c>
      <c r="U1852" s="61">
        <f t="shared" ca="1" si="223"/>
        <v>6305.4654340448815</v>
      </c>
      <c r="V1852" s="39">
        <f t="shared" ca="1" si="224"/>
        <v>4.1483325223979482E-2</v>
      </c>
      <c r="W1852" s="48">
        <f t="shared" ca="1" si="225"/>
        <v>0.3905286366522529</v>
      </c>
    </row>
    <row r="1853" spans="17:23" x14ac:dyDescent="0.2">
      <c r="Q1853">
        <f t="shared" si="219"/>
        <v>1837</v>
      </c>
      <c r="R1853" s="48">
        <f t="shared" ca="1" si="220"/>
        <v>0.4</v>
      </c>
      <c r="S1853">
        <f t="shared" ca="1" si="221"/>
        <v>195.38180045724474</v>
      </c>
      <c r="T1853" s="61">
        <f t="shared" ca="1" si="222"/>
        <v>19200</v>
      </c>
      <c r="U1853" s="61">
        <f t="shared" ca="1" si="223"/>
        <v>21783.264219477474</v>
      </c>
      <c r="V1853" s="39">
        <f t="shared" ca="1" si="224"/>
        <v>0.14331094881235182</v>
      </c>
      <c r="W1853" s="48">
        <f t="shared" ca="1" si="225"/>
        <v>1.9633135500969705</v>
      </c>
    </row>
    <row r="1854" spans="17:23" x14ac:dyDescent="0.2">
      <c r="Q1854">
        <f t="shared" si="219"/>
        <v>1838</v>
      </c>
      <c r="R1854" s="48">
        <f t="shared" ca="1" si="220"/>
        <v>0.217</v>
      </c>
      <c r="S1854">
        <f t="shared" ca="1" si="221"/>
        <v>162.23780348611859</v>
      </c>
      <c r="T1854" s="61">
        <f t="shared" ca="1" si="222"/>
        <v>10416</v>
      </c>
      <c r="U1854" s="61">
        <f t="shared" ca="1" si="223"/>
        <v>-6974.2398962953121</v>
      </c>
      <c r="V1854" s="39">
        <f t="shared" ca="1" si="224"/>
        <v>-4.5883157212469161E-2</v>
      </c>
      <c r="W1854" s="48">
        <f t="shared" ca="1" si="225"/>
        <v>-0.31680291259476967</v>
      </c>
    </row>
    <row r="1855" spans="17:23" x14ac:dyDescent="0.2">
      <c r="Q1855">
        <f t="shared" si="219"/>
        <v>1839</v>
      </c>
      <c r="R1855" s="48">
        <f t="shared" ca="1" si="220"/>
        <v>0.35</v>
      </c>
      <c r="S1855">
        <f t="shared" ca="1" si="221"/>
        <v>168.50407157972208</v>
      </c>
      <c r="T1855" s="61">
        <f t="shared" ca="1" si="222"/>
        <v>16800</v>
      </c>
      <c r="U1855" s="61">
        <f t="shared" ca="1" si="223"/>
        <v>5622.1172214554808</v>
      </c>
      <c r="V1855" s="39">
        <f t="shared" ca="1" si="224"/>
        <v>3.6987613299049218E-2</v>
      </c>
      <c r="W1855" s="48">
        <f t="shared" ca="1" si="225"/>
        <v>0.34258307898123408</v>
      </c>
    </row>
    <row r="1856" spans="17:23" x14ac:dyDescent="0.2">
      <c r="Q1856">
        <f t="shared" si="219"/>
        <v>1840</v>
      </c>
      <c r="R1856" s="48">
        <f t="shared" ca="1" si="220"/>
        <v>0.35</v>
      </c>
      <c r="S1856">
        <f t="shared" ca="1" si="221"/>
        <v>219.77074301044897</v>
      </c>
      <c r="T1856" s="61">
        <f t="shared" ca="1" si="222"/>
        <v>16800</v>
      </c>
      <c r="U1856" s="61">
        <f t="shared" ca="1" si="223"/>
        <v>32280.786365433465</v>
      </c>
      <c r="V1856" s="39">
        <f t="shared" ca="1" si="224"/>
        <v>0.21237359450943069</v>
      </c>
      <c r="W1856" s="48">
        <f t="shared" ca="1" si="225"/>
        <v>3.7685318961122904</v>
      </c>
    </row>
    <row r="1857" spans="17:23" x14ac:dyDescent="0.2">
      <c r="Q1857">
        <f t="shared" si="219"/>
        <v>1841</v>
      </c>
      <c r="R1857" s="48">
        <f t="shared" ca="1" si="220"/>
        <v>0.15</v>
      </c>
      <c r="S1857">
        <f t="shared" ca="1" si="221"/>
        <v>196.30756283032221</v>
      </c>
      <c r="T1857" s="61">
        <f t="shared" ca="1" si="222"/>
        <v>7200</v>
      </c>
      <c r="U1857" s="61">
        <f t="shared" ca="1" si="223"/>
        <v>11489.142724619105</v>
      </c>
      <c r="V1857" s="39">
        <f t="shared" ca="1" si="224"/>
        <v>7.5586465293546748E-2</v>
      </c>
      <c r="W1857" s="48">
        <f t="shared" ca="1" si="225"/>
        <v>0.80583795410556669</v>
      </c>
    </row>
    <row r="1858" spans="17:23" x14ac:dyDescent="0.2">
      <c r="Q1858">
        <f t="shared" si="219"/>
        <v>1842</v>
      </c>
      <c r="R1858" s="48">
        <f t="shared" ca="1" si="220"/>
        <v>0.3</v>
      </c>
      <c r="S1858">
        <f t="shared" ca="1" si="221"/>
        <v>151.44872841902833</v>
      </c>
      <c r="T1858" s="61">
        <f t="shared" ca="1" si="222"/>
        <v>14400</v>
      </c>
      <c r="U1858" s="61">
        <f t="shared" ca="1" si="223"/>
        <v>-7188.7120853441374</v>
      </c>
      <c r="V1858" s="39">
        <f t="shared" ca="1" si="224"/>
        <v>-4.7294158456211433E-2</v>
      </c>
      <c r="W1858" s="48">
        <f t="shared" ca="1" si="225"/>
        <v>-0.32495501227600798</v>
      </c>
    </row>
    <row r="1859" spans="17:23" x14ac:dyDescent="0.2">
      <c r="Q1859">
        <f t="shared" si="219"/>
        <v>1843</v>
      </c>
      <c r="R1859" s="48">
        <f t="shared" ca="1" si="220"/>
        <v>0.3</v>
      </c>
      <c r="S1859">
        <f t="shared" ca="1" si="221"/>
        <v>199.08057265643973</v>
      </c>
      <c r="T1859" s="61">
        <f t="shared" ca="1" si="222"/>
        <v>14400</v>
      </c>
      <c r="U1859" s="61">
        <f t="shared" ca="1" si="223"/>
        <v>19485.12068760625</v>
      </c>
      <c r="V1859" s="39">
        <f t="shared" ca="1" si="224"/>
        <v>0.12819158347109375</v>
      </c>
      <c r="W1859" s="48">
        <f t="shared" ca="1" si="225"/>
        <v>1.6600093372980855</v>
      </c>
    </row>
    <row r="1860" spans="17:23" x14ac:dyDescent="0.2">
      <c r="Q1860">
        <f t="shared" si="219"/>
        <v>1844</v>
      </c>
      <c r="R1860" s="48">
        <f t="shared" ca="1" si="220"/>
        <v>0.3</v>
      </c>
      <c r="S1860">
        <f t="shared" ca="1" si="221"/>
        <v>190.68873626436948</v>
      </c>
      <c r="T1860" s="61">
        <f t="shared" ca="1" si="222"/>
        <v>14400</v>
      </c>
      <c r="U1860" s="61">
        <f t="shared" ca="1" si="223"/>
        <v>14785.69230804691</v>
      </c>
      <c r="V1860" s="39">
        <f t="shared" ca="1" si="224"/>
        <v>9.7274291500308613E-2</v>
      </c>
      <c r="W1860" s="48">
        <f t="shared" ca="1" si="225"/>
        <v>1.1232498375423541</v>
      </c>
    </row>
    <row r="1861" spans="17:23" x14ac:dyDescent="0.2">
      <c r="Q1861">
        <f t="shared" si="219"/>
        <v>1845</v>
      </c>
      <c r="R1861" s="48">
        <f t="shared" ca="1" si="220"/>
        <v>0.217</v>
      </c>
      <c r="S1861">
        <f t="shared" ca="1" si="221"/>
        <v>196.99046453696104</v>
      </c>
      <c r="T1861" s="61">
        <f t="shared" ca="1" si="222"/>
        <v>10416</v>
      </c>
      <c r="U1861" s="61">
        <f t="shared" ca="1" si="223"/>
        <v>14794.826985952397</v>
      </c>
      <c r="V1861" s="39">
        <f t="shared" ca="1" si="224"/>
        <v>9.7334388065476299E-2</v>
      </c>
      <c r="W1861" s="48">
        <f t="shared" ca="1" si="225"/>
        <v>1.1241932475302154</v>
      </c>
    </row>
    <row r="1862" spans="17:23" x14ac:dyDescent="0.2">
      <c r="Q1862">
        <f t="shared" si="219"/>
        <v>1846</v>
      </c>
      <c r="R1862" s="48">
        <f t="shared" ca="1" si="220"/>
        <v>0.4</v>
      </c>
      <c r="S1862">
        <f t="shared" ca="1" si="221"/>
        <v>210.08654691620623</v>
      </c>
      <c r="T1862" s="61">
        <f t="shared" ca="1" si="222"/>
        <v>19200</v>
      </c>
      <c r="U1862" s="61">
        <f t="shared" ca="1" si="223"/>
        <v>28841.542519778992</v>
      </c>
      <c r="V1862" s="39">
        <f t="shared" ca="1" si="224"/>
        <v>0.18974699026170389</v>
      </c>
      <c r="W1862" s="48">
        <f t="shared" ca="1" si="225"/>
        <v>3.0928022795706749</v>
      </c>
    </row>
    <row r="1863" spans="17:23" x14ac:dyDescent="0.2">
      <c r="Q1863">
        <f t="shared" si="219"/>
        <v>1847</v>
      </c>
      <c r="R1863" s="48">
        <f t="shared" ca="1" si="220"/>
        <v>0.4</v>
      </c>
      <c r="S1863">
        <f t="shared" ca="1" si="221"/>
        <v>176.90970521683673</v>
      </c>
      <c r="T1863" s="61">
        <f t="shared" ca="1" si="222"/>
        <v>19200</v>
      </c>
      <c r="U1863" s="61">
        <f t="shared" ca="1" si="223"/>
        <v>12916.658504081628</v>
      </c>
      <c r="V1863" s="39">
        <f t="shared" ca="1" si="224"/>
        <v>8.4978016474221235E-2</v>
      </c>
      <c r="W1863" s="48">
        <f t="shared" ca="1" si="225"/>
        <v>0.9377742013394279</v>
      </c>
    </row>
    <row r="1864" spans="17:23" x14ac:dyDescent="0.2">
      <c r="Q1864">
        <f t="shared" si="219"/>
        <v>1848</v>
      </c>
      <c r="R1864" s="48">
        <f t="shared" ca="1" si="220"/>
        <v>0.5</v>
      </c>
      <c r="S1864">
        <f t="shared" ca="1" si="221"/>
        <v>200.51413745394839</v>
      </c>
      <c r="T1864" s="61">
        <f t="shared" ca="1" si="222"/>
        <v>24000</v>
      </c>
      <c r="U1864" s="61">
        <f t="shared" ca="1" si="223"/>
        <v>28205.654981579355</v>
      </c>
      <c r="V1864" s="39">
        <f t="shared" ca="1" si="224"/>
        <v>0.18556351961565365</v>
      </c>
      <c r="W1864" s="48">
        <f t="shared" ca="1" si="225"/>
        <v>2.9775210687495295</v>
      </c>
    </row>
    <row r="1865" spans="17:23" x14ac:dyDescent="0.2">
      <c r="Q1865">
        <f t="shared" si="219"/>
        <v>1849</v>
      </c>
      <c r="R1865" s="48">
        <f t="shared" ca="1" si="220"/>
        <v>0.3</v>
      </c>
      <c r="S1865">
        <f t="shared" ca="1" si="221"/>
        <v>185.17124738603906</v>
      </c>
      <c r="T1865" s="61">
        <f t="shared" ca="1" si="222"/>
        <v>14400</v>
      </c>
      <c r="U1865" s="61">
        <f t="shared" ca="1" si="223"/>
        <v>11695.89853618187</v>
      </c>
      <c r="V1865" s="39">
        <f t="shared" ca="1" si="224"/>
        <v>7.6946700895933362E-2</v>
      </c>
      <c r="W1865" s="48">
        <f t="shared" ca="1" si="225"/>
        <v>0.82444516962871539</v>
      </c>
    </row>
    <row r="1866" spans="17:23" x14ac:dyDescent="0.2">
      <c r="Q1866">
        <f t="shared" si="219"/>
        <v>1850</v>
      </c>
      <c r="R1866" s="48">
        <f t="shared" ca="1" si="220"/>
        <v>0.4</v>
      </c>
      <c r="S1866">
        <f t="shared" ca="1" si="221"/>
        <v>185.21847278915354</v>
      </c>
      <c r="T1866" s="61">
        <f t="shared" ca="1" si="222"/>
        <v>19200</v>
      </c>
      <c r="U1866" s="61">
        <f t="shared" ca="1" si="223"/>
        <v>16904.866938793697</v>
      </c>
      <c r="V1866" s="39">
        <f t="shared" ca="1" si="224"/>
        <v>0.11121622986048485</v>
      </c>
      <c r="W1866" s="48">
        <f t="shared" ca="1" si="225"/>
        <v>1.3522167462262451</v>
      </c>
    </row>
    <row r="1867" spans="17:23" x14ac:dyDescent="0.2">
      <c r="Q1867">
        <f t="shared" si="219"/>
        <v>1851</v>
      </c>
      <c r="R1867" s="48">
        <f t="shared" ca="1" si="220"/>
        <v>0.217</v>
      </c>
      <c r="S1867">
        <f t="shared" ca="1" si="221"/>
        <v>196.32128396518473</v>
      </c>
      <c r="T1867" s="61">
        <f t="shared" ca="1" si="222"/>
        <v>10416</v>
      </c>
      <c r="U1867" s="61">
        <f t="shared" ca="1" si="223"/>
        <v>14375.652275791717</v>
      </c>
      <c r="V1867" s="39">
        <f t="shared" ca="1" si="224"/>
        <v>9.4576659709156033E-2</v>
      </c>
      <c r="W1867" s="48">
        <f t="shared" ca="1" si="225"/>
        <v>1.0812782827144427</v>
      </c>
    </row>
    <row r="1868" spans="17:23" x14ac:dyDescent="0.2">
      <c r="Q1868">
        <f t="shared" si="219"/>
        <v>1852</v>
      </c>
      <c r="R1868" s="48">
        <f t="shared" ca="1" si="220"/>
        <v>0.3</v>
      </c>
      <c r="S1868">
        <f t="shared" ca="1" si="221"/>
        <v>198.78287255485307</v>
      </c>
      <c r="T1868" s="61">
        <f t="shared" ca="1" si="222"/>
        <v>14400</v>
      </c>
      <c r="U1868" s="61">
        <f t="shared" ca="1" si="223"/>
        <v>19318.40863071772</v>
      </c>
      <c r="V1868" s="39">
        <f t="shared" ca="1" si="224"/>
        <v>0.12709479362314291</v>
      </c>
      <c r="W1868" s="48">
        <f t="shared" ca="1" si="225"/>
        <v>1.6391065944074605</v>
      </c>
    </row>
    <row r="1869" spans="17:23" x14ac:dyDescent="0.2">
      <c r="Q1869">
        <f t="shared" si="219"/>
        <v>1853</v>
      </c>
      <c r="R1869" s="48">
        <f t="shared" ca="1" si="220"/>
        <v>0.45</v>
      </c>
      <c r="S1869">
        <f t="shared" ca="1" si="221"/>
        <v>237.35622819301702</v>
      </c>
      <c r="T1869" s="61">
        <f t="shared" ca="1" si="222"/>
        <v>21600</v>
      </c>
      <c r="U1869" s="61">
        <f t="shared" ca="1" si="223"/>
        <v>42436.740404927492</v>
      </c>
      <c r="V1869" s="39">
        <f t="shared" ca="1" si="224"/>
        <v>0.27918908161136508</v>
      </c>
      <c r="W1869" s="48">
        <f t="shared" ca="1" si="225"/>
        <v>6.3681691820558397</v>
      </c>
    </row>
    <row r="1870" spans="17:23" x14ac:dyDescent="0.2">
      <c r="Q1870">
        <f t="shared" si="219"/>
        <v>1854</v>
      </c>
      <c r="R1870" s="48">
        <f t="shared" ca="1" si="220"/>
        <v>0.3</v>
      </c>
      <c r="S1870">
        <f t="shared" ca="1" si="221"/>
        <v>161.65802954676712</v>
      </c>
      <c r="T1870" s="61">
        <f t="shared" ca="1" si="222"/>
        <v>14400</v>
      </c>
      <c r="U1870" s="61">
        <f t="shared" ca="1" si="223"/>
        <v>-1471.5034538104101</v>
      </c>
      <c r="V1870" s="39">
        <f t="shared" ca="1" si="224"/>
        <v>-9.6809437750684877E-3</v>
      </c>
      <c r="W1870" s="48">
        <f t="shared" ca="1" si="225"/>
        <v>-7.587300013730458E-2</v>
      </c>
    </row>
    <row r="1871" spans="17:23" x14ac:dyDescent="0.2">
      <c r="Q1871">
        <f t="shared" si="219"/>
        <v>1855</v>
      </c>
      <c r="R1871" s="48">
        <f t="shared" ca="1" si="220"/>
        <v>0.217</v>
      </c>
      <c r="S1871">
        <f t="shared" ca="1" si="221"/>
        <v>147.08125678946345</v>
      </c>
      <c r="T1871" s="61">
        <f t="shared" ca="1" si="222"/>
        <v>10416</v>
      </c>
      <c r="U1871" s="61">
        <f t="shared" ca="1" si="223"/>
        <v>-16468.300747080091</v>
      </c>
      <c r="V1871" s="39">
        <f t="shared" ca="1" si="224"/>
        <v>-0.10834408386236902</v>
      </c>
      <c r="W1871" s="48">
        <f t="shared" ca="1" si="225"/>
        <v>-0.60550206897962189</v>
      </c>
    </row>
    <row r="1872" spans="17:23" x14ac:dyDescent="0.2">
      <c r="Q1872">
        <f t="shared" si="219"/>
        <v>1856</v>
      </c>
      <c r="R1872" s="48">
        <f t="shared" ca="1" si="220"/>
        <v>0.45</v>
      </c>
      <c r="S1872">
        <f t="shared" ca="1" si="221"/>
        <v>190.4349444288531</v>
      </c>
      <c r="T1872" s="61">
        <f t="shared" ca="1" si="222"/>
        <v>21600</v>
      </c>
      <c r="U1872" s="61">
        <f t="shared" ca="1" si="223"/>
        <v>21791.375548695363</v>
      </c>
      <c r="V1872" s="39">
        <f t="shared" ca="1" si="224"/>
        <v>0.14336431282036424</v>
      </c>
      <c r="W1872" s="48">
        <f t="shared" ca="1" si="225"/>
        <v>1.9644356050061558</v>
      </c>
    </row>
    <row r="1873" spans="17:23" x14ac:dyDescent="0.2">
      <c r="Q1873">
        <f t="shared" si="219"/>
        <v>1857</v>
      </c>
      <c r="R1873" s="48">
        <f t="shared" ca="1" si="220"/>
        <v>0.3</v>
      </c>
      <c r="S1873">
        <f t="shared" ca="1" si="221"/>
        <v>183.54482731267152</v>
      </c>
      <c r="T1873" s="61">
        <f t="shared" ca="1" si="222"/>
        <v>14400</v>
      </c>
      <c r="U1873" s="61">
        <f t="shared" ca="1" si="223"/>
        <v>10785.103295096049</v>
      </c>
      <c r="V1873" s="39">
        <f t="shared" ca="1" si="224"/>
        <v>7.0954626941421378E-2</v>
      </c>
      <c r="W1873" s="48">
        <f t="shared" ca="1" si="225"/>
        <v>0.74371887577463891</v>
      </c>
    </row>
    <row r="1874" spans="17:23" x14ac:dyDescent="0.2">
      <c r="Q1874">
        <f t="shared" si="219"/>
        <v>1858</v>
      </c>
      <c r="R1874" s="48">
        <f t="shared" ca="1" si="220"/>
        <v>0.217</v>
      </c>
      <c r="S1874">
        <f t="shared" ca="1" si="221"/>
        <v>220.56568468950519</v>
      </c>
      <c r="T1874" s="61">
        <f t="shared" ca="1" si="222"/>
        <v>10416</v>
      </c>
      <c r="U1874" s="61">
        <f t="shared" ca="1" si="223"/>
        <v>29562.34488950605</v>
      </c>
      <c r="V1874" s="39">
        <f t="shared" ca="1" si="224"/>
        <v>0.19448911111517139</v>
      </c>
      <c r="W1874" s="48">
        <f t="shared" ca="1" si="225"/>
        <v>3.2270108275892664</v>
      </c>
    </row>
    <row r="1875" spans="17:23" x14ac:dyDescent="0.2">
      <c r="Q1875">
        <f t="shared" ref="Q1875:Q1938" si="226">Q1874+1</f>
        <v>1859</v>
      </c>
      <c r="R1875" s="48">
        <f t="shared" ref="R1875:R1938" ca="1" si="227">LOOKUP(RAND(),$U$6:$U$12,$S$6:$S$12)</f>
        <v>0.5</v>
      </c>
      <c r="S1875">
        <f t="shared" ref="S1875:S1938" ca="1" si="228">_xlfn.NORM.INV(RAND(),$Q$5,$Q$10)</f>
        <v>207.86281553656718</v>
      </c>
      <c r="T1875" s="61">
        <f t="shared" ca="1" si="222"/>
        <v>24000</v>
      </c>
      <c r="U1875" s="61">
        <f t="shared" ca="1" si="223"/>
        <v>31145.126214626871</v>
      </c>
      <c r="V1875" s="39">
        <f t="shared" ca="1" si="224"/>
        <v>0.20490214614886099</v>
      </c>
      <c r="W1875" s="48">
        <f t="shared" ca="1" si="225"/>
        <v>3.5353297157397066</v>
      </c>
    </row>
    <row r="1876" spans="17:23" x14ac:dyDescent="0.2">
      <c r="Q1876">
        <f t="shared" si="226"/>
        <v>1860</v>
      </c>
      <c r="R1876" s="48">
        <f t="shared" ca="1" si="227"/>
        <v>0.4</v>
      </c>
      <c r="S1876">
        <f t="shared" ca="1" si="228"/>
        <v>195.48124517878389</v>
      </c>
      <c r="T1876" s="61">
        <f t="shared" ca="1" si="222"/>
        <v>19200</v>
      </c>
      <c r="U1876" s="61">
        <f t="shared" ca="1" si="223"/>
        <v>21830.99768581627</v>
      </c>
      <c r="V1876" s="39">
        <f t="shared" ca="1" si="224"/>
        <v>0.14362498477510705</v>
      </c>
      <c r="W1876" s="48">
        <f t="shared" ca="1" si="225"/>
        <v>1.9699219626626885</v>
      </c>
    </row>
    <row r="1877" spans="17:23" x14ac:dyDescent="0.2">
      <c r="Q1877">
        <f t="shared" si="226"/>
        <v>1861</v>
      </c>
      <c r="R1877" s="48">
        <f t="shared" ca="1" si="227"/>
        <v>0.45</v>
      </c>
      <c r="S1877">
        <f t="shared" ca="1" si="228"/>
        <v>224.4967855291026</v>
      </c>
      <c r="T1877" s="61">
        <f t="shared" ca="1" si="222"/>
        <v>21600</v>
      </c>
      <c r="U1877" s="61">
        <f t="shared" ca="1" si="223"/>
        <v>36778.585632805145</v>
      </c>
      <c r="V1877" s="39">
        <f t="shared" ca="1" si="224"/>
        <v>0.24196437916319175</v>
      </c>
      <c r="W1877" s="48">
        <f t="shared" ca="1" si="225"/>
        <v>4.7986873198949525</v>
      </c>
    </row>
    <row r="1878" spans="17:23" x14ac:dyDescent="0.2">
      <c r="Q1878">
        <f t="shared" si="226"/>
        <v>1862</v>
      </c>
      <c r="R1878" s="48">
        <f t="shared" ca="1" si="227"/>
        <v>0.5</v>
      </c>
      <c r="S1878">
        <f t="shared" ca="1" si="228"/>
        <v>172.60414391340711</v>
      </c>
      <c r="T1878" s="61">
        <f t="shared" ca="1" si="222"/>
        <v>24000</v>
      </c>
      <c r="U1878" s="61">
        <f t="shared" ca="1" si="223"/>
        <v>17041.657565362846</v>
      </c>
      <c r="V1878" s="39">
        <f t="shared" ca="1" si="224"/>
        <v>0.11211616819317662</v>
      </c>
      <c r="W1878" s="48">
        <f t="shared" ca="1" si="225"/>
        <v>1.3677128561901442</v>
      </c>
    </row>
    <row r="1879" spans="17:23" x14ac:dyDescent="0.2">
      <c r="Q1879">
        <f t="shared" si="226"/>
        <v>1863</v>
      </c>
      <c r="R1879" s="48">
        <f t="shared" ca="1" si="227"/>
        <v>0.45</v>
      </c>
      <c r="S1879">
        <f t="shared" ca="1" si="228"/>
        <v>181.21883420931212</v>
      </c>
      <c r="T1879" s="61">
        <f t="shared" ca="1" si="222"/>
        <v>21600</v>
      </c>
      <c r="U1879" s="61">
        <f t="shared" ca="1" si="223"/>
        <v>17736.287052097334</v>
      </c>
      <c r="V1879" s="39">
        <f t="shared" ca="1" si="224"/>
        <v>0.11668609902695615</v>
      </c>
      <c r="W1879" s="48">
        <f t="shared" ca="1" si="225"/>
        <v>1.4477922646591934</v>
      </c>
    </row>
    <row r="1880" spans="17:23" x14ac:dyDescent="0.2">
      <c r="Q1880">
        <f t="shared" si="226"/>
        <v>1864</v>
      </c>
      <c r="R1880" s="48">
        <f t="shared" ca="1" si="227"/>
        <v>0.4</v>
      </c>
      <c r="S1880">
        <f t="shared" ca="1" si="228"/>
        <v>192.54954664325987</v>
      </c>
      <c r="T1880" s="61">
        <f t="shared" ca="1" si="222"/>
        <v>19200</v>
      </c>
      <c r="U1880" s="61">
        <f t="shared" ca="1" si="223"/>
        <v>20423.782388764739</v>
      </c>
      <c r="V1880" s="39">
        <f t="shared" ca="1" si="224"/>
        <v>0.13436698939976802</v>
      </c>
      <c r="W1880" s="48">
        <f t="shared" ca="1" si="225"/>
        <v>1.7804325874927383</v>
      </c>
    </row>
    <row r="1881" spans="17:23" x14ac:dyDescent="0.2">
      <c r="Q1881">
        <f t="shared" si="226"/>
        <v>1865</v>
      </c>
      <c r="R1881" s="48">
        <f t="shared" ca="1" si="227"/>
        <v>0.45</v>
      </c>
      <c r="S1881">
        <f t="shared" ca="1" si="228"/>
        <v>220.64883241910763</v>
      </c>
      <c r="T1881" s="61">
        <f t="shared" ca="1" si="222"/>
        <v>21600</v>
      </c>
      <c r="U1881" s="61">
        <f t="shared" ca="1" si="223"/>
        <v>35085.486264407358</v>
      </c>
      <c r="V1881" s="39">
        <f t="shared" ca="1" si="224"/>
        <v>0.23082556752899577</v>
      </c>
      <c r="W1881" s="48">
        <f t="shared" ca="1" si="225"/>
        <v>4.3900638192438191</v>
      </c>
    </row>
    <row r="1882" spans="17:23" x14ac:dyDescent="0.2">
      <c r="Q1882">
        <f t="shared" si="226"/>
        <v>1866</v>
      </c>
      <c r="R1882" s="48">
        <f t="shared" ca="1" si="227"/>
        <v>0.5</v>
      </c>
      <c r="S1882">
        <f t="shared" ca="1" si="228"/>
        <v>191.7945275259018</v>
      </c>
      <c r="T1882" s="61">
        <f t="shared" ca="1" si="222"/>
        <v>24000</v>
      </c>
      <c r="U1882" s="61">
        <f t="shared" ca="1" si="223"/>
        <v>24717.811010360718</v>
      </c>
      <c r="V1882" s="39">
        <f t="shared" ca="1" si="224"/>
        <v>0.16261717769974157</v>
      </c>
      <c r="W1882" s="48">
        <f t="shared" ca="1" si="225"/>
        <v>2.3944126044000074</v>
      </c>
    </row>
    <row r="1883" spans="17:23" x14ac:dyDescent="0.2">
      <c r="Q1883">
        <f t="shared" si="226"/>
        <v>1867</v>
      </c>
      <c r="R1883" s="48">
        <f t="shared" ca="1" si="227"/>
        <v>0.45</v>
      </c>
      <c r="S1883">
        <f t="shared" ca="1" si="228"/>
        <v>180.01181837757287</v>
      </c>
      <c r="T1883" s="61">
        <f t="shared" ca="1" si="222"/>
        <v>21600</v>
      </c>
      <c r="U1883" s="61">
        <f t="shared" ca="1" si="223"/>
        <v>17205.200086132059</v>
      </c>
      <c r="V1883" s="39">
        <f t="shared" ca="1" si="224"/>
        <v>0.11319210582981618</v>
      </c>
      <c r="W1883" s="48">
        <f t="shared" ca="1" si="225"/>
        <v>1.3863569219776948</v>
      </c>
    </row>
    <row r="1884" spans="17:23" x14ac:dyDescent="0.2">
      <c r="Q1884">
        <f t="shared" si="226"/>
        <v>1868</v>
      </c>
      <c r="R1884" s="48">
        <f t="shared" ca="1" si="227"/>
        <v>0.4</v>
      </c>
      <c r="S1884">
        <f t="shared" ca="1" si="228"/>
        <v>184.00958207506309</v>
      </c>
      <c r="T1884" s="61">
        <f t="shared" ca="1" si="222"/>
        <v>19200</v>
      </c>
      <c r="U1884" s="61">
        <f t="shared" ca="1" si="223"/>
        <v>16324.599396030284</v>
      </c>
      <c r="V1884" s="39">
        <f t="shared" ca="1" si="224"/>
        <v>0.10739868023704134</v>
      </c>
      <c r="W1884" s="48">
        <f t="shared" ca="1" si="225"/>
        <v>1.2874661686661768</v>
      </c>
    </row>
    <row r="1885" spans="17:23" x14ac:dyDescent="0.2">
      <c r="Q1885">
        <f t="shared" si="226"/>
        <v>1869</v>
      </c>
      <c r="R1885" s="48">
        <f t="shared" ca="1" si="227"/>
        <v>0.3</v>
      </c>
      <c r="S1885">
        <f t="shared" ca="1" si="228"/>
        <v>176.1319694969998</v>
      </c>
      <c r="T1885" s="61">
        <f t="shared" ca="1" si="222"/>
        <v>14400</v>
      </c>
      <c r="U1885" s="61">
        <f t="shared" ca="1" si="223"/>
        <v>6633.9029183198891</v>
      </c>
      <c r="V1885" s="39">
        <f t="shared" ca="1" si="224"/>
        <v>4.3644098146841379E-2</v>
      </c>
      <c r="W1885" s="48">
        <f t="shared" ca="1" si="225"/>
        <v>0.41410205096409247</v>
      </c>
    </row>
    <row r="1886" spans="17:23" x14ac:dyDescent="0.2">
      <c r="Q1886">
        <f t="shared" si="226"/>
        <v>1870</v>
      </c>
      <c r="R1886" s="48">
        <f t="shared" ca="1" si="227"/>
        <v>0.45</v>
      </c>
      <c r="S1886">
        <f t="shared" ca="1" si="228"/>
        <v>200.27282192395103</v>
      </c>
      <c r="T1886" s="61">
        <f t="shared" ca="1" si="222"/>
        <v>21600</v>
      </c>
      <c r="U1886" s="61">
        <f t="shared" ca="1" si="223"/>
        <v>26120.041646538455</v>
      </c>
      <c r="V1886" s="39">
        <f t="shared" ca="1" si="224"/>
        <v>0.17184237925354245</v>
      </c>
      <c r="W1886" s="48">
        <f t="shared" ca="1" si="225"/>
        <v>2.6191429204874122</v>
      </c>
    </row>
    <row r="1887" spans="17:23" x14ac:dyDescent="0.2">
      <c r="Q1887">
        <f t="shared" si="226"/>
        <v>1871</v>
      </c>
      <c r="R1887" s="48">
        <f t="shared" ca="1" si="227"/>
        <v>0.45</v>
      </c>
      <c r="S1887">
        <f t="shared" ca="1" si="228"/>
        <v>173.5071582905463</v>
      </c>
      <c r="T1887" s="61">
        <f t="shared" ca="1" si="222"/>
        <v>21600</v>
      </c>
      <c r="U1887" s="61">
        <f t="shared" ca="1" si="223"/>
        <v>14343.149647840371</v>
      </c>
      <c r="V1887" s="39">
        <f t="shared" ca="1" si="224"/>
        <v>9.4362826630528765E-2</v>
      </c>
      <c r="W1887" s="48">
        <f t="shared" ca="1" si="225"/>
        <v>1.077982659433768</v>
      </c>
    </row>
    <row r="1888" spans="17:23" x14ac:dyDescent="0.2">
      <c r="Q1888">
        <f t="shared" si="226"/>
        <v>1872</v>
      </c>
      <c r="R1888" s="48">
        <f t="shared" ca="1" si="227"/>
        <v>0.4</v>
      </c>
      <c r="S1888">
        <f t="shared" ca="1" si="228"/>
        <v>202.24980502868732</v>
      </c>
      <c r="T1888" s="61">
        <f t="shared" ca="1" si="222"/>
        <v>19200</v>
      </c>
      <c r="U1888" s="61">
        <f t="shared" ca="1" si="223"/>
        <v>25079.906413769913</v>
      </c>
      <c r="V1888" s="39">
        <f t="shared" ca="1" si="224"/>
        <v>0.16499938430111785</v>
      </c>
      <c r="W1888" s="48">
        <f t="shared" ca="1" si="225"/>
        <v>2.4512394214157136</v>
      </c>
    </row>
    <row r="1889" spans="17:23" x14ac:dyDescent="0.2">
      <c r="Q1889">
        <f t="shared" si="226"/>
        <v>1873</v>
      </c>
      <c r="R1889" s="48">
        <f t="shared" ca="1" si="227"/>
        <v>0.4</v>
      </c>
      <c r="S1889">
        <f t="shared" ca="1" si="228"/>
        <v>182.69840338311673</v>
      </c>
      <c r="T1889" s="61">
        <f t="shared" ca="1" si="222"/>
        <v>19200</v>
      </c>
      <c r="U1889" s="61">
        <f t="shared" ca="1" si="223"/>
        <v>15695.233623896029</v>
      </c>
      <c r="V1889" s="39">
        <f t="shared" ca="1" si="224"/>
        <v>0.1032581159466844</v>
      </c>
      <c r="W1889" s="48">
        <f t="shared" ca="1" si="225"/>
        <v>1.2190084245216495</v>
      </c>
    </row>
    <row r="1890" spans="17:23" x14ac:dyDescent="0.2">
      <c r="Q1890">
        <f t="shared" si="226"/>
        <v>1874</v>
      </c>
      <c r="R1890" s="48">
        <f t="shared" ca="1" si="227"/>
        <v>0.4</v>
      </c>
      <c r="S1890">
        <f t="shared" ca="1" si="228"/>
        <v>215.98708549491593</v>
      </c>
      <c r="T1890" s="61">
        <f t="shared" ca="1" si="222"/>
        <v>19200</v>
      </c>
      <c r="U1890" s="61">
        <f t="shared" ca="1" si="223"/>
        <v>31673.801037559646</v>
      </c>
      <c r="V1890" s="39">
        <f t="shared" ca="1" si="224"/>
        <v>0.20838026998394504</v>
      </c>
      <c r="W1890" s="48">
        <f t="shared" ca="1" si="225"/>
        <v>3.6426157603427454</v>
      </c>
    </row>
    <row r="1891" spans="17:23" x14ac:dyDescent="0.2">
      <c r="Q1891">
        <f t="shared" si="226"/>
        <v>1875</v>
      </c>
      <c r="R1891" s="48">
        <f t="shared" ca="1" si="227"/>
        <v>0.35</v>
      </c>
      <c r="S1891">
        <f t="shared" ca="1" si="228"/>
        <v>165.92700769452713</v>
      </c>
      <c r="T1891" s="61">
        <f t="shared" ca="1" si="222"/>
        <v>16800</v>
      </c>
      <c r="U1891" s="61">
        <f t="shared" ca="1" si="223"/>
        <v>4282.0440011541104</v>
      </c>
      <c r="V1891" s="39">
        <f t="shared" ca="1" si="224"/>
        <v>2.817134211285599E-2</v>
      </c>
      <c r="W1891" s="48">
        <f t="shared" ca="1" si="225"/>
        <v>0.25275045320646128</v>
      </c>
    </row>
    <row r="1892" spans="17:23" x14ac:dyDescent="0.2">
      <c r="Q1892">
        <f t="shared" si="226"/>
        <v>1876</v>
      </c>
      <c r="R1892" s="48">
        <f t="shared" ca="1" si="227"/>
        <v>0.3</v>
      </c>
      <c r="S1892">
        <f t="shared" ca="1" si="228"/>
        <v>212.4430675504679</v>
      </c>
      <c r="T1892" s="61">
        <f t="shared" ca="1" si="222"/>
        <v>14400</v>
      </c>
      <c r="U1892" s="61">
        <f t="shared" ca="1" si="223"/>
        <v>26968.117828262024</v>
      </c>
      <c r="V1892" s="39">
        <f t="shared" ca="1" si="224"/>
        <v>0.17742182781751331</v>
      </c>
      <c r="W1892" s="48">
        <f t="shared" ca="1" si="225"/>
        <v>2.7613002671045734</v>
      </c>
    </row>
    <row r="1893" spans="17:23" x14ac:dyDescent="0.2">
      <c r="Q1893">
        <f t="shared" si="226"/>
        <v>1877</v>
      </c>
      <c r="R1893" s="48">
        <f t="shared" ca="1" si="227"/>
        <v>0.3</v>
      </c>
      <c r="S1893">
        <f t="shared" ca="1" si="228"/>
        <v>187.92969967235894</v>
      </c>
      <c r="T1893" s="61">
        <f t="shared" ca="1" si="222"/>
        <v>14400</v>
      </c>
      <c r="U1893" s="61">
        <f t="shared" ca="1" si="223"/>
        <v>13240.631816521003</v>
      </c>
      <c r="V1893" s="39">
        <f t="shared" ca="1" si="224"/>
        <v>8.7109419845532915E-2</v>
      </c>
      <c r="W1893" s="48">
        <f t="shared" ca="1" si="225"/>
        <v>0.96886724362373133</v>
      </c>
    </row>
    <row r="1894" spans="17:23" x14ac:dyDescent="0.2">
      <c r="Q1894">
        <f t="shared" si="226"/>
        <v>1878</v>
      </c>
      <c r="R1894" s="48">
        <f t="shared" ca="1" si="227"/>
        <v>0.4</v>
      </c>
      <c r="S1894">
        <f t="shared" ca="1" si="228"/>
        <v>198.26079725692301</v>
      </c>
      <c r="T1894" s="61">
        <f t="shared" ca="1" si="222"/>
        <v>19200</v>
      </c>
      <c r="U1894" s="61">
        <f t="shared" ca="1" si="223"/>
        <v>23165.182683323044</v>
      </c>
      <c r="V1894" s="39">
        <f t="shared" ca="1" si="224"/>
        <v>0.15240251765344109</v>
      </c>
      <c r="W1894" s="48">
        <f t="shared" ca="1" si="225"/>
        <v>2.1599375391881681</v>
      </c>
    </row>
    <row r="1895" spans="17:23" x14ac:dyDescent="0.2">
      <c r="Q1895">
        <f t="shared" si="226"/>
        <v>1879</v>
      </c>
      <c r="R1895" s="48">
        <f t="shared" ca="1" si="227"/>
        <v>0.3</v>
      </c>
      <c r="S1895">
        <f t="shared" ca="1" si="228"/>
        <v>188.98954577585289</v>
      </c>
      <c r="T1895" s="61">
        <f t="shared" ca="1" si="222"/>
        <v>14400</v>
      </c>
      <c r="U1895" s="61">
        <f t="shared" ca="1" si="223"/>
        <v>13834.145634477618</v>
      </c>
      <c r="V1895" s="39">
        <f t="shared" ca="1" si="224"/>
        <v>9.101411601630012E-2</v>
      </c>
      <c r="W1895" s="48">
        <f t="shared" ca="1" si="225"/>
        <v>1.0269653847270814</v>
      </c>
    </row>
    <row r="1896" spans="17:23" x14ac:dyDescent="0.2">
      <c r="Q1896">
        <f t="shared" si="226"/>
        <v>1880</v>
      </c>
      <c r="R1896" s="48">
        <f t="shared" ca="1" si="227"/>
        <v>0.217</v>
      </c>
      <c r="S1896">
        <f t="shared" ca="1" si="228"/>
        <v>196.81555262932073</v>
      </c>
      <c r="T1896" s="61">
        <f t="shared" ca="1" si="222"/>
        <v>10416</v>
      </c>
      <c r="U1896" s="61">
        <f t="shared" ca="1" si="223"/>
        <v>14685.262167006509</v>
      </c>
      <c r="V1896" s="39">
        <f t="shared" ca="1" si="224"/>
        <v>9.6613566888200719E-2</v>
      </c>
      <c r="W1896" s="48">
        <f t="shared" ca="1" si="225"/>
        <v>1.11290182229367</v>
      </c>
    </row>
    <row r="1897" spans="17:23" x14ac:dyDescent="0.2">
      <c r="Q1897">
        <f t="shared" si="226"/>
        <v>1881</v>
      </c>
      <c r="R1897" s="48">
        <f t="shared" ca="1" si="227"/>
        <v>0.3</v>
      </c>
      <c r="S1897">
        <f t="shared" ca="1" si="228"/>
        <v>180.5017233921098</v>
      </c>
      <c r="T1897" s="61">
        <f t="shared" ca="1" si="222"/>
        <v>14400</v>
      </c>
      <c r="U1897" s="61">
        <f t="shared" ca="1" si="223"/>
        <v>9080.9650995814845</v>
      </c>
      <c r="V1897" s="39">
        <f t="shared" ca="1" si="224"/>
        <v>5.9743191444615026E-2</v>
      </c>
      <c r="W1897" s="48">
        <f t="shared" ca="1" si="225"/>
        <v>0.6010509432010851</v>
      </c>
    </row>
    <row r="1898" spans="17:23" x14ac:dyDescent="0.2">
      <c r="Q1898">
        <f t="shared" si="226"/>
        <v>1882</v>
      </c>
      <c r="R1898" s="48">
        <f t="shared" ca="1" si="227"/>
        <v>0.3</v>
      </c>
      <c r="S1898">
        <f t="shared" ca="1" si="228"/>
        <v>205.79840828989188</v>
      </c>
      <c r="T1898" s="61">
        <f t="shared" ca="1" si="222"/>
        <v>14400</v>
      </c>
      <c r="U1898" s="61">
        <f t="shared" ca="1" si="223"/>
        <v>23247.108642339452</v>
      </c>
      <c r="V1898" s="39">
        <f t="shared" ca="1" si="224"/>
        <v>0.15294150422591746</v>
      </c>
      <c r="W1898" s="48">
        <f t="shared" ca="1" si="225"/>
        <v>2.1719451028351973</v>
      </c>
    </row>
    <row r="1899" spans="17:23" x14ac:dyDescent="0.2">
      <c r="Q1899">
        <f t="shared" si="226"/>
        <v>1883</v>
      </c>
      <c r="R1899" s="48">
        <f t="shared" ca="1" si="227"/>
        <v>0.3</v>
      </c>
      <c r="S1899">
        <f t="shared" ca="1" si="228"/>
        <v>195.50219108183722</v>
      </c>
      <c r="T1899" s="61">
        <f t="shared" ca="1" si="222"/>
        <v>14400</v>
      </c>
      <c r="U1899" s="61">
        <f t="shared" ca="1" si="223"/>
        <v>17481.227005828845</v>
      </c>
      <c r="V1899" s="39">
        <f t="shared" ca="1" si="224"/>
        <v>0.11500807240676872</v>
      </c>
      <c r="W1899" s="48">
        <f t="shared" ca="1" si="225"/>
        <v>1.4181164145333804</v>
      </c>
    </row>
    <row r="1900" spans="17:23" x14ac:dyDescent="0.2">
      <c r="Q1900">
        <f t="shared" si="226"/>
        <v>1884</v>
      </c>
      <c r="R1900" s="48">
        <f t="shared" ca="1" si="227"/>
        <v>0.217</v>
      </c>
      <c r="S1900">
        <f t="shared" ca="1" si="228"/>
        <v>166.09508624213839</v>
      </c>
      <c r="T1900" s="61">
        <f t="shared" ca="1" si="222"/>
        <v>10416</v>
      </c>
      <c r="U1900" s="61">
        <f t="shared" ca="1" si="223"/>
        <v>-4558.0379779245104</v>
      </c>
      <c r="V1900" s="39">
        <f t="shared" ca="1" si="224"/>
        <v>-2.9987091960029674E-2</v>
      </c>
      <c r="W1900" s="48">
        <f t="shared" ca="1" si="225"/>
        <v>-0.21882031121531376</v>
      </c>
    </row>
    <row r="1901" spans="17:23" x14ac:dyDescent="0.2">
      <c r="Q1901">
        <f t="shared" si="226"/>
        <v>1885</v>
      </c>
      <c r="R1901" s="48">
        <f t="shared" ca="1" si="227"/>
        <v>0.15</v>
      </c>
      <c r="S1901">
        <f t="shared" ca="1" si="228"/>
        <v>180.2156480152062</v>
      </c>
      <c r="T1901" s="61">
        <f t="shared" ca="1" si="222"/>
        <v>7200</v>
      </c>
      <c r="U1901" s="61">
        <f t="shared" ca="1" si="223"/>
        <v>546.64065034021496</v>
      </c>
      <c r="V1901" s="39">
        <f t="shared" ca="1" si="224"/>
        <v>3.5963200680277302E-3</v>
      </c>
      <c r="W1901" s="48">
        <f t="shared" ca="1" si="225"/>
        <v>2.9545893039863991E-2</v>
      </c>
    </row>
    <row r="1902" spans="17:23" x14ac:dyDescent="0.2">
      <c r="Q1902">
        <f t="shared" si="226"/>
        <v>1886</v>
      </c>
      <c r="R1902" s="48">
        <f t="shared" ca="1" si="227"/>
        <v>0.35</v>
      </c>
      <c r="S1902">
        <f t="shared" ca="1" si="228"/>
        <v>230.34085014237078</v>
      </c>
      <c r="T1902" s="61">
        <f t="shared" ca="1" si="222"/>
        <v>16800</v>
      </c>
      <c r="U1902" s="61">
        <f t="shared" ca="1" si="223"/>
        <v>37777.242074032809</v>
      </c>
      <c r="V1902" s="39">
        <f t="shared" ca="1" si="224"/>
        <v>0.24853448732916322</v>
      </c>
      <c r="W1902" s="48">
        <f t="shared" ca="1" si="225"/>
        <v>5.0522312798946283</v>
      </c>
    </row>
    <row r="1903" spans="17:23" x14ac:dyDescent="0.2">
      <c r="Q1903">
        <f t="shared" si="226"/>
        <v>1887</v>
      </c>
      <c r="R1903" s="48">
        <f t="shared" ca="1" si="227"/>
        <v>0.3</v>
      </c>
      <c r="S1903">
        <f t="shared" ca="1" si="228"/>
        <v>181.34234348790685</v>
      </c>
      <c r="T1903" s="61">
        <f t="shared" ca="1" si="222"/>
        <v>14400</v>
      </c>
      <c r="U1903" s="61">
        <f t="shared" ca="1" si="223"/>
        <v>9551.7123532278329</v>
      </c>
      <c r="V1903" s="39">
        <f t="shared" ca="1" si="224"/>
        <v>6.2840212850183111E-2</v>
      </c>
      <c r="W1903" s="48">
        <f t="shared" ca="1" si="225"/>
        <v>0.63939915917850243</v>
      </c>
    </row>
    <row r="1904" spans="17:23" x14ac:dyDescent="0.2">
      <c r="Q1904">
        <f t="shared" si="226"/>
        <v>1888</v>
      </c>
      <c r="R1904" s="48">
        <f t="shared" ca="1" si="227"/>
        <v>0.35</v>
      </c>
      <c r="S1904">
        <f t="shared" ca="1" si="228"/>
        <v>174.05971517084473</v>
      </c>
      <c r="T1904" s="61">
        <f t="shared" ca="1" si="222"/>
        <v>16800</v>
      </c>
      <c r="U1904" s="61">
        <f t="shared" ca="1" si="223"/>
        <v>8511.051888839258</v>
      </c>
      <c r="V1904" s="39">
        <f t="shared" ca="1" si="224"/>
        <v>5.5993762426574063E-2</v>
      </c>
      <c r="W1904" s="48">
        <f t="shared" ca="1" si="225"/>
        <v>0.55567854576146702</v>
      </c>
    </row>
    <row r="1905" spans="17:23" x14ac:dyDescent="0.2">
      <c r="Q1905">
        <f t="shared" si="226"/>
        <v>1889</v>
      </c>
      <c r="R1905" s="48">
        <f t="shared" ca="1" si="227"/>
        <v>0.4</v>
      </c>
      <c r="S1905">
        <f t="shared" ca="1" si="228"/>
        <v>187.30177706916712</v>
      </c>
      <c r="T1905" s="61">
        <f t="shared" ca="1" si="222"/>
        <v>19200</v>
      </c>
      <c r="U1905" s="61">
        <f t="shared" ca="1" si="223"/>
        <v>17904.852993200217</v>
      </c>
      <c r="V1905" s="39">
        <f t="shared" ca="1" si="224"/>
        <v>0.11779508548158037</v>
      </c>
      <c r="W1905" s="48">
        <f t="shared" ca="1" si="225"/>
        <v>1.4675794465366314</v>
      </c>
    </row>
    <row r="1906" spans="17:23" x14ac:dyDescent="0.2">
      <c r="Q1906">
        <f t="shared" si="226"/>
        <v>1890</v>
      </c>
      <c r="R1906" s="48">
        <f t="shared" ca="1" si="227"/>
        <v>0.3</v>
      </c>
      <c r="S1906">
        <f t="shared" ca="1" si="228"/>
        <v>167.61640914307424</v>
      </c>
      <c r="T1906" s="61">
        <f t="shared" ca="1" si="222"/>
        <v>14400</v>
      </c>
      <c r="U1906" s="61">
        <f t="shared" ca="1" si="223"/>
        <v>1865.1891201215731</v>
      </c>
      <c r="V1906" s="39">
        <f t="shared" ca="1" si="224"/>
        <v>1.2270981053431402E-2</v>
      </c>
      <c r="W1906" s="48">
        <f t="shared" ca="1" si="225"/>
        <v>0.10398412437030169</v>
      </c>
    </row>
    <row r="1907" spans="17:23" x14ac:dyDescent="0.2">
      <c r="Q1907">
        <f t="shared" si="226"/>
        <v>1891</v>
      </c>
      <c r="R1907" s="48">
        <f t="shared" ca="1" si="227"/>
        <v>0.4</v>
      </c>
      <c r="S1907">
        <f t="shared" ca="1" si="228"/>
        <v>200.65047025500749</v>
      </c>
      <c r="T1907" s="61">
        <f t="shared" ca="1" si="222"/>
        <v>19200</v>
      </c>
      <c r="U1907" s="61">
        <f t="shared" ca="1" si="223"/>
        <v>24312.225722403597</v>
      </c>
      <c r="V1907" s="39">
        <f t="shared" ca="1" si="224"/>
        <v>0.15994885343686577</v>
      </c>
      <c r="W1907" s="48">
        <f t="shared" ca="1" si="225"/>
        <v>2.3317360708134243</v>
      </c>
    </row>
    <row r="1908" spans="17:23" x14ac:dyDescent="0.2">
      <c r="Q1908">
        <f t="shared" si="226"/>
        <v>1892</v>
      </c>
      <c r="R1908" s="48">
        <f t="shared" ca="1" si="227"/>
        <v>0.3</v>
      </c>
      <c r="S1908">
        <f t="shared" ca="1" si="228"/>
        <v>192.27299231836122</v>
      </c>
      <c r="T1908" s="61">
        <f t="shared" ca="1" si="222"/>
        <v>14400</v>
      </c>
      <c r="U1908" s="61">
        <f t="shared" ca="1" si="223"/>
        <v>15672.875698282282</v>
      </c>
      <c r="V1908" s="39">
        <f t="shared" ca="1" si="224"/>
        <v>0.10311102433080449</v>
      </c>
      <c r="W1908" s="48">
        <f t="shared" ca="1" si="225"/>
        <v>1.2166098996717127</v>
      </c>
    </row>
    <row r="1909" spans="17:23" x14ac:dyDescent="0.2">
      <c r="Q1909">
        <f t="shared" si="226"/>
        <v>1893</v>
      </c>
      <c r="R1909" s="48">
        <f t="shared" ca="1" si="227"/>
        <v>0.4</v>
      </c>
      <c r="S1909">
        <f t="shared" ca="1" si="228"/>
        <v>229.14658045897335</v>
      </c>
      <c r="T1909" s="61">
        <f t="shared" ca="1" si="222"/>
        <v>19200</v>
      </c>
      <c r="U1909" s="61">
        <f t="shared" ca="1" si="223"/>
        <v>37990.358620307205</v>
      </c>
      <c r="V1909" s="39">
        <f t="shared" ca="1" si="224"/>
        <v>0.24993656987044213</v>
      </c>
      <c r="W1909" s="48">
        <f t="shared" ca="1" si="225"/>
        <v>5.1075794760804083</v>
      </c>
    </row>
    <row r="1910" spans="17:23" x14ac:dyDescent="0.2">
      <c r="Q1910">
        <f t="shared" si="226"/>
        <v>1894</v>
      </c>
      <c r="R1910" s="48">
        <f t="shared" ca="1" si="227"/>
        <v>0.3</v>
      </c>
      <c r="S1910">
        <f t="shared" ca="1" si="228"/>
        <v>192.60170367873201</v>
      </c>
      <c r="T1910" s="61">
        <f t="shared" ca="1" si="222"/>
        <v>14400</v>
      </c>
      <c r="U1910" s="61">
        <f t="shared" ca="1" si="223"/>
        <v>15856.954060089924</v>
      </c>
      <c r="V1910" s="39">
        <f t="shared" ca="1" si="224"/>
        <v>0.10432206618480212</v>
      </c>
      <c r="W1910" s="48">
        <f t="shared" ca="1" si="225"/>
        <v>1.2364254104154422</v>
      </c>
    </row>
    <row r="1911" spans="17:23" x14ac:dyDescent="0.2">
      <c r="Q1911">
        <f t="shared" si="226"/>
        <v>1895</v>
      </c>
      <c r="R1911" s="48">
        <f t="shared" ca="1" si="227"/>
        <v>0.4</v>
      </c>
      <c r="S1911">
        <f t="shared" ca="1" si="228"/>
        <v>204.72314380088034</v>
      </c>
      <c r="T1911" s="61">
        <f t="shared" ca="1" si="222"/>
        <v>19200</v>
      </c>
      <c r="U1911" s="61">
        <f t="shared" ca="1" si="223"/>
        <v>26267.109024422563</v>
      </c>
      <c r="V1911" s="39">
        <f t="shared" ca="1" si="224"/>
        <v>0.17280992779225371</v>
      </c>
      <c r="W1911" s="48">
        <f t="shared" ca="1" si="225"/>
        <v>2.6434517962894306</v>
      </c>
    </row>
    <row r="1912" spans="17:23" x14ac:dyDescent="0.2">
      <c r="Q1912">
        <f t="shared" si="226"/>
        <v>1896</v>
      </c>
      <c r="R1912" s="48">
        <f t="shared" ca="1" si="227"/>
        <v>0.35</v>
      </c>
      <c r="S1912">
        <f t="shared" ca="1" si="228"/>
        <v>191.16097994389898</v>
      </c>
      <c r="T1912" s="61">
        <f t="shared" ca="1" si="222"/>
        <v>16800</v>
      </c>
      <c r="U1912" s="61">
        <f t="shared" ca="1" si="223"/>
        <v>17403.709570827468</v>
      </c>
      <c r="V1912" s="39">
        <f t="shared" ca="1" si="224"/>
        <v>0.11449808928175965</v>
      </c>
      <c r="W1912" s="48">
        <f t="shared" ca="1" si="225"/>
        <v>1.4091601035310206</v>
      </c>
    </row>
    <row r="1913" spans="17:23" x14ac:dyDescent="0.2">
      <c r="Q1913">
        <f t="shared" si="226"/>
        <v>1897</v>
      </c>
      <c r="R1913" s="48">
        <f t="shared" ca="1" si="227"/>
        <v>0.35</v>
      </c>
      <c r="S1913">
        <f t="shared" ca="1" si="228"/>
        <v>198.88373365488025</v>
      </c>
      <c r="T1913" s="61">
        <f t="shared" ref="T1913:T1976" ca="1" si="229">($B$8-$B$7)*($E$6*R1913)</f>
        <v>16800</v>
      </c>
      <c r="U1913" s="61">
        <f t="shared" ref="U1913:U1976" ca="1" si="230">T1913+((S1913-$B$7)*($E$6*(1-R1913)))</f>
        <v>21419.541500537729</v>
      </c>
      <c r="V1913" s="39">
        <f t="shared" ref="V1913:V1976" ca="1" si="231">U1913/$E$4</f>
        <v>0.14091803618774823</v>
      </c>
      <c r="W1913" s="48">
        <f t="shared" ref="W1913:W1976" ca="1" si="232">(1+V1913)^($J$29/$J$30)-1</f>
        <v>1.9133802438611776</v>
      </c>
    </row>
    <row r="1914" spans="17:23" x14ac:dyDescent="0.2">
      <c r="Q1914">
        <f t="shared" si="226"/>
        <v>1898</v>
      </c>
      <c r="R1914" s="48">
        <f t="shared" ca="1" si="227"/>
        <v>0.3</v>
      </c>
      <c r="S1914">
        <f t="shared" ca="1" si="228"/>
        <v>182.99833847741502</v>
      </c>
      <c r="T1914" s="61">
        <f t="shared" ca="1" si="229"/>
        <v>14400</v>
      </c>
      <c r="U1914" s="61">
        <f t="shared" ca="1" si="230"/>
        <v>10479.06954735241</v>
      </c>
      <c r="V1914" s="39">
        <f t="shared" ca="1" si="231"/>
        <v>6.8941247022055327E-2</v>
      </c>
      <c r="W1914" s="48">
        <f t="shared" ca="1" si="232"/>
        <v>0.7173063518105447</v>
      </c>
    </row>
    <row r="1915" spans="17:23" x14ac:dyDescent="0.2">
      <c r="Q1915">
        <f t="shared" si="226"/>
        <v>1899</v>
      </c>
      <c r="R1915" s="48">
        <f t="shared" ca="1" si="227"/>
        <v>0.35</v>
      </c>
      <c r="S1915">
        <f t="shared" ca="1" si="228"/>
        <v>167.56525376579481</v>
      </c>
      <c r="T1915" s="61">
        <f t="shared" ca="1" si="229"/>
        <v>16800</v>
      </c>
      <c r="U1915" s="61">
        <f t="shared" ca="1" si="230"/>
        <v>5133.9319582132994</v>
      </c>
      <c r="V1915" s="39">
        <f t="shared" ca="1" si="231"/>
        <v>3.3775868146140128E-2</v>
      </c>
      <c r="W1915" s="48">
        <f t="shared" ca="1" si="232"/>
        <v>0.30922428502496846</v>
      </c>
    </row>
    <row r="1916" spans="17:23" x14ac:dyDescent="0.2">
      <c r="Q1916">
        <f t="shared" si="226"/>
        <v>1900</v>
      </c>
      <c r="R1916" s="48">
        <f t="shared" ca="1" si="227"/>
        <v>0.35</v>
      </c>
      <c r="S1916">
        <f t="shared" ca="1" si="228"/>
        <v>179.81353985265528</v>
      </c>
      <c r="T1916" s="61">
        <f t="shared" ca="1" si="229"/>
        <v>16800</v>
      </c>
      <c r="U1916" s="61">
        <f t="shared" ca="1" si="230"/>
        <v>11503.040723380745</v>
      </c>
      <c r="V1916" s="39">
        <f t="shared" ca="1" si="231"/>
        <v>7.567789949592596E-2</v>
      </c>
      <c r="W1916" s="48">
        <f t="shared" ca="1" si="232"/>
        <v>0.80708348283393239</v>
      </c>
    </row>
    <row r="1917" spans="17:23" x14ac:dyDescent="0.2">
      <c r="Q1917">
        <f t="shared" si="226"/>
        <v>1901</v>
      </c>
      <c r="R1917" s="48">
        <f t="shared" ca="1" si="227"/>
        <v>0.35</v>
      </c>
      <c r="S1917">
        <f t="shared" ca="1" si="228"/>
        <v>186.15645330218413</v>
      </c>
      <c r="T1917" s="61">
        <f t="shared" ca="1" si="229"/>
        <v>16800</v>
      </c>
      <c r="U1917" s="61">
        <f t="shared" ca="1" si="230"/>
        <v>14801.35571713575</v>
      </c>
      <c r="V1917" s="39">
        <f t="shared" ca="1" si="231"/>
        <v>9.7377340244314145E-2</v>
      </c>
      <c r="W1917" s="48">
        <f t="shared" ca="1" si="232"/>
        <v>1.12486774609062</v>
      </c>
    </row>
    <row r="1918" spans="17:23" x14ac:dyDescent="0.2">
      <c r="Q1918">
        <f t="shared" si="226"/>
        <v>1902</v>
      </c>
      <c r="R1918" s="48">
        <f t="shared" ca="1" si="227"/>
        <v>0.45</v>
      </c>
      <c r="S1918">
        <f t="shared" ca="1" si="228"/>
        <v>203.85471595072684</v>
      </c>
      <c r="T1918" s="61">
        <f t="shared" ca="1" si="229"/>
        <v>21600</v>
      </c>
      <c r="U1918" s="61">
        <f t="shared" ca="1" si="230"/>
        <v>27696.075018319811</v>
      </c>
      <c r="V1918" s="39">
        <f t="shared" ca="1" si="231"/>
        <v>0.18221101985736718</v>
      </c>
      <c r="W1918" s="48">
        <f t="shared" ca="1" si="232"/>
        <v>2.8872032457724663</v>
      </c>
    </row>
    <row r="1919" spans="17:23" x14ac:dyDescent="0.2">
      <c r="Q1919">
        <f t="shared" si="226"/>
        <v>1903</v>
      </c>
      <c r="R1919" s="48">
        <f t="shared" ca="1" si="227"/>
        <v>0.45</v>
      </c>
      <c r="S1919">
        <f t="shared" ca="1" si="228"/>
        <v>210.9887201029523</v>
      </c>
      <c r="T1919" s="61">
        <f t="shared" ca="1" si="229"/>
        <v>21600</v>
      </c>
      <c r="U1919" s="61">
        <f t="shared" ca="1" si="230"/>
        <v>30835.036845299015</v>
      </c>
      <c r="V1919" s="39">
        <f t="shared" ca="1" si="231"/>
        <v>0.20286208450854615</v>
      </c>
      <c r="W1919" s="48">
        <f t="shared" ca="1" si="232"/>
        <v>3.4734187738708444</v>
      </c>
    </row>
    <row r="1920" spans="17:23" x14ac:dyDescent="0.2">
      <c r="Q1920">
        <f t="shared" si="226"/>
        <v>1904</v>
      </c>
      <c r="R1920" s="48">
        <f t="shared" ca="1" si="227"/>
        <v>0.3</v>
      </c>
      <c r="S1920">
        <f t="shared" ca="1" si="228"/>
        <v>183.36544594808737</v>
      </c>
      <c r="T1920" s="61">
        <f t="shared" ca="1" si="229"/>
        <v>14400</v>
      </c>
      <c r="U1920" s="61">
        <f t="shared" ca="1" si="230"/>
        <v>10684.649730928926</v>
      </c>
      <c r="V1920" s="39">
        <f t="shared" ca="1" si="231"/>
        <v>7.0293748229795561E-2</v>
      </c>
      <c r="W1920" s="48">
        <f t="shared" ca="1" si="232"/>
        <v>0.7350101468254453</v>
      </c>
    </row>
    <row r="1921" spans="17:23" x14ac:dyDescent="0.2">
      <c r="Q1921">
        <f t="shared" si="226"/>
        <v>1905</v>
      </c>
      <c r="R1921" s="48">
        <f t="shared" ca="1" si="227"/>
        <v>0.4</v>
      </c>
      <c r="S1921">
        <f t="shared" ca="1" si="228"/>
        <v>195.61721072554337</v>
      </c>
      <c r="T1921" s="61">
        <f t="shared" ca="1" si="229"/>
        <v>19200</v>
      </c>
      <c r="U1921" s="61">
        <f t="shared" ca="1" si="230"/>
        <v>21896.261148260819</v>
      </c>
      <c r="V1921" s="39">
        <f t="shared" ca="1" si="231"/>
        <v>0.14405434965961064</v>
      </c>
      <c r="W1921" s="48">
        <f t="shared" ca="1" si="232"/>
        <v>1.978978205827068</v>
      </c>
    </row>
    <row r="1922" spans="17:23" x14ac:dyDescent="0.2">
      <c r="Q1922">
        <f t="shared" si="226"/>
        <v>1906</v>
      </c>
      <c r="R1922" s="48">
        <f t="shared" ca="1" si="227"/>
        <v>0.3</v>
      </c>
      <c r="S1922">
        <f t="shared" ca="1" si="228"/>
        <v>197.23320861839846</v>
      </c>
      <c r="T1922" s="61">
        <f t="shared" ca="1" si="229"/>
        <v>14400</v>
      </c>
      <c r="U1922" s="61">
        <f t="shared" ca="1" si="230"/>
        <v>18450.596826303139</v>
      </c>
      <c r="V1922" s="39">
        <f t="shared" ca="1" si="231"/>
        <v>0.12138550543620487</v>
      </c>
      <c r="W1922" s="48">
        <f t="shared" ca="1" si="232"/>
        <v>1.5326071742238634</v>
      </c>
    </row>
    <row r="1923" spans="17:23" x14ac:dyDescent="0.2">
      <c r="Q1923">
        <f t="shared" si="226"/>
        <v>1907</v>
      </c>
      <c r="R1923" s="48">
        <f t="shared" ca="1" si="227"/>
        <v>0.3</v>
      </c>
      <c r="S1923">
        <f t="shared" ca="1" si="228"/>
        <v>198.62451240443781</v>
      </c>
      <c r="T1923" s="61">
        <f t="shared" ca="1" si="229"/>
        <v>14400</v>
      </c>
      <c r="U1923" s="61">
        <f t="shared" ca="1" si="230"/>
        <v>19229.726946485171</v>
      </c>
      <c r="V1923" s="39">
        <f t="shared" ca="1" si="231"/>
        <v>0.12651136149003403</v>
      </c>
      <c r="W1923" s="48">
        <f t="shared" ca="1" si="232"/>
        <v>1.6280462673581266</v>
      </c>
    </row>
    <row r="1924" spans="17:23" x14ac:dyDescent="0.2">
      <c r="Q1924">
        <f t="shared" si="226"/>
        <v>1908</v>
      </c>
      <c r="R1924" s="48">
        <f t="shared" ca="1" si="227"/>
        <v>0.3</v>
      </c>
      <c r="S1924">
        <f t="shared" ca="1" si="228"/>
        <v>188.42982525636009</v>
      </c>
      <c r="T1924" s="61">
        <f t="shared" ca="1" si="229"/>
        <v>14400</v>
      </c>
      <c r="U1924" s="61">
        <f t="shared" ca="1" si="230"/>
        <v>13520.70214356165</v>
      </c>
      <c r="V1924" s="39">
        <f t="shared" ca="1" si="231"/>
        <v>8.8951987786589803E-2</v>
      </c>
      <c r="W1924" s="48">
        <f t="shared" ca="1" si="232"/>
        <v>0.99609835796007062</v>
      </c>
    </row>
    <row r="1925" spans="17:23" x14ac:dyDescent="0.2">
      <c r="Q1925">
        <f t="shared" si="226"/>
        <v>1909</v>
      </c>
      <c r="R1925" s="48">
        <f t="shared" ca="1" si="227"/>
        <v>0.35</v>
      </c>
      <c r="S1925">
        <f t="shared" ca="1" si="228"/>
        <v>201.24166465633024</v>
      </c>
      <c r="T1925" s="61">
        <f t="shared" ca="1" si="229"/>
        <v>16800</v>
      </c>
      <c r="U1925" s="61">
        <f t="shared" ca="1" si="230"/>
        <v>22645.665621291726</v>
      </c>
      <c r="V1925" s="39">
        <f t="shared" ca="1" si="231"/>
        <v>0.1489846422453403</v>
      </c>
      <c r="W1925" s="48">
        <f t="shared" ca="1" si="232"/>
        <v>2.0847173112674531</v>
      </c>
    </row>
    <row r="1926" spans="17:23" x14ac:dyDescent="0.2">
      <c r="Q1926">
        <f t="shared" si="226"/>
        <v>1910</v>
      </c>
      <c r="R1926" s="48">
        <f t="shared" ca="1" si="227"/>
        <v>0.3</v>
      </c>
      <c r="S1926">
        <f t="shared" ca="1" si="228"/>
        <v>182.52602653346784</v>
      </c>
      <c r="T1926" s="61">
        <f t="shared" ca="1" si="229"/>
        <v>14400</v>
      </c>
      <c r="U1926" s="61">
        <f t="shared" ca="1" si="230"/>
        <v>10214.574858741991</v>
      </c>
      <c r="V1926" s="39">
        <f t="shared" ca="1" si="231"/>
        <v>6.7201150386460462E-2</v>
      </c>
      <c r="W1926" s="48">
        <f t="shared" ca="1" si="232"/>
        <v>0.69476214110230239</v>
      </c>
    </row>
    <row r="1927" spans="17:23" x14ac:dyDescent="0.2">
      <c r="Q1927">
        <f t="shared" si="226"/>
        <v>1911</v>
      </c>
      <c r="R1927" s="48">
        <f t="shared" ca="1" si="227"/>
        <v>0.3</v>
      </c>
      <c r="S1927">
        <f t="shared" ca="1" si="228"/>
        <v>183.76183514647016</v>
      </c>
      <c r="T1927" s="61">
        <f t="shared" ca="1" si="229"/>
        <v>14400</v>
      </c>
      <c r="U1927" s="61">
        <f t="shared" ca="1" si="230"/>
        <v>10906.627682023291</v>
      </c>
      <c r="V1927" s="39">
        <f t="shared" ca="1" si="231"/>
        <v>7.1754129486995333E-2</v>
      </c>
      <c r="W1927" s="48">
        <f t="shared" ca="1" si="232"/>
        <v>0.75430552652501914</v>
      </c>
    </row>
    <row r="1928" spans="17:23" x14ac:dyDescent="0.2">
      <c r="Q1928">
        <f t="shared" si="226"/>
        <v>1912</v>
      </c>
      <c r="R1928" s="48">
        <f t="shared" ca="1" si="227"/>
        <v>0.35</v>
      </c>
      <c r="S1928">
        <f t="shared" ca="1" si="228"/>
        <v>212.25712517740399</v>
      </c>
      <c r="T1928" s="61">
        <f t="shared" ca="1" si="229"/>
        <v>16800</v>
      </c>
      <c r="U1928" s="61">
        <f t="shared" ca="1" si="230"/>
        <v>28373.705092250078</v>
      </c>
      <c r="V1928" s="39">
        <f t="shared" ca="1" si="231"/>
        <v>0.18666911244901369</v>
      </c>
      <c r="W1928" s="48">
        <f t="shared" ca="1" si="232"/>
        <v>3.0077069301387489</v>
      </c>
    </row>
    <row r="1929" spans="17:23" x14ac:dyDescent="0.2">
      <c r="Q1929">
        <f t="shared" si="226"/>
        <v>1913</v>
      </c>
      <c r="R1929" s="48">
        <f t="shared" ca="1" si="227"/>
        <v>0.3</v>
      </c>
      <c r="S1929">
        <f t="shared" ca="1" si="228"/>
        <v>185.93485555391445</v>
      </c>
      <c r="T1929" s="61">
        <f t="shared" ca="1" si="229"/>
        <v>14400</v>
      </c>
      <c r="U1929" s="61">
        <f t="shared" ca="1" si="230"/>
        <v>12123.51911019209</v>
      </c>
      <c r="V1929" s="39">
        <f t="shared" ca="1" si="231"/>
        <v>7.9759994146000587E-2</v>
      </c>
      <c r="W1929" s="48">
        <f t="shared" ca="1" si="232"/>
        <v>0.86346348047237642</v>
      </c>
    </row>
    <row r="1930" spans="17:23" x14ac:dyDescent="0.2">
      <c r="Q1930">
        <f t="shared" si="226"/>
        <v>1914</v>
      </c>
      <c r="R1930" s="48">
        <f t="shared" ca="1" si="227"/>
        <v>0.35</v>
      </c>
      <c r="S1930">
        <f t="shared" ca="1" si="228"/>
        <v>159.5026656557944</v>
      </c>
      <c r="T1930" s="61">
        <f t="shared" ca="1" si="229"/>
        <v>16800</v>
      </c>
      <c r="U1930" s="61">
        <f t="shared" ca="1" si="230"/>
        <v>941.38614101308849</v>
      </c>
      <c r="V1930" s="39">
        <f t="shared" ca="1" si="231"/>
        <v>6.1933298750861086E-3</v>
      </c>
      <c r="W1930" s="48">
        <f t="shared" ca="1" si="232"/>
        <v>5.1355060319086876E-2</v>
      </c>
    </row>
    <row r="1931" spans="17:23" x14ac:dyDescent="0.2">
      <c r="Q1931">
        <f t="shared" si="226"/>
        <v>1915</v>
      </c>
      <c r="R1931" s="48">
        <f t="shared" ca="1" si="227"/>
        <v>0.35</v>
      </c>
      <c r="S1931">
        <f t="shared" ca="1" si="228"/>
        <v>170.65052950411965</v>
      </c>
      <c r="T1931" s="61">
        <f t="shared" ca="1" si="229"/>
        <v>16800</v>
      </c>
      <c r="U1931" s="61">
        <f t="shared" ca="1" si="230"/>
        <v>6738.2753421422167</v>
      </c>
      <c r="V1931" s="39">
        <f t="shared" ca="1" si="231"/>
        <v>4.4330758829883007E-2</v>
      </c>
      <c r="W1931" s="48">
        <f t="shared" ca="1" si="232"/>
        <v>0.42166632070214294</v>
      </c>
    </row>
    <row r="1932" spans="17:23" x14ac:dyDescent="0.2">
      <c r="Q1932">
        <f t="shared" si="226"/>
        <v>1916</v>
      </c>
      <c r="R1932" s="48">
        <f t="shared" ca="1" si="227"/>
        <v>0.35</v>
      </c>
      <c r="S1932">
        <f t="shared" ca="1" si="228"/>
        <v>198.70362130116831</v>
      </c>
      <c r="T1932" s="61">
        <f t="shared" ca="1" si="229"/>
        <v>16800</v>
      </c>
      <c r="U1932" s="61">
        <f t="shared" ca="1" si="230"/>
        <v>21325.883076607523</v>
      </c>
      <c r="V1932" s="39">
        <f t="shared" ca="1" si="231"/>
        <v>0.14030186234610212</v>
      </c>
      <c r="W1932" s="48">
        <f t="shared" ca="1" si="232"/>
        <v>1.9006425003710379</v>
      </c>
    </row>
    <row r="1933" spans="17:23" x14ac:dyDescent="0.2">
      <c r="Q1933">
        <f t="shared" si="226"/>
        <v>1917</v>
      </c>
      <c r="R1933" s="48">
        <f t="shared" ca="1" si="227"/>
        <v>0.4</v>
      </c>
      <c r="S1933">
        <f t="shared" ca="1" si="228"/>
        <v>190.46998992205647</v>
      </c>
      <c r="T1933" s="61">
        <f t="shared" ca="1" si="229"/>
        <v>19200</v>
      </c>
      <c r="U1933" s="61">
        <f t="shared" ca="1" si="230"/>
        <v>19425.595162587106</v>
      </c>
      <c r="V1933" s="39">
        <f t="shared" ca="1" si="231"/>
        <v>0.12779996817491518</v>
      </c>
      <c r="W1933" s="48">
        <f t="shared" ca="1" si="232"/>
        <v>1.6525292899560555</v>
      </c>
    </row>
    <row r="1934" spans="17:23" x14ac:dyDescent="0.2">
      <c r="Q1934">
        <f t="shared" si="226"/>
        <v>1918</v>
      </c>
      <c r="R1934" s="48">
        <f t="shared" ca="1" si="227"/>
        <v>0.35</v>
      </c>
      <c r="S1934">
        <f t="shared" ca="1" si="228"/>
        <v>189.46942293143101</v>
      </c>
      <c r="T1934" s="61">
        <f t="shared" ca="1" si="229"/>
        <v>16800</v>
      </c>
      <c r="U1934" s="61">
        <f t="shared" ca="1" si="230"/>
        <v>16524.099924344126</v>
      </c>
      <c r="V1934" s="39">
        <f t="shared" ca="1" si="231"/>
        <v>0.1087111837127903</v>
      </c>
      <c r="W1934" s="48">
        <f t="shared" ca="1" si="232"/>
        <v>1.3095493789871977</v>
      </c>
    </row>
    <row r="1935" spans="17:23" x14ac:dyDescent="0.2">
      <c r="Q1935">
        <f t="shared" si="226"/>
        <v>1919</v>
      </c>
      <c r="R1935" s="48">
        <f t="shared" ca="1" si="227"/>
        <v>0.4</v>
      </c>
      <c r="S1935">
        <f t="shared" ca="1" si="228"/>
        <v>174.63061862073923</v>
      </c>
      <c r="T1935" s="61">
        <f t="shared" ca="1" si="229"/>
        <v>19200</v>
      </c>
      <c r="U1935" s="61">
        <f t="shared" ca="1" si="230"/>
        <v>11822.696937954828</v>
      </c>
      <c r="V1935" s="39">
        <f t="shared" ca="1" si="231"/>
        <v>7.7780900907597553E-2</v>
      </c>
      <c r="W1935" s="48">
        <f t="shared" ca="1" si="232"/>
        <v>0.83593949505528853</v>
      </c>
    </row>
    <row r="1936" spans="17:23" x14ac:dyDescent="0.2">
      <c r="Q1936">
        <f t="shared" si="226"/>
        <v>1920</v>
      </c>
      <c r="R1936" s="48">
        <f t="shared" ca="1" si="227"/>
        <v>0.3</v>
      </c>
      <c r="S1936">
        <f t="shared" ca="1" si="228"/>
        <v>218.418185930471</v>
      </c>
      <c r="T1936" s="61">
        <f t="shared" ca="1" si="229"/>
        <v>14400</v>
      </c>
      <c r="U1936" s="61">
        <f t="shared" ca="1" si="230"/>
        <v>30314.184121063758</v>
      </c>
      <c r="V1936" s="39">
        <f t="shared" ca="1" si="231"/>
        <v>0.19943542184910368</v>
      </c>
      <c r="W1936" s="48">
        <f t="shared" ca="1" si="232"/>
        <v>3.3710942447580239</v>
      </c>
    </row>
    <row r="1937" spans="17:23" x14ac:dyDescent="0.2">
      <c r="Q1937">
        <f t="shared" si="226"/>
        <v>1921</v>
      </c>
      <c r="R1937" s="48">
        <f t="shared" ca="1" si="227"/>
        <v>0.45</v>
      </c>
      <c r="S1937">
        <f t="shared" ca="1" si="228"/>
        <v>187.69203882659349</v>
      </c>
      <c r="T1937" s="61">
        <f t="shared" ca="1" si="229"/>
        <v>21600</v>
      </c>
      <c r="U1937" s="61">
        <f t="shared" ca="1" si="230"/>
        <v>20584.497083701135</v>
      </c>
      <c r="V1937" s="39">
        <f t="shared" ca="1" si="231"/>
        <v>0.1354243229190864</v>
      </c>
      <c r="W1937" s="48">
        <f t="shared" ca="1" si="232"/>
        <v>1.8015232773147591</v>
      </c>
    </row>
    <row r="1938" spans="17:23" x14ac:dyDescent="0.2">
      <c r="Q1938">
        <f t="shared" si="226"/>
        <v>1922</v>
      </c>
      <c r="R1938" s="48">
        <f t="shared" ca="1" si="227"/>
        <v>0.35</v>
      </c>
      <c r="S1938">
        <f t="shared" ca="1" si="228"/>
        <v>183.30714803899804</v>
      </c>
      <c r="T1938" s="61">
        <f t="shared" ca="1" si="229"/>
        <v>16800</v>
      </c>
      <c r="U1938" s="61">
        <f t="shared" ca="1" si="230"/>
        <v>13319.716980278979</v>
      </c>
      <c r="V1938" s="39">
        <f t="shared" ca="1" si="231"/>
        <v>8.7629716975519606E-2</v>
      </c>
      <c r="W1938" s="48">
        <f t="shared" ca="1" si="232"/>
        <v>0.97652345809468177</v>
      </c>
    </row>
    <row r="1939" spans="17:23" x14ac:dyDescent="0.2">
      <c r="Q1939">
        <f t="shared" ref="Q1939:Q2002" si="233">Q1938+1</f>
        <v>1923</v>
      </c>
      <c r="R1939" s="48">
        <f t="shared" ref="R1939:R2002" ca="1" si="234">LOOKUP(RAND(),$U$6:$U$12,$S$6:$S$12)</f>
        <v>0.3</v>
      </c>
      <c r="S1939">
        <f t="shared" ref="S1939:S2002" ca="1" si="235">_xlfn.NORM.INV(RAND(),$Q$5,$Q$10)</f>
        <v>168.29723258324606</v>
      </c>
      <c r="T1939" s="61">
        <f t="shared" ca="1" si="229"/>
        <v>14400</v>
      </c>
      <c r="U1939" s="61">
        <f t="shared" ca="1" si="230"/>
        <v>2246.450246617791</v>
      </c>
      <c r="V1939" s="39">
        <f t="shared" ca="1" si="231"/>
        <v>1.4779277938274941E-2</v>
      </c>
      <c r="W1939" s="48">
        <f t="shared" ca="1" si="232"/>
        <v>0.12636896639559669</v>
      </c>
    </row>
    <row r="1940" spans="17:23" x14ac:dyDescent="0.2">
      <c r="Q1940">
        <f t="shared" si="233"/>
        <v>1924</v>
      </c>
      <c r="R1940" s="48">
        <f t="shared" ca="1" si="234"/>
        <v>0.217</v>
      </c>
      <c r="S1940">
        <f t="shared" ca="1" si="235"/>
        <v>157.90232120639473</v>
      </c>
      <c r="T1940" s="61">
        <f t="shared" ca="1" si="229"/>
        <v>10416</v>
      </c>
      <c r="U1940" s="61">
        <f t="shared" ca="1" si="230"/>
        <v>-9689.985996314339</v>
      </c>
      <c r="V1940" s="39">
        <f t="shared" ca="1" si="231"/>
        <v>-6.3749907870489078E-2</v>
      </c>
      <c r="W1940" s="48">
        <f t="shared" ca="1" si="232"/>
        <v>-0.41392080228055661</v>
      </c>
    </row>
    <row r="1941" spans="17:23" x14ac:dyDescent="0.2">
      <c r="Q1941">
        <f t="shared" si="233"/>
        <v>1925</v>
      </c>
      <c r="R1941" s="48">
        <f t="shared" ca="1" si="234"/>
        <v>0.3</v>
      </c>
      <c r="S1941">
        <f t="shared" ca="1" si="235"/>
        <v>175.81750997308549</v>
      </c>
      <c r="T1941" s="61">
        <f t="shared" ca="1" si="229"/>
        <v>14400</v>
      </c>
      <c r="U1941" s="61">
        <f t="shared" ca="1" si="230"/>
        <v>6457.8055849278753</v>
      </c>
      <c r="V1941" s="39">
        <f t="shared" ca="1" si="231"/>
        <v>4.248556305873602E-2</v>
      </c>
      <c r="W1941" s="48">
        <f t="shared" ca="1" si="232"/>
        <v>0.40141957002479511</v>
      </c>
    </row>
    <row r="1942" spans="17:23" x14ac:dyDescent="0.2">
      <c r="Q1942">
        <f t="shared" si="233"/>
        <v>1926</v>
      </c>
      <c r="R1942" s="48">
        <f t="shared" ca="1" si="234"/>
        <v>0.35</v>
      </c>
      <c r="S1942">
        <f t="shared" ca="1" si="235"/>
        <v>220.45485459022635</v>
      </c>
      <c r="T1942" s="61">
        <f t="shared" ca="1" si="229"/>
        <v>16800</v>
      </c>
      <c r="U1942" s="61">
        <f t="shared" ca="1" si="230"/>
        <v>32636.524386917699</v>
      </c>
      <c r="V1942" s="39">
        <f t="shared" ca="1" si="231"/>
        <v>0.21471397622972171</v>
      </c>
      <c r="W1942" s="48">
        <f t="shared" ca="1" si="232"/>
        <v>3.8437110824718861</v>
      </c>
    </row>
    <row r="1943" spans="17:23" x14ac:dyDescent="0.2">
      <c r="Q1943">
        <f t="shared" si="233"/>
        <v>1927</v>
      </c>
      <c r="R1943" s="48">
        <f t="shared" ca="1" si="234"/>
        <v>0.3</v>
      </c>
      <c r="S1943">
        <f t="shared" ca="1" si="235"/>
        <v>190.20448707840694</v>
      </c>
      <c r="T1943" s="61">
        <f t="shared" ca="1" si="229"/>
        <v>14400</v>
      </c>
      <c r="U1943" s="61">
        <f t="shared" ca="1" si="230"/>
        <v>14514.512763907887</v>
      </c>
      <c r="V1943" s="39">
        <f t="shared" ca="1" si="231"/>
        <v>9.5490215552025581E-2</v>
      </c>
      <c r="W1943" s="48">
        <f t="shared" ca="1" si="232"/>
        <v>1.0954097899038531</v>
      </c>
    </row>
    <row r="1944" spans="17:23" x14ac:dyDescent="0.2">
      <c r="Q1944">
        <f t="shared" si="233"/>
        <v>1928</v>
      </c>
      <c r="R1944" s="48">
        <f t="shared" ca="1" si="234"/>
        <v>0.3</v>
      </c>
      <c r="S1944">
        <f t="shared" ca="1" si="235"/>
        <v>187.45279681970618</v>
      </c>
      <c r="T1944" s="61">
        <f t="shared" ca="1" si="229"/>
        <v>14400</v>
      </c>
      <c r="U1944" s="61">
        <f t="shared" ca="1" si="230"/>
        <v>12973.56621903546</v>
      </c>
      <c r="V1944" s="39">
        <f t="shared" ca="1" si="231"/>
        <v>8.5352409335759605E-2</v>
      </c>
      <c r="W1944" s="48">
        <f t="shared" ca="1" si="232"/>
        <v>0.94320449143157692</v>
      </c>
    </row>
    <row r="1945" spans="17:23" x14ac:dyDescent="0.2">
      <c r="Q1945">
        <f t="shared" si="233"/>
        <v>1929</v>
      </c>
      <c r="R1945" s="48">
        <f t="shared" ca="1" si="234"/>
        <v>0.35</v>
      </c>
      <c r="S1945">
        <f t="shared" ca="1" si="235"/>
        <v>195.66735194044927</v>
      </c>
      <c r="T1945" s="61">
        <f t="shared" ca="1" si="229"/>
        <v>16800</v>
      </c>
      <c r="U1945" s="61">
        <f t="shared" ca="1" si="230"/>
        <v>19747.023009033619</v>
      </c>
      <c r="V1945" s="39">
        <f t="shared" ca="1" si="231"/>
        <v>0.12991462505943172</v>
      </c>
      <c r="W1945" s="48">
        <f t="shared" ca="1" si="232"/>
        <v>1.693140423795354</v>
      </c>
    </row>
    <row r="1946" spans="17:23" x14ac:dyDescent="0.2">
      <c r="Q1946">
        <f t="shared" si="233"/>
        <v>1930</v>
      </c>
      <c r="R1946" s="48">
        <f t="shared" ca="1" si="234"/>
        <v>0.45</v>
      </c>
      <c r="S1946">
        <f t="shared" ca="1" si="235"/>
        <v>203.91453858197437</v>
      </c>
      <c r="T1946" s="61">
        <f t="shared" ca="1" si="229"/>
        <v>21600</v>
      </c>
      <c r="U1946" s="61">
        <f t="shared" ca="1" si="230"/>
        <v>27722.396976068725</v>
      </c>
      <c r="V1946" s="39">
        <f t="shared" ca="1" si="231"/>
        <v>0.1823841906320311</v>
      </c>
      <c r="W1946" s="48">
        <f t="shared" ca="1" si="232"/>
        <v>2.8918241119717156</v>
      </c>
    </row>
    <row r="1947" spans="17:23" x14ac:dyDescent="0.2">
      <c r="Q1947">
        <f t="shared" si="233"/>
        <v>1931</v>
      </c>
      <c r="R1947" s="48">
        <f t="shared" ca="1" si="234"/>
        <v>0.4</v>
      </c>
      <c r="S1947">
        <f t="shared" ca="1" si="235"/>
        <v>205.94570130838707</v>
      </c>
      <c r="T1947" s="61">
        <f t="shared" ca="1" si="229"/>
        <v>19200</v>
      </c>
      <c r="U1947" s="61">
        <f t="shared" ca="1" si="230"/>
        <v>26853.936628025796</v>
      </c>
      <c r="V1947" s="39">
        <f t="shared" ca="1" si="231"/>
        <v>0.17667063571069602</v>
      </c>
      <c r="W1947" s="48">
        <f t="shared" ca="1" si="232"/>
        <v>2.7418801303959066</v>
      </c>
    </row>
    <row r="1948" spans="17:23" x14ac:dyDescent="0.2">
      <c r="Q1948">
        <f t="shared" si="233"/>
        <v>1932</v>
      </c>
      <c r="R1948" s="48">
        <f t="shared" ca="1" si="234"/>
        <v>0.217</v>
      </c>
      <c r="S1948">
        <f t="shared" ca="1" si="235"/>
        <v>180.35904338911701</v>
      </c>
      <c r="T1948" s="61">
        <f t="shared" ca="1" si="229"/>
        <v>10416</v>
      </c>
      <c r="U1948" s="61">
        <f t="shared" ca="1" si="230"/>
        <v>4376.9047789428923</v>
      </c>
      <c r="V1948" s="39">
        <f t="shared" ca="1" si="231"/>
        <v>2.8795426177255872E-2</v>
      </c>
      <c r="W1948" s="48">
        <f t="shared" ca="1" si="232"/>
        <v>0.25893147030743657</v>
      </c>
    </row>
    <row r="1949" spans="17:23" x14ac:dyDescent="0.2">
      <c r="Q1949">
        <f t="shared" si="233"/>
        <v>1933</v>
      </c>
      <c r="R1949" s="48">
        <f t="shared" ca="1" si="234"/>
        <v>0.45</v>
      </c>
      <c r="S1949">
        <f t="shared" ca="1" si="235"/>
        <v>185.33004200200722</v>
      </c>
      <c r="T1949" s="61">
        <f t="shared" ca="1" si="229"/>
        <v>21600</v>
      </c>
      <c r="U1949" s="61">
        <f t="shared" ca="1" si="230"/>
        <v>19545.218480883177</v>
      </c>
      <c r="V1949" s="39">
        <f t="shared" ca="1" si="231"/>
        <v>0.1285869636900209</v>
      </c>
      <c r="W1949" s="48">
        <f t="shared" ca="1" si="232"/>
        <v>1.667580050612028</v>
      </c>
    </row>
    <row r="1950" spans="17:23" x14ac:dyDescent="0.2">
      <c r="Q1950">
        <f t="shared" si="233"/>
        <v>1934</v>
      </c>
      <c r="R1950" s="48">
        <f t="shared" ca="1" si="234"/>
        <v>0.3</v>
      </c>
      <c r="S1950">
        <f t="shared" ca="1" si="235"/>
        <v>197.93460196758232</v>
      </c>
      <c r="T1950" s="61">
        <f t="shared" ca="1" si="229"/>
        <v>14400</v>
      </c>
      <c r="U1950" s="61">
        <f t="shared" ca="1" si="230"/>
        <v>18843.377101846101</v>
      </c>
      <c r="V1950" s="39">
        <f t="shared" ca="1" si="231"/>
        <v>0.12396958619635592</v>
      </c>
      <c r="W1950" s="48">
        <f t="shared" ca="1" si="232"/>
        <v>1.5803336919941109</v>
      </c>
    </row>
    <row r="1951" spans="17:23" x14ac:dyDescent="0.2">
      <c r="Q1951">
        <f t="shared" si="233"/>
        <v>1935</v>
      </c>
      <c r="R1951" s="48">
        <f t="shared" ca="1" si="234"/>
        <v>0.15</v>
      </c>
      <c r="S1951">
        <f t="shared" ca="1" si="235"/>
        <v>197.68819373139897</v>
      </c>
      <c r="T1951" s="61">
        <f t="shared" ca="1" si="229"/>
        <v>7200</v>
      </c>
      <c r="U1951" s="61">
        <f t="shared" ca="1" si="230"/>
        <v>12427.971737351298</v>
      </c>
      <c r="V1951" s="39">
        <f t="shared" ca="1" si="231"/>
        <v>8.1762971956258534E-2</v>
      </c>
      <c r="W1951" s="48">
        <f t="shared" ca="1" si="232"/>
        <v>0.89168731140460333</v>
      </c>
    </row>
    <row r="1952" spans="17:23" x14ac:dyDescent="0.2">
      <c r="Q1952">
        <f t="shared" si="233"/>
        <v>1936</v>
      </c>
      <c r="R1952" s="48">
        <f t="shared" ca="1" si="234"/>
        <v>0.35</v>
      </c>
      <c r="S1952">
        <f t="shared" ca="1" si="235"/>
        <v>231.63303925435787</v>
      </c>
      <c r="T1952" s="61">
        <f t="shared" ca="1" si="229"/>
        <v>16800</v>
      </c>
      <c r="U1952" s="61">
        <f t="shared" ca="1" si="230"/>
        <v>38449.180412266091</v>
      </c>
      <c r="V1952" s="39">
        <f t="shared" ca="1" si="231"/>
        <v>0.25295513429122429</v>
      </c>
      <c r="W1952" s="48">
        <f t="shared" ca="1" si="232"/>
        <v>5.2282478275014119</v>
      </c>
    </row>
    <row r="1953" spans="17:23" x14ac:dyDescent="0.2">
      <c r="Q1953">
        <f t="shared" si="233"/>
        <v>1937</v>
      </c>
      <c r="R1953" s="48">
        <f t="shared" ca="1" si="234"/>
        <v>0.3</v>
      </c>
      <c r="S1953">
        <f t="shared" ca="1" si="235"/>
        <v>189.92845782583109</v>
      </c>
      <c r="T1953" s="61">
        <f t="shared" ca="1" si="229"/>
        <v>14400</v>
      </c>
      <c r="U1953" s="61">
        <f t="shared" ca="1" si="230"/>
        <v>14359.93638246541</v>
      </c>
      <c r="V1953" s="39">
        <f t="shared" ca="1" si="231"/>
        <v>9.4473265674114543E-2</v>
      </c>
      <c r="W1953" s="48">
        <f t="shared" ca="1" si="232"/>
        <v>1.0796841886439066</v>
      </c>
    </row>
    <row r="1954" spans="17:23" x14ac:dyDescent="0.2">
      <c r="Q1954">
        <f t="shared" si="233"/>
        <v>1938</v>
      </c>
      <c r="R1954" s="48">
        <f t="shared" ca="1" si="234"/>
        <v>0.3</v>
      </c>
      <c r="S1954">
        <f t="shared" ca="1" si="235"/>
        <v>213.99055757076781</v>
      </c>
      <c r="T1954" s="61">
        <f t="shared" ca="1" si="229"/>
        <v>14400</v>
      </c>
      <c r="U1954" s="61">
        <f t="shared" ca="1" si="230"/>
        <v>27834.712239629971</v>
      </c>
      <c r="V1954" s="39">
        <f t="shared" ca="1" si="231"/>
        <v>0.18312310683967087</v>
      </c>
      <c r="W1954" s="48">
        <f t="shared" ca="1" si="232"/>
        <v>2.9115954149799324</v>
      </c>
    </row>
    <row r="1955" spans="17:23" x14ac:dyDescent="0.2">
      <c r="Q1955">
        <f t="shared" si="233"/>
        <v>1939</v>
      </c>
      <c r="R1955" s="48">
        <f t="shared" ca="1" si="234"/>
        <v>0.3</v>
      </c>
      <c r="S1955">
        <f t="shared" ca="1" si="235"/>
        <v>200.18823775652911</v>
      </c>
      <c r="T1955" s="61">
        <f t="shared" ca="1" si="229"/>
        <v>14400</v>
      </c>
      <c r="U1955" s="61">
        <f t="shared" ca="1" si="230"/>
        <v>20105.413143656297</v>
      </c>
      <c r="V1955" s="39">
        <f t="shared" ca="1" si="231"/>
        <v>0.13227245489247563</v>
      </c>
      <c r="W1955" s="48">
        <f t="shared" ca="1" si="232"/>
        <v>1.7390634141820374</v>
      </c>
    </row>
    <row r="1956" spans="17:23" x14ac:dyDescent="0.2">
      <c r="Q1956">
        <f t="shared" si="233"/>
        <v>1940</v>
      </c>
      <c r="R1956" s="48">
        <f t="shared" ca="1" si="234"/>
        <v>0.3</v>
      </c>
      <c r="S1956">
        <f t="shared" ca="1" si="235"/>
        <v>188.42563302584711</v>
      </c>
      <c r="T1956" s="61">
        <f t="shared" ca="1" si="229"/>
        <v>14400</v>
      </c>
      <c r="U1956" s="61">
        <f t="shared" ca="1" si="230"/>
        <v>13518.354494474379</v>
      </c>
      <c r="V1956" s="39">
        <f t="shared" ca="1" si="231"/>
        <v>8.8936542726805123E-2</v>
      </c>
      <c r="W1956" s="48">
        <f t="shared" ca="1" si="232"/>
        <v>0.99586873186078617</v>
      </c>
    </row>
    <row r="1957" spans="17:23" x14ac:dyDescent="0.2">
      <c r="Q1957">
        <f t="shared" si="233"/>
        <v>1941</v>
      </c>
      <c r="R1957" s="48">
        <f t="shared" ca="1" si="234"/>
        <v>0.45</v>
      </c>
      <c r="S1957">
        <f t="shared" ca="1" si="235"/>
        <v>194.12723292105491</v>
      </c>
      <c r="T1957" s="61">
        <f t="shared" ca="1" si="229"/>
        <v>21600</v>
      </c>
      <c r="U1957" s="61">
        <f t="shared" ca="1" si="230"/>
        <v>23415.982485264161</v>
      </c>
      <c r="V1957" s="39">
        <f t="shared" ca="1" si="231"/>
        <v>0.15405251635042211</v>
      </c>
      <c r="W1957" s="48">
        <f t="shared" ca="1" si="232"/>
        <v>2.1968225556080676</v>
      </c>
    </row>
    <row r="1958" spans="17:23" x14ac:dyDescent="0.2">
      <c r="Q1958">
        <f t="shared" si="233"/>
        <v>1942</v>
      </c>
      <c r="R1958" s="48">
        <f t="shared" ca="1" si="234"/>
        <v>0.4</v>
      </c>
      <c r="S1958">
        <f t="shared" ca="1" si="235"/>
        <v>208.20284531379303</v>
      </c>
      <c r="T1958" s="61">
        <f t="shared" ca="1" si="229"/>
        <v>19200</v>
      </c>
      <c r="U1958" s="61">
        <f t="shared" ca="1" si="230"/>
        <v>27937.365750620658</v>
      </c>
      <c r="V1958" s="39">
        <f t="shared" ca="1" si="231"/>
        <v>0.18379845888566224</v>
      </c>
      <c r="W1958" s="48">
        <f t="shared" ca="1" si="232"/>
        <v>2.9297428868347426</v>
      </c>
    </row>
    <row r="1959" spans="17:23" x14ac:dyDescent="0.2">
      <c r="Q1959">
        <f t="shared" si="233"/>
        <v>1943</v>
      </c>
      <c r="R1959" s="48">
        <f t="shared" ca="1" si="234"/>
        <v>0.35</v>
      </c>
      <c r="S1959">
        <f t="shared" ca="1" si="235"/>
        <v>213.2546389496321</v>
      </c>
      <c r="T1959" s="61">
        <f t="shared" ca="1" si="229"/>
        <v>16800</v>
      </c>
      <c r="U1959" s="61">
        <f t="shared" ca="1" si="230"/>
        <v>28892.412253808689</v>
      </c>
      <c r="V1959" s="39">
        <f t="shared" ca="1" si="231"/>
        <v>0.19008165956453085</v>
      </c>
      <c r="W1959" s="48">
        <f t="shared" ca="1" si="232"/>
        <v>3.1021498075641372</v>
      </c>
    </row>
    <row r="1960" spans="17:23" x14ac:dyDescent="0.2">
      <c r="Q1960">
        <f t="shared" si="233"/>
        <v>1944</v>
      </c>
      <c r="R1960" s="48">
        <f t="shared" ca="1" si="234"/>
        <v>0.35</v>
      </c>
      <c r="S1960">
        <f t="shared" ca="1" si="235"/>
        <v>208.68928086474716</v>
      </c>
      <c r="T1960" s="61">
        <f t="shared" ca="1" si="229"/>
        <v>16800</v>
      </c>
      <c r="U1960" s="61">
        <f t="shared" ca="1" si="230"/>
        <v>26518.426049668524</v>
      </c>
      <c r="V1960" s="39">
        <f t="shared" ca="1" si="231"/>
        <v>0.17446332927413502</v>
      </c>
      <c r="W1960" s="48">
        <f t="shared" ca="1" si="232"/>
        <v>2.6853236108106282</v>
      </c>
    </row>
    <row r="1961" spans="17:23" x14ac:dyDescent="0.2">
      <c r="Q1961">
        <f t="shared" si="233"/>
        <v>1945</v>
      </c>
      <c r="R1961" s="48">
        <f t="shared" ca="1" si="234"/>
        <v>0.45</v>
      </c>
      <c r="S1961">
        <f t="shared" ca="1" si="235"/>
        <v>148.56671344536448</v>
      </c>
      <c r="T1961" s="61">
        <f t="shared" ca="1" si="229"/>
        <v>21600</v>
      </c>
      <c r="U1961" s="61">
        <f t="shared" ca="1" si="230"/>
        <v>3369.3539159603715</v>
      </c>
      <c r="V1961" s="39">
        <f t="shared" ca="1" si="231"/>
        <v>2.2166802078686654E-2</v>
      </c>
      <c r="W1961" s="48">
        <f t="shared" ca="1" si="232"/>
        <v>0.1946265138064438</v>
      </c>
    </row>
    <row r="1962" spans="17:23" x14ac:dyDescent="0.2">
      <c r="Q1962">
        <f t="shared" si="233"/>
        <v>1946</v>
      </c>
      <c r="R1962" s="48">
        <f t="shared" ca="1" si="234"/>
        <v>0.3</v>
      </c>
      <c r="S1962">
        <f t="shared" ca="1" si="235"/>
        <v>197.37524887265766</v>
      </c>
      <c r="T1962" s="61">
        <f t="shared" ca="1" si="229"/>
        <v>14400</v>
      </c>
      <c r="U1962" s="61">
        <f t="shared" ca="1" si="230"/>
        <v>18530.139368688291</v>
      </c>
      <c r="V1962" s="39">
        <f t="shared" ca="1" si="231"/>
        <v>0.12190881163610717</v>
      </c>
      <c r="W1962" s="48">
        <f t="shared" ca="1" si="232"/>
        <v>1.5422093534934049</v>
      </c>
    </row>
    <row r="1963" spans="17:23" x14ac:dyDescent="0.2">
      <c r="Q1963">
        <f t="shared" si="233"/>
        <v>1947</v>
      </c>
      <c r="R1963" s="48">
        <f t="shared" ca="1" si="234"/>
        <v>0.35</v>
      </c>
      <c r="S1963">
        <f t="shared" ca="1" si="235"/>
        <v>192.19019358956621</v>
      </c>
      <c r="T1963" s="61">
        <f t="shared" ca="1" si="229"/>
        <v>16800</v>
      </c>
      <c r="U1963" s="61">
        <f t="shared" ca="1" si="230"/>
        <v>17938.900666574427</v>
      </c>
      <c r="V1963" s="39">
        <f t="shared" ca="1" si="231"/>
        <v>0.1180190833327265</v>
      </c>
      <c r="W1963" s="48">
        <f t="shared" ca="1" si="232"/>
        <v>1.4715931252484449</v>
      </c>
    </row>
    <row r="1964" spans="17:23" x14ac:dyDescent="0.2">
      <c r="Q1964">
        <f t="shared" si="233"/>
        <v>1948</v>
      </c>
      <c r="R1964" s="48">
        <f t="shared" ca="1" si="234"/>
        <v>0.35</v>
      </c>
      <c r="S1964">
        <f t="shared" ca="1" si="235"/>
        <v>209.55046875114826</v>
      </c>
      <c r="T1964" s="61">
        <f t="shared" ca="1" si="229"/>
        <v>16800</v>
      </c>
      <c r="U1964" s="61">
        <f t="shared" ca="1" si="230"/>
        <v>26966.243750597096</v>
      </c>
      <c r="V1964" s="39">
        <f t="shared" ca="1" si="231"/>
        <v>0.17740949835919143</v>
      </c>
      <c r="W1964" s="48">
        <f t="shared" ca="1" si="232"/>
        <v>2.7609808088607419</v>
      </c>
    </row>
    <row r="1965" spans="17:23" x14ac:dyDescent="0.2">
      <c r="Q1965">
        <f t="shared" si="233"/>
        <v>1949</v>
      </c>
      <c r="R1965" s="48">
        <f t="shared" ca="1" si="234"/>
        <v>0.3</v>
      </c>
      <c r="S1965">
        <f t="shared" ca="1" si="235"/>
        <v>170.15034939958483</v>
      </c>
      <c r="T1965" s="61">
        <f t="shared" ca="1" si="229"/>
        <v>14400</v>
      </c>
      <c r="U1965" s="61">
        <f t="shared" ca="1" si="230"/>
        <v>3284.195663767503</v>
      </c>
      <c r="V1965" s="39">
        <f t="shared" ca="1" si="231"/>
        <v>2.1606550419523047E-2</v>
      </c>
      <c r="W1965" s="48">
        <f t="shared" ca="1" si="232"/>
        <v>0.18932588193240973</v>
      </c>
    </row>
    <row r="1966" spans="17:23" x14ac:dyDescent="0.2">
      <c r="Q1966">
        <f t="shared" si="233"/>
        <v>1950</v>
      </c>
      <c r="R1966" s="48">
        <f t="shared" ca="1" si="234"/>
        <v>0.45</v>
      </c>
      <c r="S1966">
        <f t="shared" ca="1" si="235"/>
        <v>207.26850151794608</v>
      </c>
      <c r="T1966" s="61">
        <f t="shared" ca="1" si="229"/>
        <v>21600</v>
      </c>
      <c r="U1966" s="61">
        <f t="shared" ca="1" si="230"/>
        <v>29198.140667896274</v>
      </c>
      <c r="V1966" s="39">
        <f t="shared" ca="1" si="231"/>
        <v>0.1920930307098439</v>
      </c>
      <c r="W1966" s="48">
        <f t="shared" ca="1" si="232"/>
        <v>3.1587239866374235</v>
      </c>
    </row>
    <row r="1967" spans="17:23" x14ac:dyDescent="0.2">
      <c r="Q1967">
        <f t="shared" si="233"/>
        <v>1951</v>
      </c>
      <c r="R1967" s="48">
        <f t="shared" ca="1" si="234"/>
        <v>0.3</v>
      </c>
      <c r="S1967">
        <f t="shared" ca="1" si="235"/>
        <v>164.84276129863639</v>
      </c>
      <c r="T1967" s="61">
        <f t="shared" ca="1" si="229"/>
        <v>14400</v>
      </c>
      <c r="U1967" s="61">
        <f t="shared" ca="1" si="230"/>
        <v>311.94632723637915</v>
      </c>
      <c r="V1967" s="39">
        <f t="shared" ca="1" si="231"/>
        <v>2.052278468660389E-3</v>
      </c>
      <c r="W1967" s="48">
        <f t="shared" ca="1" si="232"/>
        <v>1.6768235412587762E-2</v>
      </c>
    </row>
    <row r="1968" spans="17:23" x14ac:dyDescent="0.2">
      <c r="Q1968">
        <f t="shared" si="233"/>
        <v>1952</v>
      </c>
      <c r="R1968" s="48">
        <f t="shared" ca="1" si="234"/>
        <v>0.45</v>
      </c>
      <c r="S1968">
        <f t="shared" ca="1" si="235"/>
        <v>171.38106903295113</v>
      </c>
      <c r="T1968" s="61">
        <f t="shared" ca="1" si="229"/>
        <v>21600</v>
      </c>
      <c r="U1968" s="61">
        <f t="shared" ca="1" si="230"/>
        <v>13407.670374498497</v>
      </c>
      <c r="V1968" s="39">
        <f t="shared" ca="1" si="231"/>
        <v>8.8208357726963796E-2</v>
      </c>
      <c r="W1968" s="48">
        <f t="shared" ca="1" si="232"/>
        <v>0.98506884854260557</v>
      </c>
    </row>
    <row r="1969" spans="17:23" x14ac:dyDescent="0.2">
      <c r="Q1969">
        <f t="shared" si="233"/>
        <v>1953</v>
      </c>
      <c r="R1969" s="48">
        <f t="shared" ca="1" si="234"/>
        <v>0.3</v>
      </c>
      <c r="S1969">
        <f t="shared" ca="1" si="235"/>
        <v>192.24344603638983</v>
      </c>
      <c r="T1969" s="61">
        <f t="shared" ca="1" si="229"/>
        <v>14400</v>
      </c>
      <c r="U1969" s="61">
        <f t="shared" ca="1" si="230"/>
        <v>15656.329780378303</v>
      </c>
      <c r="V1969" s="39">
        <f t="shared" ca="1" si="231"/>
        <v>0.10300216960775199</v>
      </c>
      <c r="W1969" s="48">
        <f t="shared" ca="1" si="232"/>
        <v>1.2148363420691903</v>
      </c>
    </row>
    <row r="1970" spans="17:23" x14ac:dyDescent="0.2">
      <c r="Q1970">
        <f t="shared" si="233"/>
        <v>1954</v>
      </c>
      <c r="R1970" s="48">
        <f t="shared" ca="1" si="234"/>
        <v>0.45</v>
      </c>
      <c r="S1970">
        <f t="shared" ca="1" si="235"/>
        <v>202.56732435112011</v>
      </c>
      <c r="T1970" s="61">
        <f t="shared" ca="1" si="229"/>
        <v>21600</v>
      </c>
      <c r="U1970" s="61">
        <f t="shared" ca="1" si="230"/>
        <v>27129.622714492849</v>
      </c>
      <c r="V1970" s="39">
        <f t="shared" ca="1" si="231"/>
        <v>0.17848435996376874</v>
      </c>
      <c r="W1970" s="48">
        <f t="shared" ca="1" si="232"/>
        <v>2.7889201707909601</v>
      </c>
    </row>
    <row r="1971" spans="17:23" x14ac:dyDescent="0.2">
      <c r="Q1971">
        <f t="shared" si="233"/>
        <v>1955</v>
      </c>
      <c r="R1971" s="48">
        <f t="shared" ca="1" si="234"/>
        <v>0.35</v>
      </c>
      <c r="S1971">
        <f t="shared" ca="1" si="235"/>
        <v>186.59357140165673</v>
      </c>
      <c r="T1971" s="61">
        <f t="shared" ca="1" si="229"/>
        <v>16800</v>
      </c>
      <c r="U1971" s="61">
        <f t="shared" ca="1" si="230"/>
        <v>15028.657128861501</v>
      </c>
      <c r="V1971" s="39">
        <f t="shared" ca="1" si="231"/>
        <v>9.8872744268825669E-2</v>
      </c>
      <c r="W1971" s="48">
        <f t="shared" ca="1" si="232"/>
        <v>1.1484681692011507</v>
      </c>
    </row>
    <row r="1972" spans="17:23" x14ac:dyDescent="0.2">
      <c r="Q1972">
        <f t="shared" si="233"/>
        <v>1956</v>
      </c>
      <c r="R1972" s="48">
        <f t="shared" ca="1" si="234"/>
        <v>0.35</v>
      </c>
      <c r="S1972">
        <f t="shared" ca="1" si="235"/>
        <v>158.26715915916188</v>
      </c>
      <c r="T1972" s="61">
        <f t="shared" ca="1" si="229"/>
        <v>16800</v>
      </c>
      <c r="U1972" s="61">
        <f t="shared" ca="1" si="230"/>
        <v>298.92276276417761</v>
      </c>
      <c r="V1972" s="39">
        <f t="shared" ca="1" si="231"/>
        <v>1.966597123448537E-3</v>
      </c>
      <c r="W1972" s="48">
        <f t="shared" ca="1" si="232"/>
        <v>1.6063272636627657E-2</v>
      </c>
    </row>
    <row r="1973" spans="17:23" x14ac:dyDescent="0.2">
      <c r="Q1973">
        <f t="shared" si="233"/>
        <v>1957</v>
      </c>
      <c r="R1973" s="48">
        <f t="shared" ca="1" si="234"/>
        <v>0.45</v>
      </c>
      <c r="S1973">
        <f t="shared" ca="1" si="235"/>
        <v>205.49326737050305</v>
      </c>
      <c r="T1973" s="61">
        <f t="shared" ca="1" si="229"/>
        <v>21600</v>
      </c>
      <c r="U1973" s="61">
        <f t="shared" ca="1" si="230"/>
        <v>28417.037643021344</v>
      </c>
      <c r="V1973" s="39">
        <f t="shared" ca="1" si="231"/>
        <v>0.18695419501987726</v>
      </c>
      <c r="W1973" s="48">
        <f t="shared" ca="1" si="232"/>
        <v>3.0155229980192262</v>
      </c>
    </row>
    <row r="1974" spans="17:23" x14ac:dyDescent="0.2">
      <c r="Q1974">
        <f t="shared" si="233"/>
        <v>1958</v>
      </c>
      <c r="R1974" s="48">
        <f t="shared" ca="1" si="234"/>
        <v>0.35</v>
      </c>
      <c r="S1974">
        <f t="shared" ca="1" si="235"/>
        <v>203.91307145834574</v>
      </c>
      <c r="T1974" s="61">
        <f t="shared" ca="1" si="229"/>
        <v>16800</v>
      </c>
      <c r="U1974" s="61">
        <f t="shared" ca="1" si="230"/>
        <v>24034.797158339785</v>
      </c>
      <c r="V1974" s="39">
        <f t="shared" ca="1" si="231"/>
        <v>0.15812366551539331</v>
      </c>
      <c r="W1974" s="48">
        <f t="shared" ca="1" si="232"/>
        <v>2.2894506227065521</v>
      </c>
    </row>
    <row r="1975" spans="17:23" x14ac:dyDescent="0.2">
      <c r="Q1975">
        <f t="shared" si="233"/>
        <v>1959</v>
      </c>
      <c r="R1975" s="48">
        <f t="shared" ca="1" si="234"/>
        <v>0.45</v>
      </c>
      <c r="S1975">
        <f t="shared" ca="1" si="235"/>
        <v>204.33624794506741</v>
      </c>
      <c r="T1975" s="61">
        <f t="shared" ca="1" si="229"/>
        <v>21600</v>
      </c>
      <c r="U1975" s="61">
        <f t="shared" ca="1" si="230"/>
        <v>27907.949095829663</v>
      </c>
      <c r="V1975" s="39">
        <f t="shared" ca="1" si="231"/>
        <v>0.18360492826203725</v>
      </c>
      <c r="W1975" s="48">
        <f t="shared" ca="1" si="232"/>
        <v>2.924534970717962</v>
      </c>
    </row>
    <row r="1976" spans="17:23" x14ac:dyDescent="0.2">
      <c r="Q1976">
        <f t="shared" si="233"/>
        <v>1960</v>
      </c>
      <c r="R1976" s="48">
        <f t="shared" ca="1" si="234"/>
        <v>0.3</v>
      </c>
      <c r="S1976">
        <f t="shared" ca="1" si="235"/>
        <v>205.80573180606928</v>
      </c>
      <c r="T1976" s="61">
        <f t="shared" ca="1" si="229"/>
        <v>14400</v>
      </c>
      <c r="U1976" s="61">
        <f t="shared" ca="1" si="230"/>
        <v>23251.209811398796</v>
      </c>
      <c r="V1976" s="39">
        <f t="shared" ca="1" si="231"/>
        <v>0.15296848560130788</v>
      </c>
      <c r="W1976" s="48">
        <f t="shared" ca="1" si="232"/>
        <v>2.1725472448907532</v>
      </c>
    </row>
    <row r="1977" spans="17:23" x14ac:dyDescent="0.2">
      <c r="Q1977">
        <f t="shared" si="233"/>
        <v>1961</v>
      </c>
      <c r="R1977" s="48">
        <f t="shared" ca="1" si="234"/>
        <v>0.217</v>
      </c>
      <c r="S1977">
        <f t="shared" ca="1" si="235"/>
        <v>174.41207455005099</v>
      </c>
      <c r="T1977" s="61">
        <f t="shared" ref="T1977:T2040" ca="1" si="236">($B$8-$B$7)*($E$6*R1977)</f>
        <v>10416</v>
      </c>
      <c r="U1977" s="61">
        <f t="shared" ref="U1977:U2040" ca="1" si="237">T1977+((S1977-$B$7)*($E$6*(1-R1977)))</f>
        <v>651.72349815193957</v>
      </c>
      <c r="V1977" s="39">
        <f t="shared" ref="V1977:V2040" ca="1" si="238">U1977/$E$4</f>
        <v>4.2876545931048657E-3</v>
      </c>
      <c r="W1977" s="48">
        <f t="shared" ref="W1977:W2040" ca="1" si="239">(1+V1977)^($J$29/$J$30)-1</f>
        <v>3.5312483924590632E-2</v>
      </c>
    </row>
    <row r="1978" spans="17:23" x14ac:dyDescent="0.2">
      <c r="Q1978">
        <f t="shared" si="233"/>
        <v>1962</v>
      </c>
      <c r="R1978" s="48">
        <f t="shared" ca="1" si="234"/>
        <v>0.45</v>
      </c>
      <c r="S1978">
        <f t="shared" ca="1" si="235"/>
        <v>214.14756277938704</v>
      </c>
      <c r="T1978" s="61">
        <f t="shared" ca="1" si="236"/>
        <v>21600</v>
      </c>
      <c r="U1978" s="61">
        <f t="shared" ca="1" si="237"/>
        <v>32224.9276229303</v>
      </c>
      <c r="V1978" s="39">
        <f t="shared" ca="1" si="238"/>
        <v>0.21200610278243617</v>
      </c>
      <c r="W1978" s="48">
        <f t="shared" ca="1" si="239"/>
        <v>3.7568205149541409</v>
      </c>
    </row>
    <row r="1979" spans="17:23" x14ac:dyDescent="0.2">
      <c r="Q1979">
        <f t="shared" si="233"/>
        <v>1963</v>
      </c>
      <c r="R1979" s="48">
        <f t="shared" ca="1" si="234"/>
        <v>0.35</v>
      </c>
      <c r="S1979">
        <f t="shared" ca="1" si="235"/>
        <v>209.20473810600333</v>
      </c>
      <c r="T1979" s="61">
        <f t="shared" ca="1" si="236"/>
        <v>16800</v>
      </c>
      <c r="U1979" s="61">
        <f t="shared" ca="1" si="237"/>
        <v>26786.463815121733</v>
      </c>
      <c r="V1979" s="39">
        <f t="shared" ca="1" si="238"/>
        <v>0.17622673562580088</v>
      </c>
      <c r="W1979" s="48">
        <f t="shared" ca="1" si="239"/>
        <v>2.7304456073001129</v>
      </c>
    </row>
    <row r="1980" spans="17:23" x14ac:dyDescent="0.2">
      <c r="Q1980">
        <f t="shared" si="233"/>
        <v>1964</v>
      </c>
      <c r="R1980" s="48">
        <f t="shared" ca="1" si="234"/>
        <v>0.45</v>
      </c>
      <c r="S1980">
        <f t="shared" ca="1" si="235"/>
        <v>178.81013364820677</v>
      </c>
      <c r="T1980" s="61">
        <f t="shared" ca="1" si="236"/>
        <v>21600</v>
      </c>
      <c r="U1980" s="61">
        <f t="shared" ca="1" si="237"/>
        <v>16676.458805210979</v>
      </c>
      <c r="V1980" s="39">
        <f t="shared" ca="1" si="238"/>
        <v>0.10971354477112487</v>
      </c>
      <c r="W1980" s="48">
        <f t="shared" ca="1" si="239"/>
        <v>1.3265400185174996</v>
      </c>
    </row>
    <row r="1981" spans="17:23" x14ac:dyDescent="0.2">
      <c r="Q1981">
        <f t="shared" si="233"/>
        <v>1965</v>
      </c>
      <c r="R1981" s="48">
        <f t="shared" ca="1" si="234"/>
        <v>0.35</v>
      </c>
      <c r="S1981">
        <f t="shared" ca="1" si="235"/>
        <v>176.01640872557095</v>
      </c>
      <c r="T1981" s="61">
        <f t="shared" ca="1" si="236"/>
        <v>16800</v>
      </c>
      <c r="U1981" s="61">
        <f t="shared" ca="1" si="237"/>
        <v>9528.5325372968964</v>
      </c>
      <c r="V1981" s="39">
        <f t="shared" ca="1" si="238"/>
        <v>6.2687714061163788E-2</v>
      </c>
      <c r="W1981" s="48">
        <f t="shared" ca="1" si="239"/>
        <v>0.63749219767964016</v>
      </c>
    </row>
    <row r="1982" spans="17:23" x14ac:dyDescent="0.2">
      <c r="Q1982">
        <f t="shared" si="233"/>
        <v>1966</v>
      </c>
      <c r="R1982" s="48">
        <f t="shared" ca="1" si="234"/>
        <v>0.3</v>
      </c>
      <c r="S1982">
        <f t="shared" ca="1" si="235"/>
        <v>205.98528448166545</v>
      </c>
      <c r="T1982" s="61">
        <f t="shared" ca="1" si="236"/>
        <v>14400</v>
      </c>
      <c r="U1982" s="61">
        <f t="shared" ca="1" si="237"/>
        <v>23351.75930973265</v>
      </c>
      <c r="V1982" s="39">
        <f t="shared" ca="1" si="238"/>
        <v>0.15362999545876743</v>
      </c>
      <c r="W1982" s="48">
        <f t="shared" ca="1" si="239"/>
        <v>2.1873415106841447</v>
      </c>
    </row>
    <row r="1983" spans="17:23" x14ac:dyDescent="0.2">
      <c r="Q1983">
        <f t="shared" si="233"/>
        <v>1967</v>
      </c>
      <c r="R1983" s="48">
        <f t="shared" ca="1" si="234"/>
        <v>0.15</v>
      </c>
      <c r="S1983">
        <f t="shared" ca="1" si="235"/>
        <v>173.33406606347128</v>
      </c>
      <c r="T1983" s="61">
        <f t="shared" ca="1" si="236"/>
        <v>7200</v>
      </c>
      <c r="U1983" s="61">
        <f t="shared" ca="1" si="237"/>
        <v>-4132.8350768395267</v>
      </c>
      <c r="V1983" s="39">
        <f t="shared" ca="1" si="238"/>
        <v>-2.7189704452891622E-2</v>
      </c>
      <c r="W1983" s="48">
        <f t="shared" ca="1" si="239"/>
        <v>-0.20035898610863834</v>
      </c>
    </row>
    <row r="1984" spans="17:23" x14ac:dyDescent="0.2">
      <c r="Q1984">
        <f t="shared" si="233"/>
        <v>1968</v>
      </c>
      <c r="R1984" s="48">
        <f t="shared" ca="1" si="234"/>
        <v>0.3</v>
      </c>
      <c r="S1984">
        <f t="shared" ca="1" si="235"/>
        <v>178.8115032800051</v>
      </c>
      <c r="T1984" s="61">
        <f t="shared" ca="1" si="236"/>
        <v>14400</v>
      </c>
      <c r="U1984" s="61">
        <f t="shared" ca="1" si="237"/>
        <v>8134.4418368028546</v>
      </c>
      <c r="V1984" s="39">
        <f t="shared" ca="1" si="238"/>
        <v>5.3516064715808255E-2</v>
      </c>
      <c r="W1984" s="48">
        <f t="shared" ca="1" si="239"/>
        <v>0.52631785253551566</v>
      </c>
    </row>
    <row r="1985" spans="17:23" x14ac:dyDescent="0.2">
      <c r="Q1985">
        <f t="shared" si="233"/>
        <v>1969</v>
      </c>
      <c r="R1985" s="48">
        <f t="shared" ca="1" si="234"/>
        <v>0.45</v>
      </c>
      <c r="S1985">
        <f t="shared" ca="1" si="235"/>
        <v>175.03013901974811</v>
      </c>
      <c r="T1985" s="61">
        <f t="shared" ca="1" si="236"/>
        <v>21600</v>
      </c>
      <c r="U1985" s="61">
        <f t="shared" ca="1" si="237"/>
        <v>15013.261168689165</v>
      </c>
      <c r="V1985" s="39">
        <f t="shared" ca="1" si="238"/>
        <v>9.8771455057165558E-2</v>
      </c>
      <c r="W1985" s="48">
        <f t="shared" ca="1" si="239"/>
        <v>1.1468624014427533</v>
      </c>
    </row>
    <row r="1986" spans="17:23" x14ac:dyDescent="0.2">
      <c r="Q1986">
        <f t="shared" si="233"/>
        <v>1970</v>
      </c>
      <c r="R1986" s="48">
        <f t="shared" ca="1" si="234"/>
        <v>0.4</v>
      </c>
      <c r="S1986">
        <f t="shared" ca="1" si="235"/>
        <v>172.00446810038869</v>
      </c>
      <c r="T1986" s="61">
        <f t="shared" ca="1" si="236"/>
        <v>19200</v>
      </c>
      <c r="U1986" s="61">
        <f t="shared" ca="1" si="237"/>
        <v>10562.144688186572</v>
      </c>
      <c r="V1986" s="39">
        <f t="shared" ca="1" si="238"/>
        <v>6.9487794001227454E-2</v>
      </c>
      <c r="W1986" s="48">
        <f t="shared" ca="1" si="239"/>
        <v>0.72444130977011612</v>
      </c>
    </row>
    <row r="1987" spans="17:23" x14ac:dyDescent="0.2">
      <c r="Q1987">
        <f t="shared" si="233"/>
        <v>1971</v>
      </c>
      <c r="R1987" s="48">
        <f t="shared" ca="1" si="234"/>
        <v>0.35</v>
      </c>
      <c r="S1987">
        <f t="shared" ca="1" si="235"/>
        <v>137.40940756258789</v>
      </c>
      <c r="T1987" s="61">
        <f t="shared" ca="1" si="236"/>
        <v>16800</v>
      </c>
      <c r="U1987" s="61">
        <f t="shared" ca="1" si="237"/>
        <v>-10547.108067454297</v>
      </c>
      <c r="V1987" s="39">
        <f t="shared" ca="1" si="238"/>
        <v>-6.9388868864830908E-2</v>
      </c>
      <c r="W1987" s="48">
        <f t="shared" ca="1" si="239"/>
        <v>-0.44194661381018896</v>
      </c>
    </row>
    <row r="1988" spans="17:23" x14ac:dyDescent="0.2">
      <c r="Q1988">
        <f t="shared" si="233"/>
        <v>1972</v>
      </c>
      <c r="R1988" s="48">
        <f t="shared" ca="1" si="234"/>
        <v>0.4</v>
      </c>
      <c r="S1988">
        <f t="shared" ca="1" si="235"/>
        <v>177.43756317718564</v>
      </c>
      <c r="T1988" s="61">
        <f t="shared" ca="1" si="236"/>
        <v>19200</v>
      </c>
      <c r="U1988" s="61">
        <f t="shared" ca="1" si="237"/>
        <v>13170.030325049105</v>
      </c>
      <c r="V1988" s="39">
        <f t="shared" ca="1" si="238"/>
        <v>8.6644936349007273E-2</v>
      </c>
      <c r="W1988" s="48">
        <f t="shared" ca="1" si="239"/>
        <v>0.96205431056171675</v>
      </c>
    </row>
    <row r="1989" spans="17:23" x14ac:dyDescent="0.2">
      <c r="Q1989">
        <f t="shared" si="233"/>
        <v>1973</v>
      </c>
      <c r="R1989" s="48">
        <f t="shared" ca="1" si="234"/>
        <v>0.3</v>
      </c>
      <c r="S1989">
        <f t="shared" ca="1" si="235"/>
        <v>175.07080641909337</v>
      </c>
      <c r="T1989" s="61">
        <f t="shared" ca="1" si="236"/>
        <v>14400</v>
      </c>
      <c r="U1989" s="61">
        <f t="shared" ca="1" si="237"/>
        <v>6039.6515946922882</v>
      </c>
      <c r="V1989" s="39">
        <f t="shared" ca="1" si="238"/>
        <v>3.9734549965080843E-2</v>
      </c>
      <c r="W1989" s="48">
        <f t="shared" ca="1" si="239"/>
        <v>0.3717029739778912</v>
      </c>
    </row>
    <row r="1990" spans="17:23" x14ac:dyDescent="0.2">
      <c r="Q1990">
        <f t="shared" si="233"/>
        <v>1974</v>
      </c>
      <c r="R1990" s="48">
        <f t="shared" ca="1" si="234"/>
        <v>0.3</v>
      </c>
      <c r="S1990">
        <f t="shared" ca="1" si="235"/>
        <v>192.16213821560189</v>
      </c>
      <c r="T1990" s="61">
        <f t="shared" ca="1" si="236"/>
        <v>14400</v>
      </c>
      <c r="U1990" s="61">
        <f t="shared" ca="1" si="237"/>
        <v>15610.797400737056</v>
      </c>
      <c r="V1990" s="39">
        <f t="shared" ca="1" si="238"/>
        <v>0.10270261447853327</v>
      </c>
      <c r="W1990" s="48">
        <f t="shared" ca="1" si="239"/>
        <v>1.2099621453855622</v>
      </c>
    </row>
    <row r="1991" spans="17:23" x14ac:dyDescent="0.2">
      <c r="Q1991">
        <f t="shared" si="233"/>
        <v>1975</v>
      </c>
      <c r="R1991" s="48">
        <f t="shared" ca="1" si="234"/>
        <v>0.3</v>
      </c>
      <c r="S1991">
        <f t="shared" ca="1" si="235"/>
        <v>223.92352654949013</v>
      </c>
      <c r="T1991" s="61">
        <f t="shared" ca="1" si="236"/>
        <v>14400</v>
      </c>
      <c r="U1991" s="61">
        <f t="shared" ca="1" si="237"/>
        <v>33397.174867714479</v>
      </c>
      <c r="V1991" s="39">
        <f t="shared" ca="1" si="238"/>
        <v>0.21971825570864789</v>
      </c>
      <c r="W1991" s="48">
        <f t="shared" ca="1" si="239"/>
        <v>4.0079569132422375</v>
      </c>
    </row>
    <row r="1992" spans="17:23" x14ac:dyDescent="0.2">
      <c r="Q1992">
        <f t="shared" si="233"/>
        <v>1976</v>
      </c>
      <c r="R1992" s="48">
        <f t="shared" ca="1" si="234"/>
        <v>0.35</v>
      </c>
      <c r="S1992">
        <f t="shared" ca="1" si="235"/>
        <v>168.33794257039136</v>
      </c>
      <c r="T1992" s="61">
        <f t="shared" ca="1" si="236"/>
        <v>16800</v>
      </c>
      <c r="U1992" s="61">
        <f t="shared" ca="1" si="237"/>
        <v>5535.7301366035081</v>
      </c>
      <c r="V1992" s="39">
        <f t="shared" ca="1" si="238"/>
        <v>3.6419277214496761E-2</v>
      </c>
      <c r="W1992" s="48">
        <f t="shared" ca="1" si="239"/>
        <v>0.33662636147738501</v>
      </c>
    </row>
    <row r="1993" spans="17:23" x14ac:dyDescent="0.2">
      <c r="Q1993">
        <f t="shared" si="233"/>
        <v>1977</v>
      </c>
      <c r="R1993" s="48">
        <f t="shared" ca="1" si="234"/>
        <v>0.3</v>
      </c>
      <c r="S1993">
        <f t="shared" ca="1" si="235"/>
        <v>190.21098847415433</v>
      </c>
      <c r="T1993" s="61">
        <f t="shared" ca="1" si="236"/>
        <v>14400</v>
      </c>
      <c r="U1993" s="61">
        <f t="shared" ca="1" si="237"/>
        <v>14518.153545526427</v>
      </c>
      <c r="V1993" s="39">
        <f t="shared" ca="1" si="238"/>
        <v>9.5514168062673863E-2</v>
      </c>
      <c r="W1993" s="48">
        <f t="shared" ca="1" si="239"/>
        <v>1.0957814326161115</v>
      </c>
    </row>
    <row r="1994" spans="17:23" x14ac:dyDescent="0.2">
      <c r="Q1994">
        <f t="shared" si="233"/>
        <v>1978</v>
      </c>
      <c r="R1994" s="48">
        <f t="shared" ca="1" si="234"/>
        <v>0.4</v>
      </c>
      <c r="S1994">
        <f t="shared" ca="1" si="235"/>
        <v>182.64662350580878</v>
      </c>
      <c r="T1994" s="61">
        <f t="shared" ca="1" si="236"/>
        <v>19200</v>
      </c>
      <c r="U1994" s="61">
        <f t="shared" ca="1" si="237"/>
        <v>15670.379282788213</v>
      </c>
      <c r="V1994" s="39">
        <f t="shared" ca="1" si="238"/>
        <v>0.1030946005446593</v>
      </c>
      <c r="W1994" s="48">
        <f t="shared" ca="1" si="239"/>
        <v>1.2163422290636721</v>
      </c>
    </row>
    <row r="1995" spans="17:23" x14ac:dyDescent="0.2">
      <c r="Q1995">
        <f t="shared" si="233"/>
        <v>1979</v>
      </c>
      <c r="R1995" s="48">
        <f t="shared" ca="1" si="234"/>
        <v>0.217</v>
      </c>
      <c r="S1995">
        <f t="shared" ca="1" si="235"/>
        <v>182.84623635868806</v>
      </c>
      <c r="T1995" s="61">
        <f t="shared" ca="1" si="236"/>
        <v>10416</v>
      </c>
      <c r="U1995" s="61">
        <f t="shared" ca="1" si="237"/>
        <v>5934.882455082201</v>
      </c>
      <c r="V1995" s="39">
        <f t="shared" ca="1" si="238"/>
        <v>3.9045279309751324E-2</v>
      </c>
      <c r="W1995" s="48">
        <f t="shared" ca="1" si="239"/>
        <v>0.36434455939489285</v>
      </c>
    </row>
    <row r="1996" spans="17:23" x14ac:dyDescent="0.2">
      <c r="Q1996">
        <f t="shared" si="233"/>
        <v>1980</v>
      </c>
      <c r="R1996" s="48">
        <f t="shared" ca="1" si="234"/>
        <v>0.3</v>
      </c>
      <c r="S1996">
        <f t="shared" ca="1" si="235"/>
        <v>169.12092753042594</v>
      </c>
      <c r="T1996" s="61">
        <f t="shared" ca="1" si="236"/>
        <v>14400</v>
      </c>
      <c r="U1996" s="61">
        <f t="shared" ca="1" si="237"/>
        <v>2707.7194170385301</v>
      </c>
      <c r="V1996" s="39">
        <f t="shared" ca="1" si="238"/>
        <v>1.7813943533148226E-2</v>
      </c>
      <c r="W1996" s="48">
        <f t="shared" ca="1" si="239"/>
        <v>0.15398247530097486</v>
      </c>
    </row>
    <row r="1997" spans="17:23" x14ac:dyDescent="0.2">
      <c r="Q1997">
        <f t="shared" si="233"/>
        <v>1981</v>
      </c>
      <c r="R1997" s="48">
        <f t="shared" ca="1" si="234"/>
        <v>0.3</v>
      </c>
      <c r="S1997">
        <f t="shared" ca="1" si="235"/>
        <v>202.75824801298211</v>
      </c>
      <c r="T1997" s="61">
        <f t="shared" ca="1" si="236"/>
        <v>14400</v>
      </c>
      <c r="U1997" s="61">
        <f t="shared" ca="1" si="237"/>
        <v>21544.618887269979</v>
      </c>
      <c r="V1997" s="39">
        <f t="shared" ca="1" si="238"/>
        <v>0.14174091373203934</v>
      </c>
      <c r="W1997" s="48">
        <f t="shared" ca="1" si="239"/>
        <v>1.9304674951317766</v>
      </c>
    </row>
    <row r="1998" spans="17:23" x14ac:dyDescent="0.2">
      <c r="Q1998">
        <f t="shared" si="233"/>
        <v>1982</v>
      </c>
      <c r="R1998" s="48">
        <f t="shared" ca="1" si="234"/>
        <v>0.4</v>
      </c>
      <c r="S1998">
        <f t="shared" ca="1" si="235"/>
        <v>168.75819355921266</v>
      </c>
      <c r="T1998" s="61">
        <f t="shared" ca="1" si="236"/>
        <v>19200</v>
      </c>
      <c r="U1998" s="61">
        <f t="shared" ca="1" si="237"/>
        <v>9003.9329084220753</v>
      </c>
      <c r="V1998" s="39">
        <f t="shared" ca="1" si="238"/>
        <v>5.9236400713303126E-2</v>
      </c>
      <c r="W1998" s="48">
        <f t="shared" ca="1" si="239"/>
        <v>0.59485117897619588</v>
      </c>
    </row>
    <row r="1999" spans="17:23" x14ac:dyDescent="0.2">
      <c r="Q1999">
        <f t="shared" si="233"/>
        <v>1983</v>
      </c>
      <c r="R1999" s="48">
        <f t="shared" ca="1" si="234"/>
        <v>0.217</v>
      </c>
      <c r="S1999">
        <f t="shared" ca="1" si="235"/>
        <v>185.08952156937633</v>
      </c>
      <c r="T1999" s="61">
        <f t="shared" ca="1" si="236"/>
        <v>10416</v>
      </c>
      <c r="U1999" s="61">
        <f t="shared" ca="1" si="237"/>
        <v>7340.0763110573334</v>
      </c>
      <c r="V1999" s="39">
        <f t="shared" ca="1" si="238"/>
        <v>4.8289975730640353E-2</v>
      </c>
      <c r="W1999" s="48">
        <f t="shared" ca="1" si="239"/>
        <v>0.46597707139850852</v>
      </c>
    </row>
    <row r="2000" spans="17:23" x14ac:dyDescent="0.2">
      <c r="Q2000">
        <f t="shared" si="233"/>
        <v>1984</v>
      </c>
      <c r="R2000" s="48">
        <f t="shared" ca="1" si="234"/>
        <v>0.217</v>
      </c>
      <c r="S2000">
        <f t="shared" ca="1" si="235"/>
        <v>221.81771058567148</v>
      </c>
      <c r="T2000" s="61">
        <f t="shared" ca="1" si="236"/>
        <v>10416</v>
      </c>
      <c r="U2000" s="61">
        <f t="shared" ca="1" si="237"/>
        <v>30346.613910864613</v>
      </c>
      <c r="V2000" s="39">
        <f t="shared" ca="1" si="238"/>
        <v>0.19964877572937245</v>
      </c>
      <c r="W2000" s="48">
        <f t="shared" ca="1" si="239"/>
        <v>3.377404819020521</v>
      </c>
    </row>
    <row r="2001" spans="17:23" x14ac:dyDescent="0.2">
      <c r="Q2001">
        <f t="shared" si="233"/>
        <v>1985</v>
      </c>
      <c r="R2001" s="48">
        <f t="shared" ca="1" si="234"/>
        <v>0.3</v>
      </c>
      <c r="S2001">
        <f t="shared" ca="1" si="235"/>
        <v>174.49771374249804</v>
      </c>
      <c r="T2001" s="61">
        <f t="shared" ca="1" si="236"/>
        <v>14400</v>
      </c>
      <c r="U2001" s="61">
        <f t="shared" ca="1" si="237"/>
        <v>5718.7196957988999</v>
      </c>
      <c r="V2001" s="39">
        <f t="shared" ca="1" si="238"/>
        <v>3.7623155893413814E-2</v>
      </c>
      <c r="W2001" s="48">
        <f t="shared" ca="1" si="239"/>
        <v>0.34927173925429633</v>
      </c>
    </row>
    <row r="2002" spans="17:23" x14ac:dyDescent="0.2">
      <c r="Q2002">
        <f t="shared" si="233"/>
        <v>1986</v>
      </c>
      <c r="R2002" s="48">
        <f t="shared" ca="1" si="234"/>
        <v>0.45</v>
      </c>
      <c r="S2002">
        <f t="shared" ca="1" si="235"/>
        <v>193.76788579208372</v>
      </c>
      <c r="T2002" s="61">
        <f t="shared" ca="1" si="236"/>
        <v>21600</v>
      </c>
      <c r="U2002" s="61">
        <f t="shared" ca="1" si="237"/>
        <v>23257.869748516838</v>
      </c>
      <c r="V2002" s="39">
        <f t="shared" ca="1" si="238"/>
        <v>0.15301230097708446</v>
      </c>
      <c r="W2002" s="48">
        <f t="shared" ca="1" si="239"/>
        <v>2.173525284030291</v>
      </c>
    </row>
    <row r="2003" spans="17:23" x14ac:dyDescent="0.2">
      <c r="Q2003">
        <f t="shared" ref="Q2003:Q2066" si="240">Q2002+1</f>
        <v>1987</v>
      </c>
      <c r="R2003" s="48">
        <f t="shared" ref="R2003:R2066" ca="1" si="241">LOOKUP(RAND(),$U$6:$U$12,$S$6:$S$12)</f>
        <v>0.35</v>
      </c>
      <c r="S2003">
        <f t="shared" ref="S2003:S2066" ca="1" si="242">_xlfn.NORM.INV(RAND(),$Q$5,$Q$10)</f>
        <v>181.16089450254486</v>
      </c>
      <c r="T2003" s="61">
        <f t="shared" ca="1" si="236"/>
        <v>16800</v>
      </c>
      <c r="U2003" s="61">
        <f t="shared" ca="1" si="237"/>
        <v>12203.665141323328</v>
      </c>
      <c r="V2003" s="39">
        <f t="shared" ca="1" si="238"/>
        <v>8.0287270666600852E-2</v>
      </c>
      <c r="W2003" s="48">
        <f t="shared" ca="1" si="239"/>
        <v>0.8708572615482093</v>
      </c>
    </row>
    <row r="2004" spans="17:23" x14ac:dyDescent="0.2">
      <c r="Q2004">
        <f t="shared" si="240"/>
        <v>1988</v>
      </c>
      <c r="R2004" s="48">
        <f t="shared" ca="1" si="241"/>
        <v>0.35</v>
      </c>
      <c r="S2004">
        <f t="shared" ca="1" si="242"/>
        <v>202.60405215388903</v>
      </c>
      <c r="T2004" s="61">
        <f t="shared" ca="1" si="236"/>
        <v>16800</v>
      </c>
      <c r="U2004" s="61">
        <f t="shared" ca="1" si="237"/>
        <v>23354.107120022294</v>
      </c>
      <c r="V2004" s="39">
        <f t="shared" ca="1" si="238"/>
        <v>0.15364544157909404</v>
      </c>
      <c r="W2004" s="48">
        <f t="shared" ca="1" si="239"/>
        <v>2.1876876751608738</v>
      </c>
    </row>
    <row r="2005" spans="17:23" x14ac:dyDescent="0.2">
      <c r="Q2005">
        <f t="shared" si="240"/>
        <v>1989</v>
      </c>
      <c r="R2005" s="48">
        <f t="shared" ca="1" si="241"/>
        <v>0.45</v>
      </c>
      <c r="S2005">
        <f t="shared" ca="1" si="242"/>
        <v>210.21563974331497</v>
      </c>
      <c r="T2005" s="61">
        <f t="shared" ca="1" si="236"/>
        <v>21600</v>
      </c>
      <c r="U2005" s="61">
        <f t="shared" ca="1" si="237"/>
        <v>30494.881487058585</v>
      </c>
      <c r="V2005" s="39">
        <f t="shared" ca="1" si="238"/>
        <v>0.20062422030959595</v>
      </c>
      <c r="W2005" s="48">
        <f t="shared" ca="1" si="239"/>
        <v>3.4063583396479347</v>
      </c>
    </row>
    <row r="2006" spans="17:23" x14ac:dyDescent="0.2">
      <c r="Q2006">
        <f t="shared" si="240"/>
        <v>1990</v>
      </c>
      <c r="R2006" s="48">
        <f t="shared" ca="1" si="241"/>
        <v>0.217</v>
      </c>
      <c r="S2006">
        <f t="shared" ca="1" si="242"/>
        <v>181.82712428830035</v>
      </c>
      <c r="T2006" s="61">
        <f t="shared" ca="1" si="236"/>
        <v>10416</v>
      </c>
      <c r="U2006" s="61">
        <f t="shared" ca="1" si="237"/>
        <v>5296.5106541913419</v>
      </c>
      <c r="V2006" s="39">
        <f t="shared" ca="1" si="238"/>
        <v>3.4845464830206195E-2</v>
      </c>
      <c r="W2006" s="48">
        <f t="shared" ca="1" si="239"/>
        <v>0.32025201574622497</v>
      </c>
    </row>
    <row r="2007" spans="17:23" x14ac:dyDescent="0.2">
      <c r="Q2007">
        <f t="shared" si="240"/>
        <v>1991</v>
      </c>
      <c r="R2007" s="48">
        <f t="shared" ca="1" si="241"/>
        <v>0.3</v>
      </c>
      <c r="S2007">
        <f t="shared" ca="1" si="242"/>
        <v>157.36024507940175</v>
      </c>
      <c r="T2007" s="61">
        <f t="shared" ca="1" si="236"/>
        <v>14400</v>
      </c>
      <c r="U2007" s="61">
        <f t="shared" ca="1" si="237"/>
        <v>-3878.2627555350191</v>
      </c>
      <c r="V2007" s="39">
        <f t="shared" ca="1" si="238"/>
        <v>-2.5514886549572496E-2</v>
      </c>
      <c r="W2007" s="48">
        <f t="shared" ca="1" si="239"/>
        <v>-0.18912394933574961</v>
      </c>
    </row>
    <row r="2008" spans="17:23" x14ac:dyDescent="0.2">
      <c r="Q2008">
        <f t="shared" si="240"/>
        <v>1992</v>
      </c>
      <c r="R2008" s="48">
        <f t="shared" ca="1" si="241"/>
        <v>0.35</v>
      </c>
      <c r="S2008">
        <f t="shared" ca="1" si="242"/>
        <v>203.45648939465642</v>
      </c>
      <c r="T2008" s="61">
        <f t="shared" ca="1" si="236"/>
        <v>16800</v>
      </c>
      <c r="U2008" s="61">
        <f t="shared" ca="1" si="237"/>
        <v>23797.374485221335</v>
      </c>
      <c r="V2008" s="39">
        <f t="shared" ca="1" si="238"/>
        <v>0.15656167424487721</v>
      </c>
      <c r="W2008" s="48">
        <f t="shared" ca="1" si="239"/>
        <v>2.2536372293818427</v>
      </c>
    </row>
    <row r="2009" spans="17:23" x14ac:dyDescent="0.2">
      <c r="Q2009">
        <f t="shared" si="240"/>
        <v>1993</v>
      </c>
      <c r="R2009" s="48">
        <f t="shared" ca="1" si="241"/>
        <v>0.35</v>
      </c>
      <c r="S2009">
        <f t="shared" ca="1" si="242"/>
        <v>208.55311125889608</v>
      </c>
      <c r="T2009" s="61">
        <f t="shared" ca="1" si="236"/>
        <v>16800</v>
      </c>
      <c r="U2009" s="61">
        <f t="shared" ca="1" si="237"/>
        <v>26447.617854625962</v>
      </c>
      <c r="V2009" s="39">
        <f t="shared" ca="1" si="238"/>
        <v>0.17399748588569711</v>
      </c>
      <c r="W2009" s="48">
        <f t="shared" ca="1" si="239"/>
        <v>2.6734838197686903</v>
      </c>
    </row>
    <row r="2010" spans="17:23" x14ac:dyDescent="0.2">
      <c r="Q2010">
        <f t="shared" si="240"/>
        <v>1994</v>
      </c>
      <c r="R2010" s="48">
        <f t="shared" ca="1" si="241"/>
        <v>0.45</v>
      </c>
      <c r="S2010">
        <f t="shared" ca="1" si="242"/>
        <v>180.83195185510397</v>
      </c>
      <c r="T2010" s="61">
        <f t="shared" ca="1" si="236"/>
        <v>21600</v>
      </c>
      <c r="U2010" s="61">
        <f t="shared" ca="1" si="237"/>
        <v>17566.058816245746</v>
      </c>
      <c r="V2010" s="39">
        <f t="shared" ca="1" si="238"/>
        <v>0.11556617642266938</v>
      </c>
      <c r="W2010" s="48">
        <f t="shared" ca="1" si="239"/>
        <v>1.4279512636604603</v>
      </c>
    </row>
    <row r="2011" spans="17:23" x14ac:dyDescent="0.2">
      <c r="Q2011">
        <f t="shared" si="240"/>
        <v>1995</v>
      </c>
      <c r="R2011" s="48">
        <f t="shared" ca="1" si="241"/>
        <v>0.4</v>
      </c>
      <c r="S2011">
        <f t="shared" ca="1" si="242"/>
        <v>185.97971544769408</v>
      </c>
      <c r="T2011" s="61">
        <f t="shared" ca="1" si="236"/>
        <v>19200</v>
      </c>
      <c r="U2011" s="61">
        <f t="shared" ca="1" si="237"/>
        <v>17270.263414893157</v>
      </c>
      <c r="V2011" s="39">
        <f t="shared" ca="1" si="238"/>
        <v>0.11362015404534972</v>
      </c>
      <c r="W2011" s="48">
        <f t="shared" ca="1" si="239"/>
        <v>1.3938099396006161</v>
      </c>
    </row>
    <row r="2012" spans="17:23" x14ac:dyDescent="0.2">
      <c r="Q2012">
        <f t="shared" si="240"/>
        <v>1996</v>
      </c>
      <c r="R2012" s="48">
        <f t="shared" ca="1" si="241"/>
        <v>0.45</v>
      </c>
      <c r="S2012">
        <f t="shared" ca="1" si="242"/>
        <v>199.53837684698743</v>
      </c>
      <c r="T2012" s="61">
        <f t="shared" ca="1" si="236"/>
        <v>21600</v>
      </c>
      <c r="U2012" s="61">
        <f t="shared" ca="1" si="237"/>
        <v>25796.885812674471</v>
      </c>
      <c r="V2012" s="39">
        <f t="shared" ca="1" si="238"/>
        <v>0.16971635403075311</v>
      </c>
      <c r="W2012" s="48">
        <f t="shared" ca="1" si="239"/>
        <v>2.5662271509488388</v>
      </c>
    </row>
    <row r="2013" spans="17:23" x14ac:dyDescent="0.2">
      <c r="Q2013">
        <f t="shared" si="240"/>
        <v>1997</v>
      </c>
      <c r="R2013" s="48">
        <f t="shared" ca="1" si="241"/>
        <v>0.3</v>
      </c>
      <c r="S2013">
        <f t="shared" ca="1" si="242"/>
        <v>199.66194058081905</v>
      </c>
      <c r="T2013" s="61">
        <f t="shared" ca="1" si="236"/>
        <v>14400</v>
      </c>
      <c r="U2013" s="61">
        <f t="shared" ca="1" si="237"/>
        <v>19810.686725258667</v>
      </c>
      <c r="V2013" s="39">
        <f t="shared" ca="1" si="238"/>
        <v>0.13033346529775439</v>
      </c>
      <c r="W2013" s="48">
        <f t="shared" ca="1" si="239"/>
        <v>1.7012484392102762</v>
      </c>
    </row>
    <row r="2014" spans="17:23" x14ac:dyDescent="0.2">
      <c r="Q2014">
        <f t="shared" si="240"/>
        <v>1998</v>
      </c>
      <c r="R2014" s="48">
        <f t="shared" ca="1" si="241"/>
        <v>0.217</v>
      </c>
      <c r="S2014">
        <f t="shared" ca="1" si="242"/>
        <v>210.98358354188633</v>
      </c>
      <c r="T2014" s="61">
        <f t="shared" ca="1" si="236"/>
        <v>10416</v>
      </c>
      <c r="U2014" s="61">
        <f t="shared" ca="1" si="237"/>
        <v>23560.116730637597</v>
      </c>
      <c r="V2014" s="39">
        <f t="shared" ca="1" si="238"/>
        <v>0.15500076796472104</v>
      </c>
      <c r="W2014" s="48">
        <f t="shared" ca="1" si="239"/>
        <v>2.21819065819109</v>
      </c>
    </row>
    <row r="2015" spans="17:23" x14ac:dyDescent="0.2">
      <c r="Q2015">
        <f t="shared" si="240"/>
        <v>1999</v>
      </c>
      <c r="R2015" s="48">
        <f t="shared" ca="1" si="241"/>
        <v>0.3</v>
      </c>
      <c r="S2015">
        <f t="shared" ca="1" si="242"/>
        <v>203.99071185145212</v>
      </c>
      <c r="T2015" s="61">
        <f t="shared" ca="1" si="236"/>
        <v>14400</v>
      </c>
      <c r="U2015" s="61">
        <f t="shared" ca="1" si="237"/>
        <v>22234.798636813186</v>
      </c>
      <c r="V2015" s="39">
        <f t="shared" ca="1" si="238"/>
        <v>0.14628156997903413</v>
      </c>
      <c r="W2015" s="48">
        <f t="shared" ca="1" si="239"/>
        <v>2.026344765945451</v>
      </c>
    </row>
    <row r="2016" spans="17:23" x14ac:dyDescent="0.2">
      <c r="Q2016">
        <f t="shared" si="240"/>
        <v>2000</v>
      </c>
      <c r="R2016" s="48">
        <f t="shared" ca="1" si="241"/>
        <v>0.3</v>
      </c>
      <c r="S2016">
        <f t="shared" ca="1" si="242"/>
        <v>194.82290453374637</v>
      </c>
      <c r="T2016" s="61">
        <f t="shared" ca="1" si="236"/>
        <v>14400</v>
      </c>
      <c r="U2016" s="61">
        <f t="shared" ca="1" si="237"/>
        <v>17100.826538897967</v>
      </c>
      <c r="V2016" s="39">
        <f t="shared" ca="1" si="238"/>
        <v>0.11250543775590768</v>
      </c>
      <c r="W2016" s="48">
        <f t="shared" ca="1" si="239"/>
        <v>1.3744434010009297</v>
      </c>
    </row>
    <row r="2017" spans="17:23" x14ac:dyDescent="0.2">
      <c r="Q2017">
        <f t="shared" si="240"/>
        <v>2001</v>
      </c>
      <c r="R2017" s="48">
        <f t="shared" ca="1" si="241"/>
        <v>0.4</v>
      </c>
      <c r="S2017">
        <f t="shared" ca="1" si="242"/>
        <v>158.68477739738421</v>
      </c>
      <c r="T2017" s="61">
        <f t="shared" ca="1" si="236"/>
        <v>19200</v>
      </c>
      <c r="U2017" s="61">
        <f t="shared" ca="1" si="237"/>
        <v>4168.6931507444206</v>
      </c>
      <c r="V2017" s="39">
        <f t="shared" ca="1" si="238"/>
        <v>2.7425612833844874E-2</v>
      </c>
      <c r="W2017" s="48">
        <f t="shared" ca="1" si="239"/>
        <v>0.24539954740829573</v>
      </c>
    </row>
    <row r="2018" spans="17:23" x14ac:dyDescent="0.2">
      <c r="Q2018">
        <f t="shared" si="240"/>
        <v>2002</v>
      </c>
      <c r="R2018" s="48">
        <f t="shared" ca="1" si="241"/>
        <v>0.4</v>
      </c>
      <c r="S2018">
        <f t="shared" ca="1" si="242"/>
        <v>229.88679269241948</v>
      </c>
      <c r="T2018" s="61">
        <f t="shared" ca="1" si="236"/>
        <v>19200</v>
      </c>
      <c r="U2018" s="61">
        <f t="shared" ca="1" si="237"/>
        <v>38345.660492361349</v>
      </c>
      <c r="V2018" s="39">
        <f t="shared" ca="1" si="238"/>
        <v>0.25227408218658781</v>
      </c>
      <c r="W2018" s="48">
        <f t="shared" ca="1" si="239"/>
        <v>5.2008414373416816</v>
      </c>
    </row>
    <row r="2019" spans="17:23" x14ac:dyDescent="0.2">
      <c r="Q2019">
        <f t="shared" si="240"/>
        <v>2003</v>
      </c>
      <c r="R2019" s="48">
        <f t="shared" ca="1" si="241"/>
        <v>0.35</v>
      </c>
      <c r="S2019">
        <f t="shared" ca="1" si="242"/>
        <v>170.48679009520737</v>
      </c>
      <c r="T2019" s="61">
        <f t="shared" ca="1" si="236"/>
        <v>16800</v>
      </c>
      <c r="U2019" s="61">
        <f t="shared" ca="1" si="237"/>
        <v>6653.130849507832</v>
      </c>
      <c r="V2019" s="39">
        <f t="shared" ca="1" si="238"/>
        <v>4.3770597694130477E-2</v>
      </c>
      <c r="W2019" s="48">
        <f t="shared" ca="1" si="239"/>
        <v>0.41549291547250022</v>
      </c>
    </row>
    <row r="2020" spans="17:23" x14ac:dyDescent="0.2">
      <c r="Q2020">
        <f t="shared" si="240"/>
        <v>2004</v>
      </c>
      <c r="R2020" s="48">
        <f t="shared" ca="1" si="241"/>
        <v>0.4</v>
      </c>
      <c r="S2020">
        <f t="shared" ca="1" si="242"/>
        <v>192.05671829075021</v>
      </c>
      <c r="T2020" s="61">
        <f t="shared" ca="1" si="236"/>
        <v>19200</v>
      </c>
      <c r="U2020" s="61">
        <f t="shared" ca="1" si="237"/>
        <v>20187.2247795601</v>
      </c>
      <c r="V2020" s="39">
        <f t="shared" ca="1" si="238"/>
        <v>0.13281068933921117</v>
      </c>
      <c r="W2020" s="48">
        <f t="shared" ca="1" si="239"/>
        <v>1.7496422311302551</v>
      </c>
    </row>
    <row r="2021" spans="17:23" x14ac:dyDescent="0.2">
      <c r="Q2021">
        <f t="shared" si="240"/>
        <v>2005</v>
      </c>
      <c r="R2021" s="48">
        <f t="shared" ca="1" si="241"/>
        <v>0.4</v>
      </c>
      <c r="S2021">
        <f t="shared" ca="1" si="242"/>
        <v>226.50743431177801</v>
      </c>
      <c r="T2021" s="61">
        <f t="shared" ca="1" si="236"/>
        <v>19200</v>
      </c>
      <c r="U2021" s="61">
        <f t="shared" ca="1" si="237"/>
        <v>36723.568469653444</v>
      </c>
      <c r="V2021" s="39">
        <f t="shared" ca="1" si="238"/>
        <v>0.24160242414245686</v>
      </c>
      <c r="W2021" s="48">
        <f t="shared" ca="1" si="239"/>
        <v>4.784994102114144</v>
      </c>
    </row>
    <row r="2022" spans="17:23" x14ac:dyDescent="0.2">
      <c r="Q2022">
        <f t="shared" si="240"/>
        <v>2006</v>
      </c>
      <c r="R2022" s="48">
        <f t="shared" ca="1" si="241"/>
        <v>0.3</v>
      </c>
      <c r="S2022">
        <f t="shared" ca="1" si="242"/>
        <v>201.0683294971914</v>
      </c>
      <c r="T2022" s="61">
        <f t="shared" ca="1" si="236"/>
        <v>14400</v>
      </c>
      <c r="U2022" s="61">
        <f t="shared" ca="1" si="237"/>
        <v>20598.264518427182</v>
      </c>
      <c r="V2022" s="39">
        <f t="shared" ca="1" si="238"/>
        <v>0.13551489814754725</v>
      </c>
      <c r="W2022" s="48">
        <f t="shared" ca="1" si="239"/>
        <v>1.8033364911078387</v>
      </c>
    </row>
    <row r="2023" spans="17:23" x14ac:dyDescent="0.2">
      <c r="Q2023">
        <f t="shared" si="240"/>
        <v>2007</v>
      </c>
      <c r="R2023" s="48">
        <f t="shared" ca="1" si="241"/>
        <v>0.3</v>
      </c>
      <c r="S2023">
        <f t="shared" ca="1" si="242"/>
        <v>185.73482559909695</v>
      </c>
      <c r="T2023" s="61">
        <f t="shared" ca="1" si="236"/>
        <v>14400</v>
      </c>
      <c r="U2023" s="61">
        <f t="shared" ca="1" si="237"/>
        <v>12011.502335494293</v>
      </c>
      <c r="V2023" s="39">
        <f t="shared" ca="1" si="238"/>
        <v>7.9023041680883505E-2</v>
      </c>
      <c r="W2023" s="48">
        <f t="shared" ca="1" si="239"/>
        <v>0.85317242887733613</v>
      </c>
    </row>
    <row r="2024" spans="17:23" x14ac:dyDescent="0.2">
      <c r="Q2024">
        <f t="shared" si="240"/>
        <v>2008</v>
      </c>
      <c r="R2024" s="48">
        <f t="shared" ca="1" si="241"/>
        <v>0.3</v>
      </c>
      <c r="S2024">
        <f t="shared" ca="1" si="242"/>
        <v>203.63763812473385</v>
      </c>
      <c r="T2024" s="61">
        <f t="shared" ca="1" si="236"/>
        <v>14400</v>
      </c>
      <c r="U2024" s="61">
        <f t="shared" ca="1" si="237"/>
        <v>22037.077349850959</v>
      </c>
      <c r="V2024" s="39">
        <f t="shared" ca="1" si="238"/>
        <v>0.14498077203849316</v>
      </c>
      <c r="W2024" s="48">
        <f t="shared" ca="1" si="239"/>
        <v>1.9986009948521439</v>
      </c>
    </row>
    <row r="2025" spans="17:23" x14ac:dyDescent="0.2">
      <c r="Q2025">
        <f t="shared" si="240"/>
        <v>2009</v>
      </c>
      <c r="R2025" s="48">
        <f t="shared" ca="1" si="241"/>
        <v>0.45</v>
      </c>
      <c r="S2025">
        <f t="shared" ca="1" si="242"/>
        <v>187.05621050330259</v>
      </c>
      <c r="T2025" s="61">
        <f t="shared" ca="1" si="236"/>
        <v>21600</v>
      </c>
      <c r="U2025" s="61">
        <f t="shared" ca="1" si="237"/>
        <v>20304.732621453142</v>
      </c>
      <c r="V2025" s="39">
        <f t="shared" ca="1" si="238"/>
        <v>0.13358376724640225</v>
      </c>
      <c r="W2025" s="48">
        <f t="shared" ca="1" si="239"/>
        <v>1.7648994876833188</v>
      </c>
    </row>
    <row r="2026" spans="17:23" x14ac:dyDescent="0.2">
      <c r="Q2026">
        <f t="shared" si="240"/>
        <v>2010</v>
      </c>
      <c r="R2026" s="48">
        <f t="shared" ca="1" si="241"/>
        <v>0.45</v>
      </c>
      <c r="S2026">
        <f t="shared" ca="1" si="242"/>
        <v>150.28982075817063</v>
      </c>
      <c r="T2026" s="61">
        <f t="shared" ca="1" si="236"/>
        <v>21600</v>
      </c>
      <c r="U2026" s="61">
        <f t="shared" ca="1" si="237"/>
        <v>4127.5211335950771</v>
      </c>
      <c r="V2026" s="39">
        <f t="shared" ca="1" si="238"/>
        <v>2.7154744299967611E-2</v>
      </c>
      <c r="W2026" s="48">
        <f t="shared" ca="1" si="239"/>
        <v>0.24273888268140409</v>
      </c>
    </row>
    <row r="2027" spans="17:23" x14ac:dyDescent="0.2">
      <c r="Q2027">
        <f t="shared" si="240"/>
        <v>2011</v>
      </c>
      <c r="R2027" s="48">
        <f t="shared" ca="1" si="241"/>
        <v>0.3</v>
      </c>
      <c r="S2027">
        <f t="shared" ca="1" si="242"/>
        <v>219.7679536582792</v>
      </c>
      <c r="T2027" s="61">
        <f t="shared" ca="1" si="236"/>
        <v>14400</v>
      </c>
      <c r="U2027" s="61">
        <f t="shared" ca="1" si="237"/>
        <v>31070.05404863635</v>
      </c>
      <c r="V2027" s="39">
        <f t="shared" ca="1" si="238"/>
        <v>0.20440825031997598</v>
      </c>
      <c r="W2027" s="48">
        <f t="shared" ca="1" si="239"/>
        <v>3.5202726652989558</v>
      </c>
    </row>
    <row r="2028" spans="17:23" x14ac:dyDescent="0.2">
      <c r="Q2028">
        <f t="shared" si="240"/>
        <v>2012</v>
      </c>
      <c r="R2028" s="48">
        <f t="shared" ca="1" si="241"/>
        <v>0.4</v>
      </c>
      <c r="S2028">
        <f t="shared" ca="1" si="242"/>
        <v>182.03310510062366</v>
      </c>
      <c r="T2028" s="61">
        <f t="shared" ca="1" si="236"/>
        <v>19200</v>
      </c>
      <c r="U2028" s="61">
        <f t="shared" ca="1" si="237"/>
        <v>15375.890448299357</v>
      </c>
      <c r="V2028" s="39">
        <f t="shared" ca="1" si="238"/>
        <v>0.10115717400196945</v>
      </c>
      <c r="W2028" s="48">
        <f t="shared" ca="1" si="239"/>
        <v>1.18496469527101</v>
      </c>
    </row>
    <row r="2029" spans="17:23" x14ac:dyDescent="0.2">
      <c r="Q2029">
        <f t="shared" si="240"/>
        <v>2013</v>
      </c>
      <c r="R2029" s="48">
        <f t="shared" ca="1" si="241"/>
        <v>0.3</v>
      </c>
      <c r="S2029">
        <f t="shared" ca="1" si="242"/>
        <v>209.01242254985172</v>
      </c>
      <c r="T2029" s="61">
        <f t="shared" ca="1" si="236"/>
        <v>14400</v>
      </c>
      <c r="U2029" s="61">
        <f t="shared" ca="1" si="237"/>
        <v>25046.956627916963</v>
      </c>
      <c r="V2029" s="39">
        <f t="shared" ca="1" si="238"/>
        <v>0.16478260939419054</v>
      </c>
      <c r="W2029" s="48">
        <f t="shared" ca="1" si="239"/>
        <v>2.4460340533968403</v>
      </c>
    </row>
    <row r="2030" spans="17:23" x14ac:dyDescent="0.2">
      <c r="Q2030">
        <f t="shared" si="240"/>
        <v>2014</v>
      </c>
      <c r="R2030" s="48">
        <f t="shared" ca="1" si="241"/>
        <v>0.35</v>
      </c>
      <c r="S2030">
        <f t="shared" ca="1" si="242"/>
        <v>186.73182692888059</v>
      </c>
      <c r="T2030" s="61">
        <f t="shared" ca="1" si="236"/>
        <v>16800</v>
      </c>
      <c r="U2030" s="61">
        <f t="shared" ca="1" si="237"/>
        <v>15100.550003017908</v>
      </c>
      <c r="V2030" s="39">
        <f t="shared" ca="1" si="238"/>
        <v>9.9345723704065192E-2</v>
      </c>
      <c r="W2030" s="48">
        <f t="shared" ca="1" si="239"/>
        <v>1.1559803986729791</v>
      </c>
    </row>
    <row r="2031" spans="17:23" x14ac:dyDescent="0.2">
      <c r="Q2031">
        <f t="shared" si="240"/>
        <v>2015</v>
      </c>
      <c r="R2031" s="48">
        <f t="shared" ca="1" si="241"/>
        <v>0.3</v>
      </c>
      <c r="S2031">
        <f t="shared" ca="1" si="242"/>
        <v>161.607921911815</v>
      </c>
      <c r="T2031" s="61">
        <f t="shared" ca="1" si="236"/>
        <v>14400</v>
      </c>
      <c r="U2031" s="61">
        <f t="shared" ca="1" si="237"/>
        <v>-1499.5637293836007</v>
      </c>
      <c r="V2031" s="39">
        <f t="shared" ca="1" si="238"/>
        <v>-9.8655508512079E-3</v>
      </c>
      <c r="W2031" s="48">
        <f t="shared" ca="1" si="239"/>
        <v>-7.7269360081775651E-2</v>
      </c>
    </row>
    <row r="2032" spans="17:23" x14ac:dyDescent="0.2">
      <c r="Q2032">
        <f t="shared" si="240"/>
        <v>2016</v>
      </c>
      <c r="R2032" s="48">
        <f t="shared" ca="1" si="241"/>
        <v>0.4</v>
      </c>
      <c r="S2032">
        <f t="shared" ca="1" si="242"/>
        <v>155.58164906604304</v>
      </c>
      <c r="T2032" s="61">
        <f t="shared" ca="1" si="236"/>
        <v>19200</v>
      </c>
      <c r="U2032" s="61">
        <f t="shared" ca="1" si="237"/>
        <v>2679.1915517006601</v>
      </c>
      <c r="V2032" s="39">
        <f t="shared" ca="1" si="238"/>
        <v>1.7626260208556975E-2</v>
      </c>
      <c r="W2032" s="48">
        <f t="shared" ca="1" si="239"/>
        <v>0.15225762213916405</v>
      </c>
    </row>
    <row r="2033" spans="17:23" x14ac:dyDescent="0.2">
      <c r="Q2033">
        <f t="shared" si="240"/>
        <v>2017</v>
      </c>
      <c r="R2033" s="48">
        <f t="shared" ca="1" si="241"/>
        <v>0.35</v>
      </c>
      <c r="S2033">
        <f t="shared" ca="1" si="242"/>
        <v>202.67795667797643</v>
      </c>
      <c r="T2033" s="61">
        <f t="shared" ca="1" si="236"/>
        <v>16800</v>
      </c>
      <c r="U2033" s="61">
        <f t="shared" ca="1" si="237"/>
        <v>23392.537472547741</v>
      </c>
      <c r="V2033" s="39">
        <f t="shared" ca="1" si="238"/>
        <v>0.15389827284570881</v>
      </c>
      <c r="W2033" s="48">
        <f t="shared" ca="1" si="239"/>
        <v>2.1933585880304856</v>
      </c>
    </row>
    <row r="2034" spans="17:23" x14ac:dyDescent="0.2">
      <c r="Q2034">
        <f t="shared" si="240"/>
        <v>2018</v>
      </c>
      <c r="R2034" s="48">
        <f t="shared" ca="1" si="241"/>
        <v>0.4</v>
      </c>
      <c r="S2034">
        <f t="shared" ca="1" si="242"/>
        <v>190.36678147601157</v>
      </c>
      <c r="T2034" s="61">
        <f t="shared" ca="1" si="236"/>
        <v>19200</v>
      </c>
      <c r="U2034" s="61">
        <f t="shared" ca="1" si="237"/>
        <v>19376.055108485554</v>
      </c>
      <c r="V2034" s="39">
        <f t="shared" ca="1" si="238"/>
        <v>0.12747404676635232</v>
      </c>
      <c r="W2034" s="48">
        <f t="shared" ca="1" si="239"/>
        <v>1.6463180953191503</v>
      </c>
    </row>
    <row r="2035" spans="17:23" x14ac:dyDescent="0.2">
      <c r="Q2035">
        <f t="shared" si="240"/>
        <v>2019</v>
      </c>
      <c r="R2035" s="48">
        <f t="shared" ca="1" si="241"/>
        <v>0.35</v>
      </c>
      <c r="S2035">
        <f t="shared" ca="1" si="242"/>
        <v>185.57507908996536</v>
      </c>
      <c r="T2035" s="61">
        <f t="shared" ca="1" si="236"/>
        <v>16800</v>
      </c>
      <c r="U2035" s="61">
        <f t="shared" ca="1" si="237"/>
        <v>14499.041126781985</v>
      </c>
      <c r="V2035" s="39">
        <f t="shared" ca="1" si="238"/>
        <v>9.5388428465670957E-2</v>
      </c>
      <c r="W2035" s="48">
        <f t="shared" ca="1" si="239"/>
        <v>1.093831124731937</v>
      </c>
    </row>
    <row r="2036" spans="17:23" x14ac:dyDescent="0.2">
      <c r="Q2036">
        <f t="shared" si="240"/>
        <v>2020</v>
      </c>
      <c r="R2036" s="48">
        <f t="shared" ca="1" si="241"/>
        <v>0.3</v>
      </c>
      <c r="S2036">
        <f t="shared" ca="1" si="242"/>
        <v>184.82658830148989</v>
      </c>
      <c r="T2036" s="61">
        <f t="shared" ca="1" si="236"/>
        <v>14400</v>
      </c>
      <c r="U2036" s="61">
        <f t="shared" ca="1" si="237"/>
        <v>11502.889448834339</v>
      </c>
      <c r="V2036" s="39">
        <f t="shared" ca="1" si="238"/>
        <v>7.5676904268646969E-2</v>
      </c>
      <c r="W2036" s="48">
        <f t="shared" ca="1" si="239"/>
        <v>0.80706992166381508</v>
      </c>
    </row>
    <row r="2037" spans="17:23" x14ac:dyDescent="0.2">
      <c r="Q2037">
        <f t="shared" si="240"/>
        <v>2021</v>
      </c>
      <c r="R2037" s="48">
        <f t="shared" ca="1" si="241"/>
        <v>0.45</v>
      </c>
      <c r="S2037">
        <f t="shared" ca="1" si="242"/>
        <v>199.8166641930849</v>
      </c>
      <c r="T2037" s="61">
        <f t="shared" ca="1" si="236"/>
        <v>21600</v>
      </c>
      <c r="U2037" s="61">
        <f t="shared" ca="1" si="237"/>
        <v>25919.332244957357</v>
      </c>
      <c r="V2037" s="39">
        <f t="shared" ca="1" si="238"/>
        <v>0.17052192266419314</v>
      </c>
      <c r="W2037" s="48">
        <f t="shared" ca="1" si="239"/>
        <v>2.5861970086451316</v>
      </c>
    </row>
    <row r="2038" spans="17:23" x14ac:dyDescent="0.2">
      <c r="Q2038">
        <f t="shared" si="240"/>
        <v>2022</v>
      </c>
      <c r="R2038" s="48">
        <f t="shared" ca="1" si="241"/>
        <v>0.5</v>
      </c>
      <c r="S2038">
        <f t="shared" ca="1" si="242"/>
        <v>168.26948448709169</v>
      </c>
      <c r="T2038" s="61">
        <f t="shared" ca="1" si="236"/>
        <v>24000</v>
      </c>
      <c r="U2038" s="61">
        <f t="shared" ca="1" si="237"/>
        <v>15307.793794836674</v>
      </c>
      <c r="V2038" s="39">
        <f t="shared" ca="1" si="238"/>
        <v>0.10070916970287286</v>
      </c>
      <c r="W2038" s="48">
        <f t="shared" ca="1" si="239"/>
        <v>1.1777647454222002</v>
      </c>
    </row>
    <row r="2039" spans="17:23" x14ac:dyDescent="0.2">
      <c r="Q2039">
        <f t="shared" si="240"/>
        <v>2023</v>
      </c>
      <c r="R2039" s="48">
        <f t="shared" ca="1" si="241"/>
        <v>0.35</v>
      </c>
      <c r="S2039">
        <f t="shared" ca="1" si="242"/>
        <v>201.04139310952351</v>
      </c>
      <c r="T2039" s="61">
        <f t="shared" ca="1" si="236"/>
        <v>16800</v>
      </c>
      <c r="U2039" s="61">
        <f t="shared" ca="1" si="237"/>
        <v>22541.524416952227</v>
      </c>
      <c r="V2039" s="39">
        <f t="shared" ca="1" si="238"/>
        <v>0.14829950274310674</v>
      </c>
      <c r="W2039" s="48">
        <f t="shared" ca="1" si="239"/>
        <v>2.0698291910668387</v>
      </c>
    </row>
    <row r="2040" spans="17:23" x14ac:dyDescent="0.2">
      <c r="Q2040">
        <f t="shared" si="240"/>
        <v>2024</v>
      </c>
      <c r="R2040" s="48">
        <f t="shared" ca="1" si="241"/>
        <v>0.35</v>
      </c>
      <c r="S2040">
        <f t="shared" ca="1" si="242"/>
        <v>160.17240527206263</v>
      </c>
      <c r="T2040" s="61">
        <f t="shared" ca="1" si="236"/>
        <v>16800</v>
      </c>
      <c r="U2040" s="61">
        <f t="shared" ca="1" si="237"/>
        <v>1289.6507414725693</v>
      </c>
      <c r="V2040" s="39">
        <f t="shared" ca="1" si="238"/>
        <v>8.4845443517932197E-3</v>
      </c>
      <c r="W2040" s="48">
        <f t="shared" ca="1" si="239"/>
        <v>7.0931439083530501E-2</v>
      </c>
    </row>
    <row r="2041" spans="17:23" x14ac:dyDescent="0.2">
      <c r="Q2041">
        <f t="shared" si="240"/>
        <v>2025</v>
      </c>
      <c r="R2041" s="48">
        <f t="shared" ca="1" si="241"/>
        <v>0.4</v>
      </c>
      <c r="S2041">
        <f t="shared" ca="1" si="242"/>
        <v>201.23125092379365</v>
      </c>
      <c r="T2041" s="61">
        <f t="shared" ref="T2041:T2104" ca="1" si="243">($B$8-$B$7)*($E$6*R2041)</f>
        <v>19200</v>
      </c>
      <c r="U2041" s="61">
        <f t="shared" ref="U2041:U2104" ca="1" si="244">T2041+((S2041-$B$7)*($E$6*(1-R2041)))</f>
        <v>24591.000443420955</v>
      </c>
      <c r="V2041" s="39">
        <f t="shared" ref="V2041:V2104" ca="1" si="245">U2041/$E$4</f>
        <v>0.16178289765408524</v>
      </c>
      <c r="W2041" s="48">
        <f t="shared" ref="W2041:W2104" ca="1" si="246">(1+V2041)^($J$29/$J$30)-1</f>
        <v>2.3747059799590291</v>
      </c>
    </row>
    <row r="2042" spans="17:23" x14ac:dyDescent="0.2">
      <c r="Q2042">
        <f t="shared" si="240"/>
        <v>2026</v>
      </c>
      <c r="R2042" s="48">
        <f t="shared" ca="1" si="241"/>
        <v>0.3</v>
      </c>
      <c r="S2042">
        <f t="shared" ca="1" si="242"/>
        <v>203.68620523352675</v>
      </c>
      <c r="T2042" s="61">
        <f t="shared" ca="1" si="243"/>
        <v>14400</v>
      </c>
      <c r="U2042" s="61">
        <f t="shared" ca="1" si="244"/>
        <v>22064.27493077498</v>
      </c>
      <c r="V2042" s="39">
        <f t="shared" ca="1" si="245"/>
        <v>0.14515970349194066</v>
      </c>
      <c r="W2042" s="48">
        <f t="shared" ca="1" si="246"/>
        <v>2.0024040169604609</v>
      </c>
    </row>
    <row r="2043" spans="17:23" x14ac:dyDescent="0.2">
      <c r="Q2043">
        <f t="shared" si="240"/>
        <v>2027</v>
      </c>
      <c r="R2043" s="48">
        <f t="shared" ca="1" si="241"/>
        <v>0.35</v>
      </c>
      <c r="S2043">
        <f t="shared" ca="1" si="242"/>
        <v>182.4768513510312</v>
      </c>
      <c r="T2043" s="61">
        <f t="shared" ca="1" si="243"/>
        <v>16800</v>
      </c>
      <c r="U2043" s="61">
        <f t="shared" ca="1" si="244"/>
        <v>12887.962702536224</v>
      </c>
      <c r="V2043" s="39">
        <f t="shared" ca="1" si="245"/>
        <v>8.478922830615937E-2</v>
      </c>
      <c r="W2043" s="48">
        <f t="shared" ca="1" si="246"/>
        <v>0.9350410185360134</v>
      </c>
    </row>
    <row r="2044" spans="17:23" x14ac:dyDescent="0.2">
      <c r="Q2044">
        <f t="shared" si="240"/>
        <v>2028</v>
      </c>
      <c r="R2044" s="48">
        <f t="shared" ca="1" si="241"/>
        <v>0.4</v>
      </c>
      <c r="S2044">
        <f t="shared" ca="1" si="242"/>
        <v>190.81421319609507</v>
      </c>
      <c r="T2044" s="61">
        <f t="shared" ca="1" si="243"/>
        <v>19200</v>
      </c>
      <c r="U2044" s="61">
        <f t="shared" ca="1" si="244"/>
        <v>19590.822334125631</v>
      </c>
      <c r="V2044" s="39">
        <f t="shared" ca="1" si="245"/>
        <v>0.12888698904030021</v>
      </c>
      <c r="W2044" s="48">
        <f t="shared" ca="1" si="246"/>
        <v>1.6733375150394978</v>
      </c>
    </row>
    <row r="2045" spans="17:23" x14ac:dyDescent="0.2">
      <c r="Q2045">
        <f t="shared" si="240"/>
        <v>2029</v>
      </c>
      <c r="R2045" s="48">
        <f t="shared" ca="1" si="241"/>
        <v>0.4</v>
      </c>
      <c r="S2045">
        <f t="shared" ca="1" si="242"/>
        <v>233.61208650662812</v>
      </c>
      <c r="T2045" s="61">
        <f t="shared" ca="1" si="243"/>
        <v>19200</v>
      </c>
      <c r="U2045" s="61">
        <f t="shared" ca="1" si="244"/>
        <v>40133.801523181493</v>
      </c>
      <c r="V2045" s="39">
        <f t="shared" ca="1" si="245"/>
        <v>0.2640381679156677</v>
      </c>
      <c r="W2045" s="48">
        <f t="shared" ca="1" si="246"/>
        <v>5.6894157694315313</v>
      </c>
    </row>
    <row r="2046" spans="17:23" x14ac:dyDescent="0.2">
      <c r="Q2046">
        <f t="shared" si="240"/>
        <v>2030</v>
      </c>
      <c r="R2046" s="48">
        <f t="shared" ca="1" si="241"/>
        <v>0.3</v>
      </c>
      <c r="S2046">
        <f t="shared" ca="1" si="242"/>
        <v>179.96719239410152</v>
      </c>
      <c r="T2046" s="61">
        <f t="shared" ca="1" si="243"/>
        <v>14400</v>
      </c>
      <c r="U2046" s="61">
        <f t="shared" ca="1" si="244"/>
        <v>8781.6277406968493</v>
      </c>
      <c r="V2046" s="39">
        <f t="shared" ca="1" si="245"/>
        <v>5.7773866715110853E-2</v>
      </c>
      <c r="W2046" s="48">
        <f t="shared" ca="1" si="246"/>
        <v>0.57707729804905128</v>
      </c>
    </row>
    <row r="2047" spans="17:23" x14ac:dyDescent="0.2">
      <c r="Q2047">
        <f t="shared" si="240"/>
        <v>2031</v>
      </c>
      <c r="R2047" s="48">
        <f t="shared" ca="1" si="241"/>
        <v>0.4</v>
      </c>
      <c r="S2047">
        <f t="shared" ca="1" si="242"/>
        <v>182.67768131796308</v>
      </c>
      <c r="T2047" s="61">
        <f t="shared" ca="1" si="243"/>
        <v>19200</v>
      </c>
      <c r="U2047" s="61">
        <f t="shared" ca="1" si="244"/>
        <v>15685.287032622276</v>
      </c>
      <c r="V2047" s="39">
        <f t="shared" ca="1" si="245"/>
        <v>0.10319267784619919</v>
      </c>
      <c r="W2047" s="48">
        <f t="shared" ca="1" si="246"/>
        <v>1.2179410882534403</v>
      </c>
    </row>
    <row r="2048" spans="17:23" x14ac:dyDescent="0.2">
      <c r="Q2048">
        <f t="shared" si="240"/>
        <v>2032</v>
      </c>
      <c r="R2048" s="48">
        <f t="shared" ca="1" si="241"/>
        <v>0.45</v>
      </c>
      <c r="S2048">
        <f t="shared" ca="1" si="242"/>
        <v>167.72227117526936</v>
      </c>
      <c r="T2048" s="61">
        <f t="shared" ca="1" si="243"/>
        <v>21600</v>
      </c>
      <c r="U2048" s="61">
        <f t="shared" ca="1" si="244"/>
        <v>11797.799317118515</v>
      </c>
      <c r="V2048" s="39">
        <f t="shared" ca="1" si="245"/>
        <v>7.7617100770516548E-2</v>
      </c>
      <c r="W2048" s="48">
        <f t="shared" ca="1" si="246"/>
        <v>0.83367751994238715</v>
      </c>
    </row>
    <row r="2049" spans="17:23" x14ac:dyDescent="0.2">
      <c r="Q2049">
        <f t="shared" si="240"/>
        <v>2033</v>
      </c>
      <c r="R2049" s="48">
        <f t="shared" ca="1" si="241"/>
        <v>0.3</v>
      </c>
      <c r="S2049">
        <f t="shared" ca="1" si="242"/>
        <v>206.71250675261118</v>
      </c>
      <c r="T2049" s="61">
        <f t="shared" ca="1" si="243"/>
        <v>14400</v>
      </c>
      <c r="U2049" s="61">
        <f t="shared" ca="1" si="244"/>
        <v>23759.003781462259</v>
      </c>
      <c r="V2049" s="39">
        <f t="shared" ca="1" si="245"/>
        <v>0.15630923540435696</v>
      </c>
      <c r="W2049" s="48">
        <f t="shared" ca="1" si="246"/>
        <v>2.2478815069720817</v>
      </c>
    </row>
    <row r="2050" spans="17:23" x14ac:dyDescent="0.2">
      <c r="Q2050">
        <f t="shared" si="240"/>
        <v>2034</v>
      </c>
      <c r="R2050" s="48">
        <f t="shared" ca="1" si="241"/>
        <v>0.35</v>
      </c>
      <c r="S2050">
        <f t="shared" ca="1" si="242"/>
        <v>206.35563008495592</v>
      </c>
      <c r="T2050" s="61">
        <f t="shared" ca="1" si="243"/>
        <v>16800</v>
      </c>
      <c r="U2050" s="61">
        <f t="shared" ca="1" si="244"/>
        <v>25304.927644177078</v>
      </c>
      <c r="V2050" s="39">
        <f t="shared" ca="1" si="245"/>
        <v>0.16647978713274394</v>
      </c>
      <c r="W2050" s="48">
        <f t="shared" ca="1" si="246"/>
        <v>2.4869726705925559</v>
      </c>
    </row>
    <row r="2051" spans="17:23" x14ac:dyDescent="0.2">
      <c r="Q2051">
        <f t="shared" si="240"/>
        <v>2035</v>
      </c>
      <c r="R2051" s="48">
        <f t="shared" ca="1" si="241"/>
        <v>0.5</v>
      </c>
      <c r="S2051">
        <f t="shared" ca="1" si="242"/>
        <v>201.95242031707778</v>
      </c>
      <c r="T2051" s="61">
        <f t="shared" ca="1" si="243"/>
        <v>24000</v>
      </c>
      <c r="U2051" s="61">
        <f t="shared" ca="1" si="244"/>
        <v>28780.968126831111</v>
      </c>
      <c r="V2051" s="39">
        <f t="shared" ca="1" si="245"/>
        <v>0.18934847451862571</v>
      </c>
      <c r="W2051" s="48">
        <f t="shared" ca="1" si="246"/>
        <v>3.0816958415005216</v>
      </c>
    </row>
    <row r="2052" spans="17:23" x14ac:dyDescent="0.2">
      <c r="Q2052">
        <f t="shared" si="240"/>
        <v>2036</v>
      </c>
      <c r="R2052" s="48">
        <f t="shared" ca="1" si="241"/>
        <v>0.35</v>
      </c>
      <c r="S2052">
        <f t="shared" ca="1" si="242"/>
        <v>221.71027449949287</v>
      </c>
      <c r="T2052" s="61">
        <f t="shared" ca="1" si="243"/>
        <v>16800</v>
      </c>
      <c r="U2052" s="61">
        <f t="shared" ca="1" si="244"/>
        <v>33289.34273973629</v>
      </c>
      <c r="V2052" s="39">
        <f t="shared" ca="1" si="245"/>
        <v>0.21900883381405453</v>
      </c>
      <c r="W2052" s="48">
        <f t="shared" ca="1" si="246"/>
        <v>3.9843799422809472</v>
      </c>
    </row>
    <row r="2053" spans="17:23" x14ac:dyDescent="0.2">
      <c r="Q2053">
        <f t="shared" si="240"/>
        <v>2037</v>
      </c>
      <c r="R2053" s="48">
        <f t="shared" ca="1" si="241"/>
        <v>0.35</v>
      </c>
      <c r="S2053">
        <f t="shared" ca="1" si="242"/>
        <v>189.82349783841104</v>
      </c>
      <c r="T2053" s="61">
        <f t="shared" ca="1" si="243"/>
        <v>16800</v>
      </c>
      <c r="U2053" s="61">
        <f t="shared" ca="1" si="244"/>
        <v>16708.218875973744</v>
      </c>
      <c r="V2053" s="39">
        <f t="shared" ca="1" si="245"/>
        <v>0.10992249260509042</v>
      </c>
      <c r="W2053" s="48">
        <f t="shared" ca="1" si="246"/>
        <v>1.330095583562187</v>
      </c>
    </row>
    <row r="2054" spans="17:23" x14ac:dyDescent="0.2">
      <c r="Q2054">
        <f t="shared" si="240"/>
        <v>2038</v>
      </c>
      <c r="R2054" s="48">
        <f t="shared" ca="1" si="241"/>
        <v>0.4</v>
      </c>
      <c r="S2054">
        <f t="shared" ca="1" si="242"/>
        <v>182.57765674381133</v>
      </c>
      <c r="T2054" s="61">
        <f t="shared" ca="1" si="243"/>
        <v>19200</v>
      </c>
      <c r="U2054" s="61">
        <f t="shared" ca="1" si="244"/>
        <v>15637.27523702944</v>
      </c>
      <c r="V2054" s="39">
        <f t="shared" ca="1" si="245"/>
        <v>0.10287681076993052</v>
      </c>
      <c r="W2054" s="48">
        <f t="shared" ca="1" si="246"/>
        <v>1.212795426258547</v>
      </c>
    </row>
    <row r="2055" spans="17:23" x14ac:dyDescent="0.2">
      <c r="Q2055">
        <f t="shared" si="240"/>
        <v>2039</v>
      </c>
      <c r="R2055" s="48">
        <f t="shared" ca="1" si="241"/>
        <v>0.3</v>
      </c>
      <c r="S2055">
        <f t="shared" ca="1" si="242"/>
        <v>203.75689913369274</v>
      </c>
      <c r="T2055" s="61">
        <f t="shared" ca="1" si="243"/>
        <v>14400</v>
      </c>
      <c r="U2055" s="61">
        <f t="shared" ca="1" si="244"/>
        <v>22103.863514867935</v>
      </c>
      <c r="V2055" s="39">
        <f t="shared" ca="1" si="245"/>
        <v>0.14542015470307851</v>
      </c>
      <c r="W2055" s="48">
        <f t="shared" ca="1" si="246"/>
        <v>2.0079472230544924</v>
      </c>
    </row>
    <row r="2056" spans="17:23" x14ac:dyDescent="0.2">
      <c r="Q2056">
        <f t="shared" si="240"/>
        <v>2040</v>
      </c>
      <c r="R2056" s="48">
        <f t="shared" ca="1" si="241"/>
        <v>0.45</v>
      </c>
      <c r="S2056">
        <f t="shared" ca="1" si="242"/>
        <v>203.87861745216929</v>
      </c>
      <c r="T2056" s="61">
        <f t="shared" ca="1" si="243"/>
        <v>21600</v>
      </c>
      <c r="U2056" s="61">
        <f t="shared" ca="1" si="244"/>
        <v>27706.59167895449</v>
      </c>
      <c r="V2056" s="39">
        <f t="shared" ca="1" si="245"/>
        <v>0.18228020841417428</v>
      </c>
      <c r="W2056" s="48">
        <f t="shared" ca="1" si="246"/>
        <v>2.8890488868211137</v>
      </c>
    </row>
    <row r="2057" spans="17:23" x14ac:dyDescent="0.2">
      <c r="Q2057">
        <f t="shared" si="240"/>
        <v>2041</v>
      </c>
      <c r="R2057" s="48">
        <f t="shared" ca="1" si="241"/>
        <v>0.35</v>
      </c>
      <c r="S2057">
        <f t="shared" ca="1" si="242"/>
        <v>205.79100753688201</v>
      </c>
      <c r="T2057" s="61">
        <f t="shared" ca="1" si="243"/>
        <v>16800</v>
      </c>
      <c r="U2057" s="61">
        <f t="shared" ca="1" si="244"/>
        <v>25011.323919178642</v>
      </c>
      <c r="V2057" s="39">
        <f t="shared" ca="1" si="245"/>
        <v>0.16454818367880686</v>
      </c>
      <c r="W2057" s="48">
        <f t="shared" ca="1" si="246"/>
        <v>2.4404125882226628</v>
      </c>
    </row>
    <row r="2058" spans="17:23" x14ac:dyDescent="0.2">
      <c r="Q2058">
        <f t="shared" si="240"/>
        <v>2042</v>
      </c>
      <c r="R2058" s="48">
        <f t="shared" ca="1" si="241"/>
        <v>0.3</v>
      </c>
      <c r="S2058">
        <f t="shared" ca="1" si="242"/>
        <v>175.02848704155718</v>
      </c>
      <c r="T2058" s="61">
        <f t="shared" ca="1" si="243"/>
        <v>14400</v>
      </c>
      <c r="U2058" s="61">
        <f t="shared" ca="1" si="244"/>
        <v>6015.9527432720242</v>
      </c>
      <c r="V2058" s="39">
        <f t="shared" ca="1" si="245"/>
        <v>3.9578636468894896E-2</v>
      </c>
      <c r="W2058" s="48">
        <f t="shared" ca="1" si="246"/>
        <v>0.37003545755403988</v>
      </c>
    </row>
    <row r="2059" spans="17:23" x14ac:dyDescent="0.2">
      <c r="Q2059">
        <f t="shared" si="240"/>
        <v>2043</v>
      </c>
      <c r="R2059" s="48">
        <f t="shared" ca="1" si="241"/>
        <v>0.3</v>
      </c>
      <c r="S2059">
        <f t="shared" ca="1" si="242"/>
        <v>175.75824758951768</v>
      </c>
      <c r="T2059" s="61">
        <f t="shared" ca="1" si="243"/>
        <v>14400</v>
      </c>
      <c r="U2059" s="61">
        <f t="shared" ca="1" si="244"/>
        <v>6424.6186501299007</v>
      </c>
      <c r="V2059" s="39">
        <f t="shared" ca="1" si="245"/>
        <v>4.2267227961380924E-2</v>
      </c>
      <c r="W2059" s="48">
        <f t="shared" ca="1" si="246"/>
        <v>0.39904065654603049</v>
      </c>
    </row>
    <row r="2060" spans="17:23" x14ac:dyDescent="0.2">
      <c r="Q2060">
        <f t="shared" si="240"/>
        <v>2044</v>
      </c>
      <c r="R2060" s="48">
        <f t="shared" ca="1" si="241"/>
        <v>0.4</v>
      </c>
      <c r="S2060">
        <f t="shared" ca="1" si="242"/>
        <v>201.16996002882789</v>
      </c>
      <c r="T2060" s="61">
        <f t="shared" ca="1" si="243"/>
        <v>19200</v>
      </c>
      <c r="U2060" s="61">
        <f t="shared" ca="1" si="244"/>
        <v>24561.580813837387</v>
      </c>
      <c r="V2060" s="39">
        <f t="shared" ca="1" si="245"/>
        <v>0.16158934745945649</v>
      </c>
      <c r="W2060" s="48">
        <f t="shared" ca="1" si="246"/>
        <v>2.3701484694031945</v>
      </c>
    </row>
    <row r="2061" spans="17:23" x14ac:dyDescent="0.2">
      <c r="Q2061">
        <f t="shared" si="240"/>
        <v>2045</v>
      </c>
      <c r="R2061" s="48">
        <f t="shared" ca="1" si="241"/>
        <v>0.5</v>
      </c>
      <c r="S2061">
        <f t="shared" ca="1" si="242"/>
        <v>178.17721344655735</v>
      </c>
      <c r="T2061" s="61">
        <f t="shared" ca="1" si="243"/>
        <v>24000</v>
      </c>
      <c r="U2061" s="61">
        <f t="shared" ca="1" si="244"/>
        <v>19270.885378622937</v>
      </c>
      <c r="V2061" s="39">
        <f t="shared" ca="1" si="245"/>
        <v>0.12678214064883511</v>
      </c>
      <c r="W2061" s="48">
        <f t="shared" ca="1" si="246"/>
        <v>1.6331744585445445</v>
      </c>
    </row>
    <row r="2062" spans="17:23" x14ac:dyDescent="0.2">
      <c r="Q2062">
        <f t="shared" si="240"/>
        <v>2046</v>
      </c>
      <c r="R2062" s="48">
        <f t="shared" ca="1" si="241"/>
        <v>0.45</v>
      </c>
      <c r="S2062">
        <f t="shared" ca="1" si="242"/>
        <v>183.63522203279362</v>
      </c>
      <c r="T2062" s="61">
        <f t="shared" ca="1" si="243"/>
        <v>21600</v>
      </c>
      <c r="U2062" s="61">
        <f t="shared" ca="1" si="244"/>
        <v>18799.497694429192</v>
      </c>
      <c r="V2062" s="39">
        <f t="shared" ca="1" si="245"/>
        <v>0.12368090588440257</v>
      </c>
      <c r="W2062" s="48">
        <f t="shared" ca="1" si="246"/>
        <v>1.5749630988277508</v>
      </c>
    </row>
    <row r="2063" spans="17:23" x14ac:dyDescent="0.2">
      <c r="Q2063">
        <f t="shared" si="240"/>
        <v>2047</v>
      </c>
      <c r="R2063" s="48">
        <f t="shared" ca="1" si="241"/>
        <v>0.3</v>
      </c>
      <c r="S2063">
        <f t="shared" ca="1" si="242"/>
        <v>190.28480084066703</v>
      </c>
      <c r="T2063" s="61">
        <f t="shared" ca="1" si="243"/>
        <v>14400</v>
      </c>
      <c r="U2063" s="61">
        <f t="shared" ca="1" si="244"/>
        <v>14559.488470773538</v>
      </c>
      <c r="V2063" s="39">
        <f t="shared" ca="1" si="245"/>
        <v>9.5786108360352229E-2</v>
      </c>
      <c r="W2063" s="48">
        <f t="shared" ca="1" si="246"/>
        <v>1.1000048620409779</v>
      </c>
    </row>
    <row r="2064" spans="17:23" x14ac:dyDescent="0.2">
      <c r="Q2064">
        <f t="shared" si="240"/>
        <v>2048</v>
      </c>
      <c r="R2064" s="48">
        <f t="shared" ca="1" si="241"/>
        <v>0.3</v>
      </c>
      <c r="S2064">
        <f t="shared" ca="1" si="242"/>
        <v>183.50952511861317</v>
      </c>
      <c r="T2064" s="61">
        <f t="shared" ca="1" si="243"/>
        <v>14400</v>
      </c>
      <c r="U2064" s="61">
        <f t="shared" ca="1" si="244"/>
        <v>10765.334066423375</v>
      </c>
      <c r="V2064" s="39">
        <f t="shared" ca="1" si="245"/>
        <v>7.0824566226469571E-2</v>
      </c>
      <c r="W2064" s="48">
        <f t="shared" ca="1" si="246"/>
        <v>0.74200197829689207</v>
      </c>
    </row>
    <row r="2065" spans="17:23" x14ac:dyDescent="0.2">
      <c r="Q2065">
        <f t="shared" si="240"/>
        <v>2049</v>
      </c>
      <c r="R2065" s="48">
        <f t="shared" ca="1" si="241"/>
        <v>0.3</v>
      </c>
      <c r="S2065">
        <f t="shared" ca="1" si="242"/>
        <v>181.41230101003688</v>
      </c>
      <c r="T2065" s="61">
        <f t="shared" ca="1" si="243"/>
        <v>14400</v>
      </c>
      <c r="U2065" s="61">
        <f t="shared" ca="1" si="244"/>
        <v>9590.8885656206548</v>
      </c>
      <c r="V2065" s="39">
        <f t="shared" ca="1" si="245"/>
        <v>6.3097951089609569E-2</v>
      </c>
      <c r="W2065" s="48">
        <f t="shared" ca="1" si="246"/>
        <v>0.64262654152946475</v>
      </c>
    </row>
    <row r="2066" spans="17:23" x14ac:dyDescent="0.2">
      <c r="Q2066">
        <f t="shared" si="240"/>
        <v>2050</v>
      </c>
      <c r="R2066" s="48">
        <f t="shared" ca="1" si="241"/>
        <v>0.35</v>
      </c>
      <c r="S2066">
        <f t="shared" ca="1" si="242"/>
        <v>194.13490755035812</v>
      </c>
      <c r="T2066" s="61">
        <f t="shared" ca="1" si="243"/>
        <v>16800</v>
      </c>
      <c r="U2066" s="61">
        <f t="shared" ca="1" si="244"/>
        <v>18950.151926186223</v>
      </c>
      <c r="V2066" s="39">
        <f t="shared" ca="1" si="245"/>
        <v>0.124672052145962</v>
      </c>
      <c r="W2066" s="48">
        <f t="shared" ca="1" si="246"/>
        <v>1.593443374566883</v>
      </c>
    </row>
    <row r="2067" spans="17:23" x14ac:dyDescent="0.2">
      <c r="Q2067">
        <f t="shared" ref="Q2067:Q2130" si="247">Q2066+1</f>
        <v>2051</v>
      </c>
      <c r="R2067" s="48">
        <f t="shared" ref="R2067:R2130" ca="1" si="248">LOOKUP(RAND(),$U$6:$U$12,$S$6:$S$12)</f>
        <v>0.3</v>
      </c>
      <c r="S2067">
        <f t="shared" ref="S2067:S2130" ca="1" si="249">_xlfn.NORM.INV(RAND(),$Q$5,$Q$10)</f>
        <v>185.15925655166302</v>
      </c>
      <c r="T2067" s="61">
        <f t="shared" ca="1" si="243"/>
        <v>14400</v>
      </c>
      <c r="U2067" s="61">
        <f t="shared" ca="1" si="244"/>
        <v>11689.183668931291</v>
      </c>
      <c r="V2067" s="39">
        <f t="shared" ca="1" si="245"/>
        <v>7.690252413770586E-2</v>
      </c>
      <c r="W2067" s="48">
        <f t="shared" ca="1" si="246"/>
        <v>0.82383822725540057</v>
      </c>
    </row>
    <row r="2068" spans="17:23" x14ac:dyDescent="0.2">
      <c r="Q2068">
        <f t="shared" si="247"/>
        <v>2052</v>
      </c>
      <c r="R2068" s="48">
        <f t="shared" ca="1" si="248"/>
        <v>0.35</v>
      </c>
      <c r="S2068">
        <f t="shared" ca="1" si="249"/>
        <v>190.31850594398031</v>
      </c>
      <c r="T2068" s="61">
        <f t="shared" ca="1" si="243"/>
        <v>16800</v>
      </c>
      <c r="U2068" s="61">
        <f t="shared" ca="1" si="244"/>
        <v>16965.623090869762</v>
      </c>
      <c r="V2068" s="39">
        <f t="shared" ca="1" si="245"/>
        <v>0.11161594138730106</v>
      </c>
      <c r="W2068" s="48">
        <f t="shared" ca="1" si="246"/>
        <v>1.3590884001675607</v>
      </c>
    </row>
    <row r="2069" spans="17:23" x14ac:dyDescent="0.2">
      <c r="Q2069">
        <f t="shared" si="247"/>
        <v>2053</v>
      </c>
      <c r="R2069" s="48">
        <f t="shared" ca="1" si="248"/>
        <v>0.45</v>
      </c>
      <c r="S2069">
        <f t="shared" ca="1" si="249"/>
        <v>189.94252800704515</v>
      </c>
      <c r="T2069" s="61">
        <f t="shared" ca="1" si="243"/>
        <v>21600</v>
      </c>
      <c r="U2069" s="61">
        <f t="shared" ca="1" si="244"/>
        <v>21574.71232309987</v>
      </c>
      <c r="V2069" s="39">
        <f t="shared" ca="1" si="245"/>
        <v>0.14193889686249914</v>
      </c>
      <c r="W2069" s="48">
        <f t="shared" ca="1" si="246"/>
        <v>1.9345917515434672</v>
      </c>
    </row>
    <row r="2070" spans="17:23" x14ac:dyDescent="0.2">
      <c r="Q2070">
        <f t="shared" si="247"/>
        <v>2054</v>
      </c>
      <c r="R2070" s="48">
        <f t="shared" ca="1" si="248"/>
        <v>0.3</v>
      </c>
      <c r="S2070">
        <f t="shared" ca="1" si="249"/>
        <v>163.80776147014524</v>
      </c>
      <c r="T2070" s="61">
        <f t="shared" ca="1" si="243"/>
        <v>14400</v>
      </c>
      <c r="U2070" s="61">
        <f t="shared" ca="1" si="244"/>
        <v>-267.65357671866695</v>
      </c>
      <c r="V2070" s="39">
        <f t="shared" ca="1" si="245"/>
        <v>-1.7608787942017562E-3</v>
      </c>
      <c r="W2070" s="48">
        <f t="shared" ca="1" si="246"/>
        <v>-1.419358110112301E-2</v>
      </c>
    </row>
    <row r="2071" spans="17:23" x14ac:dyDescent="0.2">
      <c r="Q2071">
        <f t="shared" si="247"/>
        <v>2055</v>
      </c>
      <c r="R2071" s="48">
        <f t="shared" ca="1" si="248"/>
        <v>0.45</v>
      </c>
      <c r="S2071">
        <f t="shared" ca="1" si="249"/>
        <v>172.60005308138639</v>
      </c>
      <c r="T2071" s="61">
        <f t="shared" ca="1" si="243"/>
        <v>21600</v>
      </c>
      <c r="U2071" s="61">
        <f t="shared" ca="1" si="244"/>
        <v>13944.023355810012</v>
      </c>
      <c r="V2071" s="39">
        <f t="shared" ca="1" si="245"/>
        <v>9.1736995761907969E-2</v>
      </c>
      <c r="W2071" s="48">
        <f t="shared" ca="1" si="246"/>
        <v>1.0378844551544595</v>
      </c>
    </row>
    <row r="2072" spans="17:23" x14ac:dyDescent="0.2">
      <c r="Q2072">
        <f t="shared" si="247"/>
        <v>2056</v>
      </c>
      <c r="R2072" s="48">
        <f t="shared" ca="1" si="248"/>
        <v>0.3</v>
      </c>
      <c r="S2072">
        <f t="shared" ca="1" si="249"/>
        <v>188.06480910165203</v>
      </c>
      <c r="T2072" s="61">
        <f t="shared" ca="1" si="243"/>
        <v>14400</v>
      </c>
      <c r="U2072" s="61">
        <f t="shared" ca="1" si="244"/>
        <v>13316.293096925137</v>
      </c>
      <c r="V2072" s="39">
        <f t="shared" ca="1" si="245"/>
        <v>8.7607191427139061E-2</v>
      </c>
      <c r="W2072" s="48">
        <f t="shared" ca="1" si="246"/>
        <v>0.97619145307437716</v>
      </c>
    </row>
    <row r="2073" spans="17:23" x14ac:dyDescent="0.2">
      <c r="Q2073">
        <f t="shared" si="247"/>
        <v>2057</v>
      </c>
      <c r="R2073" s="48">
        <f t="shared" ca="1" si="248"/>
        <v>0.3</v>
      </c>
      <c r="S2073">
        <f t="shared" ca="1" si="249"/>
        <v>204.77744846654213</v>
      </c>
      <c r="T2073" s="61">
        <f t="shared" ca="1" si="243"/>
        <v>14400</v>
      </c>
      <c r="U2073" s="61">
        <f t="shared" ca="1" si="244"/>
        <v>22675.371141263589</v>
      </c>
      <c r="V2073" s="39">
        <f t="shared" ca="1" si="245"/>
        <v>0.14918007329778676</v>
      </c>
      <c r="W2073" s="48">
        <f t="shared" ca="1" si="246"/>
        <v>2.0889756256976142</v>
      </c>
    </row>
    <row r="2074" spans="17:23" x14ac:dyDescent="0.2">
      <c r="Q2074">
        <f t="shared" si="247"/>
        <v>2058</v>
      </c>
      <c r="R2074" s="48">
        <f t="shared" ca="1" si="248"/>
        <v>0.35</v>
      </c>
      <c r="S2074">
        <f t="shared" ca="1" si="249"/>
        <v>200.58872436538749</v>
      </c>
      <c r="T2074" s="61">
        <f t="shared" ca="1" si="243"/>
        <v>16800</v>
      </c>
      <c r="U2074" s="61">
        <f t="shared" ca="1" si="244"/>
        <v>22306.136670001495</v>
      </c>
      <c r="V2074" s="39">
        <f t="shared" ca="1" si="245"/>
        <v>0.14675089914474668</v>
      </c>
      <c r="W2074" s="48">
        <f t="shared" ca="1" si="246"/>
        <v>2.0364098472578211</v>
      </c>
    </row>
    <row r="2075" spans="17:23" x14ac:dyDescent="0.2">
      <c r="Q2075">
        <f t="shared" si="247"/>
        <v>2059</v>
      </c>
      <c r="R2075" s="48">
        <f t="shared" ca="1" si="248"/>
        <v>0.5</v>
      </c>
      <c r="S2075">
        <f t="shared" ca="1" si="249"/>
        <v>176.00374318523959</v>
      </c>
      <c r="T2075" s="61">
        <f t="shared" ca="1" si="243"/>
        <v>24000</v>
      </c>
      <c r="U2075" s="61">
        <f t="shared" ca="1" si="244"/>
        <v>18401.497274095833</v>
      </c>
      <c r="V2075" s="39">
        <f t="shared" ca="1" si="245"/>
        <v>0.12106248206641995</v>
      </c>
      <c r="W2075" s="48">
        <f t="shared" ca="1" si="246"/>
        <v>1.5266958821839647</v>
      </c>
    </row>
    <row r="2076" spans="17:23" x14ac:dyDescent="0.2">
      <c r="Q2076">
        <f t="shared" si="247"/>
        <v>2060</v>
      </c>
      <c r="R2076" s="48">
        <f t="shared" ca="1" si="248"/>
        <v>0.4</v>
      </c>
      <c r="S2076">
        <f t="shared" ca="1" si="249"/>
        <v>185.3596968344205</v>
      </c>
      <c r="T2076" s="61">
        <f t="shared" ca="1" si="243"/>
        <v>19200</v>
      </c>
      <c r="U2076" s="61">
        <f t="shared" ca="1" si="244"/>
        <v>16972.654480521844</v>
      </c>
      <c r="V2076" s="39">
        <f t="shared" ca="1" si="245"/>
        <v>0.11166220052974897</v>
      </c>
      <c r="W2076" s="48">
        <f t="shared" ca="1" si="246"/>
        <v>1.3598848008746045</v>
      </c>
    </row>
    <row r="2077" spans="17:23" x14ac:dyDescent="0.2">
      <c r="Q2077">
        <f t="shared" si="247"/>
        <v>2061</v>
      </c>
      <c r="R2077" s="48">
        <f t="shared" ca="1" si="248"/>
        <v>0.217</v>
      </c>
      <c r="S2077">
        <f t="shared" ca="1" si="249"/>
        <v>183.70712251612417</v>
      </c>
      <c r="T2077" s="61">
        <f t="shared" ca="1" si="243"/>
        <v>10416</v>
      </c>
      <c r="U2077" s="61">
        <f t="shared" ca="1" si="244"/>
        <v>6474.1415441001818</v>
      </c>
      <c r="V2077" s="39">
        <f t="shared" ca="1" si="245"/>
        <v>4.2593036474343302E-2</v>
      </c>
      <c r="W2077" s="48">
        <f t="shared" ca="1" si="246"/>
        <v>0.40259186992343565</v>
      </c>
    </row>
    <row r="2078" spans="17:23" x14ac:dyDescent="0.2">
      <c r="Q2078">
        <f t="shared" si="247"/>
        <v>2062</v>
      </c>
      <c r="R2078" s="48">
        <f t="shared" ca="1" si="248"/>
        <v>0.3</v>
      </c>
      <c r="S2078">
        <f t="shared" ca="1" si="249"/>
        <v>168.42072200778702</v>
      </c>
      <c r="T2078" s="61">
        <f t="shared" ca="1" si="243"/>
        <v>14400</v>
      </c>
      <c r="U2078" s="61">
        <f t="shared" ca="1" si="244"/>
        <v>2315.604324360731</v>
      </c>
      <c r="V2078" s="39">
        <f t="shared" ca="1" si="245"/>
        <v>1.523423897605744E-2</v>
      </c>
      <c r="W2078" s="48">
        <f t="shared" ca="1" si="246"/>
        <v>0.1304715366151914</v>
      </c>
    </row>
    <row r="2079" spans="17:23" x14ac:dyDescent="0.2">
      <c r="Q2079">
        <f t="shared" si="247"/>
        <v>2063</v>
      </c>
      <c r="R2079" s="48">
        <f t="shared" ca="1" si="248"/>
        <v>0.4</v>
      </c>
      <c r="S2079">
        <f t="shared" ca="1" si="249"/>
        <v>197.75316347722134</v>
      </c>
      <c r="T2079" s="61">
        <f t="shared" ca="1" si="243"/>
        <v>19200</v>
      </c>
      <c r="U2079" s="61">
        <f t="shared" ca="1" si="244"/>
        <v>22921.518469066243</v>
      </c>
      <c r="V2079" s="39">
        <f t="shared" ca="1" si="245"/>
        <v>0.15079946361227792</v>
      </c>
      <c r="W2079" s="48">
        <f t="shared" ca="1" si="246"/>
        <v>2.124459828899453</v>
      </c>
    </row>
    <row r="2080" spans="17:23" x14ac:dyDescent="0.2">
      <c r="Q2080">
        <f t="shared" si="247"/>
        <v>2064</v>
      </c>
      <c r="R2080" s="48">
        <f t="shared" ca="1" si="248"/>
        <v>0.35</v>
      </c>
      <c r="S2080">
        <f t="shared" ca="1" si="249"/>
        <v>190.88353686058457</v>
      </c>
      <c r="T2080" s="61">
        <f t="shared" ca="1" si="243"/>
        <v>16800</v>
      </c>
      <c r="U2080" s="61">
        <f t="shared" ca="1" si="244"/>
        <v>17259.439167503977</v>
      </c>
      <c r="V2080" s="39">
        <f t="shared" ca="1" si="245"/>
        <v>0.11354894189147353</v>
      </c>
      <c r="W2080" s="48">
        <f t="shared" ca="1" si="246"/>
        <v>1.3925686065628664</v>
      </c>
    </row>
    <row r="2081" spans="17:23" x14ac:dyDescent="0.2">
      <c r="Q2081">
        <f t="shared" si="247"/>
        <v>2065</v>
      </c>
      <c r="R2081" s="48">
        <f t="shared" ca="1" si="248"/>
        <v>0.35</v>
      </c>
      <c r="S2081">
        <f t="shared" ca="1" si="249"/>
        <v>174.46071399381307</v>
      </c>
      <c r="T2081" s="61">
        <f t="shared" ca="1" si="243"/>
        <v>16800</v>
      </c>
      <c r="U2081" s="61">
        <f t="shared" ca="1" si="244"/>
        <v>8719.5712767827972</v>
      </c>
      <c r="V2081" s="39">
        <f t="shared" ca="1" si="245"/>
        <v>5.736560050514998E-2</v>
      </c>
      <c r="W2081" s="48">
        <f t="shared" ca="1" si="246"/>
        <v>0.57214683169148084</v>
      </c>
    </row>
    <row r="2082" spans="17:23" x14ac:dyDescent="0.2">
      <c r="Q2082">
        <f t="shared" si="247"/>
        <v>2066</v>
      </c>
      <c r="R2082" s="48">
        <f t="shared" ca="1" si="248"/>
        <v>0.3</v>
      </c>
      <c r="S2082">
        <f t="shared" ca="1" si="249"/>
        <v>190.15274465996632</v>
      </c>
      <c r="T2082" s="61">
        <f t="shared" ca="1" si="243"/>
        <v>14400</v>
      </c>
      <c r="U2082" s="61">
        <f t="shared" ca="1" si="244"/>
        <v>14485.537009581138</v>
      </c>
      <c r="V2082" s="39">
        <f t="shared" ca="1" si="245"/>
        <v>9.5299585589349589E-2</v>
      </c>
      <c r="W2082" s="48">
        <f t="shared" ca="1" si="246"/>
        <v>1.0924540699253882</v>
      </c>
    </row>
    <row r="2083" spans="17:23" x14ac:dyDescent="0.2">
      <c r="Q2083">
        <f t="shared" si="247"/>
        <v>2067</v>
      </c>
      <c r="R2083" s="48">
        <f t="shared" ca="1" si="248"/>
        <v>0.35</v>
      </c>
      <c r="S2083">
        <f t="shared" ca="1" si="249"/>
        <v>182.7438246720327</v>
      </c>
      <c r="T2083" s="61">
        <f t="shared" ca="1" si="243"/>
        <v>16800</v>
      </c>
      <c r="U2083" s="61">
        <f t="shared" ca="1" si="244"/>
        <v>13026.788829457004</v>
      </c>
      <c r="V2083" s="39">
        <f t="shared" ca="1" si="245"/>
        <v>8.5702558088532915E-2</v>
      </c>
      <c r="W2083" s="48">
        <f t="shared" ca="1" si="246"/>
        <v>0.94829520746754703</v>
      </c>
    </row>
    <row r="2084" spans="17:23" x14ac:dyDescent="0.2">
      <c r="Q2084">
        <f t="shared" si="247"/>
        <v>2068</v>
      </c>
      <c r="R2084" s="48">
        <f t="shared" ca="1" si="248"/>
        <v>0.45</v>
      </c>
      <c r="S2084">
        <f t="shared" ca="1" si="249"/>
        <v>180.20144328189679</v>
      </c>
      <c r="T2084" s="61">
        <f t="shared" ca="1" si="243"/>
        <v>21600</v>
      </c>
      <c r="U2084" s="61">
        <f t="shared" ca="1" si="244"/>
        <v>17288.635044034585</v>
      </c>
      <c r="V2084" s="39">
        <f t="shared" ca="1" si="245"/>
        <v>0.11374102002654332</v>
      </c>
      <c r="W2084" s="48">
        <f t="shared" ca="1" si="246"/>
        <v>1.3959181046807529</v>
      </c>
    </row>
    <row r="2085" spans="17:23" x14ac:dyDescent="0.2">
      <c r="Q2085">
        <f t="shared" si="247"/>
        <v>2069</v>
      </c>
      <c r="R2085" s="48">
        <f t="shared" ca="1" si="248"/>
        <v>0.45</v>
      </c>
      <c r="S2085">
        <f t="shared" ca="1" si="249"/>
        <v>192.72226125868485</v>
      </c>
      <c r="T2085" s="61">
        <f t="shared" ca="1" si="243"/>
        <v>21600</v>
      </c>
      <c r="U2085" s="61">
        <f t="shared" ca="1" si="244"/>
        <v>22797.794953821336</v>
      </c>
      <c r="V2085" s="39">
        <f t="shared" ca="1" si="245"/>
        <v>0.14998549311724563</v>
      </c>
      <c r="W2085" s="48">
        <f t="shared" ca="1" si="246"/>
        <v>2.1065796313833949</v>
      </c>
    </row>
    <row r="2086" spans="17:23" x14ac:dyDescent="0.2">
      <c r="Q2086">
        <f t="shared" si="247"/>
        <v>2070</v>
      </c>
      <c r="R2086" s="48">
        <f t="shared" ca="1" si="248"/>
        <v>0.217</v>
      </c>
      <c r="S2086">
        <f t="shared" ca="1" si="249"/>
        <v>187.32945761646661</v>
      </c>
      <c r="T2086" s="61">
        <f t="shared" ca="1" si="243"/>
        <v>10416</v>
      </c>
      <c r="U2086" s="61">
        <f t="shared" ca="1" si="244"/>
        <v>8743.1722509546853</v>
      </c>
      <c r="V2086" s="39">
        <f t="shared" ca="1" si="245"/>
        <v>5.7520870072070296E-2</v>
      </c>
      <c r="W2086" s="48">
        <f t="shared" ca="1" si="246"/>
        <v>0.57402036483976948</v>
      </c>
    </row>
    <row r="2087" spans="17:23" x14ac:dyDescent="0.2">
      <c r="Q2087">
        <f t="shared" si="247"/>
        <v>2071</v>
      </c>
      <c r="R2087" s="48">
        <f t="shared" ca="1" si="248"/>
        <v>0.217</v>
      </c>
      <c r="S2087">
        <f t="shared" ca="1" si="249"/>
        <v>194.63155494362823</v>
      </c>
      <c r="T2087" s="61">
        <f t="shared" ca="1" si="243"/>
        <v>10416</v>
      </c>
      <c r="U2087" s="61">
        <f t="shared" ca="1" si="244"/>
        <v>13317.206016688724</v>
      </c>
      <c r="V2087" s="39">
        <f t="shared" ca="1" si="245"/>
        <v>8.7613197478215291E-2</v>
      </c>
      <c r="W2087" s="48">
        <f t="shared" ca="1" si="246"/>
        <v>0.97627997173729097</v>
      </c>
    </row>
    <row r="2088" spans="17:23" x14ac:dyDescent="0.2">
      <c r="Q2088">
        <f t="shared" si="247"/>
        <v>2072</v>
      </c>
      <c r="R2088" s="48">
        <f t="shared" ca="1" si="248"/>
        <v>0.5</v>
      </c>
      <c r="S2088">
        <f t="shared" ca="1" si="249"/>
        <v>203.57037572521628</v>
      </c>
      <c r="T2088" s="61">
        <f t="shared" ca="1" si="243"/>
        <v>24000</v>
      </c>
      <c r="U2088" s="61">
        <f t="shared" ca="1" si="244"/>
        <v>29428.150290086513</v>
      </c>
      <c r="V2088" s="39">
        <f t="shared" ca="1" si="245"/>
        <v>0.19360625190846389</v>
      </c>
      <c r="W2088" s="48">
        <f t="shared" ca="1" si="246"/>
        <v>3.2017363677942177</v>
      </c>
    </row>
    <row r="2089" spans="17:23" x14ac:dyDescent="0.2">
      <c r="Q2089">
        <f t="shared" si="247"/>
        <v>2073</v>
      </c>
      <c r="R2089" s="48">
        <f t="shared" ca="1" si="248"/>
        <v>0.45</v>
      </c>
      <c r="S2089">
        <f t="shared" ca="1" si="249"/>
        <v>207.47093304422177</v>
      </c>
      <c r="T2089" s="61">
        <f t="shared" ca="1" si="243"/>
        <v>21600</v>
      </c>
      <c r="U2089" s="61">
        <f t="shared" ca="1" si="244"/>
        <v>29287.210539457577</v>
      </c>
      <c r="V2089" s="39">
        <f t="shared" ca="1" si="245"/>
        <v>0.19267901670695775</v>
      </c>
      <c r="W2089" s="48">
        <f t="shared" ca="1" si="246"/>
        <v>3.17533425622333</v>
      </c>
    </row>
    <row r="2090" spans="17:23" x14ac:dyDescent="0.2">
      <c r="Q2090">
        <f t="shared" si="247"/>
        <v>2074</v>
      </c>
      <c r="R2090" s="48">
        <f t="shared" ca="1" si="248"/>
        <v>0.35</v>
      </c>
      <c r="S2090">
        <f t="shared" ca="1" si="249"/>
        <v>207.24989510072766</v>
      </c>
      <c r="T2090" s="61">
        <f t="shared" ca="1" si="243"/>
        <v>16800</v>
      </c>
      <c r="U2090" s="61">
        <f t="shared" ca="1" si="244"/>
        <v>25769.945452378379</v>
      </c>
      <c r="V2090" s="39">
        <f t="shared" ca="1" si="245"/>
        <v>0.1695391148182788</v>
      </c>
      <c r="W2090" s="48">
        <f t="shared" ca="1" si="246"/>
        <v>2.5618465404880615</v>
      </c>
    </row>
    <row r="2091" spans="17:23" x14ac:dyDescent="0.2">
      <c r="Q2091">
        <f t="shared" si="247"/>
        <v>2075</v>
      </c>
      <c r="R2091" s="48">
        <f t="shared" ca="1" si="248"/>
        <v>0.3</v>
      </c>
      <c r="S2091">
        <f t="shared" ca="1" si="249"/>
        <v>214.44158300444434</v>
      </c>
      <c r="T2091" s="61">
        <f t="shared" ca="1" si="243"/>
        <v>14400</v>
      </c>
      <c r="U2091" s="61">
        <f t="shared" ca="1" si="244"/>
        <v>28087.286482488831</v>
      </c>
      <c r="V2091" s="39">
        <f t="shared" ca="1" si="245"/>
        <v>0.18478477949005809</v>
      </c>
      <c r="W2091" s="48">
        <f t="shared" ca="1" si="246"/>
        <v>2.9563790499825942</v>
      </c>
    </row>
    <row r="2092" spans="17:23" x14ac:dyDescent="0.2">
      <c r="Q2092">
        <f t="shared" si="247"/>
        <v>2076</v>
      </c>
      <c r="R2092" s="48">
        <f t="shared" ca="1" si="248"/>
        <v>0.3</v>
      </c>
      <c r="S2092">
        <f t="shared" ca="1" si="249"/>
        <v>173.00320617442577</v>
      </c>
      <c r="T2092" s="61">
        <f t="shared" ca="1" si="243"/>
        <v>14400</v>
      </c>
      <c r="U2092" s="61">
        <f t="shared" ca="1" si="244"/>
        <v>4881.7954576784323</v>
      </c>
      <c r="V2092" s="39">
        <f t="shared" ca="1" si="245"/>
        <v>3.2117075379463372E-2</v>
      </c>
      <c r="W2092" s="48">
        <f t="shared" ca="1" si="246"/>
        <v>0.29228155348909013</v>
      </c>
    </row>
    <row r="2093" spans="17:23" x14ac:dyDescent="0.2">
      <c r="Q2093">
        <f t="shared" si="247"/>
        <v>2077</v>
      </c>
      <c r="R2093" s="48">
        <f t="shared" ca="1" si="248"/>
        <v>0.4</v>
      </c>
      <c r="S2093">
        <f t="shared" ca="1" si="249"/>
        <v>210.40716675286171</v>
      </c>
      <c r="T2093" s="61">
        <f t="shared" ca="1" si="243"/>
        <v>19200</v>
      </c>
      <c r="U2093" s="61">
        <f t="shared" ca="1" si="244"/>
        <v>28995.440041373622</v>
      </c>
      <c r="V2093" s="39">
        <f t="shared" ca="1" si="245"/>
        <v>0.19075947395640541</v>
      </c>
      <c r="W2093" s="48">
        <f t="shared" ca="1" si="246"/>
        <v>3.1211389564710972</v>
      </c>
    </row>
    <row r="2094" spans="17:23" x14ac:dyDescent="0.2">
      <c r="Q2094">
        <f t="shared" si="247"/>
        <v>2078</v>
      </c>
      <c r="R2094" s="48">
        <f t="shared" ca="1" si="248"/>
        <v>0.4</v>
      </c>
      <c r="S2094">
        <f t="shared" ca="1" si="249"/>
        <v>178.2289027000451</v>
      </c>
      <c r="T2094" s="61">
        <f t="shared" ca="1" si="243"/>
        <v>19200</v>
      </c>
      <c r="U2094" s="61">
        <f t="shared" ca="1" si="244"/>
        <v>13549.873296021648</v>
      </c>
      <c r="V2094" s="39">
        <f t="shared" ca="1" si="245"/>
        <v>8.9143903263300309E-2</v>
      </c>
      <c r="W2094" s="48">
        <f t="shared" ca="1" si="246"/>
        <v>0.99895355252361595</v>
      </c>
    </row>
    <row r="2095" spans="17:23" x14ac:dyDescent="0.2">
      <c r="Q2095">
        <f t="shared" si="247"/>
        <v>2079</v>
      </c>
      <c r="R2095" s="48">
        <f t="shared" ca="1" si="248"/>
        <v>0.45</v>
      </c>
      <c r="S2095">
        <f t="shared" ca="1" si="249"/>
        <v>194.02863061369555</v>
      </c>
      <c r="T2095" s="61">
        <f t="shared" ca="1" si="243"/>
        <v>21600</v>
      </c>
      <c r="U2095" s="61">
        <f t="shared" ca="1" si="244"/>
        <v>23372.597470026045</v>
      </c>
      <c r="V2095" s="39">
        <f t="shared" ca="1" si="245"/>
        <v>0.1537670886185924</v>
      </c>
      <c r="W2095" s="48">
        <f t="shared" ca="1" si="246"/>
        <v>2.1904150707452668</v>
      </c>
    </row>
    <row r="2096" spans="17:23" x14ac:dyDescent="0.2">
      <c r="Q2096">
        <f t="shared" si="247"/>
        <v>2080</v>
      </c>
      <c r="R2096" s="48">
        <f t="shared" ca="1" si="248"/>
        <v>0.35</v>
      </c>
      <c r="S2096">
        <f t="shared" ca="1" si="249"/>
        <v>182.13765191601746</v>
      </c>
      <c r="T2096" s="61">
        <f t="shared" ca="1" si="243"/>
        <v>16800</v>
      </c>
      <c r="U2096" s="61">
        <f t="shared" ca="1" si="244"/>
        <v>12711.578996329081</v>
      </c>
      <c r="V2096" s="39">
        <f t="shared" ca="1" si="245"/>
        <v>8.3628809186375538E-2</v>
      </c>
      <c r="W2096" s="48">
        <f t="shared" ca="1" si="246"/>
        <v>0.91831514986933582</v>
      </c>
    </row>
    <row r="2097" spans="17:23" x14ac:dyDescent="0.2">
      <c r="Q2097">
        <f t="shared" si="247"/>
        <v>2081</v>
      </c>
      <c r="R2097" s="48">
        <f t="shared" ca="1" si="248"/>
        <v>0.4</v>
      </c>
      <c r="S2097">
        <f t="shared" ca="1" si="249"/>
        <v>205.89861928049169</v>
      </c>
      <c r="T2097" s="61">
        <f t="shared" ca="1" si="243"/>
        <v>19200</v>
      </c>
      <c r="U2097" s="61">
        <f t="shared" ca="1" si="244"/>
        <v>26831.337254636011</v>
      </c>
      <c r="V2097" s="39">
        <f t="shared" ca="1" si="245"/>
        <v>0.17652195562260534</v>
      </c>
      <c r="W2097" s="48">
        <f t="shared" ca="1" si="246"/>
        <v>2.7380468286442565</v>
      </c>
    </row>
    <row r="2098" spans="17:23" x14ac:dyDescent="0.2">
      <c r="Q2098">
        <f t="shared" si="247"/>
        <v>2082</v>
      </c>
      <c r="R2098" s="48">
        <f t="shared" ca="1" si="248"/>
        <v>0.4</v>
      </c>
      <c r="S2098">
        <f t="shared" ca="1" si="249"/>
        <v>192.86818180786915</v>
      </c>
      <c r="T2098" s="61">
        <f t="shared" ca="1" si="243"/>
        <v>19200</v>
      </c>
      <c r="U2098" s="61">
        <f t="shared" ca="1" si="244"/>
        <v>20576.727267777191</v>
      </c>
      <c r="V2098" s="39">
        <f t="shared" ca="1" si="245"/>
        <v>0.13537320570906047</v>
      </c>
      <c r="W2098" s="48">
        <f t="shared" ca="1" si="246"/>
        <v>1.8005004224456882</v>
      </c>
    </row>
    <row r="2099" spans="17:23" x14ac:dyDescent="0.2">
      <c r="Q2099">
        <f t="shared" si="247"/>
        <v>2083</v>
      </c>
      <c r="R2099" s="48">
        <f t="shared" ca="1" si="248"/>
        <v>0.4</v>
      </c>
      <c r="S2099">
        <f t="shared" ca="1" si="249"/>
        <v>183.42994202804832</v>
      </c>
      <c r="T2099" s="61">
        <f t="shared" ca="1" si="243"/>
        <v>19200</v>
      </c>
      <c r="U2099" s="61">
        <f t="shared" ca="1" si="244"/>
        <v>16046.372173463191</v>
      </c>
      <c r="V2099" s="39">
        <f t="shared" ca="1" si="245"/>
        <v>0.10556823798331047</v>
      </c>
      <c r="W2099" s="48">
        <f t="shared" ca="1" si="246"/>
        <v>1.2569776877085581</v>
      </c>
    </row>
    <row r="2100" spans="17:23" x14ac:dyDescent="0.2">
      <c r="Q2100">
        <f t="shared" si="247"/>
        <v>2084</v>
      </c>
      <c r="R2100" s="48">
        <f t="shared" ca="1" si="248"/>
        <v>0.4</v>
      </c>
      <c r="S2100">
        <f t="shared" ca="1" si="249"/>
        <v>172.61176454725046</v>
      </c>
      <c r="T2100" s="61">
        <f t="shared" ca="1" si="243"/>
        <v>19200</v>
      </c>
      <c r="U2100" s="61">
        <f t="shared" ca="1" si="244"/>
        <v>10853.64698268022</v>
      </c>
      <c r="V2100" s="39">
        <f t="shared" ca="1" si="245"/>
        <v>7.1405572254475136E-2</v>
      </c>
      <c r="W2100" s="48">
        <f t="shared" ca="1" si="246"/>
        <v>0.749683181442933</v>
      </c>
    </row>
    <row r="2101" spans="17:23" x14ac:dyDescent="0.2">
      <c r="Q2101">
        <f t="shared" si="247"/>
        <v>2085</v>
      </c>
      <c r="R2101" s="48">
        <f t="shared" ca="1" si="248"/>
        <v>0.35</v>
      </c>
      <c r="S2101">
        <f t="shared" ca="1" si="249"/>
        <v>186.71138844293444</v>
      </c>
      <c r="T2101" s="61">
        <f t="shared" ca="1" si="243"/>
        <v>16800</v>
      </c>
      <c r="U2101" s="61">
        <f t="shared" ca="1" si="244"/>
        <v>15089.921990325907</v>
      </c>
      <c r="V2101" s="39">
        <f t="shared" ca="1" si="245"/>
        <v>9.9275802567933599E-2</v>
      </c>
      <c r="W2101" s="48">
        <f t="shared" ca="1" si="246"/>
        <v>1.1548684080292904</v>
      </c>
    </row>
    <row r="2102" spans="17:23" x14ac:dyDescent="0.2">
      <c r="Q2102">
        <f t="shared" si="247"/>
        <v>2086</v>
      </c>
      <c r="R2102" s="48">
        <f t="shared" ca="1" si="248"/>
        <v>0.35</v>
      </c>
      <c r="S2102">
        <f t="shared" ca="1" si="249"/>
        <v>159.28649764625004</v>
      </c>
      <c r="T2102" s="61">
        <f t="shared" ca="1" si="243"/>
        <v>16800</v>
      </c>
      <c r="U2102" s="61">
        <f t="shared" ca="1" si="244"/>
        <v>828.97877605002213</v>
      </c>
      <c r="V2102" s="39">
        <f t="shared" ca="1" si="245"/>
        <v>5.453807737171198E-3</v>
      </c>
      <c r="W2102" s="48">
        <f t="shared" ca="1" si="246"/>
        <v>4.5103839912773669E-2</v>
      </c>
    </row>
    <row r="2103" spans="17:23" x14ac:dyDescent="0.2">
      <c r="Q2103">
        <f t="shared" si="247"/>
        <v>2087</v>
      </c>
      <c r="R2103" s="48">
        <f t="shared" ca="1" si="248"/>
        <v>0.35</v>
      </c>
      <c r="S2103">
        <f t="shared" ca="1" si="249"/>
        <v>231.34951726968208</v>
      </c>
      <c r="T2103" s="61">
        <f t="shared" ca="1" si="243"/>
        <v>16800</v>
      </c>
      <c r="U2103" s="61">
        <f t="shared" ca="1" si="244"/>
        <v>38301.748980234683</v>
      </c>
      <c r="V2103" s="39">
        <f t="shared" ca="1" si="245"/>
        <v>0.2519851906594387</v>
      </c>
      <c r="W2103" s="48">
        <f t="shared" ca="1" si="246"/>
        <v>5.1892480543493544</v>
      </c>
    </row>
    <row r="2104" spans="17:23" x14ac:dyDescent="0.2">
      <c r="Q2104">
        <f t="shared" si="247"/>
        <v>2088</v>
      </c>
      <c r="R2104" s="48">
        <f t="shared" ca="1" si="248"/>
        <v>0.45</v>
      </c>
      <c r="S2104">
        <f t="shared" ca="1" si="249"/>
        <v>245.16299006320631</v>
      </c>
      <c r="T2104" s="61">
        <f t="shared" ca="1" si="243"/>
        <v>21600</v>
      </c>
      <c r="U2104" s="61">
        <f t="shared" ca="1" si="244"/>
        <v>45871.71562781078</v>
      </c>
      <c r="V2104" s="39">
        <f t="shared" ca="1" si="245"/>
        <v>0.30178760281454459</v>
      </c>
      <c r="W2104" s="48">
        <f t="shared" ca="1" si="246"/>
        <v>7.4927381118419127</v>
      </c>
    </row>
    <row r="2105" spans="17:23" x14ac:dyDescent="0.2">
      <c r="Q2105">
        <f t="shared" si="247"/>
        <v>2089</v>
      </c>
      <c r="R2105" s="48">
        <f t="shared" ca="1" si="248"/>
        <v>0.35</v>
      </c>
      <c r="S2105">
        <f t="shared" ca="1" si="249"/>
        <v>165.84963054683868</v>
      </c>
      <c r="T2105" s="61">
        <f t="shared" ref="T2105:T2168" ca="1" si="250">($B$8-$B$7)*($E$6*R2105)</f>
        <v>16800</v>
      </c>
      <c r="U2105" s="61">
        <f t="shared" ref="U2105:U2168" ca="1" si="251">T2105+((S2105-$B$7)*($E$6*(1-R2105)))</f>
        <v>4241.8078843561143</v>
      </c>
      <c r="V2105" s="39">
        <f t="shared" ref="V2105:V2168" ca="1" si="252">U2105/$E$4</f>
        <v>2.7906630818132331E-2</v>
      </c>
      <c r="W2105" s="48">
        <f t="shared" ref="W2105:W2168" ca="1" si="253">(1+V2105)^($J$29/$J$30)-1</f>
        <v>0.25013676145782648</v>
      </c>
    </row>
    <row r="2106" spans="17:23" x14ac:dyDescent="0.2">
      <c r="Q2106">
        <f t="shared" si="247"/>
        <v>2090</v>
      </c>
      <c r="R2106" s="48">
        <f t="shared" ca="1" si="248"/>
        <v>0.4</v>
      </c>
      <c r="S2106">
        <f t="shared" ca="1" si="249"/>
        <v>191.95048696106352</v>
      </c>
      <c r="T2106" s="61">
        <f t="shared" ca="1" si="250"/>
        <v>19200</v>
      </c>
      <c r="U2106" s="61">
        <f t="shared" ca="1" si="251"/>
        <v>20136.233741310491</v>
      </c>
      <c r="V2106" s="39">
        <f t="shared" ca="1" si="252"/>
        <v>0.13247522198230585</v>
      </c>
      <c r="W2106" s="48">
        <f t="shared" ca="1" si="253"/>
        <v>1.7430445363409248</v>
      </c>
    </row>
    <row r="2107" spans="17:23" x14ac:dyDescent="0.2">
      <c r="Q2107">
        <f t="shared" si="247"/>
        <v>2091</v>
      </c>
      <c r="R2107" s="48">
        <f t="shared" ca="1" si="248"/>
        <v>0.3</v>
      </c>
      <c r="S2107">
        <f t="shared" ca="1" si="249"/>
        <v>210.98219099795486</v>
      </c>
      <c r="T2107" s="61">
        <f t="shared" ca="1" si="250"/>
        <v>14400</v>
      </c>
      <c r="U2107" s="61">
        <f t="shared" ca="1" si="251"/>
        <v>26150.026958854723</v>
      </c>
      <c r="V2107" s="39">
        <f t="shared" ca="1" si="252"/>
        <v>0.17203965104509686</v>
      </c>
      <c r="W2107" s="48">
        <f t="shared" ca="1" si="253"/>
        <v>2.6240876419547985</v>
      </c>
    </row>
    <row r="2108" spans="17:23" x14ac:dyDescent="0.2">
      <c r="Q2108">
        <f t="shared" si="247"/>
        <v>2092</v>
      </c>
      <c r="R2108" s="48">
        <f t="shared" ca="1" si="248"/>
        <v>0.3</v>
      </c>
      <c r="S2108">
        <f t="shared" ca="1" si="249"/>
        <v>208.98926291852416</v>
      </c>
      <c r="T2108" s="61">
        <f t="shared" ca="1" si="250"/>
        <v>14400</v>
      </c>
      <c r="U2108" s="61">
        <f t="shared" ca="1" si="251"/>
        <v>25033.98723437353</v>
      </c>
      <c r="V2108" s="39">
        <f t="shared" ca="1" si="252"/>
        <v>0.16469728443666795</v>
      </c>
      <c r="W2108" s="48">
        <f t="shared" ca="1" si="253"/>
        <v>2.4439870526326652</v>
      </c>
    </row>
    <row r="2109" spans="17:23" x14ac:dyDescent="0.2">
      <c r="Q2109">
        <f t="shared" si="247"/>
        <v>2093</v>
      </c>
      <c r="R2109" s="48">
        <f t="shared" ca="1" si="248"/>
        <v>0.3</v>
      </c>
      <c r="S2109">
        <f t="shared" ca="1" si="249"/>
        <v>180.85829322357276</v>
      </c>
      <c r="T2109" s="61">
        <f t="shared" ca="1" si="250"/>
        <v>14400</v>
      </c>
      <c r="U2109" s="61">
        <f t="shared" ca="1" si="251"/>
        <v>9280.6442052007442</v>
      </c>
      <c r="V2109" s="39">
        <f t="shared" ca="1" si="252"/>
        <v>6.105686977105753E-2</v>
      </c>
      <c r="W2109" s="48">
        <f t="shared" ca="1" si="253"/>
        <v>0.61722014881561105</v>
      </c>
    </row>
    <row r="2110" spans="17:23" x14ac:dyDescent="0.2">
      <c r="Q2110">
        <f t="shared" si="247"/>
        <v>2094</v>
      </c>
      <c r="R2110" s="48">
        <f t="shared" ca="1" si="248"/>
        <v>0.3</v>
      </c>
      <c r="S2110">
        <f t="shared" ca="1" si="249"/>
        <v>161.09735793803495</v>
      </c>
      <c r="T2110" s="61">
        <f t="shared" ca="1" si="250"/>
        <v>14400</v>
      </c>
      <c r="U2110" s="61">
        <f t="shared" ca="1" si="251"/>
        <v>-1785.4795547004305</v>
      </c>
      <c r="V2110" s="39">
        <f t="shared" ca="1" si="252"/>
        <v>-1.174657601776599E-2</v>
      </c>
      <c r="W2110" s="48">
        <f t="shared" ca="1" si="253"/>
        <v>-9.1392252009047548E-2</v>
      </c>
    </row>
    <row r="2111" spans="17:23" x14ac:dyDescent="0.2">
      <c r="Q2111">
        <f t="shared" si="247"/>
        <v>2095</v>
      </c>
      <c r="R2111" s="48">
        <f t="shared" ca="1" si="248"/>
        <v>0.3</v>
      </c>
      <c r="S2111">
        <f t="shared" ca="1" si="249"/>
        <v>172.61770015748493</v>
      </c>
      <c r="T2111" s="61">
        <f t="shared" ca="1" si="250"/>
        <v>14400</v>
      </c>
      <c r="U2111" s="61">
        <f t="shared" ca="1" si="251"/>
        <v>4665.9120881915624</v>
      </c>
      <c r="V2111" s="39">
        <f t="shared" ca="1" si="252"/>
        <v>3.0696790053891858E-2</v>
      </c>
      <c r="W2111" s="48">
        <f t="shared" ca="1" si="253"/>
        <v>0.27792798146746933</v>
      </c>
    </row>
    <row r="2112" spans="17:23" x14ac:dyDescent="0.2">
      <c r="Q2112">
        <f t="shared" si="247"/>
        <v>2096</v>
      </c>
      <c r="R2112" s="48">
        <f t="shared" ca="1" si="248"/>
        <v>0.3</v>
      </c>
      <c r="S2112">
        <f t="shared" ca="1" si="249"/>
        <v>158.45263836611852</v>
      </c>
      <c r="T2112" s="61">
        <f t="shared" ca="1" si="250"/>
        <v>14400</v>
      </c>
      <c r="U2112" s="61">
        <f t="shared" ca="1" si="251"/>
        <v>-3266.5225149736289</v>
      </c>
      <c r="V2112" s="39">
        <f t="shared" ca="1" si="252"/>
        <v>-2.1490279703773874E-2</v>
      </c>
      <c r="W2112" s="48">
        <f t="shared" ca="1" si="253"/>
        <v>-0.16155836483095753</v>
      </c>
    </row>
    <row r="2113" spans="17:23" x14ac:dyDescent="0.2">
      <c r="Q2113">
        <f t="shared" si="247"/>
        <v>2097</v>
      </c>
      <c r="R2113" s="48">
        <f t="shared" ca="1" si="248"/>
        <v>0.4</v>
      </c>
      <c r="S2113">
        <f t="shared" ca="1" si="249"/>
        <v>203.96582915471907</v>
      </c>
      <c r="T2113" s="61">
        <f t="shared" ca="1" si="250"/>
        <v>19200</v>
      </c>
      <c r="U2113" s="61">
        <f t="shared" ca="1" si="251"/>
        <v>25903.597994265154</v>
      </c>
      <c r="V2113" s="39">
        <f t="shared" ca="1" si="252"/>
        <v>0.1704184078570076</v>
      </c>
      <c r="W2113" s="48">
        <f t="shared" ca="1" si="253"/>
        <v>2.5836254237505836</v>
      </c>
    </row>
    <row r="2114" spans="17:23" x14ac:dyDescent="0.2">
      <c r="Q2114">
        <f t="shared" si="247"/>
        <v>2098</v>
      </c>
      <c r="R2114" s="48">
        <f t="shared" ca="1" si="248"/>
        <v>0.35</v>
      </c>
      <c r="S2114">
        <f t="shared" ca="1" si="249"/>
        <v>197.03281601493106</v>
      </c>
      <c r="T2114" s="61">
        <f t="shared" ca="1" si="250"/>
        <v>16800</v>
      </c>
      <c r="U2114" s="61">
        <f t="shared" ca="1" si="251"/>
        <v>20457.06432776415</v>
      </c>
      <c r="V2114" s="39">
        <f t="shared" ca="1" si="252"/>
        <v>0.13458594952476416</v>
      </c>
      <c r="W2114" s="48">
        <f t="shared" ca="1" si="253"/>
        <v>1.7847887316931677</v>
      </c>
    </row>
    <row r="2115" spans="17:23" x14ac:dyDescent="0.2">
      <c r="Q2115">
        <f t="shared" si="247"/>
        <v>2099</v>
      </c>
      <c r="R2115" s="48">
        <f t="shared" ca="1" si="248"/>
        <v>0.45</v>
      </c>
      <c r="S2115">
        <f t="shared" ca="1" si="249"/>
        <v>167.55662578606314</v>
      </c>
      <c r="T2115" s="61">
        <f t="shared" ca="1" si="250"/>
        <v>21600</v>
      </c>
      <c r="U2115" s="61">
        <f t="shared" ca="1" si="251"/>
        <v>11724.915345867779</v>
      </c>
      <c r="V2115" s="39">
        <f t="shared" ca="1" si="252"/>
        <v>7.7137600959656438E-2</v>
      </c>
      <c r="W2115" s="48">
        <f t="shared" ca="1" si="253"/>
        <v>0.82706997291173501</v>
      </c>
    </row>
    <row r="2116" spans="17:23" x14ac:dyDescent="0.2">
      <c r="Q2116">
        <f t="shared" si="247"/>
        <v>2100</v>
      </c>
      <c r="R2116" s="48">
        <f t="shared" ca="1" si="248"/>
        <v>0.3</v>
      </c>
      <c r="S2116">
        <f t="shared" ca="1" si="249"/>
        <v>210.81678251392609</v>
      </c>
      <c r="T2116" s="61">
        <f t="shared" ca="1" si="250"/>
        <v>14400</v>
      </c>
      <c r="U2116" s="61">
        <f t="shared" ca="1" si="251"/>
        <v>26057.398207798607</v>
      </c>
      <c r="V2116" s="39">
        <f t="shared" ca="1" si="252"/>
        <v>0.17143025136709611</v>
      </c>
      <c r="W2116" s="48">
        <f t="shared" ca="1" si="253"/>
        <v>2.6088317998655057</v>
      </c>
    </row>
    <row r="2117" spans="17:23" x14ac:dyDescent="0.2">
      <c r="Q2117">
        <f t="shared" si="247"/>
        <v>2101</v>
      </c>
      <c r="R2117" s="48">
        <f t="shared" ca="1" si="248"/>
        <v>0.35</v>
      </c>
      <c r="S2117">
        <f t="shared" ca="1" si="249"/>
        <v>229.14939985395671</v>
      </c>
      <c r="T2117" s="61">
        <f t="shared" ca="1" si="250"/>
        <v>16800</v>
      </c>
      <c r="U2117" s="61">
        <f t="shared" ca="1" si="251"/>
        <v>37157.687924057493</v>
      </c>
      <c r="V2117" s="39">
        <f t="shared" ca="1" si="252"/>
        <v>0.24445847318458877</v>
      </c>
      <c r="W2117" s="48">
        <f t="shared" ca="1" si="253"/>
        <v>4.8938170549600883</v>
      </c>
    </row>
    <row r="2118" spans="17:23" x14ac:dyDescent="0.2">
      <c r="Q2118">
        <f t="shared" si="247"/>
        <v>2102</v>
      </c>
      <c r="R2118" s="48">
        <f t="shared" ca="1" si="248"/>
        <v>0.45</v>
      </c>
      <c r="S2118">
        <f t="shared" ca="1" si="249"/>
        <v>183.15467411411939</v>
      </c>
      <c r="T2118" s="61">
        <f t="shared" ca="1" si="250"/>
        <v>21600</v>
      </c>
      <c r="U2118" s="61">
        <f t="shared" ca="1" si="251"/>
        <v>18588.05661021253</v>
      </c>
      <c r="V2118" s="39">
        <f t="shared" ca="1" si="252"/>
        <v>0.12228984611981927</v>
      </c>
      <c r="W2118" s="48">
        <f t="shared" ca="1" si="253"/>
        <v>1.5492210462001896</v>
      </c>
    </row>
    <row r="2119" spans="17:23" x14ac:dyDescent="0.2">
      <c r="Q2119">
        <f t="shared" si="247"/>
        <v>2103</v>
      </c>
      <c r="R2119" s="48">
        <f t="shared" ca="1" si="248"/>
        <v>0.35</v>
      </c>
      <c r="S2119">
        <f t="shared" ca="1" si="249"/>
        <v>186.83681879384108</v>
      </c>
      <c r="T2119" s="61">
        <f t="shared" ca="1" si="250"/>
        <v>16800</v>
      </c>
      <c r="U2119" s="61">
        <f t="shared" ca="1" si="251"/>
        <v>15155.145772797359</v>
      </c>
      <c r="V2119" s="39">
        <f t="shared" ca="1" si="252"/>
        <v>9.9704906399982626E-2</v>
      </c>
      <c r="W2119" s="48">
        <f t="shared" ca="1" si="253"/>
        <v>1.1617005936134221</v>
      </c>
    </row>
    <row r="2120" spans="17:23" x14ac:dyDescent="0.2">
      <c r="Q2120">
        <f t="shared" si="247"/>
        <v>2104</v>
      </c>
      <c r="R2120" s="48">
        <f t="shared" ca="1" si="248"/>
        <v>0.35</v>
      </c>
      <c r="S2120">
        <f t="shared" ca="1" si="249"/>
        <v>176.88664287680481</v>
      </c>
      <c r="T2120" s="61">
        <f t="shared" ca="1" si="250"/>
        <v>16800</v>
      </c>
      <c r="U2120" s="61">
        <f t="shared" ca="1" si="251"/>
        <v>9981.054295938502</v>
      </c>
      <c r="V2120" s="39">
        <f t="shared" ca="1" si="252"/>
        <v>6.5664830894332255E-2</v>
      </c>
      <c r="W2120" s="48">
        <f t="shared" ca="1" si="253"/>
        <v>0.67507411140698581</v>
      </c>
    </row>
    <row r="2121" spans="17:23" x14ac:dyDescent="0.2">
      <c r="Q2121">
        <f t="shared" si="247"/>
        <v>2105</v>
      </c>
      <c r="R2121" s="48">
        <f t="shared" ca="1" si="248"/>
        <v>0.35</v>
      </c>
      <c r="S2121">
        <f t="shared" ca="1" si="249"/>
        <v>197.18832399177978</v>
      </c>
      <c r="T2121" s="61">
        <f t="shared" ca="1" si="250"/>
        <v>16800</v>
      </c>
      <c r="U2121" s="61">
        <f t="shared" ca="1" si="251"/>
        <v>20537.928475725486</v>
      </c>
      <c r="V2121" s="39">
        <f t="shared" ca="1" si="252"/>
        <v>0.135117950498194</v>
      </c>
      <c r="W2121" s="48">
        <f t="shared" ca="1" si="253"/>
        <v>1.7953976661077351</v>
      </c>
    </row>
    <row r="2122" spans="17:23" x14ac:dyDescent="0.2">
      <c r="Q2122">
        <f t="shared" si="247"/>
        <v>2106</v>
      </c>
      <c r="R2122" s="48">
        <f t="shared" ca="1" si="248"/>
        <v>0.35</v>
      </c>
      <c r="S2122">
        <f t="shared" ca="1" si="249"/>
        <v>207.07753486556425</v>
      </c>
      <c r="T2122" s="61">
        <f t="shared" ca="1" si="250"/>
        <v>16800</v>
      </c>
      <c r="U2122" s="61">
        <f t="shared" ca="1" si="251"/>
        <v>25680.318130093408</v>
      </c>
      <c r="V2122" s="39">
        <f t="shared" ca="1" si="252"/>
        <v>0.16894946138219347</v>
      </c>
      <c r="W2122" s="48">
        <f t="shared" ca="1" si="253"/>
        <v>2.5473067144005821</v>
      </c>
    </row>
    <row r="2123" spans="17:23" x14ac:dyDescent="0.2">
      <c r="Q2123">
        <f t="shared" si="247"/>
        <v>2107</v>
      </c>
      <c r="R2123" s="48">
        <f t="shared" ca="1" si="248"/>
        <v>0.35</v>
      </c>
      <c r="S2123">
        <f t="shared" ca="1" si="249"/>
        <v>191.13090328416089</v>
      </c>
      <c r="T2123" s="61">
        <f t="shared" ca="1" si="250"/>
        <v>16800</v>
      </c>
      <c r="U2123" s="61">
        <f t="shared" ca="1" si="251"/>
        <v>17388.069707763665</v>
      </c>
      <c r="V2123" s="39">
        <f t="shared" ca="1" si="252"/>
        <v>0.11439519544581359</v>
      </c>
      <c r="W2123" s="48">
        <f t="shared" ca="1" si="253"/>
        <v>1.4073566145829055</v>
      </c>
    </row>
    <row r="2124" spans="17:23" x14ac:dyDescent="0.2">
      <c r="Q2124">
        <f t="shared" si="247"/>
        <v>2108</v>
      </c>
      <c r="R2124" s="48">
        <f t="shared" ca="1" si="248"/>
        <v>0.4</v>
      </c>
      <c r="S2124">
        <f t="shared" ca="1" si="249"/>
        <v>196.80049340431938</v>
      </c>
      <c r="T2124" s="61">
        <f t="shared" ca="1" si="250"/>
        <v>19200</v>
      </c>
      <c r="U2124" s="61">
        <f t="shared" ca="1" si="251"/>
        <v>22464.236834073305</v>
      </c>
      <c r="V2124" s="39">
        <f t="shared" ca="1" si="252"/>
        <v>0.14779103180311384</v>
      </c>
      <c r="W2124" s="48">
        <f t="shared" ca="1" si="253"/>
        <v>2.0588208508599877</v>
      </c>
    </row>
    <row r="2125" spans="17:23" x14ac:dyDescent="0.2">
      <c r="Q2125">
        <f t="shared" si="247"/>
        <v>2109</v>
      </c>
      <c r="R2125" s="48">
        <f t="shared" ca="1" si="248"/>
        <v>0.5</v>
      </c>
      <c r="S2125">
        <f t="shared" ca="1" si="249"/>
        <v>218.27404650605757</v>
      </c>
      <c r="T2125" s="61">
        <f t="shared" ca="1" si="250"/>
        <v>24000</v>
      </c>
      <c r="U2125" s="61">
        <f t="shared" ca="1" si="251"/>
        <v>35309.618602423026</v>
      </c>
      <c r="V2125" s="39">
        <f t="shared" ca="1" si="252"/>
        <v>0.23230012238436201</v>
      </c>
      <c r="W2125" s="48">
        <f t="shared" ca="1" si="253"/>
        <v>4.4426642365599509</v>
      </c>
    </row>
    <row r="2126" spans="17:23" x14ac:dyDescent="0.2">
      <c r="Q2126">
        <f t="shared" si="247"/>
        <v>2110</v>
      </c>
      <c r="R2126" s="48">
        <f t="shared" ca="1" si="248"/>
        <v>0.45</v>
      </c>
      <c r="S2126">
        <f t="shared" ca="1" si="249"/>
        <v>183.26383351078729</v>
      </c>
      <c r="T2126" s="61">
        <f t="shared" ca="1" si="250"/>
        <v>21600</v>
      </c>
      <c r="U2126" s="61">
        <f t="shared" ca="1" si="251"/>
        <v>18636.086744746408</v>
      </c>
      <c r="V2126" s="39">
        <f t="shared" ca="1" si="252"/>
        <v>0.12260583384701584</v>
      </c>
      <c r="W2126" s="48">
        <f t="shared" ca="1" si="253"/>
        <v>1.5550486205975229</v>
      </c>
    </row>
    <row r="2127" spans="17:23" x14ac:dyDescent="0.2">
      <c r="Q2127">
        <f t="shared" si="247"/>
        <v>2111</v>
      </c>
      <c r="R2127" s="48">
        <f t="shared" ca="1" si="248"/>
        <v>0.4</v>
      </c>
      <c r="S2127">
        <f t="shared" ca="1" si="249"/>
        <v>163.63157213074379</v>
      </c>
      <c r="T2127" s="61">
        <f t="shared" ca="1" si="250"/>
        <v>19200</v>
      </c>
      <c r="U2127" s="61">
        <f t="shared" ca="1" si="251"/>
        <v>6543.1546227570198</v>
      </c>
      <c r="V2127" s="39">
        <f t="shared" ca="1" si="252"/>
        <v>4.304706988655934E-2</v>
      </c>
      <c r="W2127" s="48">
        <f t="shared" ca="1" si="253"/>
        <v>0.40755387489284289</v>
      </c>
    </row>
    <row r="2128" spans="17:23" x14ac:dyDescent="0.2">
      <c r="Q2128">
        <f t="shared" si="247"/>
        <v>2112</v>
      </c>
      <c r="R2128" s="48">
        <f t="shared" ca="1" si="248"/>
        <v>0.35</v>
      </c>
      <c r="S2128">
        <f t="shared" ca="1" si="249"/>
        <v>186.77180345507534</v>
      </c>
      <c r="T2128" s="61">
        <f t="shared" ca="1" si="250"/>
        <v>16800</v>
      </c>
      <c r="U2128" s="61">
        <f t="shared" ca="1" si="251"/>
        <v>15121.337796639178</v>
      </c>
      <c r="V2128" s="39">
        <f t="shared" ca="1" si="252"/>
        <v>9.9482485504205118E-2</v>
      </c>
      <c r="W2128" s="48">
        <f t="shared" ca="1" si="253"/>
        <v>1.1581568440897434</v>
      </c>
    </row>
    <row r="2129" spans="17:23" x14ac:dyDescent="0.2">
      <c r="Q2129">
        <f t="shared" si="247"/>
        <v>2113</v>
      </c>
      <c r="R2129" s="48">
        <f t="shared" ca="1" si="248"/>
        <v>0.3</v>
      </c>
      <c r="S2129">
        <f t="shared" ca="1" si="249"/>
        <v>178.81398970201701</v>
      </c>
      <c r="T2129" s="61">
        <f t="shared" ca="1" si="250"/>
        <v>14400</v>
      </c>
      <c r="U2129" s="61">
        <f t="shared" ca="1" si="251"/>
        <v>8135.8342331295262</v>
      </c>
      <c r="V2129" s="39">
        <f t="shared" ca="1" si="252"/>
        <v>5.3525225217957412E-2</v>
      </c>
      <c r="W2129" s="48">
        <f t="shared" ca="1" si="253"/>
        <v>0.52642550324090998</v>
      </c>
    </row>
    <row r="2130" spans="17:23" x14ac:dyDescent="0.2">
      <c r="Q2130">
        <f t="shared" si="247"/>
        <v>2114</v>
      </c>
      <c r="R2130" s="48">
        <f t="shared" ca="1" si="248"/>
        <v>0.5</v>
      </c>
      <c r="S2130">
        <f t="shared" ca="1" si="249"/>
        <v>193.59281550752792</v>
      </c>
      <c r="T2130" s="61">
        <f t="shared" ca="1" si="250"/>
        <v>24000</v>
      </c>
      <c r="U2130" s="61">
        <f t="shared" ca="1" si="251"/>
        <v>25437.126203011168</v>
      </c>
      <c r="V2130" s="39">
        <f t="shared" ca="1" si="252"/>
        <v>0.16734951449349453</v>
      </c>
      <c r="W2130" s="48">
        <f t="shared" ca="1" si="253"/>
        <v>2.508116631928027</v>
      </c>
    </row>
    <row r="2131" spans="17:23" x14ac:dyDescent="0.2">
      <c r="Q2131">
        <f t="shared" ref="Q2131:Q2194" si="254">Q2130+1</f>
        <v>2115</v>
      </c>
      <c r="R2131" s="48">
        <f t="shared" ref="R2131:R2194" ca="1" si="255">LOOKUP(RAND(),$U$6:$U$12,$S$6:$S$12)</f>
        <v>0.4</v>
      </c>
      <c r="S2131">
        <f t="shared" ref="S2131:S2194" ca="1" si="256">_xlfn.NORM.INV(RAND(),$Q$5,$Q$10)</f>
        <v>217.7548382882454</v>
      </c>
      <c r="T2131" s="61">
        <f t="shared" ca="1" si="250"/>
        <v>19200</v>
      </c>
      <c r="U2131" s="61">
        <f t="shared" ca="1" si="251"/>
        <v>32522.322378357789</v>
      </c>
      <c r="V2131" s="39">
        <f t="shared" ca="1" si="252"/>
        <v>0.21396264722603808</v>
      </c>
      <c r="W2131" s="48">
        <f t="shared" ca="1" si="253"/>
        <v>3.819463984770481</v>
      </c>
    </row>
    <row r="2132" spans="17:23" x14ac:dyDescent="0.2">
      <c r="Q2132">
        <f t="shared" si="254"/>
        <v>2116</v>
      </c>
      <c r="R2132" s="48">
        <f t="shared" ca="1" si="255"/>
        <v>0.35</v>
      </c>
      <c r="S2132">
        <f t="shared" ca="1" si="256"/>
        <v>215.96979619099494</v>
      </c>
      <c r="T2132" s="61">
        <f t="shared" ca="1" si="250"/>
        <v>16800</v>
      </c>
      <c r="U2132" s="61">
        <f t="shared" ca="1" si="251"/>
        <v>30304.294019317371</v>
      </c>
      <c r="V2132" s="39">
        <f t="shared" ca="1" si="252"/>
        <v>0.19937035539024586</v>
      </c>
      <c r="W2132" s="48">
        <f t="shared" ca="1" si="253"/>
        <v>3.3691712988994542</v>
      </c>
    </row>
    <row r="2133" spans="17:23" x14ac:dyDescent="0.2">
      <c r="Q2133">
        <f t="shared" si="254"/>
        <v>2117</v>
      </c>
      <c r="R2133" s="48">
        <f t="shared" ca="1" si="255"/>
        <v>0.45</v>
      </c>
      <c r="S2133">
        <f t="shared" ca="1" si="256"/>
        <v>187.17789120517682</v>
      </c>
      <c r="T2133" s="61">
        <f t="shared" ca="1" si="250"/>
        <v>21600</v>
      </c>
      <c r="U2133" s="61">
        <f t="shared" ca="1" si="251"/>
        <v>20358.272130277801</v>
      </c>
      <c r="V2133" s="39">
        <f t="shared" ca="1" si="252"/>
        <v>0.13393600085709079</v>
      </c>
      <c r="W2133" s="48">
        <f t="shared" ca="1" si="253"/>
        <v>1.771875652352958</v>
      </c>
    </row>
    <row r="2134" spans="17:23" x14ac:dyDescent="0.2">
      <c r="Q2134">
        <f t="shared" si="254"/>
        <v>2118</v>
      </c>
      <c r="R2134" s="48">
        <f t="shared" ca="1" si="255"/>
        <v>0.35</v>
      </c>
      <c r="S2134">
        <f t="shared" ca="1" si="256"/>
        <v>175.77366066384502</v>
      </c>
      <c r="T2134" s="61">
        <f t="shared" ca="1" si="250"/>
        <v>16800</v>
      </c>
      <c r="U2134" s="61">
        <f t="shared" ca="1" si="251"/>
        <v>9402.303545199411</v>
      </c>
      <c r="V2134" s="39">
        <f t="shared" ca="1" si="252"/>
        <v>6.1857260165785598E-2</v>
      </c>
      <c r="W2134" s="48">
        <f t="shared" ca="1" si="253"/>
        <v>0.62714165798446131</v>
      </c>
    </row>
    <row r="2135" spans="17:23" x14ac:dyDescent="0.2">
      <c r="Q2135">
        <f t="shared" si="254"/>
        <v>2119</v>
      </c>
      <c r="R2135" s="48">
        <f t="shared" ca="1" si="255"/>
        <v>0.4</v>
      </c>
      <c r="S2135">
        <f t="shared" ca="1" si="256"/>
        <v>195.60056851591915</v>
      </c>
      <c r="T2135" s="61">
        <f t="shared" ca="1" si="250"/>
        <v>19200</v>
      </c>
      <c r="U2135" s="61">
        <f t="shared" ca="1" si="251"/>
        <v>21888.272887641193</v>
      </c>
      <c r="V2135" s="39">
        <f t="shared" ca="1" si="252"/>
        <v>0.14400179531342891</v>
      </c>
      <c r="W2135" s="48">
        <f t="shared" ca="1" si="253"/>
        <v>1.9778684211493034</v>
      </c>
    </row>
    <row r="2136" spans="17:23" x14ac:dyDescent="0.2">
      <c r="Q2136">
        <f t="shared" si="254"/>
        <v>2120</v>
      </c>
      <c r="R2136" s="48">
        <f t="shared" ca="1" si="255"/>
        <v>0.4</v>
      </c>
      <c r="S2136">
        <f t="shared" ca="1" si="256"/>
        <v>195.54483626393673</v>
      </c>
      <c r="T2136" s="61">
        <f t="shared" ca="1" si="250"/>
        <v>19200</v>
      </c>
      <c r="U2136" s="61">
        <f t="shared" ca="1" si="251"/>
        <v>21861.52140668963</v>
      </c>
      <c r="V2136" s="39">
        <f t="shared" ca="1" si="252"/>
        <v>0.14382579872822124</v>
      </c>
      <c r="W2136" s="48">
        <f t="shared" ca="1" si="253"/>
        <v>1.9741545584658358</v>
      </c>
    </row>
    <row r="2137" spans="17:23" x14ac:dyDescent="0.2">
      <c r="Q2137">
        <f t="shared" si="254"/>
        <v>2121</v>
      </c>
      <c r="R2137" s="48">
        <f t="shared" ca="1" si="255"/>
        <v>0.35</v>
      </c>
      <c r="S2137">
        <f t="shared" ca="1" si="256"/>
        <v>195.15011357155993</v>
      </c>
      <c r="T2137" s="61">
        <f t="shared" ca="1" si="250"/>
        <v>16800</v>
      </c>
      <c r="U2137" s="61">
        <f t="shared" ca="1" si="251"/>
        <v>19478.059057211161</v>
      </c>
      <c r="V2137" s="39">
        <f t="shared" ca="1" si="252"/>
        <v>0.12814512537638922</v>
      </c>
      <c r="W2137" s="48">
        <f t="shared" ca="1" si="253"/>
        <v>1.6591209988387705</v>
      </c>
    </row>
    <row r="2138" spans="17:23" x14ac:dyDescent="0.2">
      <c r="Q2138">
        <f t="shared" si="254"/>
        <v>2122</v>
      </c>
      <c r="R2138" s="48">
        <f t="shared" ca="1" si="255"/>
        <v>0.4</v>
      </c>
      <c r="S2138">
        <f t="shared" ca="1" si="256"/>
        <v>173.19811440896535</v>
      </c>
      <c r="T2138" s="61">
        <f t="shared" ca="1" si="250"/>
        <v>19200</v>
      </c>
      <c r="U2138" s="61">
        <f t="shared" ca="1" si="251"/>
        <v>11135.094916303369</v>
      </c>
      <c r="V2138" s="39">
        <f t="shared" ca="1" si="252"/>
        <v>7.3257203396732695E-2</v>
      </c>
      <c r="W2138" s="48">
        <f t="shared" ca="1" si="253"/>
        <v>0.77436119454795582</v>
      </c>
    </row>
    <row r="2139" spans="17:23" x14ac:dyDescent="0.2">
      <c r="Q2139">
        <f t="shared" si="254"/>
        <v>2123</v>
      </c>
      <c r="R2139" s="48">
        <f t="shared" ca="1" si="255"/>
        <v>0.35</v>
      </c>
      <c r="S2139">
        <f t="shared" ca="1" si="256"/>
        <v>211.40084317306031</v>
      </c>
      <c r="T2139" s="61">
        <f t="shared" ca="1" si="250"/>
        <v>16800</v>
      </c>
      <c r="U2139" s="61">
        <f t="shared" ca="1" si="251"/>
        <v>27928.438449991361</v>
      </c>
      <c r="V2139" s="39">
        <f t="shared" ca="1" si="252"/>
        <v>0.18373972664468</v>
      </c>
      <c r="W2139" s="48">
        <f t="shared" ca="1" si="253"/>
        <v>2.9281617601108865</v>
      </c>
    </row>
    <row r="2140" spans="17:23" x14ac:dyDescent="0.2">
      <c r="Q2140">
        <f t="shared" si="254"/>
        <v>2124</v>
      </c>
      <c r="R2140" s="48">
        <f t="shared" ca="1" si="255"/>
        <v>0.4</v>
      </c>
      <c r="S2140">
        <f t="shared" ca="1" si="256"/>
        <v>186.87178418585879</v>
      </c>
      <c r="T2140" s="61">
        <f t="shared" ca="1" si="250"/>
        <v>19200</v>
      </c>
      <c r="U2140" s="61">
        <f t="shared" ca="1" si="251"/>
        <v>17698.456409212216</v>
      </c>
      <c r="V2140" s="39">
        <f t="shared" ca="1" si="252"/>
        <v>0.11643721321850142</v>
      </c>
      <c r="W2140" s="48">
        <f t="shared" ca="1" si="253"/>
        <v>1.4433706611923611</v>
      </c>
    </row>
    <row r="2141" spans="17:23" x14ac:dyDescent="0.2">
      <c r="Q2141">
        <f t="shared" si="254"/>
        <v>2125</v>
      </c>
      <c r="R2141" s="48">
        <f t="shared" ca="1" si="255"/>
        <v>0.45</v>
      </c>
      <c r="S2141">
        <f t="shared" ca="1" si="256"/>
        <v>199.13445524488824</v>
      </c>
      <c r="T2141" s="61">
        <f t="shared" ca="1" si="250"/>
        <v>21600</v>
      </c>
      <c r="U2141" s="61">
        <f t="shared" ca="1" si="251"/>
        <v>25619.160307750826</v>
      </c>
      <c r="V2141" s="39">
        <f t="shared" ca="1" si="252"/>
        <v>0.16854710728783437</v>
      </c>
      <c r="W2141" s="48">
        <f t="shared" ca="1" si="253"/>
        <v>2.5374152560313101</v>
      </c>
    </row>
    <row r="2142" spans="17:23" x14ac:dyDescent="0.2">
      <c r="Q2142">
        <f t="shared" si="254"/>
        <v>2126</v>
      </c>
      <c r="R2142" s="48">
        <f t="shared" ca="1" si="255"/>
        <v>0.4</v>
      </c>
      <c r="S2142">
        <f t="shared" ca="1" si="256"/>
        <v>201.53315647876678</v>
      </c>
      <c r="T2142" s="61">
        <f t="shared" ca="1" si="250"/>
        <v>19200</v>
      </c>
      <c r="U2142" s="61">
        <f t="shared" ca="1" si="251"/>
        <v>24735.915109808055</v>
      </c>
      <c r="V2142" s="39">
        <f t="shared" ca="1" si="252"/>
        <v>0.16273628361715825</v>
      </c>
      <c r="W2142" s="48">
        <f t="shared" ca="1" si="253"/>
        <v>2.3972342325729308</v>
      </c>
    </row>
    <row r="2143" spans="17:23" x14ac:dyDescent="0.2">
      <c r="Q2143">
        <f t="shared" si="254"/>
        <v>2127</v>
      </c>
      <c r="R2143" s="48">
        <f t="shared" ca="1" si="255"/>
        <v>0.4</v>
      </c>
      <c r="S2143">
        <f t="shared" ca="1" si="256"/>
        <v>171.91459790494505</v>
      </c>
      <c r="T2143" s="61">
        <f t="shared" ca="1" si="250"/>
        <v>19200</v>
      </c>
      <c r="U2143" s="61">
        <f t="shared" ca="1" si="251"/>
        <v>10519.006994373627</v>
      </c>
      <c r="V2143" s="39">
        <f t="shared" ca="1" si="252"/>
        <v>6.9203993384037016E-2</v>
      </c>
      <c r="W2143" s="48">
        <f t="shared" ca="1" si="253"/>
        <v>0.72073316620164141</v>
      </c>
    </row>
    <row r="2144" spans="17:23" x14ac:dyDescent="0.2">
      <c r="Q2144">
        <f t="shared" si="254"/>
        <v>2128</v>
      </c>
      <c r="R2144" s="48">
        <f t="shared" ca="1" si="255"/>
        <v>0.45</v>
      </c>
      <c r="S2144">
        <f t="shared" ca="1" si="256"/>
        <v>168.16680644583954</v>
      </c>
      <c r="T2144" s="61">
        <f t="shared" ca="1" si="250"/>
        <v>21600</v>
      </c>
      <c r="U2144" s="61">
        <f t="shared" ca="1" si="251"/>
        <v>11993.394836169397</v>
      </c>
      <c r="V2144" s="39">
        <f t="shared" ca="1" si="252"/>
        <v>7.8903913395851288E-2</v>
      </c>
      <c r="W2144" s="48">
        <f t="shared" ca="1" si="253"/>
        <v>0.851513568340313</v>
      </c>
    </row>
    <row r="2145" spans="17:23" x14ac:dyDescent="0.2">
      <c r="Q2145">
        <f t="shared" si="254"/>
        <v>2129</v>
      </c>
      <c r="R2145" s="48">
        <f t="shared" ca="1" si="255"/>
        <v>0.3</v>
      </c>
      <c r="S2145">
        <f t="shared" ca="1" si="256"/>
        <v>192.53553574931152</v>
      </c>
      <c r="T2145" s="61">
        <f t="shared" ca="1" si="250"/>
        <v>14400</v>
      </c>
      <c r="U2145" s="61">
        <f t="shared" ca="1" si="251"/>
        <v>15819.900019614452</v>
      </c>
      <c r="V2145" s="39">
        <f t="shared" ca="1" si="252"/>
        <v>0.10407828960272665</v>
      </c>
      <c r="W2145" s="48">
        <f t="shared" ca="1" si="253"/>
        <v>1.2324242114084702</v>
      </c>
    </row>
    <row r="2146" spans="17:23" x14ac:dyDescent="0.2">
      <c r="Q2146">
        <f t="shared" si="254"/>
        <v>2130</v>
      </c>
      <c r="R2146" s="48">
        <f t="shared" ca="1" si="255"/>
        <v>0.3</v>
      </c>
      <c r="S2146">
        <f t="shared" ca="1" si="256"/>
        <v>209.83907819151159</v>
      </c>
      <c r="T2146" s="61">
        <f t="shared" ca="1" si="250"/>
        <v>14400</v>
      </c>
      <c r="U2146" s="61">
        <f t="shared" ca="1" si="251"/>
        <v>25509.88378724649</v>
      </c>
      <c r="V2146" s="39">
        <f t="shared" ca="1" si="252"/>
        <v>0.16782818281083217</v>
      </c>
      <c r="W2146" s="48">
        <f t="shared" ca="1" si="253"/>
        <v>2.5198014349335986</v>
      </c>
    </row>
    <row r="2147" spans="17:23" x14ac:dyDescent="0.2">
      <c r="Q2147">
        <f t="shared" si="254"/>
        <v>2131</v>
      </c>
      <c r="R2147" s="48">
        <f t="shared" ca="1" si="255"/>
        <v>0.15</v>
      </c>
      <c r="S2147">
        <f t="shared" ca="1" si="256"/>
        <v>233.57465209403932</v>
      </c>
      <c r="T2147" s="61">
        <f t="shared" ca="1" si="250"/>
        <v>7200</v>
      </c>
      <c r="U2147" s="61">
        <f t="shared" ca="1" si="251"/>
        <v>36830.763423946744</v>
      </c>
      <c r="V2147" s="39">
        <f t="shared" ca="1" si="252"/>
        <v>0.24230765410491278</v>
      </c>
      <c r="W2147" s="48">
        <f t="shared" ca="1" si="253"/>
        <v>4.8117000923234041</v>
      </c>
    </row>
    <row r="2148" spans="17:23" x14ac:dyDescent="0.2">
      <c r="Q2148">
        <f t="shared" si="254"/>
        <v>2132</v>
      </c>
      <c r="R2148" s="48">
        <f t="shared" ca="1" si="255"/>
        <v>0.35</v>
      </c>
      <c r="S2148">
        <f t="shared" ca="1" si="256"/>
        <v>194.7582561872446</v>
      </c>
      <c r="T2148" s="61">
        <f t="shared" ca="1" si="250"/>
        <v>16800</v>
      </c>
      <c r="U2148" s="61">
        <f t="shared" ca="1" si="251"/>
        <v>19274.293217367191</v>
      </c>
      <c r="V2148" s="39">
        <f t="shared" ca="1" si="252"/>
        <v>0.12680456064057363</v>
      </c>
      <c r="W2148" s="48">
        <f t="shared" ca="1" si="253"/>
        <v>1.6335994558755926</v>
      </c>
    </row>
    <row r="2149" spans="17:23" x14ac:dyDescent="0.2">
      <c r="Q2149">
        <f t="shared" si="254"/>
        <v>2133</v>
      </c>
      <c r="R2149" s="48">
        <f t="shared" ca="1" si="255"/>
        <v>0.217</v>
      </c>
      <c r="S2149">
        <f t="shared" ca="1" si="256"/>
        <v>208.70691849179252</v>
      </c>
      <c r="T2149" s="61">
        <f t="shared" ca="1" si="250"/>
        <v>10416</v>
      </c>
      <c r="U2149" s="61">
        <f t="shared" ca="1" si="251"/>
        <v>22134.013743258834</v>
      </c>
      <c r="V2149" s="39">
        <f t="shared" ca="1" si="252"/>
        <v>0.14561851146880811</v>
      </c>
      <c r="W2149" s="48">
        <f t="shared" ca="1" si="253"/>
        <v>2.0121748842925671</v>
      </c>
    </row>
    <row r="2150" spans="17:23" x14ac:dyDescent="0.2">
      <c r="Q2150">
        <f t="shared" si="254"/>
        <v>2134</v>
      </c>
      <c r="R2150" s="48">
        <f t="shared" ca="1" si="255"/>
        <v>0.3</v>
      </c>
      <c r="S2150">
        <f t="shared" ca="1" si="256"/>
        <v>153.50659996293089</v>
      </c>
      <c r="T2150" s="61">
        <f t="shared" ca="1" si="250"/>
        <v>14400</v>
      </c>
      <c r="U2150" s="61">
        <f t="shared" ca="1" si="251"/>
        <v>-6036.3040207587001</v>
      </c>
      <c r="V2150" s="39">
        <f t="shared" ca="1" si="252"/>
        <v>-3.971252645235987E-2</v>
      </c>
      <c r="W2150" s="48">
        <f t="shared" ca="1" si="253"/>
        <v>-0.28012897259873459</v>
      </c>
    </row>
    <row r="2151" spans="17:23" x14ac:dyDescent="0.2">
      <c r="Q2151">
        <f t="shared" si="254"/>
        <v>2135</v>
      </c>
      <c r="R2151" s="48">
        <f t="shared" ca="1" si="255"/>
        <v>0.4</v>
      </c>
      <c r="S2151">
        <f t="shared" ca="1" si="256"/>
        <v>171.97552019780341</v>
      </c>
      <c r="T2151" s="61">
        <f t="shared" ca="1" si="250"/>
        <v>19200</v>
      </c>
      <c r="U2151" s="61">
        <f t="shared" ca="1" si="251"/>
        <v>10548.249694945634</v>
      </c>
      <c r="V2151" s="39">
        <f t="shared" ca="1" si="252"/>
        <v>6.9396379572010752E-2</v>
      </c>
      <c r="W2151" s="48">
        <f t="shared" ca="1" si="253"/>
        <v>0.72324612320044768</v>
      </c>
    </row>
    <row r="2152" spans="17:23" x14ac:dyDescent="0.2">
      <c r="Q2152">
        <f t="shared" si="254"/>
        <v>2136</v>
      </c>
      <c r="R2152" s="48">
        <f t="shared" ca="1" si="255"/>
        <v>0.35</v>
      </c>
      <c r="S2152">
        <f t="shared" ca="1" si="256"/>
        <v>213.58100452895431</v>
      </c>
      <c r="T2152" s="61">
        <f t="shared" ca="1" si="250"/>
        <v>16800</v>
      </c>
      <c r="U2152" s="61">
        <f t="shared" ca="1" si="251"/>
        <v>29062.122355056243</v>
      </c>
      <c r="V2152" s="39">
        <f t="shared" ca="1" si="252"/>
        <v>0.1911981733885279</v>
      </c>
      <c r="W2152" s="48">
        <f t="shared" ca="1" si="253"/>
        <v>3.1334702770554328</v>
      </c>
    </row>
    <row r="2153" spans="17:23" x14ac:dyDescent="0.2">
      <c r="Q2153">
        <f t="shared" si="254"/>
        <v>2137</v>
      </c>
      <c r="R2153" s="48">
        <f t="shared" ca="1" si="255"/>
        <v>0.15</v>
      </c>
      <c r="S2153">
        <f t="shared" ca="1" si="256"/>
        <v>173.57979963162563</v>
      </c>
      <c r="T2153" s="61">
        <f t="shared" ca="1" si="250"/>
        <v>7200</v>
      </c>
      <c r="U2153" s="61">
        <f t="shared" ca="1" si="251"/>
        <v>-3965.7362504945704</v>
      </c>
      <c r="V2153" s="39">
        <f t="shared" ca="1" si="252"/>
        <v>-2.6090370069043228E-2</v>
      </c>
      <c r="W2153" s="48">
        <f t="shared" ca="1" si="253"/>
        <v>-0.19299992231919505</v>
      </c>
    </row>
    <row r="2154" spans="17:23" x14ac:dyDescent="0.2">
      <c r="Q2154">
        <f t="shared" si="254"/>
        <v>2138</v>
      </c>
      <c r="R2154" s="48">
        <f t="shared" ca="1" si="255"/>
        <v>0.35</v>
      </c>
      <c r="S2154">
        <f t="shared" ca="1" si="256"/>
        <v>194.41007817909943</v>
      </c>
      <c r="T2154" s="61">
        <f t="shared" ca="1" si="250"/>
        <v>16800</v>
      </c>
      <c r="U2154" s="61">
        <f t="shared" ca="1" si="251"/>
        <v>19093.240653131703</v>
      </c>
      <c r="V2154" s="39">
        <f t="shared" ca="1" si="252"/>
        <v>0.12561342534955067</v>
      </c>
      <c r="W2154" s="48">
        <f t="shared" ca="1" si="253"/>
        <v>1.611103176201945</v>
      </c>
    </row>
    <row r="2155" spans="17:23" x14ac:dyDescent="0.2">
      <c r="Q2155">
        <f t="shared" si="254"/>
        <v>2139</v>
      </c>
      <c r="R2155" s="48">
        <f t="shared" ca="1" si="255"/>
        <v>0.35</v>
      </c>
      <c r="S2155">
        <f t="shared" ca="1" si="256"/>
        <v>191.21471484308682</v>
      </c>
      <c r="T2155" s="61">
        <f t="shared" ca="1" si="250"/>
        <v>16800</v>
      </c>
      <c r="U2155" s="61">
        <f t="shared" ca="1" si="251"/>
        <v>17431.651718405148</v>
      </c>
      <c r="V2155" s="39">
        <f t="shared" ca="1" si="252"/>
        <v>0.11468191920003387</v>
      </c>
      <c r="W2155" s="48">
        <f t="shared" ca="1" si="253"/>
        <v>1.4123851619787828</v>
      </c>
    </row>
    <row r="2156" spans="17:23" x14ac:dyDescent="0.2">
      <c r="Q2156">
        <f t="shared" si="254"/>
        <v>2140</v>
      </c>
      <c r="R2156" s="48">
        <f t="shared" ca="1" si="255"/>
        <v>0.35</v>
      </c>
      <c r="S2156">
        <f t="shared" ca="1" si="256"/>
        <v>176.60310035988869</v>
      </c>
      <c r="T2156" s="61">
        <f t="shared" ca="1" si="250"/>
        <v>16800</v>
      </c>
      <c r="U2156" s="61">
        <f t="shared" ca="1" si="251"/>
        <v>9833.6121871421165</v>
      </c>
      <c r="V2156" s="39">
        <f t="shared" ca="1" si="252"/>
        <v>6.4694817020671813E-2</v>
      </c>
      <c r="W2156" s="48">
        <f t="shared" ca="1" si="253"/>
        <v>0.66274685405148026</v>
      </c>
    </row>
    <row r="2157" spans="17:23" x14ac:dyDescent="0.2">
      <c r="Q2157">
        <f t="shared" si="254"/>
        <v>2141</v>
      </c>
      <c r="R2157" s="48">
        <f t="shared" ca="1" si="255"/>
        <v>0.217</v>
      </c>
      <c r="S2157">
        <f t="shared" ca="1" si="256"/>
        <v>166.79139159453774</v>
      </c>
      <c r="T2157" s="61">
        <f t="shared" ca="1" si="250"/>
        <v>10416</v>
      </c>
      <c r="U2157" s="61">
        <f t="shared" ca="1" si="251"/>
        <v>-4121.8723051815577</v>
      </c>
      <c r="V2157" s="39">
        <f t="shared" ca="1" si="252"/>
        <v>-2.7117580955141829E-2</v>
      </c>
      <c r="W2157" s="48">
        <f t="shared" ca="1" si="253"/>
        <v>-0.19987799337110967</v>
      </c>
    </row>
    <row r="2158" spans="17:23" x14ac:dyDescent="0.2">
      <c r="Q2158">
        <f t="shared" si="254"/>
        <v>2142</v>
      </c>
      <c r="R2158" s="48">
        <f t="shared" ca="1" si="255"/>
        <v>0.3</v>
      </c>
      <c r="S2158">
        <f t="shared" ca="1" si="256"/>
        <v>192.15413943240665</v>
      </c>
      <c r="T2158" s="61">
        <f t="shared" ca="1" si="250"/>
        <v>14400</v>
      </c>
      <c r="U2158" s="61">
        <f t="shared" ca="1" si="251"/>
        <v>15606.318082147725</v>
      </c>
      <c r="V2158" s="39">
        <f t="shared" ca="1" si="252"/>
        <v>0.10267314527728767</v>
      </c>
      <c r="W2158" s="48">
        <f t="shared" ca="1" si="253"/>
        <v>1.2094831471881471</v>
      </c>
    </row>
    <row r="2159" spans="17:23" x14ac:dyDescent="0.2">
      <c r="Q2159">
        <f t="shared" si="254"/>
        <v>2143</v>
      </c>
      <c r="R2159" s="48">
        <f t="shared" ca="1" si="255"/>
        <v>0.15</v>
      </c>
      <c r="S2159">
        <f t="shared" ca="1" si="256"/>
        <v>197.03282315517535</v>
      </c>
      <c r="T2159" s="61">
        <f t="shared" ca="1" si="250"/>
        <v>7200</v>
      </c>
      <c r="U2159" s="61">
        <f t="shared" ca="1" si="251"/>
        <v>11982.319745519238</v>
      </c>
      <c r="V2159" s="39">
        <f t="shared" ca="1" si="252"/>
        <v>7.8831050957363411E-2</v>
      </c>
      <c r="W2159" s="48">
        <f t="shared" ca="1" si="253"/>
        <v>0.85049960115095358</v>
      </c>
    </row>
    <row r="2160" spans="17:23" x14ac:dyDescent="0.2">
      <c r="Q2160">
        <f t="shared" si="254"/>
        <v>2144</v>
      </c>
      <c r="R2160" s="48">
        <f t="shared" ca="1" si="255"/>
        <v>0.45</v>
      </c>
      <c r="S2160">
        <f t="shared" ca="1" si="256"/>
        <v>191.09991484512449</v>
      </c>
      <c r="T2160" s="61">
        <f t="shared" ca="1" si="250"/>
        <v>21600</v>
      </c>
      <c r="U2160" s="61">
        <f t="shared" ca="1" si="251"/>
        <v>22083.962531854773</v>
      </c>
      <c r="V2160" s="39">
        <f t="shared" ca="1" si="252"/>
        <v>0.1452892271832551</v>
      </c>
      <c r="W2160" s="48">
        <f t="shared" ca="1" si="253"/>
        <v>2.0051595606189587</v>
      </c>
    </row>
    <row r="2161" spans="17:23" x14ac:dyDescent="0.2">
      <c r="Q2161">
        <f t="shared" si="254"/>
        <v>2145</v>
      </c>
      <c r="R2161" s="48">
        <f t="shared" ca="1" si="255"/>
        <v>0.4</v>
      </c>
      <c r="S2161">
        <f t="shared" ca="1" si="256"/>
        <v>202.04632844315265</v>
      </c>
      <c r="T2161" s="61">
        <f t="shared" ca="1" si="250"/>
        <v>19200</v>
      </c>
      <c r="U2161" s="61">
        <f t="shared" ca="1" si="251"/>
        <v>24982.237652713269</v>
      </c>
      <c r="V2161" s="39">
        <f t="shared" ca="1" si="252"/>
        <v>0.1643568266625873</v>
      </c>
      <c r="W2161" s="48">
        <f t="shared" ca="1" si="253"/>
        <v>2.4358298601965624</v>
      </c>
    </row>
    <row r="2162" spans="17:23" x14ac:dyDescent="0.2">
      <c r="Q2162">
        <f t="shared" si="254"/>
        <v>2146</v>
      </c>
      <c r="R2162" s="48">
        <f t="shared" ca="1" si="255"/>
        <v>0.35</v>
      </c>
      <c r="S2162">
        <f t="shared" ca="1" si="256"/>
        <v>214.15793099026922</v>
      </c>
      <c r="T2162" s="61">
        <f t="shared" ca="1" si="250"/>
        <v>16800</v>
      </c>
      <c r="U2162" s="61">
        <f t="shared" ca="1" si="251"/>
        <v>29362.124114939994</v>
      </c>
      <c r="V2162" s="39">
        <f t="shared" ca="1" si="252"/>
        <v>0.1931718691772368</v>
      </c>
      <c r="W2162" s="48">
        <f t="shared" ca="1" si="253"/>
        <v>3.1893495795576099</v>
      </c>
    </row>
    <row r="2163" spans="17:23" x14ac:dyDescent="0.2">
      <c r="Q2163">
        <f t="shared" si="254"/>
        <v>2147</v>
      </c>
      <c r="R2163" s="48">
        <f t="shared" ca="1" si="255"/>
        <v>0.4</v>
      </c>
      <c r="S2163">
        <f t="shared" ca="1" si="256"/>
        <v>157.00300023615716</v>
      </c>
      <c r="T2163" s="61">
        <f t="shared" ca="1" si="250"/>
        <v>19200</v>
      </c>
      <c r="U2163" s="61">
        <f t="shared" ca="1" si="251"/>
        <v>3361.4401133554384</v>
      </c>
      <c r="V2163" s="39">
        <f t="shared" ca="1" si="252"/>
        <v>2.2114737587864725E-2</v>
      </c>
      <c r="W2163" s="48">
        <f t="shared" ca="1" si="253"/>
        <v>0.19413305182037166</v>
      </c>
    </row>
    <row r="2164" spans="17:23" x14ac:dyDescent="0.2">
      <c r="Q2164">
        <f t="shared" si="254"/>
        <v>2148</v>
      </c>
      <c r="R2164" s="48">
        <f t="shared" ca="1" si="255"/>
        <v>0.45</v>
      </c>
      <c r="S2164">
        <f t="shared" ca="1" si="256"/>
        <v>180.90568624603543</v>
      </c>
      <c r="T2164" s="61">
        <f t="shared" ca="1" si="250"/>
        <v>21600</v>
      </c>
      <c r="U2164" s="61">
        <f t="shared" ca="1" si="251"/>
        <v>17598.501948255587</v>
      </c>
      <c r="V2164" s="39">
        <f t="shared" ca="1" si="252"/>
        <v>0.11577961808062887</v>
      </c>
      <c r="W2164" s="48">
        <f t="shared" ca="1" si="253"/>
        <v>1.4317217695381097</v>
      </c>
    </row>
    <row r="2165" spans="17:23" x14ac:dyDescent="0.2">
      <c r="Q2165">
        <f t="shared" si="254"/>
        <v>2149</v>
      </c>
      <c r="R2165" s="48">
        <f t="shared" ca="1" si="255"/>
        <v>0.35</v>
      </c>
      <c r="S2165">
        <f t="shared" ca="1" si="256"/>
        <v>190.77275886112818</v>
      </c>
      <c r="T2165" s="61">
        <f t="shared" ca="1" si="250"/>
        <v>16800</v>
      </c>
      <c r="U2165" s="61">
        <f t="shared" ca="1" si="251"/>
        <v>17201.834607786655</v>
      </c>
      <c r="V2165" s="39">
        <f t="shared" ca="1" si="252"/>
        <v>0.11316996452491221</v>
      </c>
      <c r="W2165" s="48">
        <f t="shared" ca="1" si="253"/>
        <v>1.3859719597374802</v>
      </c>
    </row>
    <row r="2166" spans="17:23" x14ac:dyDescent="0.2">
      <c r="Q2166">
        <f t="shared" si="254"/>
        <v>2150</v>
      </c>
      <c r="R2166" s="48">
        <f t="shared" ca="1" si="255"/>
        <v>0.4</v>
      </c>
      <c r="S2166">
        <f t="shared" ca="1" si="256"/>
        <v>222.12684363146403</v>
      </c>
      <c r="T2166" s="61">
        <f t="shared" ca="1" si="250"/>
        <v>19200</v>
      </c>
      <c r="U2166" s="61">
        <f t="shared" ca="1" si="251"/>
        <v>34620.884943102734</v>
      </c>
      <c r="V2166" s="39">
        <f t="shared" ca="1" si="252"/>
        <v>0.22776897988883377</v>
      </c>
      <c r="W2166" s="48">
        <f t="shared" ca="1" si="253"/>
        <v>4.2824464493158718</v>
      </c>
    </row>
    <row r="2167" spans="17:23" x14ac:dyDescent="0.2">
      <c r="Q2167">
        <f t="shared" si="254"/>
        <v>2151</v>
      </c>
      <c r="R2167" s="48">
        <f t="shared" ca="1" si="255"/>
        <v>0.4</v>
      </c>
      <c r="S2167">
        <f t="shared" ca="1" si="256"/>
        <v>157.16819099719388</v>
      </c>
      <c r="T2167" s="61">
        <f t="shared" ca="1" si="250"/>
        <v>19200</v>
      </c>
      <c r="U2167" s="61">
        <f t="shared" ca="1" si="251"/>
        <v>3440.731678653061</v>
      </c>
      <c r="V2167" s="39">
        <f t="shared" ca="1" si="252"/>
        <v>2.2636392622717508E-2</v>
      </c>
      <c r="W2167" s="48">
        <f t="shared" ca="1" si="253"/>
        <v>0.19908532982541782</v>
      </c>
    </row>
    <row r="2168" spans="17:23" x14ac:dyDescent="0.2">
      <c r="Q2168">
        <f t="shared" si="254"/>
        <v>2152</v>
      </c>
      <c r="R2168" s="48">
        <f t="shared" ca="1" si="255"/>
        <v>0.15</v>
      </c>
      <c r="S2168">
        <f t="shared" ca="1" si="256"/>
        <v>180.57217329244546</v>
      </c>
      <c r="T2168" s="61">
        <f t="shared" ca="1" si="250"/>
        <v>7200</v>
      </c>
      <c r="U2168" s="61">
        <f t="shared" ca="1" si="251"/>
        <v>789.07783886290963</v>
      </c>
      <c r="V2168" s="39">
        <f t="shared" ca="1" si="252"/>
        <v>5.191301571466511E-3</v>
      </c>
      <c r="W2168" s="48">
        <f t="shared" ca="1" si="253"/>
        <v>4.2892711046008669E-2</v>
      </c>
    </row>
    <row r="2169" spans="17:23" x14ac:dyDescent="0.2">
      <c r="Q2169">
        <f t="shared" si="254"/>
        <v>2153</v>
      </c>
      <c r="R2169" s="48">
        <f t="shared" ca="1" si="255"/>
        <v>0.35</v>
      </c>
      <c r="S2169">
        <f t="shared" ca="1" si="256"/>
        <v>190.31717610321451</v>
      </c>
      <c r="T2169" s="61">
        <f t="shared" ref="T2169:T2232" ca="1" si="257">($B$8-$B$7)*($E$6*R2169)</f>
        <v>16800</v>
      </c>
      <c r="U2169" s="61">
        <f t="shared" ref="U2169:U2232" ca="1" si="258">T2169+((S2169-$B$7)*($E$6*(1-R2169)))</f>
        <v>16964.931573671543</v>
      </c>
      <c r="V2169" s="39">
        <f t="shared" ref="V2169:V2232" ca="1" si="259">U2169/$E$4</f>
        <v>0.11161139193204962</v>
      </c>
      <c r="W2169" s="48">
        <f t="shared" ref="W2169:W2232" ca="1" si="260">(1+V2169)^($J$29/$J$30)-1</f>
        <v>1.3590100891481276</v>
      </c>
    </row>
    <row r="2170" spans="17:23" x14ac:dyDescent="0.2">
      <c r="Q2170">
        <f t="shared" si="254"/>
        <v>2154</v>
      </c>
      <c r="R2170" s="48">
        <f t="shared" ca="1" si="255"/>
        <v>0.3</v>
      </c>
      <c r="S2170">
        <f t="shared" ca="1" si="256"/>
        <v>227.70864351966407</v>
      </c>
      <c r="T2170" s="61">
        <f t="shared" ca="1" si="257"/>
        <v>14400</v>
      </c>
      <c r="U2170" s="61">
        <f t="shared" ca="1" si="258"/>
        <v>35516.840371011873</v>
      </c>
      <c r="V2170" s="39">
        <f t="shared" ca="1" si="259"/>
        <v>0.23366342349349917</v>
      </c>
      <c r="W2170" s="48">
        <f t="shared" ca="1" si="260"/>
        <v>4.4916958281421433</v>
      </c>
    </row>
    <row r="2171" spans="17:23" x14ac:dyDescent="0.2">
      <c r="Q2171">
        <f t="shared" si="254"/>
        <v>2155</v>
      </c>
      <c r="R2171" s="48">
        <f t="shared" ca="1" si="255"/>
        <v>0.3</v>
      </c>
      <c r="S2171">
        <f t="shared" ca="1" si="256"/>
        <v>219.93707890920456</v>
      </c>
      <c r="T2171" s="61">
        <f t="shared" ca="1" si="257"/>
        <v>14400</v>
      </c>
      <c r="U2171" s="61">
        <f t="shared" ca="1" si="258"/>
        <v>31164.764189154554</v>
      </c>
      <c r="V2171" s="39">
        <f t="shared" ca="1" si="259"/>
        <v>0.20503134334970102</v>
      </c>
      <c r="W2171" s="48">
        <f t="shared" ca="1" si="260"/>
        <v>3.5392757070236591</v>
      </c>
    </row>
    <row r="2172" spans="17:23" x14ac:dyDescent="0.2">
      <c r="Q2172">
        <f t="shared" si="254"/>
        <v>2156</v>
      </c>
      <c r="R2172" s="48">
        <f t="shared" ca="1" si="255"/>
        <v>0.45</v>
      </c>
      <c r="S2172">
        <f t="shared" ca="1" si="256"/>
        <v>197.87782311300106</v>
      </c>
      <c r="T2172" s="61">
        <f t="shared" ca="1" si="257"/>
        <v>21600</v>
      </c>
      <c r="U2172" s="61">
        <f t="shared" ca="1" si="258"/>
        <v>25066.242169720466</v>
      </c>
      <c r="V2172" s="39">
        <f t="shared" ca="1" si="259"/>
        <v>0.16490948795868729</v>
      </c>
      <c r="W2172" s="48">
        <f t="shared" ca="1" si="260"/>
        <v>2.4490799243712416</v>
      </c>
    </row>
    <row r="2173" spans="17:23" x14ac:dyDescent="0.2">
      <c r="Q2173">
        <f t="shared" si="254"/>
        <v>2157</v>
      </c>
      <c r="R2173" s="48">
        <f t="shared" ca="1" si="255"/>
        <v>0.45</v>
      </c>
      <c r="S2173">
        <f t="shared" ca="1" si="256"/>
        <v>176.94045117723519</v>
      </c>
      <c r="T2173" s="61">
        <f t="shared" ca="1" si="257"/>
        <v>21600</v>
      </c>
      <c r="U2173" s="61">
        <f t="shared" ca="1" si="258"/>
        <v>15853.798517983483</v>
      </c>
      <c r="V2173" s="39">
        <f t="shared" ca="1" si="259"/>
        <v>0.10430130603936502</v>
      </c>
      <c r="W2173" s="48">
        <f t="shared" ca="1" si="260"/>
        <v>1.2360844214056019</v>
      </c>
    </row>
    <row r="2174" spans="17:23" x14ac:dyDescent="0.2">
      <c r="Q2174">
        <f t="shared" si="254"/>
        <v>2158</v>
      </c>
      <c r="R2174" s="48">
        <f t="shared" ca="1" si="255"/>
        <v>0.15</v>
      </c>
      <c r="S2174">
        <f t="shared" ca="1" si="256"/>
        <v>213.80528509818933</v>
      </c>
      <c r="T2174" s="61">
        <f t="shared" ca="1" si="257"/>
        <v>7200</v>
      </c>
      <c r="U2174" s="61">
        <f t="shared" ca="1" si="258"/>
        <v>23387.593866768744</v>
      </c>
      <c r="V2174" s="39">
        <f t="shared" ca="1" si="259"/>
        <v>0.15386574912347858</v>
      </c>
      <c r="W2174" s="48">
        <f t="shared" ca="1" si="260"/>
        <v>2.1926285974832171</v>
      </c>
    </row>
    <row r="2175" spans="17:23" x14ac:dyDescent="0.2">
      <c r="Q2175">
        <f t="shared" si="254"/>
        <v>2159</v>
      </c>
      <c r="R2175" s="48">
        <f t="shared" ca="1" si="255"/>
        <v>0.45</v>
      </c>
      <c r="S2175">
        <f t="shared" ca="1" si="256"/>
        <v>201.24601832144481</v>
      </c>
      <c r="T2175" s="61">
        <f t="shared" ca="1" si="257"/>
        <v>21600</v>
      </c>
      <c r="U2175" s="61">
        <f t="shared" ca="1" si="258"/>
        <v>26548.248061435715</v>
      </c>
      <c r="V2175" s="39">
        <f t="shared" ca="1" si="259"/>
        <v>0.17465952671997181</v>
      </c>
      <c r="W2175" s="48">
        <f t="shared" ca="1" si="260"/>
        <v>2.6903201331738749</v>
      </c>
    </row>
    <row r="2176" spans="17:23" x14ac:dyDescent="0.2">
      <c r="Q2176">
        <f t="shared" si="254"/>
        <v>2160</v>
      </c>
      <c r="R2176" s="48">
        <f t="shared" ca="1" si="255"/>
        <v>0.4</v>
      </c>
      <c r="S2176">
        <f t="shared" ca="1" si="256"/>
        <v>163.88380962022123</v>
      </c>
      <c r="T2176" s="61">
        <f t="shared" ca="1" si="257"/>
        <v>19200</v>
      </c>
      <c r="U2176" s="61">
        <f t="shared" ca="1" si="258"/>
        <v>6664.2286177061906</v>
      </c>
      <c r="V2176" s="39">
        <f t="shared" ca="1" si="259"/>
        <v>4.3843609327014414E-2</v>
      </c>
      <c r="W2176" s="48">
        <f t="shared" ca="1" si="260"/>
        <v>0.41629622527937316</v>
      </c>
    </row>
    <row r="2177" spans="17:23" x14ac:dyDescent="0.2">
      <c r="Q2177">
        <f t="shared" si="254"/>
        <v>2161</v>
      </c>
      <c r="R2177" s="48">
        <f t="shared" ca="1" si="255"/>
        <v>0.45</v>
      </c>
      <c r="S2177">
        <f t="shared" ca="1" si="256"/>
        <v>181.63790224847247</v>
      </c>
      <c r="T2177" s="61">
        <f t="shared" ca="1" si="257"/>
        <v>21600</v>
      </c>
      <c r="U2177" s="61">
        <f t="shared" ca="1" si="258"/>
        <v>17920.676989327887</v>
      </c>
      <c r="V2177" s="39">
        <f t="shared" ca="1" si="259"/>
        <v>0.11789919071926241</v>
      </c>
      <c r="W2177" s="48">
        <f t="shared" ca="1" si="260"/>
        <v>1.4694441324793726</v>
      </c>
    </row>
    <row r="2178" spans="17:23" x14ac:dyDescent="0.2">
      <c r="Q2178">
        <f t="shared" si="254"/>
        <v>2162</v>
      </c>
      <c r="R2178" s="48">
        <f t="shared" ca="1" si="255"/>
        <v>0.3</v>
      </c>
      <c r="S2178">
        <f t="shared" ca="1" si="256"/>
        <v>184.98652876399359</v>
      </c>
      <c r="T2178" s="61">
        <f t="shared" ca="1" si="257"/>
        <v>14400</v>
      </c>
      <c r="U2178" s="61">
        <f t="shared" ca="1" si="258"/>
        <v>11592.45610783641</v>
      </c>
      <c r="V2178" s="39">
        <f t="shared" ca="1" si="259"/>
        <v>7.6266158604186909E-2</v>
      </c>
      <c r="W2178" s="48">
        <f t="shared" ca="1" si="260"/>
        <v>0.81511485145285434</v>
      </c>
    </row>
    <row r="2179" spans="17:23" x14ac:dyDescent="0.2">
      <c r="Q2179">
        <f t="shared" si="254"/>
        <v>2163</v>
      </c>
      <c r="R2179" s="48">
        <f t="shared" ca="1" si="255"/>
        <v>0.4</v>
      </c>
      <c r="S2179">
        <f t="shared" ca="1" si="256"/>
        <v>193.98704253421118</v>
      </c>
      <c r="T2179" s="61">
        <f t="shared" ca="1" si="257"/>
        <v>19200</v>
      </c>
      <c r="U2179" s="61">
        <f t="shared" ca="1" si="258"/>
        <v>21113.780416421367</v>
      </c>
      <c r="V2179" s="39">
        <f t="shared" ca="1" si="259"/>
        <v>0.13890645010803532</v>
      </c>
      <c r="W2179" s="48">
        <f t="shared" ca="1" si="260"/>
        <v>1.8719764254702778</v>
      </c>
    </row>
    <row r="2180" spans="17:23" x14ac:dyDescent="0.2">
      <c r="Q2180">
        <f t="shared" si="254"/>
        <v>2164</v>
      </c>
      <c r="R2180" s="48">
        <f t="shared" ca="1" si="255"/>
        <v>0.35</v>
      </c>
      <c r="S2180">
        <f t="shared" ca="1" si="256"/>
        <v>200.88556551788685</v>
      </c>
      <c r="T2180" s="61">
        <f t="shared" ca="1" si="257"/>
        <v>16800</v>
      </c>
      <c r="U2180" s="61">
        <f t="shared" ca="1" si="258"/>
        <v>22460.494069301159</v>
      </c>
      <c r="V2180" s="39">
        <f t="shared" ca="1" si="259"/>
        <v>0.14776640835066551</v>
      </c>
      <c r="W2180" s="48">
        <f t="shared" ca="1" si="260"/>
        <v>2.0582886355246344</v>
      </c>
    </row>
    <row r="2181" spans="17:23" x14ac:dyDescent="0.2">
      <c r="Q2181">
        <f t="shared" si="254"/>
        <v>2165</v>
      </c>
      <c r="R2181" s="48">
        <f t="shared" ca="1" si="255"/>
        <v>0.45</v>
      </c>
      <c r="S2181">
        <f t="shared" ca="1" si="256"/>
        <v>204.98214702777636</v>
      </c>
      <c r="T2181" s="61">
        <f t="shared" ca="1" si="257"/>
        <v>21600</v>
      </c>
      <c r="U2181" s="61">
        <f t="shared" ca="1" si="258"/>
        <v>28192.144692221602</v>
      </c>
      <c r="V2181" s="39">
        <f t="shared" ca="1" si="259"/>
        <v>0.18547463613303686</v>
      </c>
      <c r="W2181" s="48">
        <f t="shared" ca="1" si="260"/>
        <v>2.9751029740272297</v>
      </c>
    </row>
    <row r="2182" spans="17:23" x14ac:dyDescent="0.2">
      <c r="Q2182">
        <f t="shared" si="254"/>
        <v>2166</v>
      </c>
      <c r="R2182" s="48">
        <f t="shared" ca="1" si="255"/>
        <v>0.45</v>
      </c>
      <c r="S2182">
        <f t="shared" ca="1" si="256"/>
        <v>191.64732850912878</v>
      </c>
      <c r="T2182" s="61">
        <f t="shared" ca="1" si="257"/>
        <v>21600</v>
      </c>
      <c r="U2182" s="61">
        <f t="shared" ca="1" si="258"/>
        <v>22324.824544016665</v>
      </c>
      <c r="V2182" s="39">
        <f t="shared" ca="1" si="259"/>
        <v>0.14687384568432016</v>
      </c>
      <c r="W2182" s="48">
        <f t="shared" ca="1" si="260"/>
        <v>2.0390513649303235</v>
      </c>
    </row>
    <row r="2183" spans="17:23" x14ac:dyDescent="0.2">
      <c r="Q2183">
        <f t="shared" si="254"/>
        <v>2167</v>
      </c>
      <c r="R2183" s="48">
        <f t="shared" ca="1" si="255"/>
        <v>0.217</v>
      </c>
      <c r="S2183">
        <f t="shared" ca="1" si="256"/>
        <v>212.41375850017471</v>
      </c>
      <c r="T2183" s="61">
        <f t="shared" ca="1" si="257"/>
        <v>10416</v>
      </c>
      <c r="U2183" s="61">
        <f t="shared" ca="1" si="258"/>
        <v>24455.978324509437</v>
      </c>
      <c r="V2183" s="39">
        <f t="shared" ca="1" si="259"/>
        <v>0.16089459424019367</v>
      </c>
      <c r="W2183" s="48">
        <f t="shared" ca="1" si="260"/>
        <v>2.3538335885963568</v>
      </c>
    </row>
    <row r="2184" spans="17:23" x14ac:dyDescent="0.2">
      <c r="Q2184">
        <f t="shared" si="254"/>
        <v>2168</v>
      </c>
      <c r="R2184" s="48">
        <f t="shared" ca="1" si="255"/>
        <v>0.3</v>
      </c>
      <c r="S2184">
        <f t="shared" ca="1" si="256"/>
        <v>209.13049652261017</v>
      </c>
      <c r="T2184" s="61">
        <f t="shared" ca="1" si="257"/>
        <v>14400</v>
      </c>
      <c r="U2184" s="61">
        <f t="shared" ca="1" si="258"/>
        <v>25113.078052661695</v>
      </c>
      <c r="V2184" s="39">
        <f t="shared" ca="1" si="259"/>
        <v>0.16521761876751115</v>
      </c>
      <c r="W2184" s="48">
        <f t="shared" ca="1" si="260"/>
        <v>2.4564867995236912</v>
      </c>
    </row>
    <row r="2185" spans="17:23" x14ac:dyDescent="0.2">
      <c r="Q2185">
        <f t="shared" si="254"/>
        <v>2169</v>
      </c>
      <c r="R2185" s="48">
        <f t="shared" ca="1" si="255"/>
        <v>0.4</v>
      </c>
      <c r="S2185">
        <f t="shared" ca="1" si="256"/>
        <v>173.7925964913201</v>
      </c>
      <c r="T2185" s="61">
        <f t="shared" ca="1" si="257"/>
        <v>19200</v>
      </c>
      <c r="U2185" s="61">
        <f t="shared" ca="1" si="258"/>
        <v>11420.446315833648</v>
      </c>
      <c r="V2185" s="39">
        <f t="shared" ca="1" si="259"/>
        <v>7.5134515235747684E-2</v>
      </c>
      <c r="W2185" s="48">
        <f t="shared" ca="1" si="260"/>
        <v>0.79969247881692973</v>
      </c>
    </row>
    <row r="2186" spans="17:23" x14ac:dyDescent="0.2">
      <c r="Q2186">
        <f t="shared" si="254"/>
        <v>2170</v>
      </c>
      <c r="R2186" s="48">
        <f t="shared" ca="1" si="255"/>
        <v>0.3</v>
      </c>
      <c r="S2186">
        <f t="shared" ca="1" si="256"/>
        <v>241.19651298413677</v>
      </c>
      <c r="T2186" s="61">
        <f t="shared" ca="1" si="257"/>
        <v>14400</v>
      </c>
      <c r="U2186" s="61">
        <f t="shared" ca="1" si="258"/>
        <v>43070.047271116593</v>
      </c>
      <c r="V2186" s="39">
        <f t="shared" ca="1" si="259"/>
        <v>0.28335557415208285</v>
      </c>
      <c r="W2186" s="48">
        <f t="shared" ca="1" si="260"/>
        <v>6.5650981305153202</v>
      </c>
    </row>
    <row r="2187" spans="17:23" x14ac:dyDescent="0.2">
      <c r="Q2187">
        <f t="shared" si="254"/>
        <v>2171</v>
      </c>
      <c r="R2187" s="48">
        <f t="shared" ca="1" si="255"/>
        <v>0.35</v>
      </c>
      <c r="S2187">
        <f t="shared" ca="1" si="256"/>
        <v>241.12589789099439</v>
      </c>
      <c r="T2187" s="61">
        <f t="shared" ca="1" si="257"/>
        <v>16800</v>
      </c>
      <c r="U2187" s="61">
        <f t="shared" ca="1" si="258"/>
        <v>43385.466903317087</v>
      </c>
      <c r="V2187" s="39">
        <f t="shared" ca="1" si="259"/>
        <v>0.28543070331129661</v>
      </c>
      <c r="W2187" s="48">
        <f t="shared" ca="1" si="260"/>
        <v>6.6648890277862503</v>
      </c>
    </row>
    <row r="2188" spans="17:23" x14ac:dyDescent="0.2">
      <c r="Q2188">
        <f t="shared" si="254"/>
        <v>2172</v>
      </c>
      <c r="R2188" s="48">
        <f t="shared" ca="1" si="255"/>
        <v>0.4</v>
      </c>
      <c r="S2188">
        <f t="shared" ca="1" si="256"/>
        <v>171.88703270741775</v>
      </c>
      <c r="T2188" s="61">
        <f t="shared" ca="1" si="257"/>
        <v>19200</v>
      </c>
      <c r="U2188" s="61">
        <f t="shared" ca="1" si="258"/>
        <v>10505.775699560518</v>
      </c>
      <c r="V2188" s="39">
        <f t="shared" ca="1" si="259"/>
        <v>6.9116945391845513E-2</v>
      </c>
      <c r="W2188" s="48">
        <f t="shared" ca="1" si="260"/>
        <v>0.71959719753275864</v>
      </c>
    </row>
    <row r="2189" spans="17:23" x14ac:dyDescent="0.2">
      <c r="Q2189">
        <f t="shared" si="254"/>
        <v>2173</v>
      </c>
      <c r="R2189" s="48">
        <f t="shared" ca="1" si="255"/>
        <v>0.45</v>
      </c>
      <c r="S2189">
        <f t="shared" ca="1" si="256"/>
        <v>196.70578054830835</v>
      </c>
      <c r="T2189" s="61">
        <f t="shared" ca="1" si="257"/>
        <v>21600</v>
      </c>
      <c r="U2189" s="61">
        <f t="shared" ca="1" si="258"/>
        <v>24550.543441255675</v>
      </c>
      <c r="V2189" s="39">
        <f t="shared" ca="1" si="259"/>
        <v>0.16151673316615575</v>
      </c>
      <c r="W2189" s="48">
        <f t="shared" ca="1" si="260"/>
        <v>2.3684400190978714</v>
      </c>
    </row>
    <row r="2190" spans="17:23" x14ac:dyDescent="0.2">
      <c r="Q2190">
        <f t="shared" si="254"/>
        <v>2174</v>
      </c>
      <c r="R2190" s="48">
        <f t="shared" ca="1" si="255"/>
        <v>0.5</v>
      </c>
      <c r="S2190">
        <f t="shared" ca="1" si="256"/>
        <v>210.21009566202596</v>
      </c>
      <c r="T2190" s="61">
        <f t="shared" ca="1" si="257"/>
        <v>24000</v>
      </c>
      <c r="U2190" s="61">
        <f t="shared" ca="1" si="258"/>
        <v>32084.038264810384</v>
      </c>
      <c r="V2190" s="39">
        <f t="shared" ca="1" si="259"/>
        <v>0.21107919911059464</v>
      </c>
      <c r="W2190" s="48">
        <f t="shared" ca="1" si="260"/>
        <v>3.7273934991191631</v>
      </c>
    </row>
    <row r="2191" spans="17:23" x14ac:dyDescent="0.2">
      <c r="Q2191">
        <f t="shared" si="254"/>
        <v>2175</v>
      </c>
      <c r="R2191" s="48">
        <f t="shared" ca="1" si="255"/>
        <v>0.35</v>
      </c>
      <c r="S2191">
        <f t="shared" ca="1" si="256"/>
        <v>218.56179492574859</v>
      </c>
      <c r="T2191" s="61">
        <f t="shared" ca="1" si="257"/>
        <v>16800</v>
      </c>
      <c r="U2191" s="61">
        <f t="shared" ca="1" si="258"/>
        <v>31652.133361389264</v>
      </c>
      <c r="V2191" s="39">
        <f t="shared" ca="1" si="259"/>
        <v>0.2082377194828241</v>
      </c>
      <c r="W2191" s="48">
        <f t="shared" ca="1" si="260"/>
        <v>3.6381753198055744</v>
      </c>
    </row>
    <row r="2192" spans="17:23" x14ac:dyDescent="0.2">
      <c r="Q2192">
        <f t="shared" si="254"/>
        <v>2176</v>
      </c>
      <c r="R2192" s="48">
        <f t="shared" ca="1" si="255"/>
        <v>0.35</v>
      </c>
      <c r="S2192">
        <f t="shared" ca="1" si="256"/>
        <v>178.0777406171571</v>
      </c>
      <c r="T2192" s="61">
        <f t="shared" ca="1" si="257"/>
        <v>16800</v>
      </c>
      <c r="U2192" s="61">
        <f t="shared" ca="1" si="258"/>
        <v>10600.425120921695</v>
      </c>
      <c r="V2192" s="39">
        <f t="shared" ca="1" si="259"/>
        <v>6.9739638953432201E-2</v>
      </c>
      <c r="W2192" s="48">
        <f t="shared" ca="1" si="260"/>
        <v>0.72773778510317166</v>
      </c>
    </row>
    <row r="2193" spans="17:23" x14ac:dyDescent="0.2">
      <c r="Q2193">
        <f t="shared" si="254"/>
        <v>2177</v>
      </c>
      <c r="R2193" s="48">
        <f t="shared" ca="1" si="255"/>
        <v>0.45</v>
      </c>
      <c r="S2193">
        <f t="shared" ca="1" si="256"/>
        <v>194.25450884447136</v>
      </c>
      <c r="T2193" s="61">
        <f t="shared" ca="1" si="257"/>
        <v>21600</v>
      </c>
      <c r="U2193" s="61">
        <f t="shared" ca="1" si="258"/>
        <v>23471.983891567397</v>
      </c>
      <c r="V2193" s="39">
        <f t="shared" ca="1" si="259"/>
        <v>0.15442094665504866</v>
      </c>
      <c r="W2193" s="48">
        <f t="shared" ca="1" si="260"/>
        <v>2.2051100198265332</v>
      </c>
    </row>
    <row r="2194" spans="17:23" x14ac:dyDescent="0.2">
      <c r="Q2194">
        <f t="shared" si="254"/>
        <v>2178</v>
      </c>
      <c r="R2194" s="48">
        <f t="shared" ca="1" si="255"/>
        <v>0.4</v>
      </c>
      <c r="S2194">
        <f t="shared" ca="1" si="256"/>
        <v>202.16126148241776</v>
      </c>
      <c r="T2194" s="61">
        <f t="shared" ca="1" si="257"/>
        <v>19200</v>
      </c>
      <c r="U2194" s="61">
        <f t="shared" ca="1" si="258"/>
        <v>25037.405511560522</v>
      </c>
      <c r="V2194" s="39">
        <f t="shared" ca="1" si="259"/>
        <v>0.16471977310237185</v>
      </c>
      <c r="W2194" s="48">
        <f t="shared" ca="1" si="260"/>
        <v>2.4445264667422637</v>
      </c>
    </row>
    <row r="2195" spans="17:23" x14ac:dyDescent="0.2">
      <c r="Q2195">
        <f t="shared" ref="Q2195:Q2258" si="261">Q2194+1</f>
        <v>2179</v>
      </c>
      <c r="R2195" s="48">
        <f t="shared" ref="R2195:R2258" ca="1" si="262">LOOKUP(RAND(),$U$6:$U$12,$S$6:$S$12)</f>
        <v>0.4</v>
      </c>
      <c r="S2195">
        <f t="shared" ref="S2195:S2258" ca="1" si="263">_xlfn.NORM.INV(RAND(),$Q$5,$Q$10)</f>
        <v>191.8104341167552</v>
      </c>
      <c r="T2195" s="61">
        <f t="shared" ca="1" si="257"/>
        <v>19200</v>
      </c>
      <c r="U2195" s="61">
        <f t="shared" ca="1" si="258"/>
        <v>20069.008376042497</v>
      </c>
      <c r="V2195" s="39">
        <f t="shared" ca="1" si="259"/>
        <v>0.13203294984238484</v>
      </c>
      <c r="W2195" s="48">
        <f t="shared" ca="1" si="260"/>
        <v>1.7343675064071311</v>
      </c>
    </row>
    <row r="2196" spans="17:23" x14ac:dyDescent="0.2">
      <c r="Q2196">
        <f t="shared" si="261"/>
        <v>2180</v>
      </c>
      <c r="R2196" s="48">
        <f t="shared" ca="1" si="262"/>
        <v>0.4</v>
      </c>
      <c r="S2196">
        <f t="shared" ca="1" si="263"/>
        <v>186.72701483204537</v>
      </c>
      <c r="T2196" s="61">
        <f t="shared" ca="1" si="257"/>
        <v>19200</v>
      </c>
      <c r="U2196" s="61">
        <f t="shared" ca="1" si="258"/>
        <v>17628.967119381778</v>
      </c>
      <c r="V2196" s="39">
        <f t="shared" ca="1" si="259"/>
        <v>0.11598004683803802</v>
      </c>
      <c r="W2196" s="48">
        <f t="shared" ca="1" si="260"/>
        <v>1.4352670715352862</v>
      </c>
    </row>
    <row r="2197" spans="17:23" x14ac:dyDescent="0.2">
      <c r="Q2197">
        <f t="shared" si="261"/>
        <v>2181</v>
      </c>
      <c r="R2197" s="48">
        <f t="shared" ca="1" si="262"/>
        <v>0.3</v>
      </c>
      <c r="S2197">
        <f t="shared" ca="1" si="263"/>
        <v>206.36742590837969</v>
      </c>
      <c r="T2197" s="61">
        <f t="shared" ca="1" si="257"/>
        <v>14400</v>
      </c>
      <c r="U2197" s="61">
        <f t="shared" ca="1" si="258"/>
        <v>23565.758508692626</v>
      </c>
      <c r="V2197" s="39">
        <f t="shared" ca="1" si="259"/>
        <v>0.15503788492560938</v>
      </c>
      <c r="W2197" s="48">
        <f t="shared" ca="1" si="260"/>
        <v>2.2190296000810168</v>
      </c>
    </row>
    <row r="2198" spans="17:23" x14ac:dyDescent="0.2">
      <c r="Q2198">
        <f t="shared" si="261"/>
        <v>2182</v>
      </c>
      <c r="R2198" s="48">
        <f t="shared" ca="1" si="262"/>
        <v>0.35</v>
      </c>
      <c r="S2198">
        <f t="shared" ca="1" si="263"/>
        <v>207.93524381292738</v>
      </c>
      <c r="T2198" s="61">
        <f t="shared" ca="1" si="257"/>
        <v>16800</v>
      </c>
      <c r="U2198" s="61">
        <f t="shared" ca="1" si="258"/>
        <v>26126.326782722237</v>
      </c>
      <c r="V2198" s="39">
        <f t="shared" ca="1" si="259"/>
        <v>0.17188372883369893</v>
      </c>
      <c r="W2198" s="48">
        <f t="shared" ca="1" si="260"/>
        <v>2.620178879269337</v>
      </c>
    </row>
    <row r="2199" spans="17:23" x14ac:dyDescent="0.2">
      <c r="Q2199">
        <f t="shared" si="261"/>
        <v>2183</v>
      </c>
      <c r="R2199" s="48">
        <f t="shared" ca="1" si="262"/>
        <v>0.4</v>
      </c>
      <c r="S2199">
        <f t="shared" ca="1" si="263"/>
        <v>171.04605549472765</v>
      </c>
      <c r="T2199" s="61">
        <f t="shared" ca="1" si="257"/>
        <v>19200</v>
      </c>
      <c r="U2199" s="61">
        <f t="shared" ca="1" si="258"/>
        <v>10102.106637469275</v>
      </c>
      <c r="V2199" s="39">
        <f t="shared" ca="1" si="259"/>
        <v>6.6461227878087337E-2</v>
      </c>
      <c r="W2199" s="48">
        <f t="shared" ca="1" si="260"/>
        <v>0.68525480953621254</v>
      </c>
    </row>
    <row r="2200" spans="17:23" x14ac:dyDescent="0.2">
      <c r="Q2200">
        <f t="shared" si="261"/>
        <v>2184</v>
      </c>
      <c r="R2200" s="48">
        <f t="shared" ca="1" si="262"/>
        <v>0.3</v>
      </c>
      <c r="S2200">
        <f t="shared" ca="1" si="263"/>
        <v>210.37681937413049</v>
      </c>
      <c r="T2200" s="61">
        <f t="shared" ca="1" si="257"/>
        <v>14400</v>
      </c>
      <c r="U2200" s="61">
        <f t="shared" ca="1" si="258"/>
        <v>25811.018849513075</v>
      </c>
      <c r="V2200" s="39">
        <f t="shared" ca="1" si="259"/>
        <v>0.16980933453627023</v>
      </c>
      <c r="W2200" s="48">
        <f t="shared" ca="1" si="260"/>
        <v>2.5685271276745567</v>
      </c>
    </row>
    <row r="2201" spans="17:23" x14ac:dyDescent="0.2">
      <c r="Q2201">
        <f t="shared" si="261"/>
        <v>2185</v>
      </c>
      <c r="R2201" s="48">
        <f t="shared" ca="1" si="262"/>
        <v>0.4</v>
      </c>
      <c r="S2201">
        <f t="shared" ca="1" si="263"/>
        <v>194.76895383141118</v>
      </c>
      <c r="T2201" s="61">
        <f t="shared" ca="1" si="257"/>
        <v>19200</v>
      </c>
      <c r="U2201" s="61">
        <f t="shared" ca="1" si="258"/>
        <v>21489.097839077367</v>
      </c>
      <c r="V2201" s="39">
        <f t="shared" ca="1" si="259"/>
        <v>0.14137564367814057</v>
      </c>
      <c r="W2201" s="48">
        <f t="shared" ca="1" si="260"/>
        <v>1.922871760353988</v>
      </c>
    </row>
    <row r="2202" spans="17:23" x14ac:dyDescent="0.2">
      <c r="Q2202">
        <f t="shared" si="261"/>
        <v>2186</v>
      </c>
      <c r="R2202" s="48">
        <f t="shared" ca="1" si="262"/>
        <v>0.35</v>
      </c>
      <c r="S2202">
        <f t="shared" ca="1" si="263"/>
        <v>207.58941059256722</v>
      </c>
      <c r="T2202" s="61">
        <f t="shared" ca="1" si="257"/>
        <v>16800</v>
      </c>
      <c r="U2202" s="61">
        <f t="shared" ca="1" si="258"/>
        <v>25946.493508134954</v>
      </c>
      <c r="V2202" s="39">
        <f t="shared" ca="1" si="259"/>
        <v>0.17070061518509838</v>
      </c>
      <c r="W2202" s="48">
        <f t="shared" ca="1" si="260"/>
        <v>2.5906400162816432</v>
      </c>
    </row>
    <row r="2203" spans="17:23" x14ac:dyDescent="0.2">
      <c r="Q2203">
        <f t="shared" si="261"/>
        <v>2187</v>
      </c>
      <c r="R2203" s="48">
        <f t="shared" ca="1" si="262"/>
        <v>0.35</v>
      </c>
      <c r="S2203">
        <f t="shared" ca="1" si="263"/>
        <v>193.15046091470253</v>
      </c>
      <c r="T2203" s="61">
        <f t="shared" ca="1" si="257"/>
        <v>16800</v>
      </c>
      <c r="U2203" s="61">
        <f t="shared" ca="1" si="258"/>
        <v>18438.239675645316</v>
      </c>
      <c r="V2203" s="39">
        <f t="shared" ca="1" si="259"/>
        <v>0.1213042083924034</v>
      </c>
      <c r="W2203" s="48">
        <f t="shared" ca="1" si="260"/>
        <v>1.531118306709403</v>
      </c>
    </row>
    <row r="2204" spans="17:23" x14ac:dyDescent="0.2">
      <c r="Q2204">
        <f t="shared" si="261"/>
        <v>2188</v>
      </c>
      <c r="R2204" s="48">
        <f t="shared" ca="1" si="262"/>
        <v>0.35</v>
      </c>
      <c r="S2204">
        <f t="shared" ca="1" si="263"/>
        <v>187.12575705837074</v>
      </c>
      <c r="T2204" s="61">
        <f t="shared" ca="1" si="257"/>
        <v>16800</v>
      </c>
      <c r="U2204" s="61">
        <f t="shared" ca="1" si="258"/>
        <v>15305.393670352783</v>
      </c>
      <c r="V2204" s="39">
        <f t="shared" ca="1" si="259"/>
        <v>0.10069337941021568</v>
      </c>
      <c r="W2204" s="48">
        <f t="shared" ca="1" si="260"/>
        <v>1.1775113570061331</v>
      </c>
    </row>
    <row r="2205" spans="17:23" x14ac:dyDescent="0.2">
      <c r="Q2205">
        <f t="shared" si="261"/>
        <v>2189</v>
      </c>
      <c r="R2205" s="48">
        <f t="shared" ca="1" si="262"/>
        <v>0.45</v>
      </c>
      <c r="S2205">
        <f t="shared" ca="1" si="263"/>
        <v>193.26334793604644</v>
      </c>
      <c r="T2205" s="61">
        <f t="shared" ca="1" si="257"/>
        <v>21600</v>
      </c>
      <c r="U2205" s="61">
        <f t="shared" ca="1" si="258"/>
        <v>23035.873091860434</v>
      </c>
      <c r="V2205" s="39">
        <f t="shared" ca="1" si="259"/>
        <v>0.15155179665697655</v>
      </c>
      <c r="W2205" s="48">
        <f t="shared" ca="1" si="260"/>
        <v>2.1410662269811795</v>
      </c>
    </row>
    <row r="2206" spans="17:23" x14ac:dyDescent="0.2">
      <c r="Q2206">
        <f t="shared" si="261"/>
        <v>2190</v>
      </c>
      <c r="R2206" s="48">
        <f t="shared" ca="1" si="262"/>
        <v>0.4</v>
      </c>
      <c r="S2206">
        <f t="shared" ca="1" si="263"/>
        <v>188.65649610329308</v>
      </c>
      <c r="T2206" s="61">
        <f t="shared" ca="1" si="257"/>
        <v>19200</v>
      </c>
      <c r="U2206" s="61">
        <f t="shared" ca="1" si="258"/>
        <v>18555.118129580678</v>
      </c>
      <c r="V2206" s="39">
        <f t="shared" ca="1" si="259"/>
        <v>0.12207314558934657</v>
      </c>
      <c r="W2206" s="48">
        <f t="shared" ca="1" si="260"/>
        <v>1.5452313057530267</v>
      </c>
    </row>
    <row r="2207" spans="17:23" x14ac:dyDescent="0.2">
      <c r="Q2207">
        <f t="shared" si="261"/>
        <v>2191</v>
      </c>
      <c r="R2207" s="48">
        <f t="shared" ca="1" si="262"/>
        <v>0.15</v>
      </c>
      <c r="S2207">
        <f t="shared" ca="1" si="263"/>
        <v>187.02185434187385</v>
      </c>
      <c r="T2207" s="61">
        <f t="shared" ca="1" si="257"/>
        <v>7200</v>
      </c>
      <c r="U2207" s="61">
        <f t="shared" ca="1" si="258"/>
        <v>5174.8609524742169</v>
      </c>
      <c r="V2207" s="39">
        <f t="shared" ca="1" si="259"/>
        <v>3.4045137845225108E-2</v>
      </c>
      <c r="W2207" s="48">
        <f t="shared" ca="1" si="260"/>
        <v>0.31199286922006175</v>
      </c>
    </row>
    <row r="2208" spans="17:23" x14ac:dyDescent="0.2">
      <c r="Q2208">
        <f t="shared" si="261"/>
        <v>2192</v>
      </c>
      <c r="R2208" s="48">
        <f t="shared" ca="1" si="262"/>
        <v>0.4</v>
      </c>
      <c r="S2208">
        <f t="shared" ca="1" si="263"/>
        <v>175.90626728842273</v>
      </c>
      <c r="T2208" s="61">
        <f t="shared" ca="1" si="257"/>
        <v>19200</v>
      </c>
      <c r="U2208" s="61">
        <f t="shared" ca="1" si="258"/>
        <v>12435.008298442908</v>
      </c>
      <c r="V2208" s="39">
        <f t="shared" ca="1" si="259"/>
        <v>8.180926512133492E-2</v>
      </c>
      <c r="W2208" s="48">
        <f t="shared" ca="1" si="260"/>
        <v>0.89234403186344458</v>
      </c>
    </row>
    <row r="2209" spans="17:23" x14ac:dyDescent="0.2">
      <c r="Q2209">
        <f t="shared" si="261"/>
        <v>2193</v>
      </c>
      <c r="R2209" s="48">
        <f t="shared" ca="1" si="262"/>
        <v>0.5</v>
      </c>
      <c r="S2209">
        <f t="shared" ca="1" si="263"/>
        <v>182.619497204791</v>
      </c>
      <c r="T2209" s="61">
        <f t="shared" ca="1" si="257"/>
        <v>24000</v>
      </c>
      <c r="U2209" s="61">
        <f t="shared" ca="1" si="258"/>
        <v>21047.798881916402</v>
      </c>
      <c r="V2209" s="39">
        <f t="shared" ca="1" si="259"/>
        <v>0.1384723610652395</v>
      </c>
      <c r="W2209" s="48">
        <f t="shared" ca="1" si="260"/>
        <v>1.8631096951088812</v>
      </c>
    </row>
    <row r="2210" spans="17:23" x14ac:dyDescent="0.2">
      <c r="Q2210">
        <f t="shared" si="261"/>
        <v>2194</v>
      </c>
      <c r="R2210" s="48">
        <f t="shared" ca="1" si="262"/>
        <v>0.4</v>
      </c>
      <c r="S2210">
        <f t="shared" ca="1" si="263"/>
        <v>214.31156104443858</v>
      </c>
      <c r="T2210" s="61">
        <f t="shared" ca="1" si="257"/>
        <v>19200</v>
      </c>
      <c r="U2210" s="61">
        <f t="shared" ca="1" si="258"/>
        <v>30869.549301330517</v>
      </c>
      <c r="V2210" s="39">
        <f t="shared" ca="1" si="259"/>
        <v>0.20308914014033236</v>
      </c>
      <c r="W2210" s="48">
        <f t="shared" ca="1" si="260"/>
        <v>3.4802725173132973</v>
      </c>
    </row>
    <row r="2211" spans="17:23" x14ac:dyDescent="0.2">
      <c r="Q2211">
        <f t="shared" si="261"/>
        <v>2195</v>
      </c>
      <c r="R2211" s="48">
        <f t="shared" ca="1" si="262"/>
        <v>0.3</v>
      </c>
      <c r="S2211">
        <f t="shared" ca="1" si="263"/>
        <v>147.51768503449998</v>
      </c>
      <c r="T2211" s="61">
        <f t="shared" ca="1" si="257"/>
        <v>14400</v>
      </c>
      <c r="U2211" s="61">
        <f t="shared" ca="1" si="258"/>
        <v>-9390.0963806800137</v>
      </c>
      <c r="V2211" s="39">
        <f t="shared" ca="1" si="259"/>
        <v>-6.1776949872894824E-2</v>
      </c>
      <c r="W2211" s="48">
        <f t="shared" ca="1" si="260"/>
        <v>-0.40382784588931386</v>
      </c>
    </row>
    <row r="2212" spans="17:23" x14ac:dyDescent="0.2">
      <c r="Q2212">
        <f t="shared" si="261"/>
        <v>2196</v>
      </c>
      <c r="R2212" s="48">
        <f t="shared" ca="1" si="262"/>
        <v>0.35</v>
      </c>
      <c r="S2212">
        <f t="shared" ca="1" si="263"/>
        <v>218.20825119215874</v>
      </c>
      <c r="T2212" s="61">
        <f t="shared" ca="1" si="257"/>
        <v>16800</v>
      </c>
      <c r="U2212" s="61">
        <f t="shared" ca="1" si="258"/>
        <v>31468.290619922547</v>
      </c>
      <c r="V2212" s="39">
        <f t="shared" ca="1" si="259"/>
        <v>0.20702822776264834</v>
      </c>
      <c r="W2212" s="48">
        <f t="shared" ca="1" si="260"/>
        <v>3.600649286270607</v>
      </c>
    </row>
    <row r="2213" spans="17:23" x14ac:dyDescent="0.2">
      <c r="Q2213">
        <f t="shared" si="261"/>
        <v>2197</v>
      </c>
      <c r="R2213" s="48">
        <f t="shared" ca="1" si="262"/>
        <v>0.3</v>
      </c>
      <c r="S2213">
        <f t="shared" ca="1" si="263"/>
        <v>201.47309633162996</v>
      </c>
      <c r="T2213" s="61">
        <f t="shared" ca="1" si="257"/>
        <v>14400</v>
      </c>
      <c r="U2213" s="61">
        <f t="shared" ca="1" si="258"/>
        <v>20824.933945712779</v>
      </c>
      <c r="V2213" s="39">
        <f t="shared" ca="1" si="259"/>
        <v>0.13700614437968933</v>
      </c>
      <c r="W2213" s="48">
        <f t="shared" ca="1" si="260"/>
        <v>1.8333378344358282</v>
      </c>
    </row>
    <row r="2214" spans="17:23" x14ac:dyDescent="0.2">
      <c r="Q2214">
        <f t="shared" si="261"/>
        <v>2198</v>
      </c>
      <c r="R2214" s="48">
        <f t="shared" ca="1" si="262"/>
        <v>0.45</v>
      </c>
      <c r="S2214">
        <f t="shared" ca="1" si="263"/>
        <v>188.945650464522</v>
      </c>
      <c r="T2214" s="61">
        <f t="shared" ca="1" si="257"/>
        <v>21600</v>
      </c>
      <c r="U2214" s="61">
        <f t="shared" ca="1" si="258"/>
        <v>21136.086204389681</v>
      </c>
      <c r="V2214" s="39">
        <f t="shared" ca="1" si="259"/>
        <v>0.13905319871309002</v>
      </c>
      <c r="W2214" s="48">
        <f t="shared" ca="1" si="260"/>
        <v>1.8749793617897565</v>
      </c>
    </row>
    <row r="2215" spans="17:23" x14ac:dyDescent="0.2">
      <c r="Q2215">
        <f t="shared" si="261"/>
        <v>2199</v>
      </c>
      <c r="R2215" s="48">
        <f t="shared" ca="1" si="262"/>
        <v>0.4</v>
      </c>
      <c r="S2215">
        <f t="shared" ca="1" si="263"/>
        <v>193.1320892221093</v>
      </c>
      <c r="T2215" s="61">
        <f t="shared" ca="1" si="257"/>
        <v>19200</v>
      </c>
      <c r="U2215" s="61">
        <f t="shared" ca="1" si="258"/>
        <v>20703.402826612466</v>
      </c>
      <c r="V2215" s="39">
        <f t="shared" ca="1" si="259"/>
        <v>0.13620659754350306</v>
      </c>
      <c r="W2215" s="48">
        <f t="shared" ca="1" si="260"/>
        <v>1.8172174962081273</v>
      </c>
    </row>
    <row r="2216" spans="17:23" x14ac:dyDescent="0.2">
      <c r="Q2216">
        <f t="shared" si="261"/>
        <v>2200</v>
      </c>
      <c r="R2216" s="48">
        <f t="shared" ca="1" si="262"/>
        <v>0.45</v>
      </c>
      <c r="S2216">
        <f t="shared" ca="1" si="263"/>
        <v>172.79389925257536</v>
      </c>
      <c r="T2216" s="61">
        <f t="shared" ca="1" si="257"/>
        <v>21600</v>
      </c>
      <c r="U2216" s="61">
        <f t="shared" ca="1" si="258"/>
        <v>14029.315671133158</v>
      </c>
      <c r="V2216" s="39">
        <f t="shared" ca="1" si="259"/>
        <v>9.2298129415349719E-2</v>
      </c>
      <c r="W2216" s="48">
        <f t="shared" ca="1" si="260"/>
        <v>1.0463958741733306</v>
      </c>
    </row>
    <row r="2217" spans="17:23" x14ac:dyDescent="0.2">
      <c r="Q2217">
        <f t="shared" si="261"/>
        <v>2201</v>
      </c>
      <c r="R2217" s="48">
        <f t="shared" ca="1" si="262"/>
        <v>0.35</v>
      </c>
      <c r="S2217">
        <f t="shared" ca="1" si="263"/>
        <v>171.04611854707605</v>
      </c>
      <c r="T2217" s="61">
        <f t="shared" ca="1" si="257"/>
        <v>16800</v>
      </c>
      <c r="U2217" s="61">
        <f t="shared" ca="1" si="258"/>
        <v>6943.9816444795451</v>
      </c>
      <c r="V2217" s="39">
        <f t="shared" ca="1" si="259"/>
        <v>4.5684089766312795E-2</v>
      </c>
      <c r="W2217" s="48">
        <f t="shared" ca="1" si="260"/>
        <v>0.43667856716351516</v>
      </c>
    </row>
    <row r="2218" spans="17:23" x14ac:dyDescent="0.2">
      <c r="Q2218">
        <f t="shared" si="261"/>
        <v>2202</v>
      </c>
      <c r="R2218" s="48">
        <f t="shared" ca="1" si="262"/>
        <v>0.3</v>
      </c>
      <c r="S2218">
        <f t="shared" ca="1" si="263"/>
        <v>194.08174024473857</v>
      </c>
      <c r="T2218" s="61">
        <f t="shared" ca="1" si="257"/>
        <v>14400</v>
      </c>
      <c r="U2218" s="61">
        <f t="shared" ca="1" si="258"/>
        <v>16685.774537053599</v>
      </c>
      <c r="V2218" s="39">
        <f t="shared" ca="1" si="259"/>
        <v>0.10977483248061579</v>
      </c>
      <c r="W2218" s="48">
        <f t="shared" ca="1" si="260"/>
        <v>1.3275824287463016</v>
      </c>
    </row>
    <row r="2219" spans="17:23" x14ac:dyDescent="0.2">
      <c r="Q2219">
        <f t="shared" si="261"/>
        <v>2203</v>
      </c>
      <c r="R2219" s="48">
        <f t="shared" ca="1" si="262"/>
        <v>0.217</v>
      </c>
      <c r="S2219">
        <f t="shared" ca="1" si="263"/>
        <v>188.19740184888698</v>
      </c>
      <c r="T2219" s="61">
        <f t="shared" ca="1" si="257"/>
        <v>10416</v>
      </c>
      <c r="U2219" s="61">
        <f t="shared" ca="1" si="258"/>
        <v>9286.8525181428067</v>
      </c>
      <c r="V2219" s="39">
        <f t="shared" ca="1" si="259"/>
        <v>6.1097713935150046E-2</v>
      </c>
      <c r="W2219" s="48">
        <f t="shared" ca="1" si="260"/>
        <v>0.61772515917406334</v>
      </c>
    </row>
    <row r="2220" spans="17:23" x14ac:dyDescent="0.2">
      <c r="Q2220">
        <f t="shared" si="261"/>
        <v>2204</v>
      </c>
      <c r="R2220" s="48">
        <f t="shared" ca="1" si="262"/>
        <v>0.35</v>
      </c>
      <c r="S2220">
        <f t="shared" ca="1" si="263"/>
        <v>169.84865481927744</v>
      </c>
      <c r="T2220" s="61">
        <f t="shared" ca="1" si="257"/>
        <v>16800</v>
      </c>
      <c r="U2220" s="61">
        <f t="shared" ca="1" si="258"/>
        <v>6321.3005060242704</v>
      </c>
      <c r="V2220" s="39">
        <f t="shared" ca="1" si="259"/>
        <v>4.1587503329107045E-2</v>
      </c>
      <c r="W2220" s="48">
        <f t="shared" ca="1" si="260"/>
        <v>0.3916572336345352</v>
      </c>
    </row>
    <row r="2221" spans="17:23" x14ac:dyDescent="0.2">
      <c r="Q2221">
        <f t="shared" si="261"/>
        <v>2205</v>
      </c>
      <c r="R2221" s="48">
        <f t="shared" ca="1" si="262"/>
        <v>0.3</v>
      </c>
      <c r="S2221">
        <f t="shared" ca="1" si="263"/>
        <v>169.34318062254368</v>
      </c>
      <c r="T2221" s="61">
        <f t="shared" ca="1" si="257"/>
        <v>14400</v>
      </c>
      <c r="U2221" s="61">
        <f t="shared" ca="1" si="258"/>
        <v>2832.1811486244624</v>
      </c>
      <c r="V2221" s="39">
        <f t="shared" ca="1" si="259"/>
        <v>1.8632770714634622E-2</v>
      </c>
      <c r="W2221" s="48">
        <f t="shared" ca="1" si="260"/>
        <v>0.16153419647826794</v>
      </c>
    </row>
    <row r="2222" spans="17:23" x14ac:dyDescent="0.2">
      <c r="Q2222">
        <f t="shared" si="261"/>
        <v>2206</v>
      </c>
      <c r="R2222" s="48">
        <f t="shared" ca="1" si="262"/>
        <v>0.45</v>
      </c>
      <c r="S2222">
        <f t="shared" ca="1" si="263"/>
        <v>184.99083592791942</v>
      </c>
      <c r="T2222" s="61">
        <f t="shared" ca="1" si="257"/>
        <v>21600</v>
      </c>
      <c r="U2222" s="61">
        <f t="shared" ca="1" si="258"/>
        <v>19395.967808284546</v>
      </c>
      <c r="V2222" s="39">
        <f t="shared" ca="1" si="259"/>
        <v>0.12760505137029307</v>
      </c>
      <c r="W2222" s="48">
        <f t="shared" ca="1" si="260"/>
        <v>1.6488131601103984</v>
      </c>
    </row>
    <row r="2223" spans="17:23" x14ac:dyDescent="0.2">
      <c r="Q2223">
        <f t="shared" si="261"/>
        <v>2207</v>
      </c>
      <c r="R2223" s="48">
        <f t="shared" ca="1" si="262"/>
        <v>0.45</v>
      </c>
      <c r="S2223">
        <f t="shared" ca="1" si="263"/>
        <v>196.77317580142252</v>
      </c>
      <c r="T2223" s="61">
        <f t="shared" ca="1" si="257"/>
        <v>21600</v>
      </c>
      <c r="U2223" s="61">
        <f t="shared" ca="1" si="258"/>
        <v>24580.19735262591</v>
      </c>
      <c r="V2223" s="39">
        <f t="shared" ca="1" si="259"/>
        <v>0.16171182468832834</v>
      </c>
      <c r="W2223" s="48">
        <f t="shared" ca="1" si="260"/>
        <v>2.373031803282478</v>
      </c>
    </row>
    <row r="2224" spans="17:23" x14ac:dyDescent="0.2">
      <c r="Q2224">
        <f t="shared" si="261"/>
        <v>2208</v>
      </c>
      <c r="R2224" s="48">
        <f t="shared" ca="1" si="262"/>
        <v>0.3</v>
      </c>
      <c r="S2224">
        <f t="shared" ca="1" si="263"/>
        <v>194.95759022815849</v>
      </c>
      <c r="T2224" s="61">
        <f t="shared" ca="1" si="257"/>
        <v>14400</v>
      </c>
      <c r="U2224" s="61">
        <f t="shared" ca="1" si="258"/>
        <v>17176.250527768756</v>
      </c>
      <c r="V2224" s="39">
        <f t="shared" ca="1" si="259"/>
        <v>0.11300164820900498</v>
      </c>
      <c r="W2224" s="48">
        <f t="shared" ca="1" si="260"/>
        <v>1.3830472892096859</v>
      </c>
    </row>
    <row r="2225" spans="17:23" x14ac:dyDescent="0.2">
      <c r="Q2225">
        <f t="shared" si="261"/>
        <v>2209</v>
      </c>
      <c r="R2225" s="48">
        <f t="shared" ca="1" si="262"/>
        <v>0.3</v>
      </c>
      <c r="S2225">
        <f t="shared" ca="1" si="263"/>
        <v>199.01293072196833</v>
      </c>
      <c r="T2225" s="61">
        <f t="shared" ca="1" si="257"/>
        <v>14400</v>
      </c>
      <c r="U2225" s="61">
        <f t="shared" ca="1" si="258"/>
        <v>19447.241204302263</v>
      </c>
      <c r="V2225" s="39">
        <f t="shared" ca="1" si="259"/>
        <v>0.12794237634409383</v>
      </c>
      <c r="W2225" s="48">
        <f t="shared" ca="1" si="260"/>
        <v>1.6552472204885582</v>
      </c>
    </row>
    <row r="2226" spans="17:23" x14ac:dyDescent="0.2">
      <c r="Q2226">
        <f t="shared" si="261"/>
        <v>2210</v>
      </c>
      <c r="R2226" s="48">
        <f t="shared" ca="1" si="262"/>
        <v>0.3</v>
      </c>
      <c r="S2226">
        <f t="shared" ca="1" si="263"/>
        <v>180.09890457207189</v>
      </c>
      <c r="T2226" s="61">
        <f t="shared" ca="1" si="257"/>
        <v>14400</v>
      </c>
      <c r="U2226" s="61">
        <f t="shared" ca="1" si="258"/>
        <v>8855.3865603602571</v>
      </c>
      <c r="V2226" s="39">
        <f t="shared" ca="1" si="259"/>
        <v>5.8259122107633274E-2</v>
      </c>
      <c r="W2226" s="48">
        <f t="shared" ca="1" si="260"/>
        <v>0.58295515939323606</v>
      </c>
    </row>
    <row r="2227" spans="17:23" x14ac:dyDescent="0.2">
      <c r="Q2227">
        <f t="shared" si="261"/>
        <v>2211</v>
      </c>
      <c r="R2227" s="48">
        <f t="shared" ca="1" si="262"/>
        <v>0.3</v>
      </c>
      <c r="S2227">
        <f t="shared" ca="1" si="263"/>
        <v>189.94522850496998</v>
      </c>
      <c r="T2227" s="61">
        <f t="shared" ca="1" si="257"/>
        <v>14400</v>
      </c>
      <c r="U2227" s="61">
        <f t="shared" ca="1" si="258"/>
        <v>14369.327962783187</v>
      </c>
      <c r="V2227" s="39">
        <f t="shared" ca="1" si="259"/>
        <v>9.4535052386731488E-2</v>
      </c>
      <c r="W2227" s="48">
        <f t="shared" ca="1" si="260"/>
        <v>1.0806366664091969</v>
      </c>
    </row>
    <row r="2228" spans="17:23" x14ac:dyDescent="0.2">
      <c r="Q2228">
        <f t="shared" si="261"/>
        <v>2212</v>
      </c>
      <c r="R2228" s="48">
        <f t="shared" ca="1" si="262"/>
        <v>0.3</v>
      </c>
      <c r="S2228">
        <f t="shared" ca="1" si="263"/>
        <v>178.74848171471444</v>
      </c>
      <c r="T2228" s="61">
        <f t="shared" ca="1" si="257"/>
        <v>14400</v>
      </c>
      <c r="U2228" s="61">
        <f t="shared" ca="1" si="258"/>
        <v>8099.1497602400887</v>
      </c>
      <c r="V2228" s="39">
        <f t="shared" ca="1" si="259"/>
        <v>5.3283880001579534E-2</v>
      </c>
      <c r="W2228" s="48">
        <f t="shared" ca="1" si="260"/>
        <v>0.52359152833281852</v>
      </c>
    </row>
    <row r="2229" spans="17:23" x14ac:dyDescent="0.2">
      <c r="Q2229">
        <f t="shared" si="261"/>
        <v>2213</v>
      </c>
      <c r="R2229" s="48">
        <f t="shared" ca="1" si="262"/>
        <v>0.45</v>
      </c>
      <c r="S2229">
        <f t="shared" ca="1" si="263"/>
        <v>211.69366224235733</v>
      </c>
      <c r="T2229" s="61">
        <f t="shared" ca="1" si="257"/>
        <v>21600</v>
      </c>
      <c r="U2229" s="61">
        <f t="shared" ca="1" si="258"/>
        <v>31145.211386637227</v>
      </c>
      <c r="V2229" s="39">
        <f t="shared" ca="1" si="259"/>
        <v>0.2049027064910344</v>
      </c>
      <c r="W2229" s="48">
        <f t="shared" ca="1" si="260"/>
        <v>3.5353468234334384</v>
      </c>
    </row>
    <row r="2230" spans="17:23" x14ac:dyDescent="0.2">
      <c r="Q2230">
        <f t="shared" si="261"/>
        <v>2214</v>
      </c>
      <c r="R2230" s="48">
        <f t="shared" ca="1" si="262"/>
        <v>0.4</v>
      </c>
      <c r="S2230">
        <f t="shared" ca="1" si="263"/>
        <v>194.38865685829552</v>
      </c>
      <c r="T2230" s="61">
        <f t="shared" ca="1" si="257"/>
        <v>19200</v>
      </c>
      <c r="U2230" s="61">
        <f t="shared" ca="1" si="258"/>
        <v>21306.555291981851</v>
      </c>
      <c r="V2230" s="39">
        <f t="shared" ca="1" si="259"/>
        <v>0.14017470586830166</v>
      </c>
      <c r="W2230" s="48">
        <f t="shared" ca="1" si="260"/>
        <v>1.8980199669793016</v>
      </c>
    </row>
    <row r="2231" spans="17:23" x14ac:dyDescent="0.2">
      <c r="Q2231">
        <f t="shared" si="261"/>
        <v>2215</v>
      </c>
      <c r="R2231" s="48">
        <f t="shared" ca="1" si="262"/>
        <v>0.45</v>
      </c>
      <c r="S2231">
        <f t="shared" ca="1" si="263"/>
        <v>168.43549705088088</v>
      </c>
      <c r="T2231" s="61">
        <f t="shared" ca="1" si="257"/>
        <v>21600</v>
      </c>
      <c r="U2231" s="61">
        <f t="shared" ca="1" si="258"/>
        <v>12111.618702387588</v>
      </c>
      <c r="V2231" s="39">
        <f t="shared" ca="1" si="259"/>
        <v>7.9681701989392034E-2</v>
      </c>
      <c r="W2231" s="48">
        <f t="shared" ca="1" si="260"/>
        <v>0.86236780914359912</v>
      </c>
    </row>
    <row r="2232" spans="17:23" x14ac:dyDescent="0.2">
      <c r="Q2232">
        <f t="shared" si="261"/>
        <v>2216</v>
      </c>
      <c r="R2232" s="48">
        <f t="shared" ca="1" si="262"/>
        <v>0.4</v>
      </c>
      <c r="S2232">
        <f t="shared" ca="1" si="263"/>
        <v>209.79519349454935</v>
      </c>
      <c r="T2232" s="61">
        <f t="shared" ca="1" si="257"/>
        <v>19200</v>
      </c>
      <c r="U2232" s="61">
        <f t="shared" ca="1" si="258"/>
        <v>28701.692877383688</v>
      </c>
      <c r="V2232" s="39">
        <f t="shared" ca="1" si="259"/>
        <v>0.18882692682489269</v>
      </c>
      <c r="W2232" s="48">
        <f t="shared" ca="1" si="260"/>
        <v>3.0672004870698544</v>
      </c>
    </row>
    <row r="2233" spans="17:23" x14ac:dyDescent="0.2">
      <c r="Q2233">
        <f t="shared" si="261"/>
        <v>2217</v>
      </c>
      <c r="R2233" s="48">
        <f t="shared" ca="1" si="262"/>
        <v>0.4</v>
      </c>
      <c r="S2233">
        <f t="shared" ca="1" si="263"/>
        <v>155.39131591230444</v>
      </c>
      <c r="T2233" s="61">
        <f t="shared" ref="T2233:T2296" ca="1" si="264">($B$8-$B$7)*($E$6*R2233)</f>
        <v>19200</v>
      </c>
      <c r="U2233" s="61">
        <f t="shared" ref="U2233:U2296" ca="1" si="265">T2233+((S2233-$B$7)*($E$6*(1-R2233)))</f>
        <v>2587.8316379061289</v>
      </c>
      <c r="V2233" s="39">
        <f t="shared" ref="V2233:V2296" ca="1" si="266">U2233/$E$4</f>
        <v>1.7025208144119269E-2</v>
      </c>
      <c r="W2233" s="48">
        <f t="shared" ref="W2233:W2296" ca="1" si="267">(1+V2233)^($J$29/$J$30)-1</f>
        <v>0.14674901470113366</v>
      </c>
    </row>
    <row r="2234" spans="17:23" x14ac:dyDescent="0.2">
      <c r="Q2234">
        <f t="shared" si="261"/>
        <v>2218</v>
      </c>
      <c r="R2234" s="48">
        <f t="shared" ca="1" si="262"/>
        <v>0.217</v>
      </c>
      <c r="S2234">
        <f t="shared" ca="1" si="263"/>
        <v>162.75776298326852</v>
      </c>
      <c r="T2234" s="61">
        <f t="shared" ca="1" si="264"/>
        <v>10416</v>
      </c>
      <c r="U2234" s="61">
        <f t="shared" ca="1" si="265"/>
        <v>-6648.537267280597</v>
      </c>
      <c r="V2234" s="39">
        <f t="shared" ca="1" si="266"/>
        <v>-4.374037675842498E-2</v>
      </c>
      <c r="W2234" s="48">
        <f t="shared" ca="1" si="267"/>
        <v>-0.30425786269813371</v>
      </c>
    </row>
    <row r="2235" spans="17:23" x14ac:dyDescent="0.2">
      <c r="Q2235">
        <f t="shared" si="261"/>
        <v>2219</v>
      </c>
      <c r="R2235" s="48">
        <f t="shared" ca="1" si="262"/>
        <v>0.4</v>
      </c>
      <c r="S2235">
        <f t="shared" ca="1" si="263"/>
        <v>235.47578116192884</v>
      </c>
      <c r="T2235" s="61">
        <f t="shared" ca="1" si="264"/>
        <v>19200</v>
      </c>
      <c r="U2235" s="61">
        <f t="shared" ca="1" si="265"/>
        <v>41028.374957725842</v>
      </c>
      <c r="V2235" s="39">
        <f t="shared" ca="1" si="266"/>
        <v>0.26992351945872267</v>
      </c>
      <c r="W2235" s="48">
        <f t="shared" ca="1" si="267"/>
        <v>5.9462654097810255</v>
      </c>
    </row>
    <row r="2236" spans="17:23" x14ac:dyDescent="0.2">
      <c r="Q2236">
        <f t="shared" si="261"/>
        <v>2220</v>
      </c>
      <c r="R2236" s="48">
        <f t="shared" ca="1" si="262"/>
        <v>0.4</v>
      </c>
      <c r="S2236">
        <f t="shared" ca="1" si="263"/>
        <v>196.29695972879395</v>
      </c>
      <c r="T2236" s="61">
        <f t="shared" ca="1" si="264"/>
        <v>19200</v>
      </c>
      <c r="U2236" s="61">
        <f t="shared" ca="1" si="265"/>
        <v>22222.540669821097</v>
      </c>
      <c r="V2236" s="39">
        <f t="shared" ca="1" si="266"/>
        <v>0.14620092545934932</v>
      </c>
      <c r="W2236" s="48">
        <f t="shared" ca="1" si="267"/>
        <v>2.0246182377779069</v>
      </c>
    </row>
    <row r="2237" spans="17:23" x14ac:dyDescent="0.2">
      <c r="Q2237">
        <f t="shared" si="261"/>
        <v>2221</v>
      </c>
      <c r="R2237" s="48">
        <f t="shared" ca="1" si="262"/>
        <v>0.45</v>
      </c>
      <c r="S2237">
        <f t="shared" ca="1" si="263"/>
        <v>194.21280710252347</v>
      </c>
      <c r="T2237" s="61">
        <f t="shared" ca="1" si="264"/>
        <v>21600</v>
      </c>
      <c r="U2237" s="61">
        <f t="shared" ca="1" si="265"/>
        <v>23453.635125110326</v>
      </c>
      <c r="V2237" s="39">
        <f t="shared" ca="1" si="266"/>
        <v>0.15430023108625215</v>
      </c>
      <c r="W2237" s="48">
        <f t="shared" ca="1" si="267"/>
        <v>2.2023925738808221</v>
      </c>
    </row>
    <row r="2238" spans="17:23" x14ac:dyDescent="0.2">
      <c r="Q2238">
        <f t="shared" si="261"/>
        <v>2222</v>
      </c>
      <c r="R2238" s="48">
        <f t="shared" ca="1" si="262"/>
        <v>0.35</v>
      </c>
      <c r="S2238">
        <f t="shared" ca="1" si="263"/>
        <v>186.59164419330767</v>
      </c>
      <c r="T2238" s="61">
        <f t="shared" ca="1" si="264"/>
        <v>16800</v>
      </c>
      <c r="U2238" s="61">
        <f t="shared" ca="1" si="265"/>
        <v>15027.65498051999</v>
      </c>
      <c r="V2238" s="39">
        <f t="shared" ca="1" si="266"/>
        <v>9.8866151187631521E-2</v>
      </c>
      <c r="W2238" s="48">
        <f t="shared" ca="1" si="267"/>
        <v>1.1483636151097394</v>
      </c>
    </row>
    <row r="2239" spans="17:23" x14ac:dyDescent="0.2">
      <c r="Q2239">
        <f t="shared" si="261"/>
        <v>2223</v>
      </c>
      <c r="R2239" s="48">
        <f t="shared" ca="1" si="262"/>
        <v>0.4</v>
      </c>
      <c r="S2239">
        <f t="shared" ca="1" si="263"/>
        <v>197.2835215547494</v>
      </c>
      <c r="T2239" s="61">
        <f t="shared" ca="1" si="264"/>
        <v>19200</v>
      </c>
      <c r="U2239" s="61">
        <f t="shared" ca="1" si="265"/>
        <v>22696.090346279711</v>
      </c>
      <c r="V2239" s="39">
        <f t="shared" ca="1" si="266"/>
        <v>0.14931638385710336</v>
      </c>
      <c r="W2239" s="48">
        <f t="shared" ca="1" si="267"/>
        <v>2.0919487934374583</v>
      </c>
    </row>
    <row r="2240" spans="17:23" x14ac:dyDescent="0.2">
      <c r="Q2240">
        <f t="shared" si="261"/>
        <v>2224</v>
      </c>
      <c r="R2240" s="48">
        <f t="shared" ca="1" si="262"/>
        <v>0.35</v>
      </c>
      <c r="S2240">
        <f t="shared" ca="1" si="263"/>
        <v>177.25327734522389</v>
      </c>
      <c r="T2240" s="61">
        <f t="shared" ca="1" si="264"/>
        <v>16800</v>
      </c>
      <c r="U2240" s="61">
        <f t="shared" ca="1" si="265"/>
        <v>10171.704219516425</v>
      </c>
      <c r="V2240" s="39">
        <f t="shared" ca="1" si="266"/>
        <v>6.6919106707344897E-2</v>
      </c>
      <c r="W2240" s="48">
        <f t="shared" ca="1" si="267"/>
        <v>0.69113260497660867</v>
      </c>
    </row>
    <row r="2241" spans="17:23" x14ac:dyDescent="0.2">
      <c r="Q2241">
        <f t="shared" si="261"/>
        <v>2225</v>
      </c>
      <c r="R2241" s="48">
        <f t="shared" ca="1" si="262"/>
        <v>0.3</v>
      </c>
      <c r="S2241">
        <f t="shared" ca="1" si="263"/>
        <v>194.2894527389617</v>
      </c>
      <c r="T2241" s="61">
        <f t="shared" ca="1" si="264"/>
        <v>14400</v>
      </c>
      <c r="U2241" s="61">
        <f t="shared" ca="1" si="265"/>
        <v>16802.093533818552</v>
      </c>
      <c r="V2241" s="39">
        <f t="shared" ca="1" si="266"/>
        <v>0.11054008903827994</v>
      </c>
      <c r="W2241" s="48">
        <f t="shared" ca="1" si="267"/>
        <v>1.3406327916606879</v>
      </c>
    </row>
    <row r="2242" spans="17:23" x14ac:dyDescent="0.2">
      <c r="Q2242">
        <f t="shared" si="261"/>
        <v>2226</v>
      </c>
      <c r="R2242" s="48">
        <f t="shared" ca="1" si="262"/>
        <v>0.35</v>
      </c>
      <c r="S2242">
        <f t="shared" ca="1" si="263"/>
        <v>217.90328852985613</v>
      </c>
      <c r="T2242" s="61">
        <f t="shared" ca="1" si="264"/>
        <v>16800</v>
      </c>
      <c r="U2242" s="61">
        <f t="shared" ca="1" si="265"/>
        <v>31309.710035525186</v>
      </c>
      <c r="V2242" s="39">
        <f t="shared" ca="1" si="266"/>
        <v>0.20598493444424465</v>
      </c>
      <c r="W2242" s="48">
        <f t="shared" ca="1" si="267"/>
        <v>3.5684938737096754</v>
      </c>
    </row>
    <row r="2243" spans="17:23" x14ac:dyDescent="0.2">
      <c r="Q2243">
        <f t="shared" si="261"/>
        <v>2227</v>
      </c>
      <c r="R2243" s="48">
        <f t="shared" ca="1" si="262"/>
        <v>0.4</v>
      </c>
      <c r="S2243">
        <f t="shared" ca="1" si="263"/>
        <v>209.88411791547659</v>
      </c>
      <c r="T2243" s="61">
        <f t="shared" ca="1" si="264"/>
        <v>19200</v>
      </c>
      <c r="U2243" s="61">
        <f t="shared" ca="1" si="265"/>
        <v>28744.376599428764</v>
      </c>
      <c r="V2243" s="39">
        <f t="shared" ca="1" si="266"/>
        <v>0.18910774078571554</v>
      </c>
      <c r="W2243" s="48">
        <f t="shared" ca="1" si="267"/>
        <v>3.0749995201586167</v>
      </c>
    </row>
    <row r="2244" spans="17:23" x14ac:dyDescent="0.2">
      <c r="Q2244">
        <f t="shared" si="261"/>
        <v>2228</v>
      </c>
      <c r="R2244" s="48">
        <f t="shared" ca="1" si="262"/>
        <v>0.45</v>
      </c>
      <c r="S2244">
        <f t="shared" ca="1" si="263"/>
        <v>192.99442943958044</v>
      </c>
      <c r="T2244" s="61">
        <f t="shared" ca="1" si="264"/>
        <v>21600</v>
      </c>
      <c r="U2244" s="61">
        <f t="shared" ca="1" si="265"/>
        <v>22917.548953415397</v>
      </c>
      <c r="V2244" s="39">
        <f t="shared" ca="1" si="266"/>
        <v>0.15077334837773287</v>
      </c>
      <c r="W2244" s="48">
        <f t="shared" ca="1" si="267"/>
        <v>2.1238847670797107</v>
      </c>
    </row>
    <row r="2245" spans="17:23" x14ac:dyDescent="0.2">
      <c r="Q2245">
        <f t="shared" si="261"/>
        <v>2229</v>
      </c>
      <c r="R2245" s="48">
        <f t="shared" ca="1" si="262"/>
        <v>0.3</v>
      </c>
      <c r="S2245">
        <f t="shared" ca="1" si="263"/>
        <v>206.81072977905197</v>
      </c>
      <c r="T2245" s="61">
        <f t="shared" ca="1" si="264"/>
        <v>14400</v>
      </c>
      <c r="U2245" s="61">
        <f t="shared" ca="1" si="265"/>
        <v>23814.008676269103</v>
      </c>
      <c r="V2245" s="39">
        <f t="shared" ca="1" si="266"/>
        <v>0.15667110971229672</v>
      </c>
      <c r="W2245" s="48">
        <f t="shared" ca="1" si="267"/>
        <v>2.2561351860127039</v>
      </c>
    </row>
    <row r="2246" spans="17:23" x14ac:dyDescent="0.2">
      <c r="Q2246">
        <f t="shared" si="261"/>
        <v>2230</v>
      </c>
      <c r="R2246" s="48">
        <f t="shared" ca="1" si="262"/>
        <v>0.45</v>
      </c>
      <c r="S2246">
        <f t="shared" ca="1" si="263"/>
        <v>169.99350023339241</v>
      </c>
      <c r="T2246" s="61">
        <f t="shared" ca="1" si="264"/>
        <v>21600</v>
      </c>
      <c r="U2246" s="61">
        <f t="shared" ca="1" si="265"/>
        <v>12797.14010269266</v>
      </c>
      <c r="V2246" s="39">
        <f t="shared" ca="1" si="266"/>
        <v>8.4191711201925395E-2</v>
      </c>
      <c r="W2246" s="48">
        <f t="shared" ca="1" si="267"/>
        <v>0.92641272162314769</v>
      </c>
    </row>
    <row r="2247" spans="17:23" x14ac:dyDescent="0.2">
      <c r="Q2247">
        <f t="shared" si="261"/>
        <v>2231</v>
      </c>
      <c r="R2247" s="48">
        <f t="shared" ca="1" si="262"/>
        <v>0.45</v>
      </c>
      <c r="S2247">
        <f t="shared" ca="1" si="263"/>
        <v>202.28886687785138</v>
      </c>
      <c r="T2247" s="61">
        <f t="shared" ca="1" si="264"/>
        <v>21600</v>
      </c>
      <c r="U2247" s="61">
        <f t="shared" ca="1" si="265"/>
        <v>27007.101426254605</v>
      </c>
      <c r="V2247" s="39">
        <f t="shared" ca="1" si="266"/>
        <v>0.1776782988569382</v>
      </c>
      <c r="W2247" s="48">
        <f t="shared" ca="1" si="267"/>
        <v>2.7679508694127537</v>
      </c>
    </row>
    <row r="2248" spans="17:23" x14ac:dyDescent="0.2">
      <c r="Q2248">
        <f t="shared" si="261"/>
        <v>2232</v>
      </c>
      <c r="R2248" s="48">
        <f t="shared" ca="1" si="262"/>
        <v>0.4</v>
      </c>
      <c r="S2248">
        <f t="shared" ca="1" si="263"/>
        <v>184.44724411902783</v>
      </c>
      <c r="T2248" s="61">
        <f t="shared" ca="1" si="264"/>
        <v>19200</v>
      </c>
      <c r="U2248" s="61">
        <f t="shared" ca="1" si="265"/>
        <v>16534.677177133359</v>
      </c>
      <c r="V2248" s="39">
        <f t="shared" ca="1" si="266"/>
        <v>0.10878077090219315</v>
      </c>
      <c r="W2248" s="48">
        <f t="shared" ca="1" si="267"/>
        <v>1.3107254008334759</v>
      </c>
    </row>
    <row r="2249" spans="17:23" x14ac:dyDescent="0.2">
      <c r="Q2249">
        <f t="shared" si="261"/>
        <v>2233</v>
      </c>
      <c r="R2249" s="48">
        <f t="shared" ca="1" si="262"/>
        <v>0.35</v>
      </c>
      <c r="S2249">
        <f t="shared" ca="1" si="263"/>
        <v>198.32564859979391</v>
      </c>
      <c r="T2249" s="61">
        <f t="shared" ca="1" si="264"/>
        <v>16800</v>
      </c>
      <c r="U2249" s="61">
        <f t="shared" ca="1" si="265"/>
        <v>21129.337271892833</v>
      </c>
      <c r="V2249" s="39">
        <f t="shared" ca="1" si="266"/>
        <v>0.13900879784140022</v>
      </c>
      <c r="W2249" s="48">
        <f t="shared" ca="1" si="267"/>
        <v>1.8740704905119427</v>
      </c>
    </row>
    <row r="2250" spans="17:23" x14ac:dyDescent="0.2">
      <c r="Q2250">
        <f t="shared" si="261"/>
        <v>2234</v>
      </c>
      <c r="R2250" s="48">
        <f t="shared" ca="1" si="262"/>
        <v>0.3</v>
      </c>
      <c r="S2250">
        <f t="shared" ca="1" si="263"/>
        <v>203.03510272359719</v>
      </c>
      <c r="T2250" s="61">
        <f t="shared" ca="1" si="264"/>
        <v>14400</v>
      </c>
      <c r="U2250" s="61">
        <f t="shared" ca="1" si="265"/>
        <v>21699.657525214425</v>
      </c>
      <c r="V2250" s="39">
        <f t="shared" ca="1" si="266"/>
        <v>0.14276090477114753</v>
      </c>
      <c r="W2250" s="48">
        <f t="shared" ca="1" si="267"/>
        <v>1.9517697642507885</v>
      </c>
    </row>
    <row r="2251" spans="17:23" x14ac:dyDescent="0.2">
      <c r="Q2251">
        <f t="shared" si="261"/>
        <v>2235</v>
      </c>
      <c r="R2251" s="48">
        <f t="shared" ca="1" si="262"/>
        <v>0.3</v>
      </c>
      <c r="S2251">
        <f t="shared" ca="1" si="263"/>
        <v>188.31565539876016</v>
      </c>
      <c r="T2251" s="61">
        <f t="shared" ca="1" si="264"/>
        <v>14400</v>
      </c>
      <c r="U2251" s="61">
        <f t="shared" ca="1" si="265"/>
        <v>13456.767023305689</v>
      </c>
      <c r="V2251" s="39">
        <f t="shared" ca="1" si="266"/>
        <v>8.8531361995432156E-2</v>
      </c>
      <c r="W2251" s="48">
        <f t="shared" ca="1" si="267"/>
        <v>0.98985306151925689</v>
      </c>
    </row>
    <row r="2252" spans="17:23" x14ac:dyDescent="0.2">
      <c r="Q2252">
        <f t="shared" si="261"/>
        <v>2236</v>
      </c>
      <c r="R2252" s="48">
        <f t="shared" ca="1" si="262"/>
        <v>0.3</v>
      </c>
      <c r="S2252">
        <f t="shared" ca="1" si="263"/>
        <v>197.54271118917131</v>
      </c>
      <c r="T2252" s="61">
        <f t="shared" ca="1" si="264"/>
        <v>14400</v>
      </c>
      <c r="U2252" s="61">
        <f t="shared" ca="1" si="265"/>
        <v>18623.918265935936</v>
      </c>
      <c r="V2252" s="39">
        <f t="shared" ca="1" si="266"/>
        <v>0.122525778065368</v>
      </c>
      <c r="W2252" s="48">
        <f t="shared" ca="1" si="267"/>
        <v>1.5535710956882447</v>
      </c>
    </row>
    <row r="2253" spans="17:23" x14ac:dyDescent="0.2">
      <c r="Q2253">
        <f t="shared" si="261"/>
        <v>2237</v>
      </c>
      <c r="R2253" s="48">
        <f t="shared" ca="1" si="262"/>
        <v>0.4</v>
      </c>
      <c r="S2253">
        <f t="shared" ca="1" si="263"/>
        <v>210.67496909962813</v>
      </c>
      <c r="T2253" s="61">
        <f t="shared" ca="1" si="264"/>
        <v>19200</v>
      </c>
      <c r="U2253" s="61">
        <f t="shared" ca="1" si="265"/>
        <v>29123.985167821502</v>
      </c>
      <c r="V2253" s="39">
        <f t="shared" ca="1" si="266"/>
        <v>0.19160516557777305</v>
      </c>
      <c r="W2253" s="48">
        <f t="shared" ca="1" si="267"/>
        <v>3.1449392587331158</v>
      </c>
    </row>
    <row r="2254" spans="17:23" x14ac:dyDescent="0.2">
      <c r="Q2254">
        <f t="shared" si="261"/>
        <v>2238</v>
      </c>
      <c r="R2254" s="48">
        <f t="shared" ca="1" si="262"/>
        <v>0.35</v>
      </c>
      <c r="S2254">
        <f t="shared" ca="1" si="263"/>
        <v>138.42313232668323</v>
      </c>
      <c r="T2254" s="61">
        <f t="shared" ca="1" si="264"/>
        <v>16800</v>
      </c>
      <c r="U2254" s="61">
        <f t="shared" ca="1" si="265"/>
        <v>-10019.971190124721</v>
      </c>
      <c r="V2254" s="39">
        <f t="shared" ca="1" si="266"/>
        <v>-6.5920863092925802E-2</v>
      </c>
      <c r="W2254" s="48">
        <f t="shared" ca="1" si="267"/>
        <v>-0.42485324604805319</v>
      </c>
    </row>
    <row r="2255" spans="17:23" x14ac:dyDescent="0.2">
      <c r="Q2255">
        <f t="shared" si="261"/>
        <v>2239</v>
      </c>
      <c r="R2255" s="48">
        <f t="shared" ca="1" si="262"/>
        <v>0.3</v>
      </c>
      <c r="S2255">
        <f t="shared" ca="1" si="263"/>
        <v>174.20429323900512</v>
      </c>
      <c r="T2255" s="61">
        <f t="shared" ca="1" si="264"/>
        <v>14400</v>
      </c>
      <c r="U2255" s="61">
        <f t="shared" ca="1" si="265"/>
        <v>5554.4042138428704</v>
      </c>
      <c r="V2255" s="39">
        <f t="shared" ca="1" si="266"/>
        <v>3.6542132985808357E-2</v>
      </c>
      <c r="W2255" s="48">
        <f t="shared" ca="1" si="267"/>
        <v>0.33791204329373414</v>
      </c>
    </row>
    <row r="2256" spans="17:23" x14ac:dyDescent="0.2">
      <c r="Q2256">
        <f t="shared" si="261"/>
        <v>2240</v>
      </c>
      <c r="R2256" s="48">
        <f t="shared" ca="1" si="262"/>
        <v>0.217</v>
      </c>
      <c r="S2256">
        <f t="shared" ca="1" si="263"/>
        <v>202.13330074221508</v>
      </c>
      <c r="T2256" s="61">
        <f t="shared" ca="1" si="264"/>
        <v>10416</v>
      </c>
      <c r="U2256" s="61">
        <f t="shared" ca="1" si="265"/>
        <v>18016.29958492353</v>
      </c>
      <c r="V2256" s="39">
        <f t="shared" ca="1" si="266"/>
        <v>0.11852828674291796</v>
      </c>
      <c r="W2256" s="48">
        <f t="shared" ca="1" si="267"/>
        <v>1.4807385269948061</v>
      </c>
    </row>
    <row r="2257" spans="17:23" x14ac:dyDescent="0.2">
      <c r="Q2257">
        <f t="shared" si="261"/>
        <v>2241</v>
      </c>
      <c r="R2257" s="48">
        <f t="shared" ca="1" si="262"/>
        <v>0.35</v>
      </c>
      <c r="S2257">
        <f t="shared" ca="1" si="263"/>
        <v>179.7543294611873</v>
      </c>
      <c r="T2257" s="61">
        <f t="shared" ca="1" si="264"/>
        <v>16800</v>
      </c>
      <c r="U2257" s="61">
        <f t="shared" ca="1" si="265"/>
        <v>11472.251319817395</v>
      </c>
      <c r="V2257" s="39">
        <f t="shared" ca="1" si="266"/>
        <v>7.5475337630377601E-2</v>
      </c>
      <c r="W2257" s="48">
        <f t="shared" ca="1" si="267"/>
        <v>0.80432517176832286</v>
      </c>
    </row>
    <row r="2258" spans="17:23" x14ac:dyDescent="0.2">
      <c r="Q2258">
        <f t="shared" si="261"/>
        <v>2242</v>
      </c>
      <c r="R2258" s="48">
        <f t="shared" ca="1" si="262"/>
        <v>0.35</v>
      </c>
      <c r="S2258">
        <f t="shared" ca="1" si="263"/>
        <v>168.17134880323192</v>
      </c>
      <c r="T2258" s="61">
        <f t="shared" ca="1" si="264"/>
        <v>16800</v>
      </c>
      <c r="U2258" s="61">
        <f t="shared" ca="1" si="265"/>
        <v>5449.1013776805994</v>
      </c>
      <c r="V2258" s="39">
        <f t="shared" ca="1" si="266"/>
        <v>3.5849351168951313E-2</v>
      </c>
      <c r="W2258" s="48">
        <f t="shared" ca="1" si="267"/>
        <v>0.33067625982583038</v>
      </c>
    </row>
    <row r="2259" spans="17:23" x14ac:dyDescent="0.2">
      <c r="Q2259">
        <f t="shared" ref="Q2259:Q2322" si="268">Q2258+1</f>
        <v>2243</v>
      </c>
      <c r="R2259" s="48">
        <f t="shared" ref="R2259:R2322" ca="1" si="269">LOOKUP(RAND(),$U$6:$U$12,$S$6:$S$12)</f>
        <v>0.4</v>
      </c>
      <c r="S2259">
        <f t="shared" ref="S2259:S2322" ca="1" si="270">_xlfn.NORM.INV(RAND(),$Q$5,$Q$10)</f>
        <v>189.17104432255627</v>
      </c>
      <c r="T2259" s="61">
        <f t="shared" ca="1" si="264"/>
        <v>19200</v>
      </c>
      <c r="U2259" s="61">
        <f t="shared" ca="1" si="265"/>
        <v>18802.101274827008</v>
      </c>
      <c r="V2259" s="39">
        <f t="shared" ca="1" si="266"/>
        <v>0.12369803470280927</v>
      </c>
      <c r="W2259" s="48">
        <f t="shared" ca="1" si="267"/>
        <v>1.5752814887425668</v>
      </c>
    </row>
    <row r="2260" spans="17:23" x14ac:dyDescent="0.2">
      <c r="Q2260">
        <f t="shared" si="268"/>
        <v>2244</v>
      </c>
      <c r="R2260" s="48">
        <f t="shared" ca="1" si="269"/>
        <v>0.35</v>
      </c>
      <c r="S2260">
        <f t="shared" ca="1" si="270"/>
        <v>198.1693979196136</v>
      </c>
      <c r="T2260" s="61">
        <f t="shared" ca="1" si="264"/>
        <v>16800</v>
      </c>
      <c r="U2260" s="61">
        <f t="shared" ca="1" si="265"/>
        <v>21048.086918199071</v>
      </c>
      <c r="V2260" s="39">
        <f t="shared" ca="1" si="266"/>
        <v>0.13847425604078337</v>
      </c>
      <c r="W2260" s="48">
        <f t="shared" ca="1" si="267"/>
        <v>1.8631483497838977</v>
      </c>
    </row>
    <row r="2261" spans="17:23" x14ac:dyDescent="0.2">
      <c r="Q2261">
        <f t="shared" si="268"/>
        <v>2245</v>
      </c>
      <c r="R2261" s="48">
        <f t="shared" ca="1" si="269"/>
        <v>0.217</v>
      </c>
      <c r="S2261">
        <f t="shared" ca="1" si="270"/>
        <v>185.96502321596842</v>
      </c>
      <c r="T2261" s="61">
        <f t="shared" ca="1" si="264"/>
        <v>10416</v>
      </c>
      <c r="U2261" s="61">
        <f t="shared" ca="1" si="265"/>
        <v>7888.4905424826156</v>
      </c>
      <c r="V2261" s="39">
        <f t="shared" ca="1" si="266"/>
        <v>5.1897964095280365E-2</v>
      </c>
      <c r="W2261" s="48">
        <f t="shared" ca="1" si="267"/>
        <v>0.50740665795534201</v>
      </c>
    </row>
    <row r="2262" spans="17:23" x14ac:dyDescent="0.2">
      <c r="Q2262">
        <f t="shared" si="268"/>
        <v>2246</v>
      </c>
      <c r="R2262" s="48">
        <f t="shared" ca="1" si="269"/>
        <v>0.35</v>
      </c>
      <c r="S2262">
        <f t="shared" ca="1" si="270"/>
        <v>182.68380128302795</v>
      </c>
      <c r="T2262" s="61">
        <f t="shared" ca="1" si="264"/>
        <v>16800</v>
      </c>
      <c r="U2262" s="61">
        <f t="shared" ca="1" si="265"/>
        <v>12995.576667174533</v>
      </c>
      <c r="V2262" s="39">
        <f t="shared" ca="1" si="266"/>
        <v>8.5497214915621927E-2</v>
      </c>
      <c r="W2262" s="48">
        <f t="shared" ca="1" si="267"/>
        <v>0.94530836387059747</v>
      </c>
    </row>
    <row r="2263" spans="17:23" x14ac:dyDescent="0.2">
      <c r="Q2263">
        <f t="shared" si="268"/>
        <v>2247</v>
      </c>
      <c r="R2263" s="48">
        <f t="shared" ca="1" si="269"/>
        <v>0.217</v>
      </c>
      <c r="S2263">
        <f t="shared" ca="1" si="270"/>
        <v>155.13631817376321</v>
      </c>
      <c r="T2263" s="61">
        <f t="shared" ca="1" si="264"/>
        <v>10416</v>
      </c>
      <c r="U2263" s="61">
        <f t="shared" ca="1" si="265"/>
        <v>-11422.610295954721</v>
      </c>
      <c r="V2263" s="39">
        <f t="shared" ca="1" si="266"/>
        <v>-7.5148751947070533E-2</v>
      </c>
      <c r="W2263" s="48">
        <f t="shared" ca="1" si="267"/>
        <v>-0.46935349845721497</v>
      </c>
    </row>
    <row r="2264" spans="17:23" x14ac:dyDescent="0.2">
      <c r="Q2264">
        <f t="shared" si="268"/>
        <v>2248</v>
      </c>
      <c r="R2264" s="48">
        <f t="shared" ca="1" si="269"/>
        <v>0.3</v>
      </c>
      <c r="S2264">
        <f t="shared" ca="1" si="270"/>
        <v>200.1442953896632</v>
      </c>
      <c r="T2264" s="61">
        <f t="shared" ca="1" si="264"/>
        <v>14400</v>
      </c>
      <c r="U2264" s="61">
        <f t="shared" ca="1" si="265"/>
        <v>20080.805418211392</v>
      </c>
      <c r="V2264" s="39">
        <f t="shared" ca="1" si="266"/>
        <v>0.13211056196191706</v>
      </c>
      <c r="W2264" s="48">
        <f t="shared" ca="1" si="267"/>
        <v>1.7358884516554216</v>
      </c>
    </row>
    <row r="2265" spans="17:23" x14ac:dyDescent="0.2">
      <c r="Q2265">
        <f t="shared" si="268"/>
        <v>2249</v>
      </c>
      <c r="R2265" s="48">
        <f t="shared" ca="1" si="269"/>
        <v>0.45</v>
      </c>
      <c r="S2265">
        <f t="shared" ca="1" si="270"/>
        <v>198.93564688803713</v>
      </c>
      <c r="T2265" s="61">
        <f t="shared" ca="1" si="264"/>
        <v>21600</v>
      </c>
      <c r="U2265" s="61">
        <f t="shared" ca="1" si="265"/>
        <v>25531.684630736338</v>
      </c>
      <c r="V2265" s="39">
        <f t="shared" ca="1" si="266"/>
        <v>0.16797160941273906</v>
      </c>
      <c r="W2265" s="48">
        <f t="shared" ca="1" si="267"/>
        <v>2.5233092680485263</v>
      </c>
    </row>
    <row r="2266" spans="17:23" x14ac:dyDescent="0.2">
      <c r="Q2266">
        <f t="shared" si="268"/>
        <v>2250</v>
      </c>
      <c r="R2266" s="48">
        <f t="shared" ca="1" si="269"/>
        <v>0.3</v>
      </c>
      <c r="S2266">
        <f t="shared" ca="1" si="270"/>
        <v>198.41948610890358</v>
      </c>
      <c r="T2266" s="61">
        <f t="shared" ca="1" si="264"/>
        <v>14400</v>
      </c>
      <c r="U2266" s="61">
        <f t="shared" ca="1" si="265"/>
        <v>19114.912220986007</v>
      </c>
      <c r="V2266" s="39">
        <f t="shared" ca="1" si="266"/>
        <v>0.12575600145385532</v>
      </c>
      <c r="W2266" s="48">
        <f t="shared" ca="1" si="267"/>
        <v>1.6137870213910221</v>
      </c>
    </row>
    <row r="2267" spans="17:23" x14ac:dyDescent="0.2">
      <c r="Q2267">
        <f t="shared" si="268"/>
        <v>2251</v>
      </c>
      <c r="R2267" s="48">
        <f t="shared" ca="1" si="269"/>
        <v>0.45</v>
      </c>
      <c r="S2267">
        <f t="shared" ca="1" si="270"/>
        <v>231.13198233255994</v>
      </c>
      <c r="T2267" s="61">
        <f t="shared" ca="1" si="264"/>
        <v>21600</v>
      </c>
      <c r="U2267" s="61">
        <f t="shared" ca="1" si="265"/>
        <v>39698.072226326374</v>
      </c>
      <c r="V2267" s="39">
        <f t="shared" ca="1" si="266"/>
        <v>0.26117152780477876</v>
      </c>
      <c r="W2267" s="48">
        <f t="shared" ca="1" si="267"/>
        <v>5.5673534314166719</v>
      </c>
    </row>
    <row r="2268" spans="17:23" x14ac:dyDescent="0.2">
      <c r="Q2268">
        <f t="shared" si="268"/>
        <v>2252</v>
      </c>
      <c r="R2268" s="48">
        <f t="shared" ca="1" si="269"/>
        <v>0.217</v>
      </c>
      <c r="S2268">
        <f t="shared" ca="1" si="270"/>
        <v>190.95589310553726</v>
      </c>
      <c r="T2268" s="61">
        <f t="shared" ca="1" si="264"/>
        <v>10416</v>
      </c>
      <c r="U2268" s="61">
        <f t="shared" ca="1" si="265"/>
        <v>11014.771441308538</v>
      </c>
      <c r="V2268" s="39">
        <f t="shared" ca="1" si="266"/>
        <v>7.2465601587556175E-2</v>
      </c>
      <c r="W2268" s="48">
        <f t="shared" ca="1" si="267"/>
        <v>0.7637738598748367</v>
      </c>
    </row>
    <row r="2269" spans="17:23" x14ac:dyDescent="0.2">
      <c r="Q2269">
        <f t="shared" si="268"/>
        <v>2253</v>
      </c>
      <c r="R2269" s="48">
        <f t="shared" ca="1" si="269"/>
        <v>0.3</v>
      </c>
      <c r="S2269">
        <f t="shared" ca="1" si="270"/>
        <v>152.29846617877695</v>
      </c>
      <c r="T2269" s="61">
        <f t="shared" ca="1" si="264"/>
        <v>14400</v>
      </c>
      <c r="U2269" s="61">
        <f t="shared" ca="1" si="265"/>
        <v>-6712.8589398849072</v>
      </c>
      <c r="V2269" s="39">
        <f t="shared" ca="1" si="266"/>
        <v>-4.4163545657137544E-2</v>
      </c>
      <c r="W2269" s="48">
        <f t="shared" ca="1" si="267"/>
        <v>-0.30675121317896026</v>
      </c>
    </row>
    <row r="2270" spans="17:23" x14ac:dyDescent="0.2">
      <c r="Q2270">
        <f t="shared" si="268"/>
        <v>2254</v>
      </c>
      <c r="R2270" s="48">
        <f t="shared" ca="1" si="269"/>
        <v>0.45</v>
      </c>
      <c r="S2270">
        <f t="shared" ca="1" si="270"/>
        <v>185.12791571899351</v>
      </c>
      <c r="T2270" s="61">
        <f t="shared" ca="1" si="264"/>
        <v>21600</v>
      </c>
      <c r="U2270" s="61">
        <f t="shared" ca="1" si="265"/>
        <v>19456.282916357144</v>
      </c>
      <c r="V2270" s="39">
        <f t="shared" ca="1" si="266"/>
        <v>0.12800186129182331</v>
      </c>
      <c r="W2270" s="48">
        <f t="shared" ca="1" si="267"/>
        <v>1.6563832429567453</v>
      </c>
    </row>
    <row r="2271" spans="17:23" x14ac:dyDescent="0.2">
      <c r="Q2271">
        <f t="shared" si="268"/>
        <v>2255</v>
      </c>
      <c r="R2271" s="48">
        <f t="shared" ca="1" si="269"/>
        <v>0.4</v>
      </c>
      <c r="S2271">
        <f t="shared" ca="1" si="270"/>
        <v>159.80718681187952</v>
      </c>
      <c r="T2271" s="61">
        <f t="shared" ca="1" si="264"/>
        <v>19200</v>
      </c>
      <c r="U2271" s="61">
        <f t="shared" ca="1" si="265"/>
        <v>4707.4496697021677</v>
      </c>
      <c r="V2271" s="39">
        <f t="shared" ca="1" si="266"/>
        <v>3.0970063616461631E-2</v>
      </c>
      <c r="W2271" s="48">
        <f t="shared" ca="1" si="267"/>
        <v>0.28067880583921023</v>
      </c>
    </row>
    <row r="2272" spans="17:23" x14ac:dyDescent="0.2">
      <c r="Q2272">
        <f t="shared" si="268"/>
        <v>2256</v>
      </c>
      <c r="R2272" s="48">
        <f t="shared" ca="1" si="269"/>
        <v>0.15</v>
      </c>
      <c r="S2272">
        <f t="shared" ca="1" si="270"/>
        <v>210.25793588900808</v>
      </c>
      <c r="T2272" s="61">
        <f t="shared" ca="1" si="264"/>
        <v>7200</v>
      </c>
      <c r="U2272" s="61">
        <f t="shared" ca="1" si="265"/>
        <v>20975.396404525494</v>
      </c>
      <c r="V2272" s="39">
        <f t="shared" ca="1" si="266"/>
        <v>0.13799602897714142</v>
      </c>
      <c r="W2272" s="48">
        <f t="shared" ca="1" si="267"/>
        <v>1.8534077304974654</v>
      </c>
    </row>
    <row r="2273" spans="17:23" x14ac:dyDescent="0.2">
      <c r="Q2273">
        <f t="shared" si="268"/>
        <v>2257</v>
      </c>
      <c r="R2273" s="48">
        <f t="shared" ca="1" si="269"/>
        <v>0.35</v>
      </c>
      <c r="S2273">
        <f t="shared" ca="1" si="270"/>
        <v>162.82355007287271</v>
      </c>
      <c r="T2273" s="61">
        <f t="shared" ca="1" si="264"/>
        <v>16800</v>
      </c>
      <c r="U2273" s="61">
        <f t="shared" ca="1" si="265"/>
        <v>2668.2460378938067</v>
      </c>
      <c r="V2273" s="39">
        <f t="shared" ca="1" si="266"/>
        <v>1.7554250249301361E-2</v>
      </c>
      <c r="W2273" s="48">
        <f t="shared" ca="1" si="267"/>
        <v>0.15159643418439672</v>
      </c>
    </row>
    <row r="2274" spans="17:23" x14ac:dyDescent="0.2">
      <c r="Q2274">
        <f t="shared" si="268"/>
        <v>2258</v>
      </c>
      <c r="R2274" s="48">
        <f t="shared" ca="1" si="269"/>
        <v>0.35</v>
      </c>
      <c r="S2274">
        <f t="shared" ca="1" si="270"/>
        <v>202.68748482148578</v>
      </c>
      <c r="T2274" s="61">
        <f t="shared" ca="1" si="264"/>
        <v>16800</v>
      </c>
      <c r="U2274" s="61">
        <f t="shared" ca="1" si="265"/>
        <v>23397.492107172606</v>
      </c>
      <c r="V2274" s="39">
        <f t="shared" ca="1" si="266"/>
        <v>0.15393086912613557</v>
      </c>
      <c r="W2274" s="48">
        <f t="shared" ca="1" si="267"/>
        <v>2.1940903539559051</v>
      </c>
    </row>
    <row r="2275" spans="17:23" x14ac:dyDescent="0.2">
      <c r="Q2275">
        <f t="shared" si="268"/>
        <v>2259</v>
      </c>
      <c r="R2275" s="48">
        <f t="shared" ca="1" si="269"/>
        <v>0.3</v>
      </c>
      <c r="S2275">
        <f t="shared" ca="1" si="270"/>
        <v>216.72170600256467</v>
      </c>
      <c r="T2275" s="61">
        <f t="shared" ca="1" si="264"/>
        <v>14400</v>
      </c>
      <c r="U2275" s="61">
        <f t="shared" ca="1" si="265"/>
        <v>29364.155361436216</v>
      </c>
      <c r="V2275" s="39">
        <f t="shared" ca="1" si="266"/>
        <v>0.19318523264102774</v>
      </c>
      <c r="W2275" s="48">
        <f t="shared" ca="1" si="267"/>
        <v>3.1897301721071489</v>
      </c>
    </row>
    <row r="2276" spans="17:23" x14ac:dyDescent="0.2">
      <c r="Q2276">
        <f t="shared" si="268"/>
        <v>2260</v>
      </c>
      <c r="R2276" s="48">
        <f t="shared" ca="1" si="269"/>
        <v>0.5</v>
      </c>
      <c r="S2276">
        <f t="shared" ca="1" si="270"/>
        <v>200.24488283928395</v>
      </c>
      <c r="T2276" s="61">
        <f t="shared" ca="1" si="264"/>
        <v>24000</v>
      </c>
      <c r="U2276" s="61">
        <f t="shared" ca="1" si="265"/>
        <v>28097.953135713578</v>
      </c>
      <c r="V2276" s="39">
        <f t="shared" ca="1" si="266"/>
        <v>0.18485495484022091</v>
      </c>
      <c r="W2276" s="48">
        <f t="shared" ca="1" si="267"/>
        <v>2.9582801931752658</v>
      </c>
    </row>
    <row r="2277" spans="17:23" x14ac:dyDescent="0.2">
      <c r="Q2277">
        <f t="shared" si="268"/>
        <v>2261</v>
      </c>
      <c r="R2277" s="48">
        <f t="shared" ca="1" si="269"/>
        <v>0.217</v>
      </c>
      <c r="S2277">
        <f t="shared" ca="1" si="270"/>
        <v>198.57850754222076</v>
      </c>
      <c r="T2277" s="61">
        <f t="shared" ca="1" si="264"/>
        <v>10416</v>
      </c>
      <c r="U2277" s="61">
        <f t="shared" ca="1" si="265"/>
        <v>15789.577124447085</v>
      </c>
      <c r="V2277" s="39">
        <f t="shared" ca="1" si="266"/>
        <v>0.10387879687136241</v>
      </c>
      <c r="W2277" s="48">
        <f t="shared" ca="1" si="267"/>
        <v>1.2291545311536574</v>
      </c>
    </row>
    <row r="2278" spans="17:23" x14ac:dyDescent="0.2">
      <c r="Q2278">
        <f t="shared" si="268"/>
        <v>2262</v>
      </c>
      <c r="R2278" s="48">
        <f t="shared" ca="1" si="269"/>
        <v>0.35</v>
      </c>
      <c r="S2278">
        <f t="shared" ca="1" si="270"/>
        <v>221.7433451646487</v>
      </c>
      <c r="T2278" s="61">
        <f t="shared" ca="1" si="264"/>
        <v>16800</v>
      </c>
      <c r="U2278" s="61">
        <f t="shared" ca="1" si="265"/>
        <v>33306.539485617322</v>
      </c>
      <c r="V2278" s="39">
        <f t="shared" ca="1" si="266"/>
        <v>0.21912197030011396</v>
      </c>
      <c r="W2278" s="48">
        <f t="shared" ca="1" si="267"/>
        <v>3.98813339232776</v>
      </c>
    </row>
    <row r="2279" spans="17:23" x14ac:dyDescent="0.2">
      <c r="Q2279">
        <f t="shared" si="268"/>
        <v>2263</v>
      </c>
      <c r="R2279" s="48">
        <f t="shared" ca="1" si="269"/>
        <v>0.217</v>
      </c>
      <c r="S2279">
        <f t="shared" ca="1" si="270"/>
        <v>195.26040430692314</v>
      </c>
      <c r="T2279" s="61">
        <f t="shared" ca="1" si="264"/>
        <v>10416</v>
      </c>
      <c r="U2279" s="61">
        <f t="shared" ca="1" si="265"/>
        <v>13711.117257856651</v>
      </c>
      <c r="V2279" s="39">
        <f t="shared" ca="1" si="266"/>
        <v>9.0204718801688497E-2</v>
      </c>
      <c r="W2279" s="48">
        <f t="shared" ca="1" si="267"/>
        <v>1.014800369263734</v>
      </c>
    </row>
    <row r="2280" spans="17:23" x14ac:dyDescent="0.2">
      <c r="Q2280">
        <f t="shared" si="268"/>
        <v>2264</v>
      </c>
      <c r="R2280" s="48">
        <f t="shared" ca="1" si="269"/>
        <v>0.4</v>
      </c>
      <c r="S2280">
        <f t="shared" ca="1" si="270"/>
        <v>185.20089127339841</v>
      </c>
      <c r="T2280" s="61">
        <f t="shared" ca="1" si="264"/>
        <v>19200</v>
      </c>
      <c r="U2280" s="61">
        <f t="shared" ca="1" si="265"/>
        <v>16896.427811231239</v>
      </c>
      <c r="V2280" s="39">
        <f t="shared" ca="1" si="266"/>
        <v>0.11116070928441604</v>
      </c>
      <c r="W2280" s="48">
        <f t="shared" ca="1" si="267"/>
        <v>1.3512636518105383</v>
      </c>
    </row>
    <row r="2281" spans="17:23" x14ac:dyDescent="0.2">
      <c r="Q2281">
        <f t="shared" si="268"/>
        <v>2265</v>
      </c>
      <c r="R2281" s="48">
        <f t="shared" ca="1" si="269"/>
        <v>0.4</v>
      </c>
      <c r="S2281">
        <f t="shared" ca="1" si="270"/>
        <v>174.48898854313356</v>
      </c>
      <c r="T2281" s="61">
        <f t="shared" ca="1" si="264"/>
        <v>19200</v>
      </c>
      <c r="U2281" s="61">
        <f t="shared" ca="1" si="265"/>
        <v>11754.714500704107</v>
      </c>
      <c r="V2281" s="39">
        <f t="shared" ca="1" si="266"/>
        <v>7.7333648030948068E-2</v>
      </c>
      <c r="W2281" s="48">
        <f t="shared" ca="1" si="267"/>
        <v>0.8297689908109831</v>
      </c>
    </row>
    <row r="2282" spans="17:23" x14ac:dyDescent="0.2">
      <c r="Q2282">
        <f t="shared" si="268"/>
        <v>2266</v>
      </c>
      <c r="R2282" s="48">
        <f t="shared" ca="1" si="269"/>
        <v>0.35</v>
      </c>
      <c r="S2282">
        <f t="shared" ca="1" si="270"/>
        <v>206.41192330913069</v>
      </c>
      <c r="T2282" s="61">
        <f t="shared" ca="1" si="264"/>
        <v>16800</v>
      </c>
      <c r="U2282" s="61">
        <f t="shared" ca="1" si="265"/>
        <v>25334.200120747955</v>
      </c>
      <c r="V2282" s="39">
        <f t="shared" ca="1" si="266"/>
        <v>0.16667236921544706</v>
      </c>
      <c r="W2282" s="48">
        <f t="shared" ca="1" si="267"/>
        <v>2.491644882179997</v>
      </c>
    </row>
    <row r="2283" spans="17:23" x14ac:dyDescent="0.2">
      <c r="Q2283">
        <f t="shared" si="268"/>
        <v>2267</v>
      </c>
      <c r="R2283" s="48">
        <f t="shared" ca="1" si="269"/>
        <v>0.4</v>
      </c>
      <c r="S2283">
        <f t="shared" ca="1" si="270"/>
        <v>206.84617216497583</v>
      </c>
      <c r="T2283" s="61">
        <f t="shared" ca="1" si="264"/>
        <v>19200</v>
      </c>
      <c r="U2283" s="61">
        <f t="shared" ca="1" si="265"/>
        <v>27286.162639188398</v>
      </c>
      <c r="V2283" s="39">
        <f t="shared" ca="1" si="266"/>
        <v>0.17951422788939736</v>
      </c>
      <c r="W2283" s="48">
        <f t="shared" ca="1" si="267"/>
        <v>2.8158605216707966</v>
      </c>
    </row>
    <row r="2284" spans="17:23" x14ac:dyDescent="0.2">
      <c r="Q2284">
        <f t="shared" si="268"/>
        <v>2268</v>
      </c>
      <c r="R2284" s="48">
        <f t="shared" ca="1" si="269"/>
        <v>0.3</v>
      </c>
      <c r="S2284">
        <f t="shared" ca="1" si="270"/>
        <v>201.10818400555183</v>
      </c>
      <c r="T2284" s="61">
        <f t="shared" ca="1" si="264"/>
        <v>14400</v>
      </c>
      <c r="U2284" s="61">
        <f t="shared" ca="1" si="265"/>
        <v>20620.583043109029</v>
      </c>
      <c r="V2284" s="39">
        <f t="shared" ca="1" si="266"/>
        <v>0.13566173054676992</v>
      </c>
      <c r="W2284" s="48">
        <f t="shared" ca="1" si="267"/>
        <v>1.8062780958697258</v>
      </c>
    </row>
    <row r="2285" spans="17:23" x14ac:dyDescent="0.2">
      <c r="Q2285">
        <f t="shared" si="268"/>
        <v>2269</v>
      </c>
      <c r="R2285" s="48">
        <f t="shared" ca="1" si="269"/>
        <v>0.5</v>
      </c>
      <c r="S2285">
        <f t="shared" ca="1" si="270"/>
        <v>195.52065893833054</v>
      </c>
      <c r="T2285" s="61">
        <f t="shared" ca="1" si="264"/>
        <v>24000</v>
      </c>
      <c r="U2285" s="61">
        <f t="shared" ca="1" si="265"/>
        <v>26208.263575332217</v>
      </c>
      <c r="V2285" s="39">
        <f t="shared" ca="1" si="266"/>
        <v>0.17242278667981722</v>
      </c>
      <c r="W2285" s="48">
        <f t="shared" ca="1" si="267"/>
        <v>2.6337080636130086</v>
      </c>
    </row>
    <row r="2286" spans="17:23" x14ac:dyDescent="0.2">
      <c r="Q2286">
        <f t="shared" si="268"/>
        <v>2270</v>
      </c>
      <c r="R2286" s="48">
        <f t="shared" ca="1" si="269"/>
        <v>0.4</v>
      </c>
      <c r="S2286">
        <f t="shared" ca="1" si="270"/>
        <v>206.18593237744324</v>
      </c>
      <c r="T2286" s="61">
        <f t="shared" ca="1" si="264"/>
        <v>19200</v>
      </c>
      <c r="U2286" s="61">
        <f t="shared" ca="1" si="265"/>
        <v>26969.247541172754</v>
      </c>
      <c r="V2286" s="39">
        <f t="shared" ca="1" si="266"/>
        <v>0.17742926013929444</v>
      </c>
      <c r="W2286" s="48">
        <f t="shared" ca="1" si="267"/>
        <v>2.7614928512470525</v>
      </c>
    </row>
    <row r="2287" spans="17:23" x14ac:dyDescent="0.2">
      <c r="Q2287">
        <f t="shared" si="268"/>
        <v>2271</v>
      </c>
      <c r="R2287" s="48">
        <f t="shared" ca="1" si="269"/>
        <v>0.4</v>
      </c>
      <c r="S2287">
        <f t="shared" ca="1" si="270"/>
        <v>193.62474512829496</v>
      </c>
      <c r="T2287" s="61">
        <f t="shared" ca="1" si="264"/>
        <v>19200</v>
      </c>
      <c r="U2287" s="61">
        <f t="shared" ca="1" si="265"/>
        <v>20939.87766158158</v>
      </c>
      <c r="V2287" s="39">
        <f t="shared" ca="1" si="266"/>
        <v>0.13776235303672094</v>
      </c>
      <c r="W2287" s="48">
        <f t="shared" ca="1" si="267"/>
        <v>1.8486587501054985</v>
      </c>
    </row>
    <row r="2288" spans="17:23" x14ac:dyDescent="0.2">
      <c r="Q2288">
        <f t="shared" si="268"/>
        <v>2272</v>
      </c>
      <c r="R2288" s="48">
        <f t="shared" ca="1" si="269"/>
        <v>0.3</v>
      </c>
      <c r="S2288">
        <f t="shared" ca="1" si="270"/>
        <v>195.63374126644177</v>
      </c>
      <c r="T2288" s="61">
        <f t="shared" ca="1" si="264"/>
        <v>14400</v>
      </c>
      <c r="U2288" s="61">
        <f t="shared" ca="1" si="265"/>
        <v>17554.895109207395</v>
      </c>
      <c r="V2288" s="39">
        <f t="shared" ca="1" si="266"/>
        <v>0.1154927309816276</v>
      </c>
      <c r="W2288" s="48">
        <f t="shared" ca="1" si="267"/>
        <v>1.4266550154803235</v>
      </c>
    </row>
    <row r="2289" spans="17:23" x14ac:dyDescent="0.2">
      <c r="Q2289">
        <f t="shared" si="268"/>
        <v>2273</v>
      </c>
      <c r="R2289" s="48">
        <f t="shared" ca="1" si="269"/>
        <v>0.3</v>
      </c>
      <c r="S2289">
        <f t="shared" ca="1" si="270"/>
        <v>218.41682375312317</v>
      </c>
      <c r="T2289" s="61">
        <f t="shared" ca="1" si="264"/>
        <v>14400</v>
      </c>
      <c r="U2289" s="61">
        <f t="shared" ca="1" si="265"/>
        <v>30313.421301748975</v>
      </c>
      <c r="V2289" s="39">
        <f t="shared" ca="1" si="266"/>
        <v>0.19943040330098011</v>
      </c>
      <c r="W2289" s="48">
        <f t="shared" ca="1" si="267"/>
        <v>3.3709459023642516</v>
      </c>
    </row>
    <row r="2290" spans="17:23" x14ac:dyDescent="0.2">
      <c r="Q2290">
        <f t="shared" si="268"/>
        <v>2274</v>
      </c>
      <c r="R2290" s="48">
        <f t="shared" ca="1" si="269"/>
        <v>0.4</v>
      </c>
      <c r="S2290">
        <f t="shared" ca="1" si="270"/>
        <v>187.95404407114424</v>
      </c>
      <c r="T2290" s="61">
        <f t="shared" ca="1" si="264"/>
        <v>19200</v>
      </c>
      <c r="U2290" s="61">
        <f t="shared" ca="1" si="265"/>
        <v>18217.941154149234</v>
      </c>
      <c r="V2290" s="39">
        <f t="shared" ca="1" si="266"/>
        <v>0.11985487601413969</v>
      </c>
      <c r="W2290" s="48">
        <f t="shared" ca="1" si="267"/>
        <v>1.5047038234228252</v>
      </c>
    </row>
    <row r="2291" spans="17:23" x14ac:dyDescent="0.2">
      <c r="Q2291">
        <f t="shared" si="268"/>
        <v>2275</v>
      </c>
      <c r="R2291" s="48">
        <f t="shared" ca="1" si="269"/>
        <v>0.3</v>
      </c>
      <c r="S2291">
        <f t="shared" ca="1" si="270"/>
        <v>165.49513469845505</v>
      </c>
      <c r="T2291" s="61">
        <f t="shared" ca="1" si="264"/>
        <v>14400</v>
      </c>
      <c r="U2291" s="61">
        <f t="shared" ca="1" si="265"/>
        <v>677.27543113482534</v>
      </c>
      <c r="V2291" s="39">
        <f t="shared" ca="1" si="266"/>
        <v>4.455759415360693E-3</v>
      </c>
      <c r="W2291" s="48">
        <f t="shared" ca="1" si="267"/>
        <v>3.6718959946707042E-2</v>
      </c>
    </row>
    <row r="2292" spans="17:23" x14ac:dyDescent="0.2">
      <c r="Q2292">
        <f t="shared" si="268"/>
        <v>2276</v>
      </c>
      <c r="R2292" s="48">
        <f t="shared" ca="1" si="269"/>
        <v>0.3</v>
      </c>
      <c r="S2292">
        <f t="shared" ca="1" si="270"/>
        <v>162.25293442140426</v>
      </c>
      <c r="T2292" s="61">
        <f t="shared" ca="1" si="264"/>
        <v>14400</v>
      </c>
      <c r="U2292" s="61">
        <f t="shared" ca="1" si="265"/>
        <v>-1138.3567240136126</v>
      </c>
      <c r="V2292" s="39">
        <f t="shared" ca="1" si="266"/>
        <v>-7.4891889737737673E-3</v>
      </c>
      <c r="W2292" s="48">
        <f t="shared" ca="1" si="267"/>
        <v>-5.915253730653014E-2</v>
      </c>
    </row>
    <row r="2293" spans="17:23" x14ac:dyDescent="0.2">
      <c r="Q2293">
        <f t="shared" si="268"/>
        <v>2277</v>
      </c>
      <c r="R2293" s="48">
        <f t="shared" ca="1" si="269"/>
        <v>0.35</v>
      </c>
      <c r="S2293">
        <f t="shared" ca="1" si="270"/>
        <v>191.19942048712252</v>
      </c>
      <c r="T2293" s="61">
        <f t="shared" ca="1" si="264"/>
        <v>16800</v>
      </c>
      <c r="U2293" s="61">
        <f t="shared" ca="1" si="265"/>
        <v>17423.698653303712</v>
      </c>
      <c r="V2293" s="39">
        <f t="shared" ca="1" si="266"/>
        <v>0.1146295964033139</v>
      </c>
      <c r="W2293" s="48">
        <f t="shared" ca="1" si="267"/>
        <v>1.4114668409895343</v>
      </c>
    </row>
    <row r="2294" spans="17:23" x14ac:dyDescent="0.2">
      <c r="Q2294">
        <f t="shared" si="268"/>
        <v>2278</v>
      </c>
      <c r="R2294" s="48">
        <f t="shared" ca="1" si="269"/>
        <v>0.4</v>
      </c>
      <c r="S2294">
        <f t="shared" ca="1" si="270"/>
        <v>179.60586633485062</v>
      </c>
      <c r="T2294" s="61">
        <f t="shared" ca="1" si="264"/>
        <v>19200</v>
      </c>
      <c r="U2294" s="61">
        <f t="shared" ca="1" si="265"/>
        <v>14210.815840728297</v>
      </c>
      <c r="V2294" s="39">
        <f t="shared" ca="1" si="266"/>
        <v>9.3492209478475641E-2</v>
      </c>
      <c r="W2294" s="48">
        <f t="shared" ca="1" si="267"/>
        <v>1.0646117804105479</v>
      </c>
    </row>
    <row r="2295" spans="17:23" x14ac:dyDescent="0.2">
      <c r="Q2295">
        <f t="shared" si="268"/>
        <v>2279</v>
      </c>
      <c r="R2295" s="48">
        <f t="shared" ca="1" si="269"/>
        <v>0.3</v>
      </c>
      <c r="S2295">
        <f t="shared" ca="1" si="270"/>
        <v>203.79498548918642</v>
      </c>
      <c r="T2295" s="61">
        <f t="shared" ca="1" si="264"/>
        <v>14400</v>
      </c>
      <c r="U2295" s="61">
        <f t="shared" ca="1" si="265"/>
        <v>22125.191873944394</v>
      </c>
      <c r="V2295" s="39">
        <f t="shared" ca="1" si="266"/>
        <v>0.14556047285489732</v>
      </c>
      <c r="W2295" s="48">
        <f t="shared" ca="1" si="267"/>
        <v>2.0109373440936897</v>
      </c>
    </row>
    <row r="2296" spans="17:23" x14ac:dyDescent="0.2">
      <c r="Q2296">
        <f t="shared" si="268"/>
        <v>2280</v>
      </c>
      <c r="R2296" s="48">
        <f t="shared" ca="1" si="269"/>
        <v>0.35</v>
      </c>
      <c r="S2296">
        <f t="shared" ca="1" si="270"/>
        <v>195.83355918479924</v>
      </c>
      <c r="T2296" s="61">
        <f t="shared" ca="1" si="264"/>
        <v>16800</v>
      </c>
      <c r="U2296" s="61">
        <f t="shared" ca="1" si="265"/>
        <v>19833.450776095604</v>
      </c>
      <c r="V2296" s="39">
        <f t="shared" ca="1" si="266"/>
        <v>0.13048322879010266</v>
      </c>
      <c r="W2296" s="48">
        <f t="shared" ca="1" si="267"/>
        <v>1.7041527885509997</v>
      </c>
    </row>
    <row r="2297" spans="17:23" x14ac:dyDescent="0.2">
      <c r="Q2297">
        <f t="shared" si="268"/>
        <v>2281</v>
      </c>
      <c r="R2297" s="48">
        <f t="shared" ca="1" si="269"/>
        <v>0.3</v>
      </c>
      <c r="S2297">
        <f t="shared" ca="1" si="270"/>
        <v>183.33646883975231</v>
      </c>
      <c r="T2297" s="61">
        <f t="shared" ref="T2297:T2360" ca="1" si="271">($B$8-$B$7)*($E$6*R2297)</f>
        <v>14400</v>
      </c>
      <c r="U2297" s="61">
        <f t="shared" ref="U2297:U2360" ca="1" si="272">T2297+((S2297-$B$7)*($E$6*(1-R2297)))</f>
        <v>10668.422550261295</v>
      </c>
      <c r="V2297" s="39">
        <f t="shared" ref="V2297:V2360" ca="1" si="273">U2297/$E$4</f>
        <v>7.0186990462245358E-2</v>
      </c>
      <c r="W2297" s="48">
        <f t="shared" ref="W2297:W2360" ca="1" si="274">(1+V2297)^($J$29/$J$30)-1</f>
        <v>0.73360692980264286</v>
      </c>
    </row>
    <row r="2298" spans="17:23" x14ac:dyDescent="0.2">
      <c r="Q2298">
        <f t="shared" si="268"/>
        <v>2282</v>
      </c>
      <c r="R2298" s="48">
        <f t="shared" ca="1" si="269"/>
        <v>0.15</v>
      </c>
      <c r="S2298">
        <f t="shared" ca="1" si="270"/>
        <v>214.49676307333286</v>
      </c>
      <c r="T2298" s="61">
        <f t="shared" ca="1" si="271"/>
        <v>7200</v>
      </c>
      <c r="U2298" s="61">
        <f t="shared" ca="1" si="272"/>
        <v>23857.798889866343</v>
      </c>
      <c r="V2298" s="39">
        <f t="shared" ca="1" si="273"/>
        <v>0.15695920322280488</v>
      </c>
      <c r="W2298" s="48">
        <f t="shared" ca="1" si="274"/>
        <v>2.2627192038010424</v>
      </c>
    </row>
    <row r="2299" spans="17:23" x14ac:dyDescent="0.2">
      <c r="Q2299">
        <f t="shared" si="268"/>
        <v>2283</v>
      </c>
      <c r="R2299" s="48">
        <f t="shared" ca="1" si="269"/>
        <v>0.217</v>
      </c>
      <c r="S2299">
        <f t="shared" ca="1" si="270"/>
        <v>202.75985136978116</v>
      </c>
      <c r="T2299" s="61">
        <f t="shared" ca="1" si="271"/>
        <v>10416</v>
      </c>
      <c r="U2299" s="61">
        <f t="shared" ca="1" si="272"/>
        <v>18408.770898030918</v>
      </c>
      <c r="V2299" s="39">
        <f t="shared" ca="1" si="273"/>
        <v>0.12111033485546657</v>
      </c>
      <c r="W2299" s="48">
        <f t="shared" ca="1" si="274"/>
        <v>1.5275708189637531</v>
      </c>
    </row>
    <row r="2300" spans="17:23" x14ac:dyDescent="0.2">
      <c r="Q2300">
        <f t="shared" si="268"/>
        <v>2284</v>
      </c>
      <c r="R2300" s="48">
        <f t="shared" ca="1" si="269"/>
        <v>0.3</v>
      </c>
      <c r="S2300">
        <f t="shared" ca="1" si="270"/>
        <v>151.6083586150792</v>
      </c>
      <c r="T2300" s="61">
        <f t="shared" ca="1" si="271"/>
        <v>14400</v>
      </c>
      <c r="U2300" s="61">
        <f t="shared" ca="1" si="272"/>
        <v>-7099.3191755556509</v>
      </c>
      <c r="V2300" s="39">
        <f t="shared" ca="1" si="273"/>
        <v>-4.6706047207602963E-2</v>
      </c>
      <c r="W2300" s="48">
        <f t="shared" ca="1" si="274"/>
        <v>-0.32156760749284918</v>
      </c>
    </row>
    <row r="2301" spans="17:23" x14ac:dyDescent="0.2">
      <c r="Q2301">
        <f t="shared" si="268"/>
        <v>2285</v>
      </c>
      <c r="R2301" s="48">
        <f t="shared" ca="1" si="269"/>
        <v>0.35</v>
      </c>
      <c r="S2301">
        <f t="shared" ca="1" si="270"/>
        <v>203.41928243569561</v>
      </c>
      <c r="T2301" s="61">
        <f t="shared" ca="1" si="271"/>
        <v>16800</v>
      </c>
      <c r="U2301" s="61">
        <f t="shared" ca="1" si="272"/>
        <v>23778.026866561715</v>
      </c>
      <c r="V2301" s="39">
        <f t="shared" ca="1" si="273"/>
        <v>0.15643438728001127</v>
      </c>
      <c r="W2301" s="48">
        <f t="shared" ca="1" si="274"/>
        <v>2.2507339109306663</v>
      </c>
    </row>
    <row r="2302" spans="17:23" x14ac:dyDescent="0.2">
      <c r="Q2302">
        <f t="shared" si="268"/>
        <v>2286</v>
      </c>
      <c r="R2302" s="48">
        <f t="shared" ca="1" si="269"/>
        <v>0.4</v>
      </c>
      <c r="S2302">
        <f t="shared" ca="1" si="270"/>
        <v>211.0419409442743</v>
      </c>
      <c r="T2302" s="61">
        <f t="shared" ca="1" si="271"/>
        <v>19200</v>
      </c>
      <c r="U2302" s="61">
        <f t="shared" ca="1" si="272"/>
        <v>29300.131653251665</v>
      </c>
      <c r="V2302" s="39">
        <f t="shared" ca="1" si="273"/>
        <v>0.19276402403455042</v>
      </c>
      <c r="W2302" s="48">
        <f t="shared" ca="1" si="274"/>
        <v>3.1777486852566277</v>
      </c>
    </row>
    <row r="2303" spans="17:23" x14ac:dyDescent="0.2">
      <c r="Q2303">
        <f t="shared" si="268"/>
        <v>2287</v>
      </c>
      <c r="R2303" s="48">
        <f t="shared" ca="1" si="269"/>
        <v>0.45</v>
      </c>
      <c r="S2303">
        <f t="shared" ca="1" si="270"/>
        <v>160.00000097831023</v>
      </c>
      <c r="T2303" s="61">
        <f t="shared" ca="1" si="271"/>
        <v>21600</v>
      </c>
      <c r="U2303" s="61">
        <f t="shared" ca="1" si="272"/>
        <v>8400.0004304564973</v>
      </c>
      <c r="V2303" s="39">
        <f t="shared" ca="1" si="273"/>
        <v>5.526316072668748E-2</v>
      </c>
      <c r="W2303" s="48">
        <f t="shared" ca="1" si="274"/>
        <v>0.54696988473682051</v>
      </c>
    </row>
    <row r="2304" spans="17:23" x14ac:dyDescent="0.2">
      <c r="Q2304">
        <f t="shared" si="268"/>
        <v>2288</v>
      </c>
      <c r="R2304" s="48">
        <f t="shared" ca="1" si="269"/>
        <v>0.3</v>
      </c>
      <c r="S2304">
        <f t="shared" ca="1" si="270"/>
        <v>183.60637049334136</v>
      </c>
      <c r="T2304" s="61">
        <f t="shared" ca="1" si="271"/>
        <v>14400</v>
      </c>
      <c r="U2304" s="61">
        <f t="shared" ca="1" si="272"/>
        <v>10819.567476271161</v>
      </c>
      <c r="V2304" s="39">
        <f t="shared" ca="1" si="273"/>
        <v>7.1181364975468162E-2</v>
      </c>
      <c r="W2304" s="48">
        <f t="shared" ca="1" si="274"/>
        <v>0.74671553297688664</v>
      </c>
    </row>
    <row r="2305" spans="17:23" x14ac:dyDescent="0.2">
      <c r="Q2305">
        <f t="shared" si="268"/>
        <v>2289</v>
      </c>
      <c r="R2305" s="48">
        <f t="shared" ca="1" si="269"/>
        <v>0.35</v>
      </c>
      <c r="S2305">
        <f t="shared" ca="1" si="270"/>
        <v>173.37969859760955</v>
      </c>
      <c r="T2305" s="61">
        <f t="shared" ca="1" si="271"/>
        <v>16800</v>
      </c>
      <c r="U2305" s="61">
        <f t="shared" ca="1" si="272"/>
        <v>8157.4432707569649</v>
      </c>
      <c r="V2305" s="39">
        <f t="shared" ca="1" si="273"/>
        <v>5.3667389939190561E-2</v>
      </c>
      <c r="W2305" s="48">
        <f t="shared" ca="1" si="274"/>
        <v>0.52809702195133412</v>
      </c>
    </row>
    <row r="2306" spans="17:23" x14ac:dyDescent="0.2">
      <c r="Q2306">
        <f t="shared" si="268"/>
        <v>2290</v>
      </c>
      <c r="R2306" s="48">
        <f t="shared" ca="1" si="269"/>
        <v>0.3</v>
      </c>
      <c r="S2306">
        <f t="shared" ca="1" si="270"/>
        <v>198.98477560838322</v>
      </c>
      <c r="T2306" s="61">
        <f t="shared" ca="1" si="271"/>
        <v>14400</v>
      </c>
      <c r="U2306" s="61">
        <f t="shared" ca="1" si="272"/>
        <v>19431.4743406946</v>
      </c>
      <c r="V2306" s="39">
        <f t="shared" ca="1" si="273"/>
        <v>0.12783864697825395</v>
      </c>
      <c r="W2306" s="48">
        <f t="shared" ca="1" si="274"/>
        <v>1.6532672527199002</v>
      </c>
    </row>
    <row r="2307" spans="17:23" x14ac:dyDescent="0.2">
      <c r="Q2307">
        <f t="shared" si="268"/>
        <v>2291</v>
      </c>
      <c r="R2307" s="48">
        <f t="shared" ca="1" si="269"/>
        <v>0.35</v>
      </c>
      <c r="S2307">
        <f t="shared" ca="1" si="270"/>
        <v>214.10178624440297</v>
      </c>
      <c r="T2307" s="61">
        <f t="shared" ca="1" si="271"/>
        <v>16800</v>
      </c>
      <c r="U2307" s="61">
        <f t="shared" ca="1" si="272"/>
        <v>29332.928847089548</v>
      </c>
      <c r="V2307" s="39">
        <f t="shared" ca="1" si="273"/>
        <v>0.19297979504664176</v>
      </c>
      <c r="W2307" s="48">
        <f t="shared" ca="1" si="274"/>
        <v>3.1838826401826941</v>
      </c>
    </row>
    <row r="2308" spans="17:23" x14ac:dyDescent="0.2">
      <c r="Q2308">
        <f t="shared" si="268"/>
        <v>2292</v>
      </c>
      <c r="R2308" s="48">
        <f t="shared" ca="1" si="269"/>
        <v>0.35</v>
      </c>
      <c r="S2308">
        <f t="shared" ca="1" si="270"/>
        <v>200.70001994673657</v>
      </c>
      <c r="T2308" s="61">
        <f t="shared" ca="1" si="271"/>
        <v>16800</v>
      </c>
      <c r="U2308" s="61">
        <f t="shared" ca="1" si="272"/>
        <v>22364.010372303019</v>
      </c>
      <c r="V2308" s="39">
        <f t="shared" ca="1" si="273"/>
        <v>0.14713164718620408</v>
      </c>
      <c r="W2308" s="48">
        <f t="shared" ca="1" si="274"/>
        <v>2.0445967959980873</v>
      </c>
    </row>
    <row r="2309" spans="17:23" x14ac:dyDescent="0.2">
      <c r="Q2309">
        <f t="shared" si="268"/>
        <v>2293</v>
      </c>
      <c r="R2309" s="48">
        <f t="shared" ca="1" si="269"/>
        <v>0.3</v>
      </c>
      <c r="S2309">
        <f t="shared" ca="1" si="270"/>
        <v>175.5059810500893</v>
      </c>
      <c r="T2309" s="61">
        <f t="shared" ca="1" si="271"/>
        <v>14400</v>
      </c>
      <c r="U2309" s="61">
        <f t="shared" ca="1" si="272"/>
        <v>6283.34938805001</v>
      </c>
      <c r="V2309" s="39">
        <f t="shared" ca="1" si="273"/>
        <v>4.1337824921381647E-2</v>
      </c>
      <c r="W2309" s="48">
        <f t="shared" ca="1" si="274"/>
        <v>0.38895372518658999</v>
      </c>
    </row>
    <row r="2310" spans="17:23" x14ac:dyDescent="0.2">
      <c r="Q2310">
        <f t="shared" si="268"/>
        <v>2294</v>
      </c>
      <c r="R2310" s="48">
        <f t="shared" ca="1" si="269"/>
        <v>0.5</v>
      </c>
      <c r="S2310">
        <f t="shared" ca="1" si="270"/>
        <v>204.66895764393138</v>
      </c>
      <c r="T2310" s="61">
        <f t="shared" ca="1" si="271"/>
        <v>24000</v>
      </c>
      <c r="U2310" s="61">
        <f t="shared" ca="1" si="272"/>
        <v>29867.583057572552</v>
      </c>
      <c r="V2310" s="39">
        <f t="shared" ca="1" si="273"/>
        <v>0.19649725695771417</v>
      </c>
      <c r="W2310" s="48">
        <f t="shared" ca="1" si="274"/>
        <v>3.2849969269756354</v>
      </c>
    </row>
    <row r="2311" spans="17:23" x14ac:dyDescent="0.2">
      <c r="Q2311">
        <f t="shared" si="268"/>
        <v>2295</v>
      </c>
      <c r="R2311" s="48">
        <f t="shared" ca="1" si="269"/>
        <v>0.4</v>
      </c>
      <c r="S2311">
        <f t="shared" ca="1" si="270"/>
        <v>202.22462147454141</v>
      </c>
      <c r="T2311" s="61">
        <f t="shared" ca="1" si="271"/>
        <v>19200</v>
      </c>
      <c r="U2311" s="61">
        <f t="shared" ca="1" si="272"/>
        <v>25067.818307779875</v>
      </c>
      <c r="V2311" s="39">
        <f t="shared" ca="1" si="273"/>
        <v>0.1649198572880255</v>
      </c>
      <c r="W2311" s="48">
        <f t="shared" ca="1" si="274"/>
        <v>2.4493289567631122</v>
      </c>
    </row>
    <row r="2312" spans="17:23" x14ac:dyDescent="0.2">
      <c r="Q2312">
        <f t="shared" si="268"/>
        <v>2296</v>
      </c>
      <c r="R2312" s="48">
        <f t="shared" ca="1" si="269"/>
        <v>0.5</v>
      </c>
      <c r="S2312">
        <f t="shared" ca="1" si="270"/>
        <v>167.78710084076096</v>
      </c>
      <c r="T2312" s="61">
        <f t="shared" ca="1" si="271"/>
        <v>24000</v>
      </c>
      <c r="U2312" s="61">
        <f t="shared" ca="1" si="272"/>
        <v>15114.840336304384</v>
      </c>
      <c r="V2312" s="39">
        <f t="shared" ca="1" si="273"/>
        <v>9.9439739054634102E-2</v>
      </c>
      <c r="W2312" s="48">
        <f t="shared" ca="1" si="274"/>
        <v>1.1574763645780526</v>
      </c>
    </row>
    <row r="2313" spans="17:23" x14ac:dyDescent="0.2">
      <c r="Q2313">
        <f t="shared" si="268"/>
        <v>2297</v>
      </c>
      <c r="R2313" s="48">
        <f t="shared" ca="1" si="269"/>
        <v>0.4</v>
      </c>
      <c r="S2313">
        <f t="shared" ca="1" si="270"/>
        <v>177.4559493656113</v>
      </c>
      <c r="T2313" s="61">
        <f t="shared" ca="1" si="271"/>
        <v>19200</v>
      </c>
      <c r="U2313" s="61">
        <f t="shared" ca="1" si="272"/>
        <v>13178.855695493425</v>
      </c>
      <c r="V2313" s="39">
        <f t="shared" ca="1" si="273"/>
        <v>8.6702997996667266E-2</v>
      </c>
      <c r="W2313" s="48">
        <f t="shared" ca="1" si="274"/>
        <v>0.96290481303211162</v>
      </c>
    </row>
    <row r="2314" spans="17:23" x14ac:dyDescent="0.2">
      <c r="Q2314">
        <f t="shared" si="268"/>
        <v>2298</v>
      </c>
      <c r="R2314" s="48">
        <f t="shared" ca="1" si="269"/>
        <v>0.3</v>
      </c>
      <c r="S2314">
        <f t="shared" ca="1" si="270"/>
        <v>193.53019851533321</v>
      </c>
      <c r="T2314" s="61">
        <f t="shared" ca="1" si="271"/>
        <v>14400</v>
      </c>
      <c r="U2314" s="61">
        <f t="shared" ca="1" si="272"/>
        <v>16376.911168586597</v>
      </c>
      <c r="V2314" s="39">
        <f t="shared" ca="1" si="273"/>
        <v>0.10774283663543814</v>
      </c>
      <c r="W2314" s="48">
        <f t="shared" ca="1" si="274"/>
        <v>1.2932387067610658</v>
      </c>
    </row>
    <row r="2315" spans="17:23" x14ac:dyDescent="0.2">
      <c r="Q2315">
        <f t="shared" si="268"/>
        <v>2299</v>
      </c>
      <c r="R2315" s="48">
        <f t="shared" ca="1" si="269"/>
        <v>0.35</v>
      </c>
      <c r="S2315">
        <f t="shared" ca="1" si="270"/>
        <v>189.57858439573175</v>
      </c>
      <c r="T2315" s="61">
        <f t="shared" ca="1" si="271"/>
        <v>16800</v>
      </c>
      <c r="U2315" s="61">
        <f t="shared" ca="1" si="272"/>
        <v>16580.863885780513</v>
      </c>
      <c r="V2315" s="39">
        <f t="shared" ca="1" si="273"/>
        <v>0.10908463082750337</v>
      </c>
      <c r="W2315" s="48">
        <f t="shared" ca="1" si="274"/>
        <v>1.3158667800171031</v>
      </c>
    </row>
    <row r="2316" spans="17:23" x14ac:dyDescent="0.2">
      <c r="Q2316">
        <f t="shared" si="268"/>
        <v>2300</v>
      </c>
      <c r="R2316" s="48">
        <f t="shared" ca="1" si="269"/>
        <v>0.4</v>
      </c>
      <c r="S2316">
        <f t="shared" ca="1" si="270"/>
        <v>179.09703297711815</v>
      </c>
      <c r="T2316" s="61">
        <f t="shared" ca="1" si="271"/>
        <v>19200</v>
      </c>
      <c r="U2316" s="61">
        <f t="shared" ca="1" si="272"/>
        <v>13966.57582901671</v>
      </c>
      <c r="V2316" s="39">
        <f t="shared" ca="1" si="273"/>
        <v>9.1885367296162562E-2</v>
      </c>
      <c r="W2316" s="48">
        <f t="shared" ca="1" si="274"/>
        <v>1.0401319687737809</v>
      </c>
    </row>
    <row r="2317" spans="17:23" x14ac:dyDescent="0.2">
      <c r="Q2317">
        <f t="shared" si="268"/>
        <v>2301</v>
      </c>
      <c r="R2317" s="48">
        <f t="shared" ca="1" si="269"/>
        <v>0.3</v>
      </c>
      <c r="S2317">
        <f t="shared" ca="1" si="270"/>
        <v>182.98554760777066</v>
      </c>
      <c r="T2317" s="61">
        <f t="shared" ca="1" si="271"/>
        <v>14400</v>
      </c>
      <c r="U2317" s="61">
        <f t="shared" ca="1" si="272"/>
        <v>10471.906660351568</v>
      </c>
      <c r="V2317" s="39">
        <f t="shared" ca="1" si="273"/>
        <v>6.8894122765470842E-2</v>
      </c>
      <c r="W2317" s="48">
        <f t="shared" ca="1" si="274"/>
        <v>0.71669237675073227</v>
      </c>
    </row>
    <row r="2318" spans="17:23" x14ac:dyDescent="0.2">
      <c r="Q2318">
        <f t="shared" si="268"/>
        <v>2302</v>
      </c>
      <c r="R2318" s="48">
        <f t="shared" ca="1" si="269"/>
        <v>0.4</v>
      </c>
      <c r="S2318">
        <f t="shared" ca="1" si="270"/>
        <v>202.6201992679805</v>
      </c>
      <c r="T2318" s="61">
        <f t="shared" ca="1" si="271"/>
        <v>19200</v>
      </c>
      <c r="U2318" s="61">
        <f t="shared" ca="1" si="272"/>
        <v>25257.695648630637</v>
      </c>
      <c r="V2318" s="39">
        <f t="shared" ca="1" si="273"/>
        <v>0.16616905031993839</v>
      </c>
      <c r="W2318" s="48">
        <f t="shared" ca="1" si="274"/>
        <v>2.479445477345593</v>
      </c>
    </row>
    <row r="2319" spans="17:23" x14ac:dyDescent="0.2">
      <c r="Q2319">
        <f t="shared" si="268"/>
        <v>2303</v>
      </c>
      <c r="R2319" s="48">
        <f t="shared" ca="1" si="269"/>
        <v>0.35</v>
      </c>
      <c r="S2319">
        <f t="shared" ca="1" si="270"/>
        <v>201.55167210861075</v>
      </c>
      <c r="T2319" s="61">
        <f t="shared" ca="1" si="271"/>
        <v>16800</v>
      </c>
      <c r="U2319" s="61">
        <f t="shared" ca="1" si="272"/>
        <v>22806.869496477586</v>
      </c>
      <c r="V2319" s="39">
        <f t="shared" ca="1" si="273"/>
        <v>0.1500451940557736</v>
      </c>
      <c r="W2319" s="48">
        <f t="shared" ca="1" si="274"/>
        <v>2.1078880050756035</v>
      </c>
    </row>
    <row r="2320" spans="17:23" x14ac:dyDescent="0.2">
      <c r="Q2320">
        <f t="shared" si="268"/>
        <v>2304</v>
      </c>
      <c r="R2320" s="48">
        <f t="shared" ca="1" si="269"/>
        <v>0.3</v>
      </c>
      <c r="S2320">
        <f t="shared" ca="1" si="270"/>
        <v>198.16871325282042</v>
      </c>
      <c r="T2320" s="61">
        <f t="shared" ca="1" si="271"/>
        <v>14400</v>
      </c>
      <c r="U2320" s="61">
        <f t="shared" ca="1" si="272"/>
        <v>18974.479421579439</v>
      </c>
      <c r="V2320" s="39">
        <f t="shared" ca="1" si="273"/>
        <v>0.12483210145775947</v>
      </c>
      <c r="W2320" s="48">
        <f t="shared" ca="1" si="274"/>
        <v>1.596438429429166</v>
      </c>
    </row>
    <row r="2321" spans="17:23" x14ac:dyDescent="0.2">
      <c r="Q2321">
        <f t="shared" si="268"/>
        <v>2305</v>
      </c>
      <c r="R2321" s="48">
        <f t="shared" ca="1" si="269"/>
        <v>0.4</v>
      </c>
      <c r="S2321">
        <f t="shared" ca="1" si="270"/>
        <v>179.33257950637173</v>
      </c>
      <c r="T2321" s="61">
        <f t="shared" ca="1" si="271"/>
        <v>19200</v>
      </c>
      <c r="U2321" s="61">
        <f t="shared" ca="1" si="272"/>
        <v>14079.638163058429</v>
      </c>
      <c r="V2321" s="39">
        <f t="shared" ca="1" si="273"/>
        <v>9.2629198441173871E-2</v>
      </c>
      <c r="W2321" s="48">
        <f t="shared" ca="1" si="274"/>
        <v>1.0514322186229443</v>
      </c>
    </row>
    <row r="2322" spans="17:23" x14ac:dyDescent="0.2">
      <c r="Q2322">
        <f t="shared" si="268"/>
        <v>2306</v>
      </c>
      <c r="R2322" s="48">
        <f t="shared" ca="1" si="269"/>
        <v>0.35</v>
      </c>
      <c r="S2322">
        <f t="shared" ca="1" si="270"/>
        <v>177.11515827060083</v>
      </c>
      <c r="T2322" s="61">
        <f t="shared" ca="1" si="271"/>
        <v>16800</v>
      </c>
      <c r="U2322" s="61">
        <f t="shared" ca="1" si="272"/>
        <v>10099.882300712432</v>
      </c>
      <c r="V2322" s="39">
        <f t="shared" ca="1" si="273"/>
        <v>6.6446594083634417E-2</v>
      </c>
      <c r="W2322" s="48">
        <f t="shared" ca="1" si="274"/>
        <v>0.68506725109398925</v>
      </c>
    </row>
    <row r="2323" spans="17:23" x14ac:dyDescent="0.2">
      <c r="Q2323">
        <f t="shared" ref="Q2323:Q2386" si="275">Q2322+1</f>
        <v>2307</v>
      </c>
      <c r="R2323" s="48">
        <f t="shared" ref="R2323:R2386" ca="1" si="276">LOOKUP(RAND(),$U$6:$U$12,$S$6:$S$12)</f>
        <v>0.3</v>
      </c>
      <c r="S2323">
        <f t="shared" ref="S2323:S2386" ca="1" si="277">_xlfn.NORM.INV(RAND(),$Q$5,$Q$10)</f>
        <v>182.2905233170666</v>
      </c>
      <c r="T2323" s="61">
        <f t="shared" ca="1" si="271"/>
        <v>14400</v>
      </c>
      <c r="U2323" s="61">
        <f t="shared" ca="1" si="272"/>
        <v>10082.693057557297</v>
      </c>
      <c r="V2323" s="39">
        <f t="shared" ca="1" si="273"/>
        <v>6.6333506957613794E-2</v>
      </c>
      <c r="W2323" s="48">
        <f t="shared" ca="1" si="274"/>
        <v>0.68361845287033041</v>
      </c>
    </row>
    <row r="2324" spans="17:23" x14ac:dyDescent="0.2">
      <c r="Q2324">
        <f t="shared" si="275"/>
        <v>2308</v>
      </c>
      <c r="R2324" s="48">
        <f t="shared" ca="1" si="276"/>
        <v>0.3</v>
      </c>
      <c r="S2324">
        <f t="shared" ca="1" si="277"/>
        <v>175.00070180623956</v>
      </c>
      <c r="T2324" s="61">
        <f t="shared" ca="1" si="271"/>
        <v>14400</v>
      </c>
      <c r="U2324" s="61">
        <f t="shared" ca="1" si="272"/>
        <v>6000.3930114941541</v>
      </c>
      <c r="V2324" s="39">
        <f t="shared" ca="1" si="273"/>
        <v>3.9476269812461537E-2</v>
      </c>
      <c r="W2324" s="48">
        <f t="shared" ca="1" si="274"/>
        <v>0.36894159871209697</v>
      </c>
    </row>
    <row r="2325" spans="17:23" x14ac:dyDescent="0.2">
      <c r="Q2325">
        <f t="shared" si="275"/>
        <v>2309</v>
      </c>
      <c r="R2325" s="48">
        <f t="shared" ca="1" si="276"/>
        <v>0.35</v>
      </c>
      <c r="S2325">
        <f t="shared" ca="1" si="277"/>
        <v>199.79165477335184</v>
      </c>
      <c r="T2325" s="61">
        <f t="shared" ca="1" si="271"/>
        <v>16800</v>
      </c>
      <c r="U2325" s="61">
        <f t="shared" ca="1" si="272"/>
        <v>21891.660482142957</v>
      </c>
      <c r="V2325" s="39">
        <f t="shared" ca="1" si="273"/>
        <v>0.14402408211936157</v>
      </c>
      <c r="W2325" s="48">
        <f t="shared" ca="1" si="274"/>
        <v>1.9783390050474061</v>
      </c>
    </row>
    <row r="2326" spans="17:23" x14ac:dyDescent="0.2">
      <c r="Q2326">
        <f t="shared" si="275"/>
        <v>2310</v>
      </c>
      <c r="R2326" s="48">
        <f t="shared" ca="1" si="276"/>
        <v>0.35</v>
      </c>
      <c r="S2326">
        <f t="shared" ca="1" si="277"/>
        <v>187.95284264068226</v>
      </c>
      <c r="T2326" s="61">
        <f t="shared" ca="1" si="271"/>
        <v>16800</v>
      </c>
      <c r="U2326" s="61">
        <f t="shared" ca="1" si="272"/>
        <v>15735.478173154777</v>
      </c>
      <c r="V2326" s="39">
        <f t="shared" ca="1" si="273"/>
        <v>0.10352288271812353</v>
      </c>
      <c r="W2326" s="48">
        <f t="shared" ca="1" si="274"/>
        <v>1.2233315341641271</v>
      </c>
    </row>
    <row r="2327" spans="17:23" x14ac:dyDescent="0.2">
      <c r="Q2327">
        <f t="shared" si="275"/>
        <v>2311</v>
      </c>
      <c r="R2327" s="48">
        <f t="shared" ca="1" si="276"/>
        <v>0.3</v>
      </c>
      <c r="S2327">
        <f t="shared" ca="1" si="277"/>
        <v>199.26414680011067</v>
      </c>
      <c r="T2327" s="61">
        <f t="shared" ca="1" si="271"/>
        <v>14400</v>
      </c>
      <c r="U2327" s="61">
        <f t="shared" ca="1" si="272"/>
        <v>19587.922208061973</v>
      </c>
      <c r="V2327" s="39">
        <f t="shared" ca="1" si="273"/>
        <v>0.12886790926356562</v>
      </c>
      <c r="W2327" s="48">
        <f t="shared" ca="1" si="274"/>
        <v>1.6729710514205749</v>
      </c>
    </row>
    <row r="2328" spans="17:23" x14ac:dyDescent="0.2">
      <c r="Q2328">
        <f t="shared" si="275"/>
        <v>2312</v>
      </c>
      <c r="R2328" s="48">
        <f t="shared" ca="1" si="276"/>
        <v>0.35</v>
      </c>
      <c r="S2328">
        <f t="shared" ca="1" si="277"/>
        <v>172.63532690080356</v>
      </c>
      <c r="T2328" s="61">
        <f t="shared" ca="1" si="271"/>
        <v>16800</v>
      </c>
      <c r="U2328" s="61">
        <f t="shared" ca="1" si="272"/>
        <v>7770.3699884178532</v>
      </c>
      <c r="V2328" s="39">
        <f t="shared" ca="1" si="273"/>
        <v>5.1120855186959559E-2</v>
      </c>
      <c r="W2328" s="48">
        <f t="shared" ca="1" si="274"/>
        <v>0.49839761834567287</v>
      </c>
    </row>
    <row r="2329" spans="17:23" x14ac:dyDescent="0.2">
      <c r="Q2329">
        <f t="shared" si="275"/>
        <v>2313</v>
      </c>
      <c r="R2329" s="48">
        <f t="shared" ca="1" si="276"/>
        <v>0.45</v>
      </c>
      <c r="S2329">
        <f t="shared" ca="1" si="277"/>
        <v>199.77997033634657</v>
      </c>
      <c r="T2329" s="61">
        <f t="shared" ca="1" si="271"/>
        <v>21600</v>
      </c>
      <c r="U2329" s="61">
        <f t="shared" ca="1" si="272"/>
        <v>25903.18694799249</v>
      </c>
      <c r="V2329" s="39">
        <f t="shared" ca="1" si="273"/>
        <v>0.17041570360521374</v>
      </c>
      <c r="W2329" s="48">
        <f t="shared" ca="1" si="274"/>
        <v>2.5835582645721393</v>
      </c>
    </row>
    <row r="2330" spans="17:23" x14ac:dyDescent="0.2">
      <c r="Q2330">
        <f t="shared" si="275"/>
        <v>2314</v>
      </c>
      <c r="R2330" s="48">
        <f t="shared" ca="1" si="276"/>
        <v>0.4</v>
      </c>
      <c r="S2330">
        <f t="shared" ca="1" si="277"/>
        <v>175.80620608930386</v>
      </c>
      <c r="T2330" s="61">
        <f t="shared" ca="1" si="271"/>
        <v>19200</v>
      </c>
      <c r="U2330" s="61">
        <f t="shared" ca="1" si="272"/>
        <v>12386.978922865852</v>
      </c>
      <c r="V2330" s="39">
        <f t="shared" ca="1" si="273"/>
        <v>8.1493282387275337E-2</v>
      </c>
      <c r="W2330" s="48">
        <f t="shared" ca="1" si="274"/>
        <v>0.88786543360763814</v>
      </c>
    </row>
    <row r="2331" spans="17:23" x14ac:dyDescent="0.2">
      <c r="Q2331">
        <f t="shared" si="275"/>
        <v>2315</v>
      </c>
      <c r="R2331" s="48">
        <f t="shared" ca="1" si="276"/>
        <v>0.35</v>
      </c>
      <c r="S2331">
        <f t="shared" ca="1" si="277"/>
        <v>180.06659191803084</v>
      </c>
      <c r="T2331" s="61">
        <f t="shared" ca="1" si="271"/>
        <v>16800</v>
      </c>
      <c r="U2331" s="61">
        <f t="shared" ca="1" si="272"/>
        <v>11634.627797376035</v>
      </c>
      <c r="V2331" s="39">
        <f t="shared" ca="1" si="273"/>
        <v>7.6543603930105494E-2</v>
      </c>
      <c r="W2331" s="48">
        <f t="shared" ca="1" si="274"/>
        <v>0.81891359763223304</v>
      </c>
    </row>
    <row r="2332" spans="17:23" x14ac:dyDescent="0.2">
      <c r="Q2332">
        <f t="shared" si="275"/>
        <v>2316</v>
      </c>
      <c r="R2332" s="48">
        <f t="shared" ca="1" si="276"/>
        <v>0.217</v>
      </c>
      <c r="S2332">
        <f t="shared" ca="1" si="277"/>
        <v>184.83521943811229</v>
      </c>
      <c r="T2332" s="61">
        <f t="shared" ca="1" si="271"/>
        <v>10416</v>
      </c>
      <c r="U2332" s="61">
        <f t="shared" ca="1" si="272"/>
        <v>7180.7814560335391</v>
      </c>
      <c r="V2332" s="39">
        <f t="shared" ca="1" si="273"/>
        <v>4.7241983263378549E-2</v>
      </c>
      <c r="W2332" s="48">
        <f t="shared" ca="1" si="274"/>
        <v>0.45413191123239383</v>
      </c>
    </row>
    <row r="2333" spans="17:23" x14ac:dyDescent="0.2">
      <c r="Q2333">
        <f t="shared" si="275"/>
        <v>2317</v>
      </c>
      <c r="R2333" s="48">
        <f t="shared" ca="1" si="276"/>
        <v>0.3</v>
      </c>
      <c r="S2333">
        <f t="shared" ca="1" si="277"/>
        <v>210.34611327131444</v>
      </c>
      <c r="T2333" s="61">
        <f t="shared" ca="1" si="271"/>
        <v>14400</v>
      </c>
      <c r="U2333" s="61">
        <f t="shared" ca="1" si="272"/>
        <v>25793.823431936085</v>
      </c>
      <c r="V2333" s="39">
        <f t="shared" ca="1" si="273"/>
        <v>0.1696962067890532</v>
      </c>
      <c r="W2333" s="48">
        <f t="shared" ca="1" si="274"/>
        <v>2.5657289577539864</v>
      </c>
    </row>
    <row r="2334" spans="17:23" x14ac:dyDescent="0.2">
      <c r="Q2334">
        <f t="shared" si="275"/>
        <v>2318</v>
      </c>
      <c r="R2334" s="48">
        <f t="shared" ca="1" si="276"/>
        <v>0.4</v>
      </c>
      <c r="S2334">
        <f t="shared" ca="1" si="277"/>
        <v>193.20111194564592</v>
      </c>
      <c r="T2334" s="61">
        <f t="shared" ca="1" si="271"/>
        <v>19200</v>
      </c>
      <c r="U2334" s="61">
        <f t="shared" ca="1" si="272"/>
        <v>20736.533733910041</v>
      </c>
      <c r="V2334" s="39">
        <f t="shared" ca="1" si="273"/>
        <v>0.13642456403888184</v>
      </c>
      <c r="W2334" s="48">
        <f t="shared" ca="1" si="274"/>
        <v>1.82160411003921</v>
      </c>
    </row>
    <row r="2335" spans="17:23" x14ac:dyDescent="0.2">
      <c r="Q2335">
        <f t="shared" si="275"/>
        <v>2319</v>
      </c>
      <c r="R2335" s="48">
        <f t="shared" ca="1" si="276"/>
        <v>0.15</v>
      </c>
      <c r="S2335">
        <f t="shared" ca="1" si="277"/>
        <v>167.11863632104595</v>
      </c>
      <c r="T2335" s="61">
        <f t="shared" ca="1" si="271"/>
        <v>7200</v>
      </c>
      <c r="U2335" s="61">
        <f t="shared" ca="1" si="272"/>
        <v>-8359.3273016887506</v>
      </c>
      <c r="V2335" s="39">
        <f t="shared" ca="1" si="273"/>
        <v>-5.4995574353215462E-2</v>
      </c>
      <c r="W2335" s="48">
        <f t="shared" ca="1" si="274"/>
        <v>-0.36796494553941195</v>
      </c>
    </row>
    <row r="2336" spans="17:23" x14ac:dyDescent="0.2">
      <c r="Q2336">
        <f t="shared" si="275"/>
        <v>2320</v>
      </c>
      <c r="R2336" s="48">
        <f t="shared" ca="1" si="276"/>
        <v>0.45</v>
      </c>
      <c r="S2336">
        <f t="shared" ca="1" si="277"/>
        <v>152.92952247212759</v>
      </c>
      <c r="T2336" s="61">
        <f t="shared" ca="1" si="271"/>
        <v>21600</v>
      </c>
      <c r="U2336" s="61">
        <f t="shared" ca="1" si="272"/>
        <v>5288.9898877361356</v>
      </c>
      <c r="V2336" s="39">
        <f t="shared" ca="1" si="273"/>
        <v>3.4795986103527209E-2</v>
      </c>
      <c r="W2336" s="48">
        <f t="shared" ca="1" si="274"/>
        <v>0.31974009070441123</v>
      </c>
    </row>
    <row r="2337" spans="17:23" x14ac:dyDescent="0.2">
      <c r="Q2337">
        <f t="shared" si="275"/>
        <v>2321</v>
      </c>
      <c r="R2337" s="48">
        <f t="shared" ca="1" si="276"/>
        <v>0.5</v>
      </c>
      <c r="S2337">
        <f t="shared" ca="1" si="277"/>
        <v>174.48246499031168</v>
      </c>
      <c r="T2337" s="61">
        <f t="shared" ca="1" si="271"/>
        <v>24000</v>
      </c>
      <c r="U2337" s="61">
        <f t="shared" ca="1" si="272"/>
        <v>17792.985996124673</v>
      </c>
      <c r="V2337" s="39">
        <f t="shared" ca="1" si="273"/>
        <v>0.11705911839555706</v>
      </c>
      <c r="W2337" s="48">
        <f t="shared" ca="1" si="274"/>
        <v>1.454432309906891</v>
      </c>
    </row>
    <row r="2338" spans="17:23" x14ac:dyDescent="0.2">
      <c r="Q2338">
        <f t="shared" si="275"/>
        <v>2322</v>
      </c>
      <c r="R2338" s="48">
        <f t="shared" ca="1" si="276"/>
        <v>0.3</v>
      </c>
      <c r="S2338">
        <f t="shared" ca="1" si="277"/>
        <v>202.41400632944732</v>
      </c>
      <c r="T2338" s="61">
        <f t="shared" ca="1" si="271"/>
        <v>14400</v>
      </c>
      <c r="U2338" s="61">
        <f t="shared" ca="1" si="272"/>
        <v>21351.843544490497</v>
      </c>
      <c r="V2338" s="39">
        <f t="shared" ca="1" si="273"/>
        <v>0.14047265489796379</v>
      </c>
      <c r="W2338" s="48">
        <f t="shared" ca="1" si="274"/>
        <v>1.9041682781881777</v>
      </c>
    </row>
    <row r="2339" spans="17:23" x14ac:dyDescent="0.2">
      <c r="Q2339">
        <f t="shared" si="275"/>
        <v>2323</v>
      </c>
      <c r="R2339" s="48">
        <f t="shared" ca="1" si="276"/>
        <v>0.3</v>
      </c>
      <c r="S2339">
        <f t="shared" ca="1" si="277"/>
        <v>210.06640521454665</v>
      </c>
      <c r="T2339" s="61">
        <f t="shared" ca="1" si="271"/>
        <v>14400</v>
      </c>
      <c r="U2339" s="61">
        <f t="shared" ca="1" si="272"/>
        <v>25637.186920146123</v>
      </c>
      <c r="V2339" s="39">
        <f t="shared" ca="1" si="273"/>
        <v>0.16866570342201398</v>
      </c>
      <c r="W2339" s="48">
        <f t="shared" ca="1" si="274"/>
        <v>2.5403283025797343</v>
      </c>
    </row>
    <row r="2340" spans="17:23" x14ac:dyDescent="0.2">
      <c r="Q2340">
        <f t="shared" si="275"/>
        <v>2324</v>
      </c>
      <c r="R2340" s="48">
        <f t="shared" ca="1" si="276"/>
        <v>0.45</v>
      </c>
      <c r="S2340">
        <f t="shared" ca="1" si="277"/>
        <v>205.94996560378539</v>
      </c>
      <c r="T2340" s="61">
        <f t="shared" ca="1" si="271"/>
        <v>21600</v>
      </c>
      <c r="U2340" s="61">
        <f t="shared" ca="1" si="272"/>
        <v>28617.98486566557</v>
      </c>
      <c r="V2340" s="39">
        <f t="shared" ca="1" si="273"/>
        <v>0.18827621622148402</v>
      </c>
      <c r="W2340" s="48">
        <f t="shared" ca="1" si="274"/>
        <v>3.0519436148473202</v>
      </c>
    </row>
    <row r="2341" spans="17:23" x14ac:dyDescent="0.2">
      <c r="Q2341">
        <f t="shared" si="275"/>
        <v>2325</v>
      </c>
      <c r="R2341" s="48">
        <f t="shared" ca="1" si="276"/>
        <v>0.45</v>
      </c>
      <c r="S2341">
        <f t="shared" ca="1" si="277"/>
        <v>204.53584233231476</v>
      </c>
      <c r="T2341" s="61">
        <f t="shared" ca="1" si="271"/>
        <v>21600</v>
      </c>
      <c r="U2341" s="61">
        <f t="shared" ca="1" si="272"/>
        <v>27995.770626218495</v>
      </c>
      <c r="V2341" s="39">
        <f t="shared" ca="1" si="273"/>
        <v>0.18418270148827956</v>
      </c>
      <c r="W2341" s="48">
        <f t="shared" ca="1" si="274"/>
        <v>2.9401008290568145</v>
      </c>
    </row>
    <row r="2342" spans="17:23" x14ac:dyDescent="0.2">
      <c r="Q2342">
        <f t="shared" si="275"/>
        <v>2326</v>
      </c>
      <c r="R2342" s="48">
        <f t="shared" ca="1" si="276"/>
        <v>0.3</v>
      </c>
      <c r="S2342">
        <f t="shared" ca="1" si="277"/>
        <v>195.05749396155062</v>
      </c>
      <c r="T2342" s="61">
        <f t="shared" ca="1" si="271"/>
        <v>14400</v>
      </c>
      <c r="U2342" s="61">
        <f t="shared" ca="1" si="272"/>
        <v>17232.196618468348</v>
      </c>
      <c r="V2342" s="39">
        <f t="shared" ca="1" si="273"/>
        <v>0.11336971459518649</v>
      </c>
      <c r="W2342" s="48">
        <f t="shared" ca="1" si="274"/>
        <v>1.3894469072391384</v>
      </c>
    </row>
    <row r="2343" spans="17:23" x14ac:dyDescent="0.2">
      <c r="Q2343">
        <f t="shared" si="275"/>
        <v>2327</v>
      </c>
      <c r="R2343" s="48">
        <f t="shared" ca="1" si="276"/>
        <v>0.217</v>
      </c>
      <c r="S2343">
        <f t="shared" ca="1" si="277"/>
        <v>185.9170079890018</v>
      </c>
      <c r="T2343" s="61">
        <f t="shared" ca="1" si="271"/>
        <v>10416</v>
      </c>
      <c r="U2343" s="61">
        <f t="shared" ca="1" si="272"/>
        <v>7858.4138043107296</v>
      </c>
      <c r="V2343" s="39">
        <f t="shared" ca="1" si="273"/>
        <v>5.1700090817833749E-2</v>
      </c>
      <c r="W2343" s="48">
        <f t="shared" ca="1" si="274"/>
        <v>0.50510821434154396</v>
      </c>
    </row>
    <row r="2344" spans="17:23" x14ac:dyDescent="0.2">
      <c r="Q2344">
        <f t="shared" si="275"/>
        <v>2328</v>
      </c>
      <c r="R2344" s="48">
        <f t="shared" ca="1" si="276"/>
        <v>0.35</v>
      </c>
      <c r="S2344">
        <f t="shared" ca="1" si="277"/>
        <v>183.6912254103276</v>
      </c>
      <c r="T2344" s="61">
        <f t="shared" ca="1" si="271"/>
        <v>16800</v>
      </c>
      <c r="U2344" s="61">
        <f t="shared" ca="1" si="272"/>
        <v>13519.437213370355</v>
      </c>
      <c r="V2344" s="39">
        <f t="shared" ca="1" si="273"/>
        <v>8.8943665877436545E-2</v>
      </c>
      <c r="W2344" s="48">
        <f t="shared" ca="1" si="274"/>
        <v>0.99597463089079508</v>
      </c>
    </row>
    <row r="2345" spans="17:23" x14ac:dyDescent="0.2">
      <c r="Q2345">
        <f t="shared" si="275"/>
        <v>2329</v>
      </c>
      <c r="R2345" s="48">
        <f t="shared" ca="1" si="276"/>
        <v>0.3</v>
      </c>
      <c r="S2345">
        <f t="shared" ca="1" si="277"/>
        <v>174.2076154234658</v>
      </c>
      <c r="T2345" s="61">
        <f t="shared" ca="1" si="271"/>
        <v>14400</v>
      </c>
      <c r="U2345" s="61">
        <f t="shared" ca="1" si="272"/>
        <v>5556.2646371408464</v>
      </c>
      <c r="V2345" s="39">
        <f t="shared" ca="1" si="273"/>
        <v>3.6554372612768726E-2</v>
      </c>
      <c r="W2345" s="48">
        <f t="shared" ca="1" si="274"/>
        <v>0.33804018997672602</v>
      </c>
    </row>
    <row r="2346" spans="17:23" x14ac:dyDescent="0.2">
      <c r="Q2346">
        <f t="shared" si="275"/>
        <v>2330</v>
      </c>
      <c r="R2346" s="48">
        <f t="shared" ca="1" si="276"/>
        <v>0.45</v>
      </c>
      <c r="S2346">
        <f t="shared" ca="1" si="277"/>
        <v>199.27858827063636</v>
      </c>
      <c r="T2346" s="61">
        <f t="shared" ca="1" si="271"/>
        <v>21600</v>
      </c>
      <c r="U2346" s="61">
        <f t="shared" ca="1" si="272"/>
        <v>25682.578839080001</v>
      </c>
      <c r="V2346" s="39">
        <f t="shared" ca="1" si="273"/>
        <v>0.16896433446763159</v>
      </c>
      <c r="W2346" s="48">
        <f t="shared" ca="1" si="274"/>
        <v>2.5476728180653647</v>
      </c>
    </row>
    <row r="2347" spans="17:23" x14ac:dyDescent="0.2">
      <c r="Q2347">
        <f t="shared" si="275"/>
        <v>2331</v>
      </c>
      <c r="R2347" s="48">
        <f t="shared" ca="1" si="276"/>
        <v>0.3</v>
      </c>
      <c r="S2347">
        <f t="shared" ca="1" si="277"/>
        <v>196.71272435194442</v>
      </c>
      <c r="T2347" s="61">
        <f t="shared" ca="1" si="271"/>
        <v>14400</v>
      </c>
      <c r="U2347" s="61">
        <f t="shared" ca="1" si="272"/>
        <v>18159.125637088873</v>
      </c>
      <c r="V2347" s="39">
        <f t="shared" ca="1" si="273"/>
        <v>0.11946793182295311</v>
      </c>
      <c r="W2347" s="48">
        <f t="shared" ca="1" si="274"/>
        <v>1.4976926645339081</v>
      </c>
    </row>
    <row r="2348" spans="17:23" x14ac:dyDescent="0.2">
      <c r="Q2348">
        <f t="shared" si="275"/>
        <v>2332</v>
      </c>
      <c r="R2348" s="48">
        <f t="shared" ca="1" si="276"/>
        <v>0.3</v>
      </c>
      <c r="S2348">
        <f t="shared" ca="1" si="277"/>
        <v>173.51070451204293</v>
      </c>
      <c r="T2348" s="61">
        <f t="shared" ca="1" si="271"/>
        <v>14400</v>
      </c>
      <c r="U2348" s="61">
        <f t="shared" ca="1" si="272"/>
        <v>5165.9945267440435</v>
      </c>
      <c r="V2348" s="39">
        <f t="shared" ca="1" si="273"/>
        <v>3.3986806097000284E-2</v>
      </c>
      <c r="W2348" s="48">
        <f t="shared" ca="1" si="274"/>
        <v>0.31139267720338037</v>
      </c>
    </row>
    <row r="2349" spans="17:23" x14ac:dyDescent="0.2">
      <c r="Q2349">
        <f t="shared" si="275"/>
        <v>2333</v>
      </c>
      <c r="R2349" s="48">
        <f t="shared" ca="1" si="276"/>
        <v>0.3</v>
      </c>
      <c r="S2349">
        <f t="shared" ca="1" si="277"/>
        <v>172.77157705846048</v>
      </c>
      <c r="T2349" s="61">
        <f t="shared" ca="1" si="271"/>
        <v>14400</v>
      </c>
      <c r="U2349" s="61">
        <f t="shared" ca="1" si="272"/>
        <v>4752.0831527378687</v>
      </c>
      <c r="V2349" s="39">
        <f t="shared" ca="1" si="273"/>
        <v>3.1263704952222818E-2</v>
      </c>
      <c r="W2349" s="48">
        <f t="shared" ca="1" si="274"/>
        <v>0.28364044094585594</v>
      </c>
    </row>
    <row r="2350" spans="17:23" x14ac:dyDescent="0.2">
      <c r="Q2350">
        <f t="shared" si="275"/>
        <v>2334</v>
      </c>
      <c r="R2350" s="48">
        <f t="shared" ca="1" si="276"/>
        <v>0.3</v>
      </c>
      <c r="S2350">
        <f t="shared" ca="1" si="277"/>
        <v>193.41625428306497</v>
      </c>
      <c r="T2350" s="61">
        <f t="shared" ca="1" si="271"/>
        <v>14400</v>
      </c>
      <c r="U2350" s="61">
        <f t="shared" ca="1" si="272"/>
        <v>16313.102398516385</v>
      </c>
      <c r="V2350" s="39">
        <f t="shared" ca="1" si="273"/>
        <v>0.10732304209550253</v>
      </c>
      <c r="W2350" s="48">
        <f t="shared" ca="1" si="274"/>
        <v>1.2861991984368393</v>
      </c>
    </row>
    <row r="2351" spans="17:23" x14ac:dyDescent="0.2">
      <c r="Q2351">
        <f t="shared" si="275"/>
        <v>2335</v>
      </c>
      <c r="R2351" s="48">
        <f t="shared" ca="1" si="276"/>
        <v>0.45</v>
      </c>
      <c r="S2351">
        <f t="shared" ca="1" si="277"/>
        <v>179.25933228467926</v>
      </c>
      <c r="T2351" s="61">
        <f t="shared" ca="1" si="271"/>
        <v>21600</v>
      </c>
      <c r="U2351" s="61">
        <f t="shared" ca="1" si="272"/>
        <v>16874.106205258875</v>
      </c>
      <c r="V2351" s="39">
        <f t="shared" ca="1" si="273"/>
        <v>0.11101385661354524</v>
      </c>
      <c r="W2351" s="48">
        <f t="shared" ca="1" si="274"/>
        <v>1.3487443361701112</v>
      </c>
    </row>
    <row r="2352" spans="17:23" x14ac:dyDescent="0.2">
      <c r="Q2352">
        <f t="shared" si="275"/>
        <v>2336</v>
      </c>
      <c r="R2352" s="48">
        <f t="shared" ca="1" si="276"/>
        <v>0.4</v>
      </c>
      <c r="S2352">
        <f t="shared" ca="1" si="277"/>
        <v>219.16794962892905</v>
      </c>
      <c r="T2352" s="61">
        <f t="shared" ca="1" si="271"/>
        <v>19200</v>
      </c>
      <c r="U2352" s="61">
        <f t="shared" ca="1" si="272"/>
        <v>33200.615821885949</v>
      </c>
      <c r="V2352" s="39">
        <f t="shared" ca="1" si="273"/>
        <v>0.21842510409135493</v>
      </c>
      <c r="W2352" s="48">
        <f t="shared" ca="1" si="274"/>
        <v>3.9650532688849074</v>
      </c>
    </row>
    <row r="2353" spans="17:23" x14ac:dyDescent="0.2">
      <c r="Q2353">
        <f t="shared" si="275"/>
        <v>2337</v>
      </c>
      <c r="R2353" s="48">
        <f t="shared" ca="1" si="276"/>
        <v>0.217</v>
      </c>
      <c r="S2353">
        <f t="shared" ca="1" si="277"/>
        <v>170.79125585097114</v>
      </c>
      <c r="T2353" s="61">
        <f t="shared" ca="1" si="271"/>
        <v>10416</v>
      </c>
      <c r="U2353" s="61">
        <f t="shared" ca="1" si="272"/>
        <v>-1616.3573349516773</v>
      </c>
      <c r="V2353" s="39">
        <f t="shared" ca="1" si="273"/>
        <v>-1.0633929835208403E-2</v>
      </c>
      <c r="W2353" s="48">
        <f t="shared" ca="1" si="274"/>
        <v>-8.3061493009377818E-2</v>
      </c>
    </row>
    <row r="2354" spans="17:23" x14ac:dyDescent="0.2">
      <c r="Q2354">
        <f t="shared" si="275"/>
        <v>2338</v>
      </c>
      <c r="R2354" s="48">
        <f t="shared" ca="1" si="276"/>
        <v>0.3</v>
      </c>
      <c r="S2354">
        <f t="shared" ca="1" si="277"/>
        <v>201.61442015734207</v>
      </c>
      <c r="T2354" s="61">
        <f t="shared" ca="1" si="271"/>
        <v>14400</v>
      </c>
      <c r="U2354" s="61">
        <f t="shared" ca="1" si="272"/>
        <v>20904.075288111559</v>
      </c>
      <c r="V2354" s="39">
        <f t="shared" ca="1" si="273"/>
        <v>0.1375268111059971</v>
      </c>
      <c r="W2354" s="48">
        <f t="shared" ca="1" si="274"/>
        <v>1.8438788613302539</v>
      </c>
    </row>
    <row r="2355" spans="17:23" x14ac:dyDescent="0.2">
      <c r="Q2355">
        <f t="shared" si="275"/>
        <v>2339</v>
      </c>
      <c r="R2355" s="48">
        <f t="shared" ca="1" si="276"/>
        <v>0.35</v>
      </c>
      <c r="S2355">
        <f t="shared" ca="1" si="277"/>
        <v>224.99170935981203</v>
      </c>
      <c r="T2355" s="61">
        <f t="shared" ca="1" si="271"/>
        <v>16800</v>
      </c>
      <c r="U2355" s="61">
        <f t="shared" ca="1" si="272"/>
        <v>34995.688867102261</v>
      </c>
      <c r="V2355" s="39">
        <f t="shared" ca="1" si="273"/>
        <v>0.23023479517830434</v>
      </c>
      <c r="W2355" s="48">
        <f t="shared" ca="1" si="274"/>
        <v>4.3691151308607399</v>
      </c>
    </row>
    <row r="2356" spans="17:23" x14ac:dyDescent="0.2">
      <c r="Q2356">
        <f t="shared" si="275"/>
        <v>2340</v>
      </c>
      <c r="R2356" s="48">
        <f t="shared" ca="1" si="276"/>
        <v>0.4</v>
      </c>
      <c r="S2356">
        <f t="shared" ca="1" si="277"/>
        <v>167.39745706925262</v>
      </c>
      <c r="T2356" s="61">
        <f t="shared" ca="1" si="271"/>
        <v>19200</v>
      </c>
      <c r="U2356" s="61">
        <f t="shared" ca="1" si="272"/>
        <v>8350.7793932412605</v>
      </c>
      <c r="V2356" s="39">
        <f t="shared" ca="1" si="273"/>
        <v>5.4939338113429347E-2</v>
      </c>
      <c r="W2356" s="48">
        <f t="shared" ca="1" si="274"/>
        <v>0.54312365876021329</v>
      </c>
    </row>
    <row r="2357" spans="17:23" x14ac:dyDescent="0.2">
      <c r="Q2357">
        <f t="shared" si="275"/>
        <v>2341</v>
      </c>
      <c r="R2357" s="48">
        <f t="shared" ca="1" si="276"/>
        <v>0.45</v>
      </c>
      <c r="S2357">
        <f t="shared" ca="1" si="277"/>
        <v>179.47458265926653</v>
      </c>
      <c r="T2357" s="61">
        <f t="shared" ca="1" si="271"/>
        <v>21600</v>
      </c>
      <c r="U2357" s="61">
        <f t="shared" ca="1" si="272"/>
        <v>16968.816370077271</v>
      </c>
      <c r="V2357" s="39">
        <f t="shared" ca="1" si="273"/>
        <v>0.11163694980313994</v>
      </c>
      <c r="W2357" s="48">
        <f t="shared" ca="1" si="274"/>
        <v>1.3594500533473832</v>
      </c>
    </row>
    <row r="2358" spans="17:23" x14ac:dyDescent="0.2">
      <c r="Q2358">
        <f t="shared" si="275"/>
        <v>2342</v>
      </c>
      <c r="R2358" s="48">
        <f t="shared" ca="1" si="276"/>
        <v>0.3</v>
      </c>
      <c r="S2358">
        <f t="shared" ca="1" si="277"/>
        <v>173.79674510136795</v>
      </c>
      <c r="T2358" s="61">
        <f t="shared" ca="1" si="271"/>
        <v>14400</v>
      </c>
      <c r="U2358" s="61">
        <f t="shared" ca="1" si="272"/>
        <v>5326.17725676605</v>
      </c>
      <c r="V2358" s="39">
        <f t="shared" ca="1" si="273"/>
        <v>3.5040639847145068E-2</v>
      </c>
      <c r="W2358" s="48">
        <f t="shared" ca="1" si="274"/>
        <v>0.32227306623101892</v>
      </c>
    </row>
    <row r="2359" spans="17:23" x14ac:dyDescent="0.2">
      <c r="Q2359">
        <f t="shared" si="275"/>
        <v>2343</v>
      </c>
      <c r="R2359" s="48">
        <f t="shared" ca="1" si="276"/>
        <v>0.45</v>
      </c>
      <c r="S2359">
        <f t="shared" ca="1" si="277"/>
        <v>161.43780323172243</v>
      </c>
      <c r="T2359" s="61">
        <f t="shared" ca="1" si="271"/>
        <v>21600</v>
      </c>
      <c r="U2359" s="61">
        <f t="shared" ca="1" si="272"/>
        <v>9032.6334219578657</v>
      </c>
      <c r="V2359" s="39">
        <f t="shared" ca="1" si="273"/>
        <v>5.9425219881301748E-2</v>
      </c>
      <c r="W2359" s="48">
        <f t="shared" ca="1" si="274"/>
        <v>0.59715861129429171</v>
      </c>
    </row>
    <row r="2360" spans="17:23" x14ac:dyDescent="0.2">
      <c r="Q2360">
        <f t="shared" si="275"/>
        <v>2344</v>
      </c>
      <c r="R2360" s="48">
        <f t="shared" ca="1" si="276"/>
        <v>0.3</v>
      </c>
      <c r="S2360">
        <f t="shared" ca="1" si="277"/>
        <v>158.29082072443666</v>
      </c>
      <c r="T2360" s="61">
        <f t="shared" ca="1" si="271"/>
        <v>14400</v>
      </c>
      <c r="U2360" s="61">
        <f t="shared" ca="1" si="272"/>
        <v>-3357.1403943154728</v>
      </c>
      <c r="V2360" s="39">
        <f t="shared" ca="1" si="273"/>
        <v>-2.2086449962601794E-2</v>
      </c>
      <c r="W2360" s="48">
        <f t="shared" ca="1" si="274"/>
        <v>-0.16569281439998307</v>
      </c>
    </row>
    <row r="2361" spans="17:23" x14ac:dyDescent="0.2">
      <c r="Q2361">
        <f t="shared" si="275"/>
        <v>2345</v>
      </c>
      <c r="R2361" s="48">
        <f t="shared" ca="1" si="276"/>
        <v>0.45</v>
      </c>
      <c r="S2361">
        <f t="shared" ca="1" si="277"/>
        <v>196.96278370376899</v>
      </c>
      <c r="T2361" s="61">
        <f t="shared" ref="T2361:T2424" ca="1" si="278">($B$8-$B$7)*($E$6*R2361)</f>
        <v>21600</v>
      </c>
      <c r="U2361" s="61">
        <f t="shared" ref="U2361:U2424" ca="1" si="279">T2361+((S2361-$B$7)*($E$6*(1-R2361)))</f>
        <v>24663.624829658358</v>
      </c>
      <c r="V2361" s="39">
        <f t="shared" ref="V2361:V2424" ca="1" si="280">U2361/$E$4</f>
        <v>0.162260689668805</v>
      </c>
      <c r="W2361" s="48">
        <f t="shared" ref="W2361:W2424" ca="1" si="281">(1+V2361)^($J$29/$J$30)-1</f>
        <v>2.3859796498594057</v>
      </c>
    </row>
    <row r="2362" spans="17:23" x14ac:dyDescent="0.2">
      <c r="Q2362">
        <f t="shared" si="275"/>
        <v>2346</v>
      </c>
      <c r="R2362" s="48">
        <f t="shared" ca="1" si="276"/>
        <v>0.35</v>
      </c>
      <c r="S2362">
        <f t="shared" ca="1" si="277"/>
        <v>192.7995605277068</v>
      </c>
      <c r="T2362" s="61">
        <f t="shared" ca="1" si="278"/>
        <v>16800</v>
      </c>
      <c r="U2362" s="61">
        <f t="shared" ca="1" si="279"/>
        <v>18255.771474407538</v>
      </c>
      <c r="V2362" s="39">
        <f t="shared" ca="1" si="280"/>
        <v>0.12010375970004959</v>
      </c>
      <c r="W2362" s="48">
        <f t="shared" ca="1" si="281"/>
        <v>1.5092225349534205</v>
      </c>
    </row>
    <row r="2363" spans="17:23" x14ac:dyDescent="0.2">
      <c r="Q2363">
        <f t="shared" si="275"/>
        <v>2347</v>
      </c>
      <c r="R2363" s="48">
        <f t="shared" ca="1" si="276"/>
        <v>0.35</v>
      </c>
      <c r="S2363">
        <f t="shared" ca="1" si="277"/>
        <v>207.82069931029454</v>
      </c>
      <c r="T2363" s="61">
        <f t="shared" ca="1" si="278"/>
        <v>16800</v>
      </c>
      <c r="U2363" s="61">
        <f t="shared" ca="1" si="279"/>
        <v>26066.763641353162</v>
      </c>
      <c r="V2363" s="39">
        <f t="shared" ca="1" si="280"/>
        <v>0.17149186606153397</v>
      </c>
      <c r="W2363" s="48">
        <f t="shared" ca="1" si="281"/>
        <v>2.6103717124778516</v>
      </c>
    </row>
    <row r="2364" spans="17:23" x14ac:dyDescent="0.2">
      <c r="Q2364">
        <f t="shared" si="275"/>
        <v>2348</v>
      </c>
      <c r="R2364" s="48">
        <f t="shared" ca="1" si="276"/>
        <v>0.45</v>
      </c>
      <c r="S2364">
        <f t="shared" ca="1" si="277"/>
        <v>207.19046544081928</v>
      </c>
      <c r="T2364" s="61">
        <f t="shared" ca="1" si="278"/>
        <v>21600</v>
      </c>
      <c r="U2364" s="61">
        <f t="shared" ca="1" si="279"/>
        <v>29163.804793960484</v>
      </c>
      <c r="V2364" s="39">
        <f t="shared" ca="1" si="280"/>
        <v>0.19186713680237161</v>
      </c>
      <c r="W2364" s="48">
        <f t="shared" ca="1" si="281"/>
        <v>3.1523363202888062</v>
      </c>
    </row>
    <row r="2365" spans="17:23" x14ac:dyDescent="0.2">
      <c r="Q2365">
        <f t="shared" si="275"/>
        <v>2349</v>
      </c>
      <c r="R2365" s="48">
        <f t="shared" ca="1" si="276"/>
        <v>0.217</v>
      </c>
      <c r="S2365">
        <f t="shared" ca="1" si="277"/>
        <v>191.19035519863536</v>
      </c>
      <c r="T2365" s="61">
        <f t="shared" ca="1" si="278"/>
        <v>10416</v>
      </c>
      <c r="U2365" s="61">
        <f t="shared" ca="1" si="279"/>
        <v>11161.638496425188</v>
      </c>
      <c r="V2365" s="39">
        <f t="shared" ca="1" si="280"/>
        <v>7.3431832213323611E-2</v>
      </c>
      <c r="W2365" s="48">
        <f t="shared" ca="1" si="281"/>
        <v>0.7767042671175215</v>
      </c>
    </row>
    <row r="2366" spans="17:23" x14ac:dyDescent="0.2">
      <c r="Q2366">
        <f t="shared" si="275"/>
        <v>2350</v>
      </c>
      <c r="R2366" s="48">
        <f t="shared" ca="1" si="276"/>
        <v>0.217</v>
      </c>
      <c r="S2366">
        <f t="shared" ca="1" si="277"/>
        <v>176.15238606162623</v>
      </c>
      <c r="T2366" s="61">
        <f t="shared" ca="1" si="278"/>
        <v>10416</v>
      </c>
      <c r="U2366" s="61">
        <f t="shared" ca="1" si="279"/>
        <v>1741.8546290026716</v>
      </c>
      <c r="V2366" s="39">
        <f t="shared" ca="1" si="280"/>
        <v>1.1459569927649155E-2</v>
      </c>
      <c r="W2366" s="48">
        <f t="shared" ca="1" si="281"/>
        <v>9.6826814022118901E-2</v>
      </c>
    </row>
    <row r="2367" spans="17:23" x14ac:dyDescent="0.2">
      <c r="Q2367">
        <f t="shared" si="275"/>
        <v>2351</v>
      </c>
      <c r="R2367" s="48">
        <f t="shared" ca="1" si="276"/>
        <v>0.45</v>
      </c>
      <c r="S2367">
        <f t="shared" ca="1" si="277"/>
        <v>190.47303221912631</v>
      </c>
      <c r="T2367" s="61">
        <f t="shared" ca="1" si="278"/>
        <v>21600</v>
      </c>
      <c r="U2367" s="61">
        <f t="shared" ca="1" si="279"/>
        <v>21808.134176415577</v>
      </c>
      <c r="V2367" s="39">
        <f t="shared" ca="1" si="280"/>
        <v>0.14347456695010247</v>
      </c>
      <c r="W2367" s="48">
        <f t="shared" ca="1" si="281"/>
        <v>1.9667550362906816</v>
      </c>
    </row>
    <row r="2368" spans="17:23" x14ac:dyDescent="0.2">
      <c r="Q2368">
        <f t="shared" si="275"/>
        <v>2352</v>
      </c>
      <c r="R2368" s="48">
        <f t="shared" ca="1" si="276"/>
        <v>0.4</v>
      </c>
      <c r="S2368">
        <f t="shared" ca="1" si="277"/>
        <v>198.58671161824591</v>
      </c>
      <c r="T2368" s="61">
        <f t="shared" ca="1" si="278"/>
        <v>19200</v>
      </c>
      <c r="U2368" s="61">
        <f t="shared" ca="1" si="279"/>
        <v>23321.62157675804</v>
      </c>
      <c r="V2368" s="39">
        <f t="shared" ca="1" si="280"/>
        <v>0.15343172089972396</v>
      </c>
      <c r="W2368" s="48">
        <f t="shared" ca="1" si="281"/>
        <v>2.182900886500367</v>
      </c>
    </row>
    <row r="2369" spans="17:23" x14ac:dyDescent="0.2">
      <c r="Q2369">
        <f t="shared" si="275"/>
        <v>2353</v>
      </c>
      <c r="R2369" s="48">
        <f t="shared" ca="1" si="276"/>
        <v>0.4</v>
      </c>
      <c r="S2369">
        <f t="shared" ca="1" si="277"/>
        <v>191.14777359680008</v>
      </c>
      <c r="T2369" s="61">
        <f t="shared" ca="1" si="278"/>
        <v>19200</v>
      </c>
      <c r="U2369" s="61">
        <f t="shared" ca="1" si="279"/>
        <v>19750.931326464037</v>
      </c>
      <c r="V2369" s="39">
        <f t="shared" ca="1" si="280"/>
        <v>0.12994033767410551</v>
      </c>
      <c r="W2369" s="48">
        <f t="shared" ca="1" si="281"/>
        <v>1.6936375596657682</v>
      </c>
    </row>
    <row r="2370" spans="17:23" x14ac:dyDescent="0.2">
      <c r="Q2370">
        <f t="shared" si="275"/>
        <v>2354</v>
      </c>
      <c r="R2370" s="48">
        <f t="shared" ca="1" si="276"/>
        <v>0.3</v>
      </c>
      <c r="S2370">
        <f t="shared" ca="1" si="277"/>
        <v>172.3215793788535</v>
      </c>
      <c r="T2370" s="61">
        <f t="shared" ca="1" si="278"/>
        <v>14400</v>
      </c>
      <c r="U2370" s="61">
        <f t="shared" ca="1" si="279"/>
        <v>4500.0844521579602</v>
      </c>
      <c r="V2370" s="39">
        <f t="shared" ca="1" si="280"/>
        <v>2.9605818764197107E-2</v>
      </c>
      <c r="W2370" s="48">
        <f t="shared" ca="1" si="281"/>
        <v>0.26699760505336378</v>
      </c>
    </row>
    <row r="2371" spans="17:23" x14ac:dyDescent="0.2">
      <c r="Q2371">
        <f t="shared" si="275"/>
        <v>2355</v>
      </c>
      <c r="R2371" s="48">
        <f t="shared" ca="1" si="276"/>
        <v>0.45</v>
      </c>
      <c r="S2371">
        <f t="shared" ca="1" si="277"/>
        <v>162.91412358323637</v>
      </c>
      <c r="T2371" s="61">
        <f t="shared" ca="1" si="278"/>
        <v>21600</v>
      </c>
      <c r="U2371" s="61">
        <f t="shared" ca="1" si="279"/>
        <v>9682.2143766240042</v>
      </c>
      <c r="V2371" s="39">
        <f t="shared" ca="1" si="280"/>
        <v>6.3698778793578978E-2</v>
      </c>
      <c r="W2371" s="48">
        <f t="shared" ca="1" si="281"/>
        <v>0.65017170563096216</v>
      </c>
    </row>
    <row r="2372" spans="17:23" x14ac:dyDescent="0.2">
      <c r="Q2372">
        <f t="shared" si="275"/>
        <v>2356</v>
      </c>
      <c r="R2372" s="48">
        <f t="shared" ca="1" si="276"/>
        <v>0.4</v>
      </c>
      <c r="S2372">
        <f t="shared" ca="1" si="277"/>
        <v>150.48291388279509</v>
      </c>
      <c r="T2372" s="61">
        <f t="shared" ca="1" si="278"/>
        <v>19200</v>
      </c>
      <c r="U2372" s="61">
        <f t="shared" ca="1" si="279"/>
        <v>231.7986637416434</v>
      </c>
      <c r="V2372" s="39">
        <f t="shared" ca="1" si="280"/>
        <v>1.5249912088266013E-3</v>
      </c>
      <c r="W2372" s="48">
        <f t="shared" ca="1" si="281"/>
        <v>1.2436650995752085E-2</v>
      </c>
    </row>
    <row r="2373" spans="17:23" x14ac:dyDescent="0.2">
      <c r="Q2373">
        <f t="shared" si="275"/>
        <v>2357</v>
      </c>
      <c r="R2373" s="48">
        <f t="shared" ca="1" si="276"/>
        <v>0.3</v>
      </c>
      <c r="S2373">
        <f t="shared" ca="1" si="277"/>
        <v>201.7546987266503</v>
      </c>
      <c r="T2373" s="61">
        <f t="shared" ca="1" si="278"/>
        <v>14400</v>
      </c>
      <c r="U2373" s="61">
        <f t="shared" ca="1" si="279"/>
        <v>20982.63128692417</v>
      </c>
      <c r="V2373" s="39">
        <f t="shared" ca="1" si="280"/>
        <v>0.138043626887659</v>
      </c>
      <c r="W2373" s="48">
        <f t="shared" ca="1" si="281"/>
        <v>1.8543759100639599</v>
      </c>
    </row>
    <row r="2374" spans="17:23" x14ac:dyDescent="0.2">
      <c r="Q2374">
        <f t="shared" si="275"/>
        <v>2358</v>
      </c>
      <c r="R2374" s="48">
        <f t="shared" ca="1" si="276"/>
        <v>0.35</v>
      </c>
      <c r="S2374">
        <f t="shared" ca="1" si="277"/>
        <v>213.12028749845302</v>
      </c>
      <c r="T2374" s="61">
        <f t="shared" ca="1" si="278"/>
        <v>16800</v>
      </c>
      <c r="U2374" s="61">
        <f t="shared" ca="1" si="279"/>
        <v>28822.549499195571</v>
      </c>
      <c r="V2374" s="39">
        <f t="shared" ca="1" si="280"/>
        <v>0.18962203617891824</v>
      </c>
      <c r="W2374" s="48">
        <f t="shared" ca="1" si="281"/>
        <v>3.0893170228002047</v>
      </c>
    </row>
    <row r="2375" spans="17:23" x14ac:dyDescent="0.2">
      <c r="Q2375">
        <f t="shared" si="275"/>
        <v>2359</v>
      </c>
      <c r="R2375" s="48">
        <f t="shared" ca="1" si="276"/>
        <v>0.35</v>
      </c>
      <c r="S2375">
        <f t="shared" ca="1" si="277"/>
        <v>242.21170257329925</v>
      </c>
      <c r="T2375" s="61">
        <f t="shared" ca="1" si="278"/>
        <v>16800</v>
      </c>
      <c r="U2375" s="61">
        <f t="shared" ca="1" si="279"/>
        <v>43950.085338115605</v>
      </c>
      <c r="V2375" s="39">
        <f t="shared" ca="1" si="280"/>
        <v>0.28914529827707636</v>
      </c>
      <c r="W2375" s="48">
        <f t="shared" ca="1" si="281"/>
        <v>6.8464048984516603</v>
      </c>
    </row>
    <row r="2376" spans="17:23" x14ac:dyDescent="0.2">
      <c r="Q2376">
        <f t="shared" si="275"/>
        <v>2360</v>
      </c>
      <c r="R2376" s="48">
        <f t="shared" ca="1" si="276"/>
        <v>0.217</v>
      </c>
      <c r="S2376">
        <f t="shared" ca="1" si="277"/>
        <v>172.9368409133769</v>
      </c>
      <c r="T2376" s="61">
        <f t="shared" ca="1" si="278"/>
        <v>10416</v>
      </c>
      <c r="U2376" s="61">
        <f t="shared" ca="1" si="279"/>
        <v>-272.36285186071109</v>
      </c>
      <c r="V2376" s="39">
        <f t="shared" ca="1" si="280"/>
        <v>-1.7918608675046783E-3</v>
      </c>
      <c r="W2376" s="48">
        <f t="shared" ca="1" si="281"/>
        <v>-1.4441722918294708E-2</v>
      </c>
    </row>
    <row r="2377" spans="17:23" x14ac:dyDescent="0.2">
      <c r="Q2377">
        <f t="shared" si="275"/>
        <v>2361</v>
      </c>
      <c r="R2377" s="48">
        <f t="shared" ca="1" si="276"/>
        <v>0.4</v>
      </c>
      <c r="S2377">
        <f t="shared" ca="1" si="277"/>
        <v>155.93435840265019</v>
      </c>
      <c r="T2377" s="61">
        <f t="shared" ca="1" si="278"/>
        <v>19200</v>
      </c>
      <c r="U2377" s="61">
        <f t="shared" ca="1" si="279"/>
        <v>2848.4920332720903</v>
      </c>
      <c r="V2377" s="39">
        <f t="shared" ca="1" si="280"/>
        <v>1.8740079166263753E-2</v>
      </c>
      <c r="W2377" s="48">
        <f t="shared" ca="1" si="281"/>
        <v>0.16252706401305672</v>
      </c>
    </row>
    <row r="2378" spans="17:23" x14ac:dyDescent="0.2">
      <c r="Q2378">
        <f t="shared" si="275"/>
        <v>2362</v>
      </c>
      <c r="R2378" s="48">
        <f t="shared" ca="1" si="276"/>
        <v>0.4</v>
      </c>
      <c r="S2378">
        <f t="shared" ca="1" si="277"/>
        <v>202.71825061928692</v>
      </c>
      <c r="T2378" s="61">
        <f t="shared" ca="1" si="278"/>
        <v>19200</v>
      </c>
      <c r="U2378" s="61">
        <f t="shared" ca="1" si="279"/>
        <v>25304.760297257722</v>
      </c>
      <c r="V2378" s="39">
        <f t="shared" ca="1" si="280"/>
        <v>0.16647868616616923</v>
      </c>
      <c r="W2378" s="48">
        <f t="shared" ca="1" si="281"/>
        <v>2.4869459759350567</v>
      </c>
    </row>
    <row r="2379" spans="17:23" x14ac:dyDescent="0.2">
      <c r="Q2379">
        <f t="shared" si="275"/>
        <v>2363</v>
      </c>
      <c r="R2379" s="48">
        <f t="shared" ca="1" si="276"/>
        <v>0.4</v>
      </c>
      <c r="S2379">
        <f t="shared" ca="1" si="277"/>
        <v>198.4006277768332</v>
      </c>
      <c r="T2379" s="61">
        <f t="shared" ca="1" si="278"/>
        <v>19200</v>
      </c>
      <c r="U2379" s="61">
        <f t="shared" ca="1" si="279"/>
        <v>23232.301332879939</v>
      </c>
      <c r="V2379" s="39">
        <f t="shared" ca="1" si="280"/>
        <v>0.15284408771631539</v>
      </c>
      <c r="W2379" s="48">
        <f t="shared" ca="1" si="281"/>
        <v>2.169771897135409</v>
      </c>
    </row>
    <row r="2380" spans="17:23" x14ac:dyDescent="0.2">
      <c r="Q2380">
        <f t="shared" si="275"/>
        <v>2364</v>
      </c>
      <c r="R2380" s="48">
        <f t="shared" ca="1" si="276"/>
        <v>0.45</v>
      </c>
      <c r="S2380">
        <f t="shared" ca="1" si="277"/>
        <v>203.71439960801106</v>
      </c>
      <c r="T2380" s="61">
        <f t="shared" ca="1" si="278"/>
        <v>21600</v>
      </c>
      <c r="U2380" s="61">
        <f t="shared" ca="1" si="279"/>
        <v>27634.335827524868</v>
      </c>
      <c r="V2380" s="39">
        <f t="shared" ca="1" si="280"/>
        <v>0.18180484097055835</v>
      </c>
      <c r="W2380" s="48">
        <f t="shared" ca="1" si="281"/>
        <v>2.8763836894180783</v>
      </c>
    </row>
    <row r="2381" spans="17:23" x14ac:dyDescent="0.2">
      <c r="Q2381">
        <f t="shared" si="275"/>
        <v>2365</v>
      </c>
      <c r="R2381" s="48">
        <f t="shared" ca="1" si="276"/>
        <v>0.3</v>
      </c>
      <c r="S2381">
        <f t="shared" ca="1" si="277"/>
        <v>182.14209027702239</v>
      </c>
      <c r="T2381" s="61">
        <f t="shared" ca="1" si="278"/>
        <v>14400</v>
      </c>
      <c r="U2381" s="61">
        <f t="shared" ca="1" si="279"/>
        <v>9999.5705551325391</v>
      </c>
      <c r="V2381" s="39">
        <f t="shared" ca="1" si="280"/>
        <v>6.5786648389029867E-2</v>
      </c>
      <c r="W2381" s="48">
        <f t="shared" ca="1" si="281"/>
        <v>0.67662785706244377</v>
      </c>
    </row>
    <row r="2382" spans="17:23" x14ac:dyDescent="0.2">
      <c r="Q2382">
        <f t="shared" si="275"/>
        <v>2366</v>
      </c>
      <c r="R2382" s="48">
        <f t="shared" ca="1" si="276"/>
        <v>0.3</v>
      </c>
      <c r="S2382">
        <f t="shared" ca="1" si="277"/>
        <v>187.97145233580207</v>
      </c>
      <c r="T2382" s="61">
        <f t="shared" ca="1" si="278"/>
        <v>14400</v>
      </c>
      <c r="U2382" s="61">
        <f t="shared" ca="1" si="279"/>
        <v>13264.01330804916</v>
      </c>
      <c r="V2382" s="39">
        <f t="shared" ca="1" si="280"/>
        <v>8.7263245447691845E-2</v>
      </c>
      <c r="W2382" s="48">
        <f t="shared" ca="1" si="281"/>
        <v>0.97112808792730254</v>
      </c>
    </row>
    <row r="2383" spans="17:23" x14ac:dyDescent="0.2">
      <c r="Q2383">
        <f t="shared" si="275"/>
        <v>2367</v>
      </c>
      <c r="R2383" s="48">
        <f t="shared" ca="1" si="276"/>
        <v>0.45</v>
      </c>
      <c r="S2383">
        <f t="shared" ca="1" si="277"/>
        <v>173.81289908297765</v>
      </c>
      <c r="T2383" s="61">
        <f t="shared" ca="1" si="278"/>
        <v>21600</v>
      </c>
      <c r="U2383" s="61">
        <f t="shared" ca="1" si="279"/>
        <v>14477.675596510166</v>
      </c>
      <c r="V2383" s="39">
        <f t="shared" ca="1" si="280"/>
        <v>9.5247865766514242E-2</v>
      </c>
      <c r="W2383" s="48">
        <f t="shared" ca="1" si="281"/>
        <v>1.0916527840712478</v>
      </c>
    </row>
    <row r="2384" spans="17:23" x14ac:dyDescent="0.2">
      <c r="Q2384">
        <f t="shared" si="275"/>
        <v>2368</v>
      </c>
      <c r="R2384" s="48">
        <f t="shared" ca="1" si="276"/>
        <v>0.35</v>
      </c>
      <c r="S2384">
        <f t="shared" ca="1" si="277"/>
        <v>198.50131302853754</v>
      </c>
      <c r="T2384" s="61">
        <f t="shared" ca="1" si="278"/>
        <v>16800</v>
      </c>
      <c r="U2384" s="61">
        <f t="shared" ca="1" si="279"/>
        <v>21220.682774839519</v>
      </c>
      <c r="V2384" s="39">
        <f t="shared" ca="1" si="280"/>
        <v>0.13960975509762841</v>
      </c>
      <c r="W2384" s="48">
        <f t="shared" ca="1" si="281"/>
        <v>1.8863932820654901</v>
      </c>
    </row>
    <row r="2385" spans="17:23" x14ac:dyDescent="0.2">
      <c r="Q2385">
        <f t="shared" si="275"/>
        <v>2369</v>
      </c>
      <c r="R2385" s="48">
        <f t="shared" ca="1" si="276"/>
        <v>0.4</v>
      </c>
      <c r="S2385">
        <f t="shared" ca="1" si="277"/>
        <v>195.1163938555286</v>
      </c>
      <c r="T2385" s="61">
        <f t="shared" ca="1" si="278"/>
        <v>19200</v>
      </c>
      <c r="U2385" s="61">
        <f t="shared" ca="1" si="279"/>
        <v>21655.869050653728</v>
      </c>
      <c r="V2385" s="39">
        <f t="shared" ca="1" si="280"/>
        <v>0.14247282270166925</v>
      </c>
      <c r="W2385" s="48">
        <f t="shared" ca="1" si="281"/>
        <v>1.9457395264548438</v>
      </c>
    </row>
    <row r="2386" spans="17:23" x14ac:dyDescent="0.2">
      <c r="Q2386">
        <f t="shared" si="275"/>
        <v>2370</v>
      </c>
      <c r="R2386" s="48">
        <f t="shared" ca="1" si="276"/>
        <v>0.4</v>
      </c>
      <c r="S2386">
        <f t="shared" ca="1" si="277"/>
        <v>146.10597187435025</v>
      </c>
      <c r="T2386" s="61">
        <f t="shared" ca="1" si="278"/>
        <v>19200</v>
      </c>
      <c r="U2386" s="61">
        <f t="shared" ca="1" si="279"/>
        <v>-1869.1335003118802</v>
      </c>
      <c r="V2386" s="39">
        <f t="shared" ca="1" si="280"/>
        <v>-1.2296930923104474E-2</v>
      </c>
      <c r="W2386" s="48">
        <f t="shared" ca="1" si="281"/>
        <v>-9.5488360853721033E-2</v>
      </c>
    </row>
    <row r="2387" spans="17:23" x14ac:dyDescent="0.2">
      <c r="Q2387">
        <f t="shared" ref="Q2387:Q2450" si="282">Q2386+1</f>
        <v>2371</v>
      </c>
      <c r="R2387" s="48">
        <f t="shared" ref="R2387:R2450" ca="1" si="283">LOOKUP(RAND(),$U$6:$U$12,$S$6:$S$12)</f>
        <v>0.3</v>
      </c>
      <c r="S2387">
        <f t="shared" ref="S2387:S2450" ca="1" si="284">_xlfn.NORM.INV(RAND(),$Q$5,$Q$10)</f>
        <v>166.0279525923508</v>
      </c>
      <c r="T2387" s="61">
        <f t="shared" ca="1" si="278"/>
        <v>14400</v>
      </c>
      <c r="U2387" s="61">
        <f t="shared" ca="1" si="279"/>
        <v>975.65345171644731</v>
      </c>
      <c r="V2387" s="39">
        <f t="shared" ca="1" si="280"/>
        <v>6.4187727086608371E-3</v>
      </c>
      <c r="W2387" s="48">
        <f t="shared" ca="1" si="281"/>
        <v>5.3267249061986766E-2</v>
      </c>
    </row>
    <row r="2388" spans="17:23" x14ac:dyDescent="0.2">
      <c r="Q2388">
        <f t="shared" si="282"/>
        <v>2372</v>
      </c>
      <c r="R2388" s="48">
        <f t="shared" ca="1" si="283"/>
        <v>0.35</v>
      </c>
      <c r="S2388">
        <f t="shared" ca="1" si="284"/>
        <v>206.14274347708991</v>
      </c>
      <c r="T2388" s="61">
        <f t="shared" ca="1" si="278"/>
        <v>16800</v>
      </c>
      <c r="U2388" s="61">
        <f t="shared" ca="1" si="279"/>
        <v>25194.226608086752</v>
      </c>
      <c r="V2388" s="39">
        <f t="shared" ca="1" si="280"/>
        <v>0.16575149084267601</v>
      </c>
      <c r="W2388" s="48">
        <f t="shared" ca="1" si="281"/>
        <v>2.4693530793427381</v>
      </c>
    </row>
    <row r="2389" spans="17:23" x14ac:dyDescent="0.2">
      <c r="Q2389">
        <f t="shared" si="282"/>
        <v>2373</v>
      </c>
      <c r="R2389" s="48">
        <f t="shared" ca="1" si="283"/>
        <v>0.35</v>
      </c>
      <c r="S2389">
        <f t="shared" ca="1" si="284"/>
        <v>178.94641964979786</v>
      </c>
      <c r="T2389" s="61">
        <f t="shared" ca="1" si="278"/>
        <v>16800</v>
      </c>
      <c r="U2389" s="61">
        <f t="shared" ca="1" si="279"/>
        <v>11052.138217894888</v>
      </c>
      <c r="V2389" s="39">
        <f t="shared" ca="1" si="280"/>
        <v>7.2711435644045322E-2</v>
      </c>
      <c r="W2389" s="48">
        <f t="shared" ca="1" si="281"/>
        <v>0.76705583969589219</v>
      </c>
    </row>
    <row r="2390" spans="17:23" x14ac:dyDescent="0.2">
      <c r="Q2390">
        <f t="shared" si="282"/>
        <v>2374</v>
      </c>
      <c r="R2390" s="48">
        <f t="shared" ca="1" si="283"/>
        <v>0.4</v>
      </c>
      <c r="S2390">
        <f t="shared" ca="1" si="284"/>
        <v>198.30892983094643</v>
      </c>
      <c r="T2390" s="61">
        <f t="shared" ca="1" si="278"/>
        <v>19200</v>
      </c>
      <c r="U2390" s="61">
        <f t="shared" ca="1" si="279"/>
        <v>23188.286318854283</v>
      </c>
      <c r="V2390" s="39">
        <f t="shared" ca="1" si="280"/>
        <v>0.15255451525562028</v>
      </c>
      <c r="W2390" s="48">
        <f t="shared" ca="1" si="281"/>
        <v>2.1633197063067464</v>
      </c>
    </row>
    <row r="2391" spans="17:23" x14ac:dyDescent="0.2">
      <c r="Q2391">
        <f t="shared" si="282"/>
        <v>2375</v>
      </c>
      <c r="R2391" s="48">
        <f t="shared" ca="1" si="283"/>
        <v>0.3</v>
      </c>
      <c r="S2391">
        <f t="shared" ca="1" si="284"/>
        <v>200.48911733349217</v>
      </c>
      <c r="T2391" s="61">
        <f t="shared" ca="1" si="278"/>
        <v>14400</v>
      </c>
      <c r="U2391" s="61">
        <f t="shared" ca="1" si="279"/>
        <v>20273.905706755617</v>
      </c>
      <c r="V2391" s="39">
        <f t="shared" ca="1" si="280"/>
        <v>0.13338095859707644</v>
      </c>
      <c r="W2391" s="48">
        <f t="shared" ca="1" si="281"/>
        <v>1.7608897468632061</v>
      </c>
    </row>
    <row r="2392" spans="17:23" x14ac:dyDescent="0.2">
      <c r="Q2392">
        <f t="shared" si="282"/>
        <v>2376</v>
      </c>
      <c r="R2392" s="48">
        <f t="shared" ca="1" si="283"/>
        <v>0.4</v>
      </c>
      <c r="S2392">
        <f t="shared" ca="1" si="284"/>
        <v>189.14482945987751</v>
      </c>
      <c r="T2392" s="61">
        <f t="shared" ca="1" si="278"/>
        <v>19200</v>
      </c>
      <c r="U2392" s="61">
        <f t="shared" ca="1" si="279"/>
        <v>18789.518140741206</v>
      </c>
      <c r="V2392" s="39">
        <f t="shared" ca="1" si="280"/>
        <v>0.12361525092592898</v>
      </c>
      <c r="W2392" s="48">
        <f t="shared" ca="1" si="281"/>
        <v>1.5737430262426351</v>
      </c>
    </row>
    <row r="2393" spans="17:23" x14ac:dyDescent="0.2">
      <c r="Q2393">
        <f t="shared" si="282"/>
        <v>2377</v>
      </c>
      <c r="R2393" s="48">
        <f t="shared" ca="1" si="283"/>
        <v>0.4</v>
      </c>
      <c r="S2393">
        <f t="shared" ca="1" si="284"/>
        <v>205.34436851698138</v>
      </c>
      <c r="T2393" s="61">
        <f t="shared" ca="1" si="278"/>
        <v>19200</v>
      </c>
      <c r="U2393" s="61">
        <f t="shared" ca="1" si="279"/>
        <v>26565.296888151061</v>
      </c>
      <c r="V2393" s="39">
        <f t="shared" ca="1" si="280"/>
        <v>0.17477169005362539</v>
      </c>
      <c r="W2393" s="48">
        <f t="shared" ca="1" si="281"/>
        <v>2.6931792423907059</v>
      </c>
    </row>
    <row r="2394" spans="17:23" x14ac:dyDescent="0.2">
      <c r="Q2394">
        <f t="shared" si="282"/>
        <v>2378</v>
      </c>
      <c r="R2394" s="48">
        <f t="shared" ca="1" si="283"/>
        <v>0.3</v>
      </c>
      <c r="S2394">
        <f t="shared" ca="1" si="284"/>
        <v>199.21546661326104</v>
      </c>
      <c r="T2394" s="61">
        <f t="shared" ca="1" si="278"/>
        <v>14400</v>
      </c>
      <c r="U2394" s="61">
        <f t="shared" ca="1" si="279"/>
        <v>19560.661303426183</v>
      </c>
      <c r="V2394" s="39">
        <f t="shared" ca="1" si="280"/>
        <v>0.12868856120675121</v>
      </c>
      <c r="W2394" s="48">
        <f t="shared" ca="1" si="281"/>
        <v>1.6695284809645852</v>
      </c>
    </row>
    <row r="2395" spans="17:23" x14ac:dyDescent="0.2">
      <c r="Q2395">
        <f t="shared" si="282"/>
        <v>2379</v>
      </c>
      <c r="R2395" s="48">
        <f t="shared" ca="1" si="283"/>
        <v>0.45</v>
      </c>
      <c r="S2395">
        <f t="shared" ca="1" si="284"/>
        <v>193.78438842906553</v>
      </c>
      <c r="T2395" s="61">
        <f t="shared" ca="1" si="278"/>
        <v>21600</v>
      </c>
      <c r="U2395" s="61">
        <f t="shared" ca="1" si="279"/>
        <v>23265.130908788833</v>
      </c>
      <c r="V2395" s="39">
        <f t="shared" ca="1" si="280"/>
        <v>0.15306007176834757</v>
      </c>
      <c r="W2395" s="48">
        <f t="shared" ca="1" si="281"/>
        <v>2.1745919164627288</v>
      </c>
    </row>
    <row r="2396" spans="17:23" x14ac:dyDescent="0.2">
      <c r="Q2396">
        <f t="shared" si="282"/>
        <v>2380</v>
      </c>
      <c r="R2396" s="48">
        <f t="shared" ca="1" si="283"/>
        <v>0.4</v>
      </c>
      <c r="S2396">
        <f t="shared" ca="1" si="284"/>
        <v>197.70480012806522</v>
      </c>
      <c r="T2396" s="61">
        <f t="shared" ca="1" si="278"/>
        <v>19200</v>
      </c>
      <c r="U2396" s="61">
        <f t="shared" ca="1" si="279"/>
        <v>22898.304061471303</v>
      </c>
      <c r="V2396" s="39">
        <f t="shared" ca="1" si="280"/>
        <v>0.15064673724652172</v>
      </c>
      <c r="W2396" s="48">
        <f t="shared" ca="1" si="281"/>
        <v>2.1210980841172002</v>
      </c>
    </row>
    <row r="2397" spans="17:23" x14ac:dyDescent="0.2">
      <c r="Q2397">
        <f t="shared" si="282"/>
        <v>2381</v>
      </c>
      <c r="R2397" s="48">
        <f t="shared" ca="1" si="283"/>
        <v>0.3</v>
      </c>
      <c r="S2397">
        <f t="shared" ca="1" si="284"/>
        <v>159.72675943707731</v>
      </c>
      <c r="T2397" s="61">
        <f t="shared" ca="1" si="278"/>
        <v>14400</v>
      </c>
      <c r="U2397" s="61">
        <f t="shared" ca="1" si="279"/>
        <v>-2553.0147152367099</v>
      </c>
      <c r="V2397" s="39">
        <f t="shared" ca="1" si="280"/>
        <v>-1.6796149442346777E-2</v>
      </c>
      <c r="W2397" s="48">
        <f t="shared" ca="1" si="281"/>
        <v>-0.12837197634513142</v>
      </c>
    </row>
    <row r="2398" spans="17:23" x14ac:dyDescent="0.2">
      <c r="Q2398">
        <f t="shared" si="282"/>
        <v>2382</v>
      </c>
      <c r="R2398" s="48">
        <f t="shared" ca="1" si="283"/>
        <v>0.35</v>
      </c>
      <c r="S2398">
        <f t="shared" ca="1" si="284"/>
        <v>169.17295060515133</v>
      </c>
      <c r="T2398" s="61">
        <f t="shared" ca="1" si="278"/>
        <v>16800</v>
      </c>
      <c r="U2398" s="61">
        <f t="shared" ca="1" si="279"/>
        <v>5969.9343146786905</v>
      </c>
      <c r="V2398" s="39">
        <f t="shared" ca="1" si="280"/>
        <v>3.9275883649201912E-2</v>
      </c>
      <c r="W2398" s="48">
        <f t="shared" ca="1" si="281"/>
        <v>0.36680254957842351</v>
      </c>
    </row>
    <row r="2399" spans="17:23" x14ac:dyDescent="0.2">
      <c r="Q2399">
        <f t="shared" si="282"/>
        <v>2383</v>
      </c>
      <c r="R2399" s="48">
        <f t="shared" ca="1" si="283"/>
        <v>0.3</v>
      </c>
      <c r="S2399">
        <f t="shared" ca="1" si="284"/>
        <v>186.48170782078867</v>
      </c>
      <c r="T2399" s="61">
        <f t="shared" ca="1" si="278"/>
        <v>14400</v>
      </c>
      <c r="U2399" s="61">
        <f t="shared" ca="1" si="279"/>
        <v>12429.756379641656</v>
      </c>
      <c r="V2399" s="39">
        <f t="shared" ca="1" si="280"/>
        <v>8.1774713023958265E-2</v>
      </c>
      <c r="W2399" s="48">
        <f t="shared" ca="1" si="281"/>
        <v>0.89185385270129602</v>
      </c>
    </row>
    <row r="2400" spans="17:23" x14ac:dyDescent="0.2">
      <c r="Q2400">
        <f t="shared" si="282"/>
        <v>2384</v>
      </c>
      <c r="R2400" s="48">
        <f t="shared" ca="1" si="283"/>
        <v>0.4</v>
      </c>
      <c r="S2400">
        <f t="shared" ca="1" si="284"/>
        <v>173.86140620082435</v>
      </c>
      <c r="T2400" s="61">
        <f t="shared" ca="1" si="278"/>
        <v>19200</v>
      </c>
      <c r="U2400" s="61">
        <f t="shared" ca="1" si="279"/>
        <v>11453.474976395686</v>
      </c>
      <c r="V2400" s="39">
        <f t="shared" ca="1" si="280"/>
        <v>7.5351809055234781E-2</v>
      </c>
      <c r="W2400" s="48">
        <f t="shared" ca="1" si="281"/>
        <v>0.80264487969407727</v>
      </c>
    </row>
    <row r="2401" spans="17:23" x14ac:dyDescent="0.2">
      <c r="Q2401">
        <f t="shared" si="282"/>
        <v>2385</v>
      </c>
      <c r="R2401" s="48">
        <f t="shared" ca="1" si="283"/>
        <v>0.4</v>
      </c>
      <c r="S2401">
        <f t="shared" ca="1" si="284"/>
        <v>211.03858540971672</v>
      </c>
      <c r="T2401" s="61">
        <f t="shared" ca="1" si="278"/>
        <v>19200</v>
      </c>
      <c r="U2401" s="61">
        <f t="shared" ca="1" si="279"/>
        <v>29298.520996664025</v>
      </c>
      <c r="V2401" s="39">
        <f t="shared" ca="1" si="280"/>
        <v>0.19275342760963174</v>
      </c>
      <c r="W2401" s="48">
        <f t="shared" ca="1" si="281"/>
        <v>3.1774476524847932</v>
      </c>
    </row>
    <row r="2402" spans="17:23" x14ac:dyDescent="0.2">
      <c r="Q2402">
        <f t="shared" si="282"/>
        <v>2386</v>
      </c>
      <c r="R2402" s="48">
        <f t="shared" ca="1" si="283"/>
        <v>0.35</v>
      </c>
      <c r="S2402">
        <f t="shared" ca="1" si="284"/>
        <v>180.4452881047452</v>
      </c>
      <c r="T2402" s="61">
        <f t="shared" ca="1" si="278"/>
        <v>16800</v>
      </c>
      <c r="U2402" s="61">
        <f t="shared" ca="1" si="279"/>
        <v>11831.549814467506</v>
      </c>
      <c r="V2402" s="39">
        <f t="shared" ca="1" si="280"/>
        <v>7.7839143516233597E-2</v>
      </c>
      <c r="W2402" s="48">
        <f t="shared" ca="1" si="281"/>
        <v>0.8367443775774055</v>
      </c>
    </row>
    <row r="2403" spans="17:23" x14ac:dyDescent="0.2">
      <c r="Q2403">
        <f t="shared" si="282"/>
        <v>2387</v>
      </c>
      <c r="R2403" s="48">
        <f t="shared" ca="1" si="283"/>
        <v>0.5</v>
      </c>
      <c r="S2403">
        <f t="shared" ca="1" si="284"/>
        <v>202.91349474772755</v>
      </c>
      <c r="T2403" s="61">
        <f t="shared" ca="1" si="278"/>
        <v>24000</v>
      </c>
      <c r="U2403" s="61">
        <f t="shared" ca="1" si="279"/>
        <v>29165.397899091022</v>
      </c>
      <c r="V2403" s="39">
        <f t="shared" ca="1" si="280"/>
        <v>0.19187761775717777</v>
      </c>
      <c r="W2403" s="48">
        <f t="shared" ca="1" si="281"/>
        <v>3.1526325028299285</v>
      </c>
    </row>
    <row r="2404" spans="17:23" x14ac:dyDescent="0.2">
      <c r="Q2404">
        <f t="shared" si="282"/>
        <v>2388</v>
      </c>
      <c r="R2404" s="48">
        <f t="shared" ca="1" si="283"/>
        <v>0.35</v>
      </c>
      <c r="S2404">
        <f t="shared" ca="1" si="284"/>
        <v>191.2994688370203</v>
      </c>
      <c r="T2404" s="61">
        <f t="shared" ca="1" si="278"/>
        <v>16800</v>
      </c>
      <c r="U2404" s="61">
        <f t="shared" ca="1" si="279"/>
        <v>17475.723795250557</v>
      </c>
      <c r="V2404" s="39">
        <f t="shared" ca="1" si="280"/>
        <v>0.11497186707401683</v>
      </c>
      <c r="W2404" s="48">
        <f t="shared" ca="1" si="281"/>
        <v>1.4174796161565979</v>
      </c>
    </row>
    <row r="2405" spans="17:23" x14ac:dyDescent="0.2">
      <c r="Q2405">
        <f t="shared" si="282"/>
        <v>2389</v>
      </c>
      <c r="R2405" s="48">
        <f t="shared" ca="1" si="283"/>
        <v>0.35</v>
      </c>
      <c r="S2405">
        <f t="shared" ca="1" si="284"/>
        <v>193.53773882039908</v>
      </c>
      <c r="T2405" s="61">
        <f t="shared" ca="1" si="278"/>
        <v>16800</v>
      </c>
      <c r="U2405" s="61">
        <f t="shared" ca="1" si="279"/>
        <v>18639.624186607525</v>
      </c>
      <c r="V2405" s="39">
        <f t="shared" ca="1" si="280"/>
        <v>0.12262910649083898</v>
      </c>
      <c r="W2405" s="48">
        <f t="shared" ca="1" si="281"/>
        <v>1.5554782855793041</v>
      </c>
    </row>
    <row r="2406" spans="17:23" x14ac:dyDescent="0.2">
      <c r="Q2406">
        <f t="shared" si="282"/>
        <v>2390</v>
      </c>
      <c r="R2406" s="48">
        <f t="shared" ca="1" si="283"/>
        <v>0.35</v>
      </c>
      <c r="S2406">
        <f t="shared" ca="1" si="284"/>
        <v>185.06736335154167</v>
      </c>
      <c r="T2406" s="61">
        <f t="shared" ca="1" si="278"/>
        <v>16800</v>
      </c>
      <c r="U2406" s="61">
        <f t="shared" ca="1" si="279"/>
        <v>14235.028942801669</v>
      </c>
      <c r="V2406" s="39">
        <f t="shared" ca="1" si="280"/>
        <v>9.3651506202642565E-2</v>
      </c>
      <c r="W2406" s="48">
        <f t="shared" ca="1" si="281"/>
        <v>1.067052595391806</v>
      </c>
    </row>
    <row r="2407" spans="17:23" x14ac:dyDescent="0.2">
      <c r="Q2407">
        <f t="shared" si="282"/>
        <v>2391</v>
      </c>
      <c r="R2407" s="48">
        <f t="shared" ca="1" si="283"/>
        <v>0.3</v>
      </c>
      <c r="S2407">
        <f t="shared" ca="1" si="284"/>
        <v>191.81414880506537</v>
      </c>
      <c r="T2407" s="61">
        <f t="shared" ca="1" si="278"/>
        <v>14400</v>
      </c>
      <c r="U2407" s="61">
        <f t="shared" ca="1" si="279"/>
        <v>15415.923330836609</v>
      </c>
      <c r="V2407" s="39">
        <f t="shared" ca="1" si="280"/>
        <v>0.10142054822918822</v>
      </c>
      <c r="W2407" s="48">
        <f t="shared" ca="1" si="281"/>
        <v>1.1892071585346033</v>
      </c>
    </row>
    <row r="2408" spans="17:23" x14ac:dyDescent="0.2">
      <c r="Q2408">
        <f t="shared" si="282"/>
        <v>2392</v>
      </c>
      <c r="R2408" s="48">
        <f t="shared" ca="1" si="283"/>
        <v>0.45</v>
      </c>
      <c r="S2408">
        <f t="shared" ca="1" si="284"/>
        <v>200.96405200041704</v>
      </c>
      <c r="T2408" s="61">
        <f t="shared" ca="1" si="278"/>
        <v>21600</v>
      </c>
      <c r="U2408" s="61">
        <f t="shared" ca="1" si="279"/>
        <v>26424.1828801835</v>
      </c>
      <c r="V2408" s="39">
        <f t="shared" ca="1" si="280"/>
        <v>0.17384330842225987</v>
      </c>
      <c r="W2408" s="48">
        <f t="shared" ca="1" si="281"/>
        <v>2.669572625131579</v>
      </c>
    </row>
    <row r="2409" spans="17:23" x14ac:dyDescent="0.2">
      <c r="Q2409">
        <f t="shared" si="282"/>
        <v>2393</v>
      </c>
      <c r="R2409" s="48">
        <f t="shared" ca="1" si="283"/>
        <v>0.3</v>
      </c>
      <c r="S2409">
        <f t="shared" ca="1" si="284"/>
        <v>213.94282444732283</v>
      </c>
      <c r="T2409" s="61">
        <f t="shared" ca="1" si="278"/>
        <v>14400</v>
      </c>
      <c r="U2409" s="61">
        <f t="shared" ca="1" si="279"/>
        <v>27807.981690500786</v>
      </c>
      <c r="V2409" s="39">
        <f t="shared" ca="1" si="280"/>
        <v>0.18294724796382097</v>
      </c>
      <c r="W2409" s="48">
        <f t="shared" ca="1" si="281"/>
        <v>2.906881962627144</v>
      </c>
    </row>
    <row r="2410" spans="17:23" x14ac:dyDescent="0.2">
      <c r="Q2410">
        <f t="shared" si="282"/>
        <v>2394</v>
      </c>
      <c r="R2410" s="48">
        <f t="shared" ca="1" si="283"/>
        <v>0.35</v>
      </c>
      <c r="S2410">
        <f t="shared" ca="1" si="284"/>
        <v>159.21219989670956</v>
      </c>
      <c r="T2410" s="61">
        <f t="shared" ca="1" si="278"/>
        <v>16800</v>
      </c>
      <c r="U2410" s="61">
        <f t="shared" ca="1" si="279"/>
        <v>790.3439462889728</v>
      </c>
      <c r="V2410" s="39">
        <f t="shared" ca="1" si="280"/>
        <v>5.199631225585347E-3</v>
      </c>
      <c r="W2410" s="48">
        <f t="shared" ca="1" si="281"/>
        <v>4.296280991728052E-2</v>
      </c>
    </row>
    <row r="2411" spans="17:23" x14ac:dyDescent="0.2">
      <c r="Q2411">
        <f t="shared" si="282"/>
        <v>2395</v>
      </c>
      <c r="R2411" s="48">
        <f t="shared" ca="1" si="283"/>
        <v>0.45</v>
      </c>
      <c r="S2411">
        <f t="shared" ca="1" si="284"/>
        <v>190.17517872501449</v>
      </c>
      <c r="T2411" s="61">
        <f t="shared" ca="1" si="278"/>
        <v>21600</v>
      </c>
      <c r="U2411" s="61">
        <f t="shared" ca="1" si="279"/>
        <v>21677.078639006377</v>
      </c>
      <c r="V2411" s="39">
        <f t="shared" ca="1" si="280"/>
        <v>0.1426123594671472</v>
      </c>
      <c r="W2411" s="48">
        <f t="shared" ca="1" si="281"/>
        <v>1.9486590102539902</v>
      </c>
    </row>
    <row r="2412" spans="17:23" x14ac:dyDescent="0.2">
      <c r="Q2412">
        <f t="shared" si="282"/>
        <v>2396</v>
      </c>
      <c r="R2412" s="48">
        <f t="shared" ca="1" si="283"/>
        <v>0.4</v>
      </c>
      <c r="S2412">
        <f t="shared" ca="1" si="284"/>
        <v>185.08842981246221</v>
      </c>
      <c r="T2412" s="61">
        <f t="shared" ca="1" si="278"/>
        <v>19200</v>
      </c>
      <c r="U2412" s="61">
        <f t="shared" ca="1" si="279"/>
        <v>16842.44630998186</v>
      </c>
      <c r="V2412" s="39">
        <f t="shared" ca="1" si="280"/>
        <v>0.11080556782882803</v>
      </c>
      <c r="W2412" s="48">
        <f t="shared" ca="1" si="281"/>
        <v>1.3451751185520511</v>
      </c>
    </row>
    <row r="2413" spans="17:23" x14ac:dyDescent="0.2">
      <c r="Q2413">
        <f t="shared" si="282"/>
        <v>2397</v>
      </c>
      <c r="R2413" s="48">
        <f t="shared" ca="1" si="283"/>
        <v>0.35</v>
      </c>
      <c r="S2413">
        <f t="shared" ca="1" si="284"/>
        <v>202.6596028159473</v>
      </c>
      <c r="T2413" s="61">
        <f t="shared" ca="1" si="278"/>
        <v>16800</v>
      </c>
      <c r="U2413" s="61">
        <f t="shared" ca="1" si="279"/>
        <v>23382.993464292595</v>
      </c>
      <c r="V2413" s="39">
        <f t="shared" ca="1" si="280"/>
        <v>0.15383548331771443</v>
      </c>
      <c r="W2413" s="48">
        <f t="shared" ca="1" si="281"/>
        <v>2.1919494169873239</v>
      </c>
    </row>
    <row r="2414" spans="17:23" x14ac:dyDescent="0.2">
      <c r="Q2414">
        <f t="shared" si="282"/>
        <v>2398</v>
      </c>
      <c r="R2414" s="48">
        <f t="shared" ca="1" si="283"/>
        <v>0.5</v>
      </c>
      <c r="S2414">
        <f t="shared" ca="1" si="284"/>
        <v>172.64366229364936</v>
      </c>
      <c r="T2414" s="61">
        <f t="shared" ca="1" si="278"/>
        <v>24000</v>
      </c>
      <c r="U2414" s="61">
        <f t="shared" ca="1" si="279"/>
        <v>17057.464917459743</v>
      </c>
      <c r="V2414" s="39">
        <f t="shared" ca="1" si="280"/>
        <v>0.1122201639306562</v>
      </c>
      <c r="W2414" s="48">
        <f t="shared" ca="1" si="281"/>
        <v>1.3695093228741775</v>
      </c>
    </row>
    <row r="2415" spans="17:23" x14ac:dyDescent="0.2">
      <c r="Q2415">
        <f t="shared" si="282"/>
        <v>2399</v>
      </c>
      <c r="R2415" s="48">
        <f t="shared" ca="1" si="283"/>
        <v>0.217</v>
      </c>
      <c r="S2415">
        <f t="shared" ca="1" si="284"/>
        <v>192.85046535230586</v>
      </c>
      <c r="T2415" s="61">
        <f t="shared" ca="1" si="278"/>
        <v>10416</v>
      </c>
      <c r="U2415" s="61">
        <f t="shared" ca="1" si="279"/>
        <v>12201.531496684391</v>
      </c>
      <c r="V2415" s="39">
        <f t="shared" ca="1" si="280"/>
        <v>8.0273233530818361E-2</v>
      </c>
      <c r="W2415" s="48">
        <f t="shared" ca="1" si="281"/>
        <v>0.87066009184520321</v>
      </c>
    </row>
    <row r="2416" spans="17:23" x14ac:dyDescent="0.2">
      <c r="Q2416">
        <f t="shared" si="282"/>
        <v>2400</v>
      </c>
      <c r="R2416" s="48">
        <f t="shared" ca="1" si="283"/>
        <v>0.45</v>
      </c>
      <c r="S2416">
        <f t="shared" ca="1" si="284"/>
        <v>191.1412065329387</v>
      </c>
      <c r="T2416" s="61">
        <f t="shared" ca="1" si="278"/>
        <v>21600</v>
      </c>
      <c r="U2416" s="61">
        <f t="shared" ca="1" si="279"/>
        <v>22102.130874493025</v>
      </c>
      <c r="V2416" s="39">
        <f t="shared" ca="1" si="280"/>
        <v>0.14540875575324358</v>
      </c>
      <c r="W2416" s="48">
        <f t="shared" ca="1" si="281"/>
        <v>2.0077044305822787</v>
      </c>
    </row>
    <row r="2417" spans="17:23" x14ac:dyDescent="0.2">
      <c r="Q2417">
        <f t="shared" si="282"/>
        <v>2401</v>
      </c>
      <c r="R2417" s="48">
        <f t="shared" ca="1" si="283"/>
        <v>0.35</v>
      </c>
      <c r="S2417">
        <f t="shared" ca="1" si="284"/>
        <v>223.18724223485498</v>
      </c>
      <c r="T2417" s="61">
        <f t="shared" ca="1" si="278"/>
        <v>16800</v>
      </c>
      <c r="U2417" s="61">
        <f t="shared" ca="1" si="279"/>
        <v>34057.36596212459</v>
      </c>
      <c r="V2417" s="39">
        <f t="shared" ca="1" si="280"/>
        <v>0.22406161817187231</v>
      </c>
      <c r="W2417" s="48">
        <f t="shared" ca="1" si="281"/>
        <v>4.1544480028586994</v>
      </c>
    </row>
    <row r="2418" spans="17:23" x14ac:dyDescent="0.2">
      <c r="Q2418">
        <f t="shared" si="282"/>
        <v>2402</v>
      </c>
      <c r="R2418" s="48">
        <f t="shared" ca="1" si="283"/>
        <v>0.217</v>
      </c>
      <c r="S2418">
        <f t="shared" ca="1" si="284"/>
        <v>190.93418861759127</v>
      </c>
      <c r="T2418" s="61">
        <f t="shared" ca="1" si="278"/>
        <v>10416</v>
      </c>
      <c r="U2418" s="61">
        <f t="shared" ca="1" si="279"/>
        <v>11001.175750059174</v>
      </c>
      <c r="V2418" s="39">
        <f t="shared" ca="1" si="280"/>
        <v>7.2376156250389304E-2</v>
      </c>
      <c r="W2418" s="48">
        <f t="shared" ca="1" si="281"/>
        <v>0.76258105665142284</v>
      </c>
    </row>
    <row r="2419" spans="17:23" x14ac:dyDescent="0.2">
      <c r="Q2419">
        <f t="shared" si="282"/>
        <v>2403</v>
      </c>
      <c r="R2419" s="48">
        <f t="shared" ca="1" si="283"/>
        <v>0.3</v>
      </c>
      <c r="S2419">
        <f t="shared" ca="1" si="284"/>
        <v>184.00729723160742</v>
      </c>
      <c r="T2419" s="61">
        <f t="shared" ca="1" si="278"/>
        <v>14400</v>
      </c>
      <c r="U2419" s="61">
        <f t="shared" ca="1" si="279"/>
        <v>11044.086449700157</v>
      </c>
      <c r="V2419" s="39">
        <f t="shared" ca="1" si="280"/>
        <v>7.2658463484869457E-2</v>
      </c>
      <c r="W2419" s="48">
        <f t="shared" ca="1" si="281"/>
        <v>0.76634818867542465</v>
      </c>
    </row>
    <row r="2420" spans="17:23" x14ac:dyDescent="0.2">
      <c r="Q2420">
        <f t="shared" si="282"/>
        <v>2404</v>
      </c>
      <c r="R2420" s="48">
        <f t="shared" ca="1" si="283"/>
        <v>0.3</v>
      </c>
      <c r="S2420">
        <f t="shared" ca="1" si="284"/>
        <v>179.23290776763415</v>
      </c>
      <c r="T2420" s="61">
        <f t="shared" ca="1" si="278"/>
        <v>14400</v>
      </c>
      <c r="U2420" s="61">
        <f t="shared" ca="1" si="279"/>
        <v>8370.4283498751211</v>
      </c>
      <c r="V2420" s="39">
        <f t="shared" ca="1" si="280"/>
        <v>5.5068607564967904E-2</v>
      </c>
      <c r="W2420" s="48">
        <f t="shared" ca="1" si="281"/>
        <v>0.54465805922886545</v>
      </c>
    </row>
    <row r="2421" spans="17:23" x14ac:dyDescent="0.2">
      <c r="Q2421">
        <f t="shared" si="282"/>
        <v>2405</v>
      </c>
      <c r="R2421" s="48">
        <f t="shared" ca="1" si="283"/>
        <v>0.3</v>
      </c>
      <c r="S2421">
        <f t="shared" ca="1" si="284"/>
        <v>199.58865136596609</v>
      </c>
      <c r="T2421" s="61">
        <f t="shared" ca="1" si="278"/>
        <v>14400</v>
      </c>
      <c r="U2421" s="61">
        <f t="shared" ca="1" si="279"/>
        <v>19769.644764941007</v>
      </c>
      <c r="V2421" s="39">
        <f t="shared" ca="1" si="280"/>
        <v>0.13006345240092768</v>
      </c>
      <c r="W2421" s="48">
        <f t="shared" ca="1" si="281"/>
        <v>1.6960190139786389</v>
      </c>
    </row>
    <row r="2422" spans="17:23" x14ac:dyDescent="0.2">
      <c r="Q2422">
        <f t="shared" si="282"/>
        <v>2406</v>
      </c>
      <c r="R2422" s="48">
        <f t="shared" ca="1" si="283"/>
        <v>0.45</v>
      </c>
      <c r="S2422">
        <f t="shared" ca="1" si="284"/>
        <v>183.67744188581818</v>
      </c>
      <c r="T2422" s="61">
        <f t="shared" ca="1" si="278"/>
        <v>21600</v>
      </c>
      <c r="U2422" s="61">
        <f t="shared" ca="1" si="279"/>
        <v>18818.074429759999</v>
      </c>
      <c r="V2422" s="39">
        <f t="shared" ca="1" si="280"/>
        <v>0.12380312124842105</v>
      </c>
      <c r="W2422" s="48">
        <f t="shared" ca="1" si="281"/>
        <v>1.5772355895426871</v>
      </c>
    </row>
    <row r="2423" spans="17:23" x14ac:dyDescent="0.2">
      <c r="Q2423">
        <f t="shared" si="282"/>
        <v>2407</v>
      </c>
      <c r="R2423" s="48">
        <f t="shared" ca="1" si="283"/>
        <v>0.45</v>
      </c>
      <c r="S2423">
        <f t="shared" ca="1" si="284"/>
        <v>197.8034876747825</v>
      </c>
      <c r="T2423" s="61">
        <f t="shared" ca="1" si="278"/>
        <v>21600</v>
      </c>
      <c r="U2423" s="61">
        <f t="shared" ca="1" si="279"/>
        <v>25033.534576904302</v>
      </c>
      <c r="V2423" s="39">
        <f t="shared" ca="1" si="280"/>
        <v>0.16469430642700197</v>
      </c>
      <c r="W2423" s="48">
        <f t="shared" ca="1" si="281"/>
        <v>2.4439156275169442</v>
      </c>
    </row>
    <row r="2424" spans="17:23" x14ac:dyDescent="0.2">
      <c r="Q2424">
        <f t="shared" si="282"/>
        <v>2408</v>
      </c>
      <c r="R2424" s="48">
        <f t="shared" ca="1" si="283"/>
        <v>0.3</v>
      </c>
      <c r="S2424">
        <f t="shared" ca="1" si="284"/>
        <v>162.99075233516717</v>
      </c>
      <c r="T2424" s="61">
        <f t="shared" ca="1" si="278"/>
        <v>14400</v>
      </c>
      <c r="U2424" s="61">
        <f t="shared" ca="1" si="279"/>
        <v>-725.1786923063828</v>
      </c>
      <c r="V2424" s="39">
        <f t="shared" ca="1" si="280"/>
        <v>-4.7709124493840972E-3</v>
      </c>
      <c r="W2424" s="48">
        <f t="shared" ca="1" si="281"/>
        <v>-3.804730833971437E-2</v>
      </c>
    </row>
    <row r="2425" spans="17:23" x14ac:dyDescent="0.2">
      <c r="Q2425">
        <f t="shared" si="282"/>
        <v>2409</v>
      </c>
      <c r="R2425" s="48">
        <f t="shared" ca="1" si="283"/>
        <v>0.45</v>
      </c>
      <c r="S2425">
        <f t="shared" ca="1" si="284"/>
        <v>207.96161382909563</v>
      </c>
      <c r="T2425" s="61">
        <f t="shared" ref="T2425:T2488" ca="1" si="285">($B$8-$B$7)*($E$6*R2425)</f>
        <v>21600</v>
      </c>
      <c r="U2425" s="61">
        <f t="shared" ref="U2425:U2488" ca="1" si="286">T2425+((S2425-$B$7)*($E$6*(1-R2425)))</f>
        <v>29503.110084802076</v>
      </c>
      <c r="V2425" s="39">
        <f t="shared" ref="V2425:V2488" ca="1" si="287">U2425/$E$4</f>
        <v>0.19409940845264523</v>
      </c>
      <c r="W2425" s="48">
        <f t="shared" ref="W2425:W2488" ca="1" si="288">(1+V2425)^($J$29/$J$30)-1</f>
        <v>3.2158380501144794</v>
      </c>
    </row>
    <row r="2426" spans="17:23" x14ac:dyDescent="0.2">
      <c r="Q2426">
        <f t="shared" si="282"/>
        <v>2410</v>
      </c>
      <c r="R2426" s="48">
        <f t="shared" ca="1" si="283"/>
        <v>0.3</v>
      </c>
      <c r="S2426">
        <f t="shared" ca="1" si="284"/>
        <v>187.25518967946027</v>
      </c>
      <c r="T2426" s="61">
        <f t="shared" ca="1" si="285"/>
        <v>14400</v>
      </c>
      <c r="U2426" s="61">
        <f t="shared" ca="1" si="286"/>
        <v>12862.906220497753</v>
      </c>
      <c r="V2426" s="39">
        <f t="shared" ca="1" si="287"/>
        <v>8.462438302959048E-2</v>
      </c>
      <c r="W2426" s="48">
        <f t="shared" ca="1" si="288"/>
        <v>0.93265723383830301</v>
      </c>
    </row>
    <row r="2427" spans="17:23" x14ac:dyDescent="0.2">
      <c r="Q2427">
        <f t="shared" si="282"/>
        <v>2411</v>
      </c>
      <c r="R2427" s="48">
        <f t="shared" ca="1" si="283"/>
        <v>0.35</v>
      </c>
      <c r="S2427">
        <f t="shared" ca="1" si="284"/>
        <v>195.20300777595077</v>
      </c>
      <c r="T2427" s="61">
        <f t="shared" ca="1" si="285"/>
        <v>16800</v>
      </c>
      <c r="U2427" s="61">
        <f t="shared" ca="1" si="286"/>
        <v>19505.5640434944</v>
      </c>
      <c r="V2427" s="39">
        <f t="shared" ca="1" si="287"/>
        <v>0.1283260792335158</v>
      </c>
      <c r="W2427" s="48">
        <f t="shared" ca="1" si="288"/>
        <v>1.6625825361431739</v>
      </c>
    </row>
    <row r="2428" spans="17:23" x14ac:dyDescent="0.2">
      <c r="Q2428">
        <f t="shared" si="282"/>
        <v>2412</v>
      </c>
      <c r="R2428" s="48">
        <f t="shared" ca="1" si="283"/>
        <v>0.35</v>
      </c>
      <c r="S2428">
        <f t="shared" ca="1" si="284"/>
        <v>180.14697381155599</v>
      </c>
      <c r="T2428" s="61">
        <f t="shared" ca="1" si="285"/>
        <v>16800</v>
      </c>
      <c r="U2428" s="61">
        <f t="shared" ca="1" si="286"/>
        <v>11676.426382009118</v>
      </c>
      <c r="V2428" s="39">
        <f t="shared" ca="1" si="287"/>
        <v>7.6818594618481034E-2</v>
      </c>
      <c r="W2428" s="48">
        <f t="shared" ca="1" si="288"/>
        <v>0.82268561120699668</v>
      </c>
    </row>
    <row r="2429" spans="17:23" x14ac:dyDescent="0.2">
      <c r="Q2429">
        <f t="shared" si="282"/>
        <v>2413</v>
      </c>
      <c r="R2429" s="48">
        <f t="shared" ca="1" si="283"/>
        <v>0.4</v>
      </c>
      <c r="S2429">
        <f t="shared" ca="1" si="284"/>
        <v>166.481999945674</v>
      </c>
      <c r="T2429" s="61">
        <f t="shared" ca="1" si="285"/>
        <v>19200</v>
      </c>
      <c r="U2429" s="61">
        <f t="shared" ca="1" si="286"/>
        <v>7911.3599739235215</v>
      </c>
      <c r="V2429" s="39">
        <f t="shared" ca="1" si="287"/>
        <v>5.2048420881075801E-2</v>
      </c>
      <c r="W2429" s="48">
        <f t="shared" ca="1" si="288"/>
        <v>0.50915638304688993</v>
      </c>
    </row>
    <row r="2430" spans="17:23" x14ac:dyDescent="0.2">
      <c r="Q2430">
        <f t="shared" si="282"/>
        <v>2414</v>
      </c>
      <c r="R2430" s="48">
        <f t="shared" ca="1" si="283"/>
        <v>0.35</v>
      </c>
      <c r="S2430">
        <f t="shared" ca="1" si="284"/>
        <v>157.40404230047358</v>
      </c>
      <c r="T2430" s="61">
        <f t="shared" ca="1" si="285"/>
        <v>16800</v>
      </c>
      <c r="U2430" s="61">
        <f t="shared" ca="1" si="286"/>
        <v>-149.89800375374034</v>
      </c>
      <c r="V2430" s="39">
        <f t="shared" ca="1" si="287"/>
        <v>-9.8617107732723911E-4</v>
      </c>
      <c r="W2430" s="48">
        <f t="shared" ca="1" si="288"/>
        <v>-7.9709520724735583E-3</v>
      </c>
    </row>
    <row r="2431" spans="17:23" x14ac:dyDescent="0.2">
      <c r="Q2431">
        <f t="shared" si="282"/>
        <v>2415</v>
      </c>
      <c r="R2431" s="48">
        <f t="shared" ca="1" si="283"/>
        <v>0.45</v>
      </c>
      <c r="S2431">
        <f t="shared" ca="1" si="284"/>
        <v>214.25894666398824</v>
      </c>
      <c r="T2431" s="61">
        <f t="shared" ca="1" si="285"/>
        <v>21600</v>
      </c>
      <c r="U2431" s="61">
        <f t="shared" ca="1" si="286"/>
        <v>32273.936532154825</v>
      </c>
      <c r="V2431" s="39">
        <f t="shared" ca="1" si="287"/>
        <v>0.21232852981680805</v>
      </c>
      <c r="W2431" s="48">
        <f t="shared" ca="1" si="288"/>
        <v>3.7670943969835768</v>
      </c>
    </row>
    <row r="2432" spans="17:23" x14ac:dyDescent="0.2">
      <c r="Q2432">
        <f t="shared" si="282"/>
        <v>2416</v>
      </c>
      <c r="R2432" s="48">
        <f t="shared" ca="1" si="283"/>
        <v>0.4</v>
      </c>
      <c r="S2432">
        <f t="shared" ca="1" si="284"/>
        <v>161.12327569536106</v>
      </c>
      <c r="T2432" s="61">
        <f t="shared" ca="1" si="285"/>
        <v>19200</v>
      </c>
      <c r="U2432" s="61">
        <f t="shared" ca="1" si="286"/>
        <v>5339.1723337733092</v>
      </c>
      <c r="V2432" s="39">
        <f t="shared" ca="1" si="287"/>
        <v>3.5126133774824403E-2</v>
      </c>
      <c r="W2432" s="48">
        <f t="shared" ca="1" si="288"/>
        <v>0.3231592155727292</v>
      </c>
    </row>
    <row r="2433" spans="17:23" x14ac:dyDescent="0.2">
      <c r="Q2433">
        <f t="shared" si="282"/>
        <v>2417</v>
      </c>
      <c r="R2433" s="48">
        <f t="shared" ca="1" si="283"/>
        <v>0.35</v>
      </c>
      <c r="S2433">
        <f t="shared" ca="1" si="284"/>
        <v>174.75762898642222</v>
      </c>
      <c r="T2433" s="61">
        <f t="shared" ca="1" si="285"/>
        <v>16800</v>
      </c>
      <c r="U2433" s="61">
        <f t="shared" ca="1" si="286"/>
        <v>8873.9670729395548</v>
      </c>
      <c r="V2433" s="39">
        <f t="shared" ca="1" si="287"/>
        <v>5.8381362321970755E-2</v>
      </c>
      <c r="W2433" s="48">
        <f t="shared" ca="1" si="288"/>
        <v>0.58443887073816203</v>
      </c>
    </row>
    <row r="2434" spans="17:23" x14ac:dyDescent="0.2">
      <c r="Q2434">
        <f t="shared" si="282"/>
        <v>2418</v>
      </c>
      <c r="R2434" s="48">
        <f t="shared" ca="1" si="283"/>
        <v>0.5</v>
      </c>
      <c r="S2434">
        <f t="shared" ca="1" si="284"/>
        <v>198.58301839411666</v>
      </c>
      <c r="T2434" s="61">
        <f t="shared" ca="1" si="285"/>
        <v>24000</v>
      </c>
      <c r="U2434" s="61">
        <f t="shared" ca="1" si="286"/>
        <v>27433.207357646665</v>
      </c>
      <c r="V2434" s="39">
        <f t="shared" ca="1" si="287"/>
        <v>0.18048162735293857</v>
      </c>
      <c r="W2434" s="48">
        <f t="shared" ca="1" si="288"/>
        <v>2.841319574274741</v>
      </c>
    </row>
    <row r="2435" spans="17:23" x14ac:dyDescent="0.2">
      <c r="Q2435">
        <f t="shared" si="282"/>
        <v>2419</v>
      </c>
      <c r="R2435" s="48">
        <f t="shared" ca="1" si="283"/>
        <v>0.3</v>
      </c>
      <c r="S2435">
        <f t="shared" ca="1" si="284"/>
        <v>212.52678743181147</v>
      </c>
      <c r="T2435" s="61">
        <f t="shared" ca="1" si="285"/>
        <v>14400</v>
      </c>
      <c r="U2435" s="61">
        <f t="shared" ca="1" si="286"/>
        <v>27015.000961814425</v>
      </c>
      <c r="V2435" s="39">
        <f t="shared" ca="1" si="287"/>
        <v>0.17773026948562121</v>
      </c>
      <c r="W2435" s="48">
        <f t="shared" ca="1" si="288"/>
        <v>2.7692997857798414</v>
      </c>
    </row>
    <row r="2436" spans="17:23" x14ac:dyDescent="0.2">
      <c r="Q2436">
        <f t="shared" si="282"/>
        <v>2420</v>
      </c>
      <c r="R2436" s="48">
        <f t="shared" ca="1" si="283"/>
        <v>0.3</v>
      </c>
      <c r="S2436">
        <f t="shared" ca="1" si="284"/>
        <v>183.62234850622792</v>
      </c>
      <c r="T2436" s="61">
        <f t="shared" ca="1" si="285"/>
        <v>14400</v>
      </c>
      <c r="U2436" s="61">
        <f t="shared" ca="1" si="286"/>
        <v>10828.515163487637</v>
      </c>
      <c r="V2436" s="39">
        <f t="shared" ca="1" si="287"/>
        <v>7.1240231338734444E-2</v>
      </c>
      <c r="W2436" s="48">
        <f t="shared" ca="1" si="288"/>
        <v>0.74749427137630686</v>
      </c>
    </row>
    <row r="2437" spans="17:23" x14ac:dyDescent="0.2">
      <c r="Q2437">
        <f t="shared" si="282"/>
        <v>2421</v>
      </c>
      <c r="R2437" s="48">
        <f t="shared" ca="1" si="283"/>
        <v>0.45</v>
      </c>
      <c r="S2437">
        <f t="shared" ca="1" si="284"/>
        <v>194.71663057645401</v>
      </c>
      <c r="T2437" s="61">
        <f t="shared" ca="1" si="285"/>
        <v>21600</v>
      </c>
      <c r="U2437" s="61">
        <f t="shared" ca="1" si="286"/>
        <v>23675.317453639764</v>
      </c>
      <c r="V2437" s="39">
        <f t="shared" ca="1" si="287"/>
        <v>0.15575866745815634</v>
      </c>
      <c r="W2437" s="48">
        <f t="shared" ca="1" si="288"/>
        <v>2.2353592587692659</v>
      </c>
    </row>
    <row r="2438" spans="17:23" x14ac:dyDescent="0.2">
      <c r="Q2438">
        <f t="shared" si="282"/>
        <v>2422</v>
      </c>
      <c r="R2438" s="48">
        <f t="shared" ca="1" si="283"/>
        <v>0.4</v>
      </c>
      <c r="S2438">
        <f t="shared" ca="1" si="284"/>
        <v>193.62294073828076</v>
      </c>
      <c r="T2438" s="61">
        <f t="shared" ca="1" si="285"/>
        <v>19200</v>
      </c>
      <c r="U2438" s="61">
        <f t="shared" ca="1" si="286"/>
        <v>20939.011554374767</v>
      </c>
      <c r="V2438" s="39">
        <f t="shared" ca="1" si="287"/>
        <v>0.13775665496299189</v>
      </c>
      <c r="W2438" s="48">
        <f t="shared" ca="1" si="288"/>
        <v>1.8485430351349628</v>
      </c>
    </row>
    <row r="2439" spans="17:23" x14ac:dyDescent="0.2">
      <c r="Q2439">
        <f t="shared" si="282"/>
        <v>2423</v>
      </c>
      <c r="R2439" s="48">
        <f t="shared" ca="1" si="283"/>
        <v>0.4</v>
      </c>
      <c r="S2439">
        <f t="shared" ca="1" si="284"/>
        <v>175.59648896496233</v>
      </c>
      <c r="T2439" s="61">
        <f t="shared" ca="1" si="285"/>
        <v>19200</v>
      </c>
      <c r="U2439" s="61">
        <f t="shared" ca="1" si="286"/>
        <v>12286.314703181921</v>
      </c>
      <c r="V2439" s="39">
        <f t="shared" ca="1" si="287"/>
        <v>8.0831017784091588E-2</v>
      </c>
      <c r="W2439" s="48">
        <f t="shared" ca="1" si="288"/>
        <v>0.87850892825798388</v>
      </c>
    </row>
    <row r="2440" spans="17:23" x14ac:dyDescent="0.2">
      <c r="Q2440">
        <f t="shared" si="282"/>
        <v>2424</v>
      </c>
      <c r="R2440" s="48">
        <f t="shared" ca="1" si="283"/>
        <v>0.45</v>
      </c>
      <c r="S2440">
        <f t="shared" ca="1" si="284"/>
        <v>145.36906651155911</v>
      </c>
      <c r="T2440" s="61">
        <f t="shared" ca="1" si="285"/>
        <v>21600</v>
      </c>
      <c r="U2440" s="61">
        <f t="shared" ca="1" si="286"/>
        <v>1962.3892650860071</v>
      </c>
      <c r="V2440" s="39">
        <f t="shared" ca="1" si="287"/>
        <v>1.2910455691355309E-2</v>
      </c>
      <c r="W2440" s="48">
        <f t="shared" ca="1" si="288"/>
        <v>0.10965363215523016</v>
      </c>
    </row>
    <row r="2441" spans="17:23" x14ac:dyDescent="0.2">
      <c r="Q2441">
        <f t="shared" si="282"/>
        <v>2425</v>
      </c>
      <c r="R2441" s="48">
        <f t="shared" ca="1" si="283"/>
        <v>0.3</v>
      </c>
      <c r="S2441">
        <f t="shared" ca="1" si="284"/>
        <v>193.36175713056377</v>
      </c>
      <c r="T2441" s="61">
        <f t="shared" ca="1" si="285"/>
        <v>14400</v>
      </c>
      <c r="U2441" s="61">
        <f t="shared" ca="1" si="286"/>
        <v>16282.583993115713</v>
      </c>
      <c r="V2441" s="39">
        <f t="shared" ca="1" si="287"/>
        <v>0.10712226311260338</v>
      </c>
      <c r="W2441" s="48">
        <f t="shared" ca="1" si="288"/>
        <v>1.2828390508044683</v>
      </c>
    </row>
    <row r="2442" spans="17:23" x14ac:dyDescent="0.2">
      <c r="Q2442">
        <f t="shared" si="282"/>
        <v>2426</v>
      </c>
      <c r="R2442" s="48">
        <f t="shared" ca="1" si="283"/>
        <v>0.3</v>
      </c>
      <c r="S2442">
        <f t="shared" ca="1" si="284"/>
        <v>200.84894078691437</v>
      </c>
      <c r="T2442" s="61">
        <f t="shared" ca="1" si="285"/>
        <v>14400</v>
      </c>
      <c r="U2442" s="61">
        <f t="shared" ca="1" si="286"/>
        <v>20475.406840672047</v>
      </c>
      <c r="V2442" s="39">
        <f t="shared" ca="1" si="287"/>
        <v>0.13470662395178978</v>
      </c>
      <c r="W2442" s="48">
        <f t="shared" ca="1" si="288"/>
        <v>1.7871920687841194</v>
      </c>
    </row>
    <row r="2443" spans="17:23" x14ac:dyDescent="0.2">
      <c r="Q2443">
        <f t="shared" si="282"/>
        <v>2427</v>
      </c>
      <c r="R2443" s="48">
        <f t="shared" ca="1" si="283"/>
        <v>0.5</v>
      </c>
      <c r="S2443">
        <f t="shared" ca="1" si="284"/>
        <v>182.9597242793441</v>
      </c>
      <c r="T2443" s="61">
        <f t="shared" ca="1" si="285"/>
        <v>24000</v>
      </c>
      <c r="U2443" s="61">
        <f t="shared" ca="1" si="286"/>
        <v>21183.88971173764</v>
      </c>
      <c r="V2443" s="39">
        <f t="shared" ca="1" si="287"/>
        <v>0.13936769547195815</v>
      </c>
      <c r="W2443" s="48">
        <f t="shared" ca="1" si="288"/>
        <v>1.8814242238478807</v>
      </c>
    </row>
    <row r="2444" spans="17:23" x14ac:dyDescent="0.2">
      <c r="Q2444">
        <f t="shared" si="282"/>
        <v>2428</v>
      </c>
      <c r="R2444" s="48">
        <f t="shared" ca="1" si="283"/>
        <v>0.3</v>
      </c>
      <c r="S2444">
        <f t="shared" ca="1" si="284"/>
        <v>167.02021687850794</v>
      </c>
      <c r="T2444" s="61">
        <f t="shared" ca="1" si="285"/>
        <v>14400</v>
      </c>
      <c r="U2444" s="61">
        <f t="shared" ca="1" si="286"/>
        <v>1531.3214519644462</v>
      </c>
      <c r="V2444" s="39">
        <f t="shared" ca="1" si="287"/>
        <v>1.0074483236608199E-2</v>
      </c>
      <c r="W2444" s="48">
        <f t="shared" ca="1" si="288"/>
        <v>8.4703174085785093E-2</v>
      </c>
    </row>
    <row r="2445" spans="17:23" x14ac:dyDescent="0.2">
      <c r="Q2445">
        <f t="shared" si="282"/>
        <v>2429</v>
      </c>
      <c r="R2445" s="48">
        <f t="shared" ca="1" si="283"/>
        <v>0.217</v>
      </c>
      <c r="S2445">
        <f t="shared" ca="1" si="284"/>
        <v>149.58197316533671</v>
      </c>
      <c r="T2445" s="61">
        <f t="shared" ca="1" si="285"/>
        <v>10416</v>
      </c>
      <c r="U2445" s="61">
        <f t="shared" ca="1" si="286"/>
        <v>-14901.852009233087</v>
      </c>
      <c r="V2445" s="39">
        <f t="shared" ca="1" si="287"/>
        <v>-9.8038500060743994E-2</v>
      </c>
      <c r="W2445" s="48">
        <f t="shared" ca="1" si="288"/>
        <v>-0.5669631148819575</v>
      </c>
    </row>
    <row r="2446" spans="17:23" x14ac:dyDescent="0.2">
      <c r="Q2446">
        <f t="shared" si="282"/>
        <v>2430</v>
      </c>
      <c r="R2446" s="48">
        <f t="shared" ca="1" si="283"/>
        <v>0.217</v>
      </c>
      <c r="S2446">
        <f t="shared" ca="1" si="284"/>
        <v>182.97431967422537</v>
      </c>
      <c r="T2446" s="61">
        <f t="shared" ca="1" si="285"/>
        <v>10416</v>
      </c>
      <c r="U2446" s="61">
        <f t="shared" ca="1" si="286"/>
        <v>6015.1138439347724</v>
      </c>
      <c r="V2446" s="39">
        <f t="shared" ca="1" si="287"/>
        <v>3.9573117394307716E-2</v>
      </c>
      <c r="W2446" s="48">
        <f t="shared" ca="1" si="288"/>
        <v>0.36997646287030528</v>
      </c>
    </row>
    <row r="2447" spans="17:23" x14ac:dyDescent="0.2">
      <c r="Q2447">
        <f t="shared" si="282"/>
        <v>2431</v>
      </c>
      <c r="R2447" s="48">
        <f t="shared" ca="1" si="283"/>
        <v>0.4</v>
      </c>
      <c r="S2447">
        <f t="shared" ca="1" si="284"/>
        <v>208.851796455677</v>
      </c>
      <c r="T2447" s="61">
        <f t="shared" ca="1" si="285"/>
        <v>19200</v>
      </c>
      <c r="U2447" s="61">
        <f t="shared" ca="1" si="286"/>
        <v>28248.862298724962</v>
      </c>
      <c r="V2447" s="39">
        <f t="shared" ca="1" si="287"/>
        <v>0.18584777828108529</v>
      </c>
      <c r="W2447" s="48">
        <f t="shared" ca="1" si="288"/>
        <v>2.9852630476881252</v>
      </c>
    </row>
    <row r="2448" spans="17:23" x14ac:dyDescent="0.2">
      <c r="Q2448">
        <f t="shared" si="282"/>
        <v>2432</v>
      </c>
      <c r="R2448" s="48">
        <f t="shared" ca="1" si="283"/>
        <v>0.3</v>
      </c>
      <c r="S2448">
        <f t="shared" ca="1" si="284"/>
        <v>210.4973091739316</v>
      </c>
      <c r="T2448" s="61">
        <f t="shared" ca="1" si="285"/>
        <v>14400</v>
      </c>
      <c r="U2448" s="61">
        <f t="shared" ca="1" si="286"/>
        <v>25878.493137401696</v>
      </c>
      <c r="V2448" s="39">
        <f t="shared" ca="1" si="287"/>
        <v>0.17025324432501115</v>
      </c>
      <c r="W2448" s="48">
        <f t="shared" ca="1" si="288"/>
        <v>2.5795256670730682</v>
      </c>
    </row>
    <row r="2449" spans="17:23" x14ac:dyDescent="0.2">
      <c r="Q2449">
        <f t="shared" si="282"/>
        <v>2433</v>
      </c>
      <c r="R2449" s="48">
        <f t="shared" ca="1" si="283"/>
        <v>0.45</v>
      </c>
      <c r="S2449">
        <f t="shared" ca="1" si="284"/>
        <v>218.45123345460212</v>
      </c>
      <c r="T2449" s="61">
        <f t="shared" ca="1" si="285"/>
        <v>21600</v>
      </c>
      <c r="U2449" s="61">
        <f t="shared" ca="1" si="286"/>
        <v>34118.542720024932</v>
      </c>
      <c r="V2449" s="39">
        <f t="shared" ca="1" si="287"/>
        <v>0.22446409684226928</v>
      </c>
      <c r="W2449" s="48">
        <f t="shared" ca="1" si="288"/>
        <v>4.1682109003250147</v>
      </c>
    </row>
    <row r="2450" spans="17:23" x14ac:dyDescent="0.2">
      <c r="Q2450">
        <f t="shared" si="282"/>
        <v>2434</v>
      </c>
      <c r="R2450" s="48">
        <f t="shared" ca="1" si="283"/>
        <v>0.45</v>
      </c>
      <c r="S2450">
        <f t="shared" ca="1" si="284"/>
        <v>200.42382152884952</v>
      </c>
      <c r="T2450" s="61">
        <f t="shared" ca="1" si="285"/>
        <v>21600</v>
      </c>
      <c r="U2450" s="61">
        <f t="shared" ca="1" si="286"/>
        <v>26186.481472693788</v>
      </c>
      <c r="V2450" s="39">
        <f t="shared" ca="1" si="287"/>
        <v>0.17227948337298543</v>
      </c>
      <c r="W2450" s="48">
        <f t="shared" ca="1" si="288"/>
        <v>2.6301071424685705</v>
      </c>
    </row>
    <row r="2451" spans="17:23" x14ac:dyDescent="0.2">
      <c r="Q2451">
        <f t="shared" ref="Q2451:Q2514" si="289">Q2450+1</f>
        <v>2435</v>
      </c>
      <c r="R2451" s="48">
        <f t="shared" ref="R2451:R2514" ca="1" si="290">LOOKUP(RAND(),$U$6:$U$12,$S$6:$S$12)</f>
        <v>0.3</v>
      </c>
      <c r="S2451">
        <f t="shared" ref="S2451:S2514" ca="1" si="291">_xlfn.NORM.INV(RAND(),$Q$5,$Q$10)</f>
        <v>195.05884980548561</v>
      </c>
      <c r="T2451" s="61">
        <f t="shared" ca="1" si="285"/>
        <v>14400</v>
      </c>
      <c r="U2451" s="61">
        <f t="shared" ca="1" si="286"/>
        <v>17232.955891071939</v>
      </c>
      <c r="V2451" s="39">
        <f t="shared" ca="1" si="287"/>
        <v>0.11337470980968381</v>
      </c>
      <c r="W2451" s="48">
        <f t="shared" ca="1" si="288"/>
        <v>1.3895338632087144</v>
      </c>
    </row>
    <row r="2452" spans="17:23" x14ac:dyDescent="0.2">
      <c r="Q2452">
        <f t="shared" si="289"/>
        <v>2436</v>
      </c>
      <c r="R2452" s="48">
        <f t="shared" ca="1" si="290"/>
        <v>0.15</v>
      </c>
      <c r="S2452">
        <f t="shared" ca="1" si="291"/>
        <v>199.1869625934342</v>
      </c>
      <c r="T2452" s="61">
        <f t="shared" ca="1" si="285"/>
        <v>7200</v>
      </c>
      <c r="U2452" s="61">
        <f t="shared" ca="1" si="286"/>
        <v>13447.134563535257</v>
      </c>
      <c r="V2452" s="39">
        <f t="shared" ca="1" si="287"/>
        <v>8.8467990549574063E-2</v>
      </c>
      <c r="W2452" s="48">
        <f t="shared" ca="1" si="288"/>
        <v>0.98891363215165806</v>
      </c>
    </row>
    <row r="2453" spans="17:23" x14ac:dyDescent="0.2">
      <c r="Q2453">
        <f t="shared" si="289"/>
        <v>2437</v>
      </c>
      <c r="R2453" s="48">
        <f t="shared" ca="1" si="290"/>
        <v>0.3</v>
      </c>
      <c r="S2453">
        <f t="shared" ca="1" si="291"/>
        <v>203.67024499304344</v>
      </c>
      <c r="T2453" s="61">
        <f t="shared" ca="1" si="285"/>
        <v>14400</v>
      </c>
      <c r="U2453" s="61">
        <f t="shared" ca="1" si="286"/>
        <v>22055.337196104327</v>
      </c>
      <c r="V2453" s="39">
        <f t="shared" ca="1" si="287"/>
        <v>0.14510090260594952</v>
      </c>
      <c r="W2453" s="48">
        <f t="shared" ca="1" si="288"/>
        <v>2.0011537924518077</v>
      </c>
    </row>
    <row r="2454" spans="17:23" x14ac:dyDescent="0.2">
      <c r="Q2454">
        <f t="shared" si="289"/>
        <v>2438</v>
      </c>
      <c r="R2454" s="48">
        <f t="shared" ca="1" si="290"/>
        <v>0.4</v>
      </c>
      <c r="S2454">
        <f t="shared" ca="1" si="291"/>
        <v>190.93698240130098</v>
      </c>
      <c r="T2454" s="61">
        <f t="shared" ca="1" si="285"/>
        <v>19200</v>
      </c>
      <c r="U2454" s="61">
        <f t="shared" ca="1" si="286"/>
        <v>19649.751552624472</v>
      </c>
      <c r="V2454" s="39">
        <f t="shared" ca="1" si="287"/>
        <v>0.12927468126726627</v>
      </c>
      <c r="W2454" s="48">
        <f t="shared" ca="1" si="288"/>
        <v>1.680793433076035</v>
      </c>
    </row>
    <row r="2455" spans="17:23" x14ac:dyDescent="0.2">
      <c r="Q2455">
        <f t="shared" si="289"/>
        <v>2439</v>
      </c>
      <c r="R2455" s="48">
        <f t="shared" ca="1" si="290"/>
        <v>0.35</v>
      </c>
      <c r="S2455">
        <f t="shared" ca="1" si="291"/>
        <v>153.31864078219743</v>
      </c>
      <c r="T2455" s="61">
        <f t="shared" ca="1" si="285"/>
        <v>16800</v>
      </c>
      <c r="U2455" s="61">
        <f t="shared" ca="1" si="286"/>
        <v>-2274.3067932573358</v>
      </c>
      <c r="V2455" s="39">
        <f t="shared" ca="1" si="287"/>
        <v>-1.4962544692482472E-2</v>
      </c>
      <c r="W2455" s="48">
        <f t="shared" ca="1" si="288"/>
        <v>-0.11509941251936184</v>
      </c>
    </row>
    <row r="2456" spans="17:23" x14ac:dyDescent="0.2">
      <c r="Q2456">
        <f t="shared" si="289"/>
        <v>2440</v>
      </c>
      <c r="R2456" s="48">
        <f t="shared" ca="1" si="290"/>
        <v>0.15</v>
      </c>
      <c r="S2456">
        <f t="shared" ca="1" si="291"/>
        <v>222.63762441405726</v>
      </c>
      <c r="T2456" s="61">
        <f t="shared" ca="1" si="285"/>
        <v>7200</v>
      </c>
      <c r="U2456" s="61">
        <f t="shared" ca="1" si="286"/>
        <v>29393.584601558934</v>
      </c>
      <c r="V2456" s="39">
        <f t="shared" ca="1" si="287"/>
        <v>0.19337884606288772</v>
      </c>
      <c r="W2456" s="48">
        <f t="shared" ca="1" si="288"/>
        <v>3.1952477004258535</v>
      </c>
    </row>
    <row r="2457" spans="17:23" x14ac:dyDescent="0.2">
      <c r="Q2457">
        <f t="shared" si="289"/>
        <v>2441</v>
      </c>
      <c r="R2457" s="48">
        <f t="shared" ca="1" si="290"/>
        <v>0.35</v>
      </c>
      <c r="S2457">
        <f t="shared" ca="1" si="291"/>
        <v>164.19634672852257</v>
      </c>
      <c r="T2457" s="61">
        <f t="shared" ca="1" si="285"/>
        <v>16800</v>
      </c>
      <c r="U2457" s="61">
        <f t="shared" ca="1" si="286"/>
        <v>3382.1002988317359</v>
      </c>
      <c r="V2457" s="39">
        <f t="shared" ca="1" si="287"/>
        <v>2.2250659860735104E-2</v>
      </c>
      <c r="W2457" s="48">
        <f t="shared" ca="1" si="288"/>
        <v>0.19542168526623294</v>
      </c>
    </row>
    <row r="2458" spans="17:23" x14ac:dyDescent="0.2">
      <c r="Q2458">
        <f t="shared" si="289"/>
        <v>2442</v>
      </c>
      <c r="R2458" s="48">
        <f t="shared" ca="1" si="290"/>
        <v>0.4</v>
      </c>
      <c r="S2458">
        <f t="shared" ca="1" si="291"/>
        <v>174.86716801489604</v>
      </c>
      <c r="T2458" s="61">
        <f t="shared" ca="1" si="285"/>
        <v>19200</v>
      </c>
      <c r="U2458" s="61">
        <f t="shared" ca="1" si="286"/>
        <v>11936.240647150098</v>
      </c>
      <c r="V2458" s="39">
        <f t="shared" ca="1" si="287"/>
        <v>7.852789899440854E-2</v>
      </c>
      <c r="W2458" s="48">
        <f t="shared" ca="1" si="288"/>
        <v>0.84628610680071037</v>
      </c>
    </row>
    <row r="2459" spans="17:23" x14ac:dyDescent="0.2">
      <c r="Q2459">
        <f t="shared" si="289"/>
        <v>2443</v>
      </c>
      <c r="R2459" s="48">
        <f t="shared" ca="1" si="290"/>
        <v>0.217</v>
      </c>
      <c r="S2459">
        <f t="shared" ca="1" si="291"/>
        <v>171.76963284197018</v>
      </c>
      <c r="T2459" s="61">
        <f t="shared" ca="1" si="285"/>
        <v>10416</v>
      </c>
      <c r="U2459" s="61">
        <f t="shared" ca="1" si="286"/>
        <v>-1003.5019877898794</v>
      </c>
      <c r="V2459" s="39">
        <f t="shared" ca="1" si="287"/>
        <v>-6.6019867617755227E-3</v>
      </c>
      <c r="W2459" s="48">
        <f t="shared" ca="1" si="288"/>
        <v>-5.2309205842738682E-2</v>
      </c>
    </row>
    <row r="2460" spans="17:23" x14ac:dyDescent="0.2">
      <c r="Q2460">
        <f t="shared" si="289"/>
        <v>2444</v>
      </c>
      <c r="R2460" s="48">
        <f t="shared" ca="1" si="290"/>
        <v>0.35</v>
      </c>
      <c r="S2460">
        <f t="shared" ca="1" si="291"/>
        <v>175.23844728976059</v>
      </c>
      <c r="T2460" s="61">
        <f t="shared" ca="1" si="285"/>
        <v>16800</v>
      </c>
      <c r="U2460" s="61">
        <f t="shared" ca="1" si="286"/>
        <v>9123.9925906755052</v>
      </c>
      <c r="V2460" s="39">
        <f t="shared" ca="1" si="287"/>
        <v>6.0026267043917794E-2</v>
      </c>
      <c r="W2460" s="48">
        <f t="shared" ca="1" si="288"/>
        <v>0.60452310377643381</v>
      </c>
    </row>
    <row r="2461" spans="17:23" x14ac:dyDescent="0.2">
      <c r="Q2461">
        <f t="shared" si="289"/>
        <v>2445</v>
      </c>
      <c r="R2461" s="48">
        <f t="shared" ca="1" si="290"/>
        <v>0.4</v>
      </c>
      <c r="S2461">
        <f t="shared" ca="1" si="291"/>
        <v>191.5779257604608</v>
      </c>
      <c r="T2461" s="61">
        <f t="shared" ca="1" si="285"/>
        <v>19200</v>
      </c>
      <c r="U2461" s="61">
        <f t="shared" ca="1" si="286"/>
        <v>19957.404365021182</v>
      </c>
      <c r="V2461" s="39">
        <f t="shared" ca="1" si="287"/>
        <v>0.13129871292777093</v>
      </c>
      <c r="W2461" s="48">
        <f t="shared" ca="1" si="288"/>
        <v>1.7200154871058722</v>
      </c>
    </row>
    <row r="2462" spans="17:23" x14ac:dyDescent="0.2">
      <c r="Q2462">
        <f t="shared" si="289"/>
        <v>2446</v>
      </c>
      <c r="R2462" s="48">
        <f t="shared" ca="1" si="290"/>
        <v>0.35</v>
      </c>
      <c r="S2462">
        <f t="shared" ca="1" si="291"/>
        <v>175.98179976942163</v>
      </c>
      <c r="T2462" s="61">
        <f t="shared" ca="1" si="285"/>
        <v>16800</v>
      </c>
      <c r="U2462" s="61">
        <f t="shared" ca="1" si="286"/>
        <v>9510.5358800992472</v>
      </c>
      <c r="V2462" s="39">
        <f t="shared" ca="1" si="287"/>
        <v>6.2569315000652936E-2</v>
      </c>
      <c r="W2462" s="48">
        <f t="shared" ca="1" si="288"/>
        <v>0.63601298660490335</v>
      </c>
    </row>
    <row r="2463" spans="17:23" x14ac:dyDescent="0.2">
      <c r="Q2463">
        <f t="shared" si="289"/>
        <v>2447</v>
      </c>
      <c r="R2463" s="48">
        <f t="shared" ca="1" si="290"/>
        <v>0.45</v>
      </c>
      <c r="S2463">
        <f t="shared" ca="1" si="291"/>
        <v>205.66068793743855</v>
      </c>
      <c r="T2463" s="61">
        <f t="shared" ca="1" si="285"/>
        <v>21600</v>
      </c>
      <c r="U2463" s="61">
        <f t="shared" ca="1" si="286"/>
        <v>28490.702692472965</v>
      </c>
      <c r="V2463" s="39">
        <f t="shared" ca="1" si="287"/>
        <v>0.18743883350311161</v>
      </c>
      <c r="W2463" s="48">
        <f t="shared" ca="1" si="288"/>
        <v>3.0288409350892032</v>
      </c>
    </row>
    <row r="2464" spans="17:23" x14ac:dyDescent="0.2">
      <c r="Q2464">
        <f t="shared" si="289"/>
        <v>2448</v>
      </c>
      <c r="R2464" s="48">
        <f t="shared" ca="1" si="290"/>
        <v>0.45</v>
      </c>
      <c r="S2464">
        <f t="shared" ca="1" si="291"/>
        <v>197.40528562804741</v>
      </c>
      <c r="T2464" s="61">
        <f t="shared" ca="1" si="285"/>
        <v>21600</v>
      </c>
      <c r="U2464" s="61">
        <f t="shared" ca="1" si="286"/>
        <v>24858.325676340861</v>
      </c>
      <c r="V2464" s="39">
        <f t="shared" ca="1" si="287"/>
        <v>0.16354161629171618</v>
      </c>
      <c r="W2464" s="48">
        <f t="shared" ca="1" si="288"/>
        <v>2.41636664092522</v>
      </c>
    </row>
    <row r="2465" spans="17:23" x14ac:dyDescent="0.2">
      <c r="Q2465">
        <f t="shared" si="289"/>
        <v>2449</v>
      </c>
      <c r="R2465" s="48">
        <f t="shared" ca="1" si="290"/>
        <v>0.45</v>
      </c>
      <c r="S2465">
        <f t="shared" ca="1" si="291"/>
        <v>190.91356321082148</v>
      </c>
      <c r="T2465" s="61">
        <f t="shared" ca="1" si="285"/>
        <v>21600</v>
      </c>
      <c r="U2465" s="61">
        <f t="shared" ca="1" si="286"/>
        <v>22001.96781276145</v>
      </c>
      <c r="V2465" s="39">
        <f t="shared" ca="1" si="287"/>
        <v>0.14474978824185164</v>
      </c>
      <c r="W2465" s="48">
        <f t="shared" ca="1" si="288"/>
        <v>1.9936978936488199</v>
      </c>
    </row>
    <row r="2466" spans="17:23" x14ac:dyDescent="0.2">
      <c r="Q2466">
        <f t="shared" si="289"/>
        <v>2450</v>
      </c>
      <c r="R2466" s="48">
        <f t="shared" ca="1" si="290"/>
        <v>0.3</v>
      </c>
      <c r="S2466">
        <f t="shared" ca="1" si="291"/>
        <v>182.39835637022799</v>
      </c>
      <c r="T2466" s="61">
        <f t="shared" ca="1" si="285"/>
        <v>14400</v>
      </c>
      <c r="U2466" s="61">
        <f t="shared" ca="1" si="286"/>
        <v>10143.079567327673</v>
      </c>
      <c r="V2466" s="39">
        <f t="shared" ca="1" si="287"/>
        <v>6.6730786627155744E-2</v>
      </c>
      <c r="W2466" s="48">
        <f t="shared" ca="1" si="288"/>
        <v>0.68871296580343855</v>
      </c>
    </row>
    <row r="2467" spans="17:23" x14ac:dyDescent="0.2">
      <c r="Q2467">
        <f t="shared" si="289"/>
        <v>2451</v>
      </c>
      <c r="R2467" s="48">
        <f t="shared" ca="1" si="290"/>
        <v>0.3</v>
      </c>
      <c r="S2467">
        <f t="shared" ca="1" si="291"/>
        <v>230.50143328668003</v>
      </c>
      <c r="T2467" s="61">
        <f t="shared" ca="1" si="285"/>
        <v>14400</v>
      </c>
      <c r="U2467" s="61">
        <f t="shared" ca="1" si="286"/>
        <v>37080.802640540816</v>
      </c>
      <c r="V2467" s="39">
        <f t="shared" ca="1" si="287"/>
        <v>0.24395264895092642</v>
      </c>
      <c r="W2467" s="48">
        <f t="shared" ca="1" si="288"/>
        <v>4.874414065371572</v>
      </c>
    </row>
    <row r="2468" spans="17:23" x14ac:dyDescent="0.2">
      <c r="Q2468">
        <f t="shared" si="289"/>
        <v>2452</v>
      </c>
      <c r="R2468" s="48">
        <f t="shared" ca="1" si="290"/>
        <v>0.35</v>
      </c>
      <c r="S2468">
        <f t="shared" ca="1" si="291"/>
        <v>173.67854404745819</v>
      </c>
      <c r="T2468" s="61">
        <f t="shared" ca="1" si="285"/>
        <v>16800</v>
      </c>
      <c r="U2468" s="61">
        <f t="shared" ca="1" si="286"/>
        <v>8312.8429046782585</v>
      </c>
      <c r="V2468" s="39">
        <f t="shared" ca="1" si="287"/>
        <v>5.4689755951830649E-2</v>
      </c>
      <c r="W2468" s="48">
        <f t="shared" ca="1" si="288"/>
        <v>0.54016495261508601</v>
      </c>
    </row>
    <row r="2469" spans="17:23" x14ac:dyDescent="0.2">
      <c r="Q2469">
        <f t="shared" si="289"/>
        <v>2453</v>
      </c>
      <c r="R2469" s="48">
        <f t="shared" ca="1" si="290"/>
        <v>0.3</v>
      </c>
      <c r="S2469">
        <f t="shared" ca="1" si="291"/>
        <v>181.01103028825329</v>
      </c>
      <c r="T2469" s="61">
        <f t="shared" ca="1" si="285"/>
        <v>14400</v>
      </c>
      <c r="U2469" s="61">
        <f t="shared" ca="1" si="286"/>
        <v>9366.1769614218447</v>
      </c>
      <c r="V2469" s="39">
        <f t="shared" ca="1" si="287"/>
        <v>6.1619585272512135E-2</v>
      </c>
      <c r="W2469" s="48">
        <f t="shared" ca="1" si="288"/>
        <v>0.62418992360578551</v>
      </c>
    </row>
    <row r="2470" spans="17:23" x14ac:dyDescent="0.2">
      <c r="Q2470">
        <f t="shared" si="289"/>
        <v>2454</v>
      </c>
      <c r="R2470" s="48">
        <f t="shared" ca="1" si="290"/>
        <v>0.4</v>
      </c>
      <c r="S2470">
        <f t="shared" ca="1" si="291"/>
        <v>216.38094624302647</v>
      </c>
      <c r="T2470" s="61">
        <f t="shared" ca="1" si="285"/>
        <v>19200</v>
      </c>
      <c r="U2470" s="61">
        <f t="shared" ca="1" si="286"/>
        <v>31862.854196652705</v>
      </c>
      <c r="V2470" s="39">
        <f t="shared" ca="1" si="287"/>
        <v>0.209624040767452</v>
      </c>
      <c r="W2470" s="48">
        <f t="shared" ca="1" si="288"/>
        <v>3.6815175537828138</v>
      </c>
    </row>
    <row r="2471" spans="17:23" x14ac:dyDescent="0.2">
      <c r="Q2471">
        <f t="shared" si="289"/>
        <v>2455</v>
      </c>
      <c r="R2471" s="48">
        <f t="shared" ca="1" si="290"/>
        <v>0.4</v>
      </c>
      <c r="S2471">
        <f t="shared" ca="1" si="291"/>
        <v>170.32992856472924</v>
      </c>
      <c r="T2471" s="61">
        <f t="shared" ca="1" si="285"/>
        <v>19200</v>
      </c>
      <c r="U2471" s="61">
        <f t="shared" ca="1" si="286"/>
        <v>9758.3657110700369</v>
      </c>
      <c r="V2471" s="39">
        <f t="shared" ca="1" si="287"/>
        <v>6.4199774414934449E-2</v>
      </c>
      <c r="W2471" s="48">
        <f t="shared" ca="1" si="288"/>
        <v>0.65648639707396672</v>
      </c>
    </row>
    <row r="2472" spans="17:23" x14ac:dyDescent="0.2">
      <c r="Q2472">
        <f t="shared" si="289"/>
        <v>2456</v>
      </c>
      <c r="R2472" s="48">
        <f t="shared" ca="1" si="290"/>
        <v>0.217</v>
      </c>
      <c r="S2472">
        <f t="shared" ca="1" si="291"/>
        <v>153.98456266707998</v>
      </c>
      <c r="T2472" s="61">
        <f t="shared" ca="1" si="285"/>
        <v>10416</v>
      </c>
      <c r="U2472" s="61">
        <f t="shared" ca="1" si="286"/>
        <v>-12144.069945341096</v>
      </c>
      <c r="V2472" s="39">
        <f t="shared" ca="1" si="287"/>
        <v>-7.9895197008822999E-2</v>
      </c>
      <c r="W2472" s="48">
        <f t="shared" ca="1" si="288"/>
        <v>-0.49104392337787683</v>
      </c>
    </row>
    <row r="2473" spans="17:23" x14ac:dyDescent="0.2">
      <c r="Q2473">
        <f t="shared" si="289"/>
        <v>2457</v>
      </c>
      <c r="R2473" s="48">
        <f t="shared" ca="1" si="290"/>
        <v>0.15</v>
      </c>
      <c r="S2473">
        <f t="shared" ca="1" si="291"/>
        <v>193.15761584328337</v>
      </c>
      <c r="T2473" s="61">
        <f t="shared" ca="1" si="285"/>
        <v>7200</v>
      </c>
      <c r="U2473" s="61">
        <f t="shared" ca="1" si="286"/>
        <v>9347.1787734326899</v>
      </c>
      <c r="V2473" s="39">
        <f t="shared" ca="1" si="287"/>
        <v>6.1494597193636119E-2</v>
      </c>
      <c r="W2473" s="48">
        <f t="shared" ca="1" si="288"/>
        <v>0.62263955473466348</v>
      </c>
    </row>
    <row r="2474" spans="17:23" x14ac:dyDescent="0.2">
      <c r="Q2474">
        <f t="shared" si="289"/>
        <v>2458</v>
      </c>
      <c r="R2474" s="48">
        <f t="shared" ca="1" si="290"/>
        <v>0.45</v>
      </c>
      <c r="S2474">
        <f t="shared" ca="1" si="291"/>
        <v>170.8594713455706</v>
      </c>
      <c r="T2474" s="61">
        <f t="shared" ca="1" si="285"/>
        <v>21600</v>
      </c>
      <c r="U2474" s="61">
        <f t="shared" ca="1" si="286"/>
        <v>13178.167392051062</v>
      </c>
      <c r="V2474" s="39">
        <f t="shared" ca="1" si="287"/>
        <v>8.6698469684546461E-2</v>
      </c>
      <c r="W2474" s="48">
        <f t="shared" ca="1" si="288"/>
        <v>0.96283846949160301</v>
      </c>
    </row>
    <row r="2475" spans="17:23" x14ac:dyDescent="0.2">
      <c r="Q2475">
        <f t="shared" si="289"/>
        <v>2459</v>
      </c>
      <c r="R2475" s="48">
        <f t="shared" ca="1" si="290"/>
        <v>0.45</v>
      </c>
      <c r="S2475">
        <f t="shared" ca="1" si="291"/>
        <v>159.97294287446846</v>
      </c>
      <c r="T2475" s="61">
        <f t="shared" ca="1" si="285"/>
        <v>21600</v>
      </c>
      <c r="U2475" s="61">
        <f t="shared" ca="1" si="286"/>
        <v>8388.0948647661207</v>
      </c>
      <c r="V2475" s="39">
        <f t="shared" ca="1" si="287"/>
        <v>5.5184834636619218E-2</v>
      </c>
      <c r="W2475" s="48">
        <f t="shared" ca="1" si="288"/>
        <v>0.5460387912927831</v>
      </c>
    </row>
    <row r="2476" spans="17:23" x14ac:dyDescent="0.2">
      <c r="Q2476">
        <f t="shared" si="289"/>
        <v>2460</v>
      </c>
      <c r="R2476" s="48">
        <f t="shared" ca="1" si="290"/>
        <v>0.45</v>
      </c>
      <c r="S2476">
        <f t="shared" ca="1" si="291"/>
        <v>167.3794430479922</v>
      </c>
      <c r="T2476" s="61">
        <f t="shared" ca="1" si="285"/>
        <v>21600</v>
      </c>
      <c r="U2476" s="61">
        <f t="shared" ca="1" si="286"/>
        <v>11646.954941116566</v>
      </c>
      <c r="V2476" s="39">
        <f t="shared" ca="1" si="287"/>
        <v>7.6624703559977414E-2</v>
      </c>
      <c r="W2476" s="48">
        <f t="shared" ca="1" si="288"/>
        <v>0.82002531911066079</v>
      </c>
    </row>
    <row r="2477" spans="17:23" x14ac:dyDescent="0.2">
      <c r="Q2477">
        <f t="shared" si="289"/>
        <v>2461</v>
      </c>
      <c r="R2477" s="48">
        <f t="shared" ca="1" si="290"/>
        <v>0.4</v>
      </c>
      <c r="S2477">
        <f t="shared" ca="1" si="291"/>
        <v>201.77037914676555</v>
      </c>
      <c r="T2477" s="61">
        <f t="shared" ca="1" si="285"/>
        <v>19200</v>
      </c>
      <c r="U2477" s="61">
        <f t="shared" ca="1" si="286"/>
        <v>24849.781990447464</v>
      </c>
      <c r="V2477" s="39">
        <f t="shared" ca="1" si="287"/>
        <v>0.16348540783189122</v>
      </c>
      <c r="W2477" s="48">
        <f t="shared" ca="1" si="288"/>
        <v>2.4150282283979587</v>
      </c>
    </row>
    <row r="2478" spans="17:23" x14ac:dyDescent="0.2">
      <c r="Q2478">
        <f t="shared" si="289"/>
        <v>2462</v>
      </c>
      <c r="R2478" s="48">
        <f t="shared" ca="1" si="290"/>
        <v>0.45</v>
      </c>
      <c r="S2478">
        <f t="shared" ca="1" si="291"/>
        <v>237.03989045801782</v>
      </c>
      <c r="T2478" s="61">
        <f t="shared" ca="1" si="285"/>
        <v>21600</v>
      </c>
      <c r="U2478" s="61">
        <f t="shared" ca="1" si="286"/>
        <v>42297.551801527843</v>
      </c>
      <c r="V2478" s="39">
        <f t="shared" ca="1" si="287"/>
        <v>0.27827336711531475</v>
      </c>
      <c r="W2478" s="48">
        <f t="shared" ca="1" si="288"/>
        <v>6.3254955020153973</v>
      </c>
    </row>
    <row r="2479" spans="17:23" x14ac:dyDescent="0.2">
      <c r="Q2479">
        <f t="shared" si="289"/>
        <v>2463</v>
      </c>
      <c r="R2479" s="48">
        <f t="shared" ca="1" si="290"/>
        <v>0.217</v>
      </c>
      <c r="S2479">
        <f t="shared" ca="1" si="291"/>
        <v>171.51500110291951</v>
      </c>
      <c r="T2479" s="61">
        <f t="shared" ca="1" si="285"/>
        <v>10416</v>
      </c>
      <c r="U2479" s="61">
        <f t="shared" ca="1" si="286"/>
        <v>-1163.0033091312162</v>
      </c>
      <c r="V2479" s="39">
        <f t="shared" ca="1" si="287"/>
        <v>-7.6513375600737905E-3</v>
      </c>
      <c r="W2479" s="48">
        <f t="shared" ca="1" si="288"/>
        <v>-6.0398557921325091E-2</v>
      </c>
    </row>
    <row r="2480" spans="17:23" x14ac:dyDescent="0.2">
      <c r="Q2480">
        <f t="shared" si="289"/>
        <v>2464</v>
      </c>
      <c r="R2480" s="48">
        <f t="shared" ca="1" si="290"/>
        <v>0.3</v>
      </c>
      <c r="S2480">
        <f t="shared" ca="1" si="291"/>
        <v>208.51052745055193</v>
      </c>
      <c r="T2480" s="61">
        <f t="shared" ca="1" si="285"/>
        <v>14400</v>
      </c>
      <c r="U2480" s="61">
        <f t="shared" ca="1" si="286"/>
        <v>24765.895372309082</v>
      </c>
      <c r="V2480" s="39">
        <f t="shared" ca="1" si="287"/>
        <v>0.16293352218624396</v>
      </c>
      <c r="W2480" s="48">
        <f t="shared" ca="1" si="288"/>
        <v>2.4019113514928327</v>
      </c>
    </row>
    <row r="2481" spans="17:23" x14ac:dyDescent="0.2">
      <c r="Q2481">
        <f t="shared" si="289"/>
        <v>2465</v>
      </c>
      <c r="R2481" s="48">
        <f t="shared" ca="1" si="290"/>
        <v>0.5</v>
      </c>
      <c r="S2481">
        <f t="shared" ca="1" si="291"/>
        <v>209.24919443013175</v>
      </c>
      <c r="T2481" s="61">
        <f t="shared" ca="1" si="285"/>
        <v>24000</v>
      </c>
      <c r="U2481" s="61">
        <f t="shared" ca="1" si="286"/>
        <v>31699.677772052702</v>
      </c>
      <c r="V2481" s="39">
        <f t="shared" ca="1" si="287"/>
        <v>0.20855051165824146</v>
      </c>
      <c r="W2481" s="48">
        <f t="shared" ca="1" si="288"/>
        <v>3.6479236624379894</v>
      </c>
    </row>
    <row r="2482" spans="17:23" x14ac:dyDescent="0.2">
      <c r="Q2482">
        <f t="shared" si="289"/>
        <v>2466</v>
      </c>
      <c r="R2482" s="48">
        <f t="shared" ca="1" si="290"/>
        <v>0.45</v>
      </c>
      <c r="S2482">
        <f t="shared" ca="1" si="291"/>
        <v>224.98713690484101</v>
      </c>
      <c r="T2482" s="61">
        <f t="shared" ca="1" si="285"/>
        <v>21600</v>
      </c>
      <c r="U2482" s="61">
        <f t="shared" ca="1" si="286"/>
        <v>36994.340238130048</v>
      </c>
      <c r="V2482" s="39">
        <f t="shared" ca="1" si="287"/>
        <v>0.24338381735611872</v>
      </c>
      <c r="W2482" s="48">
        <f t="shared" ca="1" si="288"/>
        <v>4.8526610863015138</v>
      </c>
    </row>
    <row r="2483" spans="17:23" x14ac:dyDescent="0.2">
      <c r="Q2483">
        <f t="shared" si="289"/>
        <v>2467</v>
      </c>
      <c r="R2483" s="48">
        <f t="shared" ca="1" si="290"/>
        <v>0.3</v>
      </c>
      <c r="S2483">
        <f t="shared" ca="1" si="291"/>
        <v>191.77667039428437</v>
      </c>
      <c r="T2483" s="61">
        <f t="shared" ca="1" si="285"/>
        <v>14400</v>
      </c>
      <c r="U2483" s="61">
        <f t="shared" ca="1" si="286"/>
        <v>15394.935420799246</v>
      </c>
      <c r="V2483" s="39">
        <f t="shared" ca="1" si="287"/>
        <v>0.10128246987367925</v>
      </c>
      <c r="W2483" s="48">
        <f t="shared" ca="1" si="288"/>
        <v>1.1869820762990826</v>
      </c>
    </row>
    <row r="2484" spans="17:23" x14ac:dyDescent="0.2">
      <c r="Q2484">
        <f t="shared" si="289"/>
        <v>2468</v>
      </c>
      <c r="R2484" s="48">
        <f t="shared" ca="1" si="290"/>
        <v>0.3</v>
      </c>
      <c r="S2484">
        <f t="shared" ca="1" si="291"/>
        <v>168.66441642126864</v>
      </c>
      <c r="T2484" s="61">
        <f t="shared" ca="1" si="285"/>
        <v>14400</v>
      </c>
      <c r="U2484" s="61">
        <f t="shared" ca="1" si="286"/>
        <v>2452.0731959104378</v>
      </c>
      <c r="V2484" s="39">
        <f t="shared" ca="1" si="287"/>
        <v>1.6132060499410773E-2</v>
      </c>
      <c r="W2484" s="48">
        <f t="shared" ca="1" si="288"/>
        <v>0.13860601345032397</v>
      </c>
    </row>
    <row r="2485" spans="17:23" x14ac:dyDescent="0.2">
      <c r="Q2485">
        <f t="shared" si="289"/>
        <v>2469</v>
      </c>
      <c r="R2485" s="48">
        <f t="shared" ca="1" si="290"/>
        <v>0.35</v>
      </c>
      <c r="S2485">
        <f t="shared" ca="1" si="291"/>
        <v>198.02292567252337</v>
      </c>
      <c r="T2485" s="61">
        <f t="shared" ca="1" si="285"/>
        <v>16800</v>
      </c>
      <c r="U2485" s="61">
        <f t="shared" ca="1" si="286"/>
        <v>20971.921349712153</v>
      </c>
      <c r="V2485" s="39">
        <f t="shared" ca="1" si="287"/>
        <v>0.13797316677442206</v>
      </c>
      <c r="W2485" s="48">
        <f t="shared" ca="1" si="288"/>
        <v>1.8529427973748773</v>
      </c>
    </row>
    <row r="2486" spans="17:23" x14ac:dyDescent="0.2">
      <c r="Q2486">
        <f t="shared" si="289"/>
        <v>2470</v>
      </c>
      <c r="R2486" s="48">
        <f t="shared" ca="1" si="290"/>
        <v>0.35</v>
      </c>
      <c r="S2486">
        <f t="shared" ca="1" si="291"/>
        <v>187.72689279521157</v>
      </c>
      <c r="T2486" s="61">
        <f t="shared" ca="1" si="285"/>
        <v>16800</v>
      </c>
      <c r="U2486" s="61">
        <f t="shared" ca="1" si="286"/>
        <v>15617.984253510016</v>
      </c>
      <c r="V2486" s="39">
        <f t="shared" ca="1" si="287"/>
        <v>0.10274989640467116</v>
      </c>
      <c r="W2486" s="48">
        <f t="shared" ca="1" si="288"/>
        <v>1.210730865336747</v>
      </c>
    </row>
    <row r="2487" spans="17:23" x14ac:dyDescent="0.2">
      <c r="Q2487">
        <f t="shared" si="289"/>
        <v>2471</v>
      </c>
      <c r="R2487" s="48">
        <f t="shared" ca="1" si="290"/>
        <v>0.217</v>
      </c>
      <c r="S2487">
        <f t="shared" ca="1" si="291"/>
        <v>180.13289549127424</v>
      </c>
      <c r="T2487" s="61">
        <f t="shared" ca="1" si="285"/>
        <v>10416</v>
      </c>
      <c r="U2487" s="61">
        <f t="shared" ca="1" si="286"/>
        <v>4235.2457357341846</v>
      </c>
      <c r="V2487" s="39">
        <f t="shared" ca="1" si="287"/>
        <v>2.78634587877249E-2</v>
      </c>
      <c r="W2487" s="48">
        <f t="shared" ca="1" si="288"/>
        <v>0.24971094560127227</v>
      </c>
    </row>
    <row r="2488" spans="17:23" x14ac:dyDescent="0.2">
      <c r="Q2488">
        <f t="shared" si="289"/>
        <v>2472</v>
      </c>
      <c r="R2488" s="48">
        <f t="shared" ca="1" si="290"/>
        <v>0.5</v>
      </c>
      <c r="S2488">
        <f t="shared" ca="1" si="291"/>
        <v>197.93459536698441</v>
      </c>
      <c r="T2488" s="61">
        <f t="shared" ca="1" si="285"/>
        <v>24000</v>
      </c>
      <c r="U2488" s="61">
        <f t="shared" ca="1" si="286"/>
        <v>27173.838146793765</v>
      </c>
      <c r="V2488" s="39">
        <f t="shared" ca="1" si="287"/>
        <v>0.17877525096574845</v>
      </c>
      <c r="W2488" s="48">
        <f t="shared" ca="1" si="288"/>
        <v>2.796512647120347</v>
      </c>
    </row>
    <row r="2489" spans="17:23" x14ac:dyDescent="0.2">
      <c r="Q2489">
        <f t="shared" si="289"/>
        <v>2473</v>
      </c>
      <c r="R2489" s="48">
        <f t="shared" ca="1" si="290"/>
        <v>0.35</v>
      </c>
      <c r="S2489">
        <f t="shared" ca="1" si="291"/>
        <v>161.92153518059325</v>
      </c>
      <c r="T2489" s="61">
        <f t="shared" ref="T2489:T2552" ca="1" si="292">($B$8-$B$7)*($E$6*R2489)</f>
        <v>16800</v>
      </c>
      <c r="U2489" s="61">
        <f t="shared" ref="U2489:U2552" ca="1" si="293">T2489+((S2489-$B$7)*($E$6*(1-R2489)))</f>
        <v>2199.1982939084919</v>
      </c>
      <c r="V2489" s="39">
        <f t="shared" ref="V2489:V2552" ca="1" si="294">U2489/$E$4</f>
        <v>1.4468409828345342E-2</v>
      </c>
      <c r="W2489" s="48">
        <f t="shared" ref="W2489:W2552" ca="1" si="295">(1+V2489)^($J$29/$J$30)-1</f>
        <v>0.12357325324895818</v>
      </c>
    </row>
    <row r="2490" spans="17:23" x14ac:dyDescent="0.2">
      <c r="Q2490">
        <f t="shared" si="289"/>
        <v>2474</v>
      </c>
      <c r="R2490" s="48">
        <f t="shared" ca="1" si="290"/>
        <v>0.217</v>
      </c>
      <c r="S2490">
        <f t="shared" ca="1" si="291"/>
        <v>207.59327292345858</v>
      </c>
      <c r="T2490" s="61">
        <f t="shared" ca="1" si="292"/>
        <v>10416</v>
      </c>
      <c r="U2490" s="61">
        <f t="shared" ca="1" si="293"/>
        <v>21436.426159254457</v>
      </c>
      <c r="V2490" s="39">
        <f t="shared" ca="1" si="294"/>
        <v>0.14102911946877933</v>
      </c>
      <c r="W2490" s="48">
        <f t="shared" ca="1" si="295"/>
        <v>1.9156818029144991</v>
      </c>
    </row>
    <row r="2491" spans="17:23" x14ac:dyDescent="0.2">
      <c r="Q2491">
        <f t="shared" si="289"/>
        <v>2475</v>
      </c>
      <c r="R2491" s="48">
        <f t="shared" ca="1" si="290"/>
        <v>0.4</v>
      </c>
      <c r="S2491">
        <f t="shared" ca="1" si="291"/>
        <v>184.92303022623341</v>
      </c>
      <c r="T2491" s="61">
        <f t="shared" ca="1" si="292"/>
        <v>19200</v>
      </c>
      <c r="U2491" s="61">
        <f t="shared" ca="1" si="293"/>
        <v>16763.054508592035</v>
      </c>
      <c r="V2491" s="39">
        <f t="shared" ca="1" si="294"/>
        <v>0.11028325334600023</v>
      </c>
      <c r="W2491" s="48">
        <f t="shared" ca="1" si="295"/>
        <v>1.3362456902371092</v>
      </c>
    </row>
    <row r="2492" spans="17:23" x14ac:dyDescent="0.2">
      <c r="Q2492">
        <f t="shared" si="289"/>
        <v>2476</v>
      </c>
      <c r="R2492" s="48">
        <f t="shared" ca="1" si="290"/>
        <v>0.3</v>
      </c>
      <c r="S2492">
        <f t="shared" ca="1" si="291"/>
        <v>203.45106112960525</v>
      </c>
      <c r="T2492" s="61">
        <f t="shared" ca="1" si="292"/>
        <v>14400</v>
      </c>
      <c r="U2492" s="61">
        <f t="shared" ca="1" si="293"/>
        <v>21932.59423257894</v>
      </c>
      <c r="V2492" s="39">
        <f t="shared" ca="1" si="294"/>
        <v>0.14429338310907197</v>
      </c>
      <c r="W2492" s="48">
        <f t="shared" ca="1" si="295"/>
        <v>1.9840304268948881</v>
      </c>
    </row>
    <row r="2493" spans="17:23" x14ac:dyDescent="0.2">
      <c r="Q2493">
        <f t="shared" si="289"/>
        <v>2477</v>
      </c>
      <c r="R2493" s="48">
        <f t="shared" ca="1" si="290"/>
        <v>0.45</v>
      </c>
      <c r="S2493">
        <f t="shared" ca="1" si="291"/>
        <v>189.25992168502984</v>
      </c>
      <c r="T2493" s="61">
        <f t="shared" ca="1" si="292"/>
        <v>21600</v>
      </c>
      <c r="U2493" s="61">
        <f t="shared" ca="1" si="293"/>
        <v>21274.365541413128</v>
      </c>
      <c r="V2493" s="39">
        <f t="shared" ca="1" si="294"/>
        <v>0.13996293119350742</v>
      </c>
      <c r="W2493" s="48">
        <f t="shared" ca="1" si="295"/>
        <v>1.8936568430466942</v>
      </c>
    </row>
    <row r="2494" spans="17:23" x14ac:dyDescent="0.2">
      <c r="Q2494">
        <f t="shared" si="289"/>
        <v>2478</v>
      </c>
      <c r="R2494" s="48">
        <f t="shared" ca="1" si="290"/>
        <v>0.35</v>
      </c>
      <c r="S2494">
        <f t="shared" ca="1" si="291"/>
        <v>176.96354630377832</v>
      </c>
      <c r="T2494" s="61">
        <f t="shared" ca="1" si="292"/>
        <v>16800</v>
      </c>
      <c r="U2494" s="61">
        <f t="shared" ca="1" si="293"/>
        <v>10021.044077964725</v>
      </c>
      <c r="V2494" s="39">
        <f t="shared" ca="1" si="294"/>
        <v>6.5927921565557407E-2</v>
      </c>
      <c r="W2494" s="48">
        <f t="shared" ca="1" si="295"/>
        <v>0.67843133632603503</v>
      </c>
    </row>
    <row r="2495" spans="17:23" x14ac:dyDescent="0.2">
      <c r="Q2495">
        <f t="shared" si="289"/>
        <v>2479</v>
      </c>
      <c r="R2495" s="48">
        <f t="shared" ca="1" si="290"/>
        <v>0.4</v>
      </c>
      <c r="S2495">
        <f t="shared" ca="1" si="291"/>
        <v>189.76842283097795</v>
      </c>
      <c r="T2495" s="61">
        <f t="shared" ca="1" si="292"/>
        <v>19200</v>
      </c>
      <c r="U2495" s="61">
        <f t="shared" ca="1" si="293"/>
        <v>19088.84295886942</v>
      </c>
      <c r="V2495" s="39">
        <f t="shared" ca="1" si="294"/>
        <v>0.12558449315045672</v>
      </c>
      <c r="W2495" s="48">
        <f t="shared" ca="1" si="295"/>
        <v>1.6105588529652501</v>
      </c>
    </row>
    <row r="2496" spans="17:23" x14ac:dyDescent="0.2">
      <c r="Q2496">
        <f t="shared" si="289"/>
        <v>2480</v>
      </c>
      <c r="R2496" s="48">
        <f t="shared" ca="1" si="290"/>
        <v>0.35</v>
      </c>
      <c r="S2496">
        <f t="shared" ca="1" si="291"/>
        <v>169.80023892063409</v>
      </c>
      <c r="T2496" s="61">
        <f t="shared" ca="1" si="292"/>
        <v>16800</v>
      </c>
      <c r="U2496" s="61">
        <f t="shared" ca="1" si="293"/>
        <v>6296.1242387297243</v>
      </c>
      <c r="V2496" s="39">
        <f t="shared" ca="1" si="294"/>
        <v>4.1421869991642921E-2</v>
      </c>
      <c r="W2496" s="48">
        <f t="shared" ca="1" si="295"/>
        <v>0.38986324749997436</v>
      </c>
    </row>
    <row r="2497" spans="17:23" x14ac:dyDescent="0.2">
      <c r="Q2497">
        <f t="shared" si="289"/>
        <v>2481</v>
      </c>
      <c r="R2497" s="48">
        <f t="shared" ca="1" si="290"/>
        <v>0.35</v>
      </c>
      <c r="S2497">
        <f t="shared" ca="1" si="291"/>
        <v>204.25964182823483</v>
      </c>
      <c r="T2497" s="61">
        <f t="shared" ca="1" si="292"/>
        <v>16800</v>
      </c>
      <c r="U2497" s="61">
        <f t="shared" ca="1" si="293"/>
        <v>24215.013750682112</v>
      </c>
      <c r="V2497" s="39">
        <f t="shared" ca="1" si="294"/>
        <v>0.15930930099132967</v>
      </c>
      <c r="W2497" s="48">
        <f t="shared" ca="1" si="295"/>
        <v>2.3168651796169311</v>
      </c>
    </row>
    <row r="2498" spans="17:23" x14ac:dyDescent="0.2">
      <c r="Q2498">
        <f t="shared" si="289"/>
        <v>2482</v>
      </c>
      <c r="R2498" s="48">
        <f t="shared" ca="1" si="290"/>
        <v>0.4</v>
      </c>
      <c r="S2498">
        <f t="shared" ca="1" si="291"/>
        <v>199.94731444696296</v>
      </c>
      <c r="T2498" s="61">
        <f t="shared" ca="1" si="292"/>
        <v>19200</v>
      </c>
      <c r="U2498" s="61">
        <f t="shared" ca="1" si="293"/>
        <v>23974.710934542221</v>
      </c>
      <c r="V2498" s="39">
        <f t="shared" ca="1" si="294"/>
        <v>0.15772836141146199</v>
      </c>
      <c r="W2498" s="48">
        <f t="shared" ca="1" si="295"/>
        <v>2.2803545675316839</v>
      </c>
    </row>
    <row r="2499" spans="17:23" x14ac:dyDescent="0.2">
      <c r="Q2499">
        <f t="shared" si="289"/>
        <v>2483</v>
      </c>
      <c r="R2499" s="48">
        <f t="shared" ca="1" si="290"/>
        <v>0.3</v>
      </c>
      <c r="S2499">
        <f t="shared" ca="1" si="291"/>
        <v>202.40308529576185</v>
      </c>
      <c r="T2499" s="61">
        <f t="shared" ca="1" si="292"/>
        <v>14400</v>
      </c>
      <c r="U2499" s="61">
        <f t="shared" ca="1" si="293"/>
        <v>21345.727765626638</v>
      </c>
      <c r="V2499" s="39">
        <f t="shared" ca="1" si="294"/>
        <v>0.14043241951070157</v>
      </c>
      <c r="W2499" s="48">
        <f t="shared" ca="1" si="295"/>
        <v>1.9033373357109458</v>
      </c>
    </row>
    <row r="2500" spans="17:23" x14ac:dyDescent="0.2">
      <c r="Q2500">
        <f t="shared" si="289"/>
        <v>2484</v>
      </c>
      <c r="R2500" s="48">
        <f t="shared" ca="1" si="290"/>
        <v>0.217</v>
      </c>
      <c r="S2500">
        <f t="shared" ca="1" si="291"/>
        <v>153.22105552944541</v>
      </c>
      <c r="T2500" s="61">
        <f t="shared" ca="1" si="292"/>
        <v>10416</v>
      </c>
      <c r="U2500" s="61">
        <f t="shared" ca="1" si="293"/>
        <v>-12622.330816355396</v>
      </c>
      <c r="V2500" s="39">
        <f t="shared" ca="1" si="294"/>
        <v>-8.3041650107601284E-2</v>
      </c>
      <c r="W2500" s="48">
        <f t="shared" ca="1" si="295"/>
        <v>-0.50499053858818543</v>
      </c>
    </row>
    <row r="2501" spans="17:23" x14ac:dyDescent="0.2">
      <c r="Q2501">
        <f t="shared" si="289"/>
        <v>2485</v>
      </c>
      <c r="R2501" s="48">
        <f t="shared" ca="1" si="290"/>
        <v>0.35</v>
      </c>
      <c r="S2501">
        <f t="shared" ca="1" si="291"/>
        <v>176.41463579924076</v>
      </c>
      <c r="T2501" s="61">
        <f t="shared" ca="1" si="292"/>
        <v>16800</v>
      </c>
      <c r="U2501" s="61">
        <f t="shared" ca="1" si="293"/>
        <v>9735.6106156051937</v>
      </c>
      <c r="V2501" s="39">
        <f t="shared" ca="1" si="294"/>
        <v>6.4050069839507853E-2</v>
      </c>
      <c r="W2501" s="48">
        <f t="shared" ca="1" si="295"/>
        <v>0.65459726238884053</v>
      </c>
    </row>
    <row r="2502" spans="17:23" x14ac:dyDescent="0.2">
      <c r="Q2502">
        <f t="shared" si="289"/>
        <v>2486</v>
      </c>
      <c r="R2502" s="48">
        <f t="shared" ca="1" si="290"/>
        <v>0.217</v>
      </c>
      <c r="S2502">
        <f t="shared" ca="1" si="291"/>
        <v>219.46314379269899</v>
      </c>
      <c r="T2502" s="61">
        <f t="shared" ca="1" si="292"/>
        <v>10416</v>
      </c>
      <c r="U2502" s="61">
        <f t="shared" ca="1" si="293"/>
        <v>28871.713271746645</v>
      </c>
      <c r="V2502" s="39">
        <f t="shared" ca="1" si="294"/>
        <v>0.18994548205096476</v>
      </c>
      <c r="W2502" s="48">
        <f t="shared" ca="1" si="295"/>
        <v>3.0983440263603974</v>
      </c>
    </row>
    <row r="2503" spans="17:23" x14ac:dyDescent="0.2">
      <c r="Q2503">
        <f t="shared" si="289"/>
        <v>2487</v>
      </c>
      <c r="R2503" s="48">
        <f t="shared" ca="1" si="290"/>
        <v>0.3</v>
      </c>
      <c r="S2503">
        <f t="shared" ca="1" si="291"/>
        <v>147.66532619102452</v>
      </c>
      <c r="T2503" s="61">
        <f t="shared" ca="1" si="292"/>
        <v>14400</v>
      </c>
      <c r="U2503" s="61">
        <f t="shared" ca="1" si="293"/>
        <v>-9307.4173330262711</v>
      </c>
      <c r="V2503" s="39">
        <f t="shared" ca="1" si="294"/>
        <v>-6.1233008769909676E-2</v>
      </c>
      <c r="W2503" s="48">
        <f t="shared" ca="1" si="295"/>
        <v>-0.40101857779025896</v>
      </c>
    </row>
    <row r="2504" spans="17:23" x14ac:dyDescent="0.2">
      <c r="Q2504">
        <f t="shared" si="289"/>
        <v>2488</v>
      </c>
      <c r="R2504" s="48">
        <f t="shared" ca="1" si="290"/>
        <v>0.4</v>
      </c>
      <c r="S2504">
        <f t="shared" ca="1" si="291"/>
        <v>178.30722949641344</v>
      </c>
      <c r="T2504" s="61">
        <f t="shared" ca="1" si="292"/>
        <v>19200</v>
      </c>
      <c r="U2504" s="61">
        <f t="shared" ca="1" si="293"/>
        <v>13587.470158278451</v>
      </c>
      <c r="V2504" s="39">
        <f t="shared" ca="1" si="294"/>
        <v>8.9391251041305603E-2</v>
      </c>
      <c r="W2504" s="48">
        <f t="shared" ca="1" si="295"/>
        <v>1.0026387138577335</v>
      </c>
    </row>
    <row r="2505" spans="17:23" x14ac:dyDescent="0.2">
      <c r="Q2505">
        <f t="shared" si="289"/>
        <v>2489</v>
      </c>
      <c r="R2505" s="48">
        <f t="shared" ca="1" si="290"/>
        <v>0.45</v>
      </c>
      <c r="S2505">
        <f t="shared" ca="1" si="291"/>
        <v>177.33501951636396</v>
      </c>
      <c r="T2505" s="61">
        <f t="shared" ca="1" si="292"/>
        <v>21600</v>
      </c>
      <c r="U2505" s="61">
        <f t="shared" ca="1" si="293"/>
        <v>16027.408587200141</v>
      </c>
      <c r="V2505" s="39">
        <f t="shared" ca="1" si="294"/>
        <v>0.10544347754736935</v>
      </c>
      <c r="W2505" s="48">
        <f t="shared" ca="1" si="295"/>
        <v>1.2549126656381406</v>
      </c>
    </row>
    <row r="2506" spans="17:23" x14ac:dyDescent="0.2">
      <c r="Q2506">
        <f t="shared" si="289"/>
        <v>2490</v>
      </c>
      <c r="R2506" s="48">
        <f t="shared" ca="1" si="290"/>
        <v>0.35</v>
      </c>
      <c r="S2506">
        <f t="shared" ca="1" si="291"/>
        <v>200.96108146048198</v>
      </c>
      <c r="T2506" s="61">
        <f t="shared" ca="1" si="292"/>
        <v>16800</v>
      </c>
      <c r="U2506" s="61">
        <f t="shared" ca="1" si="293"/>
        <v>22499.762359450629</v>
      </c>
      <c r="V2506" s="39">
        <f t="shared" ca="1" si="294"/>
        <v>0.14802475236480678</v>
      </c>
      <c r="W2506" s="48">
        <f t="shared" ca="1" si="295"/>
        <v>2.0638765699448491</v>
      </c>
    </row>
    <row r="2507" spans="17:23" x14ac:dyDescent="0.2">
      <c r="Q2507">
        <f t="shared" si="289"/>
        <v>2491</v>
      </c>
      <c r="R2507" s="48">
        <f t="shared" ca="1" si="290"/>
        <v>0.35</v>
      </c>
      <c r="S2507">
        <f t="shared" ca="1" si="291"/>
        <v>184.98728993339003</v>
      </c>
      <c r="T2507" s="61">
        <f t="shared" ca="1" si="292"/>
        <v>16800</v>
      </c>
      <c r="U2507" s="61">
        <f t="shared" ca="1" si="293"/>
        <v>14193.390765362816</v>
      </c>
      <c r="V2507" s="39">
        <f t="shared" ca="1" si="294"/>
        <v>9.3377570824755368E-2</v>
      </c>
      <c r="W2507" s="48">
        <f t="shared" ca="1" si="295"/>
        <v>1.0628568000739675</v>
      </c>
    </row>
    <row r="2508" spans="17:23" x14ac:dyDescent="0.2">
      <c r="Q2508">
        <f t="shared" si="289"/>
        <v>2492</v>
      </c>
      <c r="R2508" s="48">
        <f t="shared" ca="1" si="290"/>
        <v>0.15</v>
      </c>
      <c r="S2508">
        <f t="shared" ca="1" si="291"/>
        <v>204.7937403938914</v>
      </c>
      <c r="T2508" s="61">
        <f t="shared" ca="1" si="292"/>
        <v>7200</v>
      </c>
      <c r="U2508" s="61">
        <f t="shared" ca="1" si="293"/>
        <v>17259.74346784615</v>
      </c>
      <c r="V2508" s="39">
        <f t="shared" ca="1" si="294"/>
        <v>0.11355094386740888</v>
      </c>
      <c r="W2508" s="48">
        <f t="shared" ca="1" si="295"/>
        <v>1.3926034962495959</v>
      </c>
    </row>
    <row r="2509" spans="17:23" x14ac:dyDescent="0.2">
      <c r="Q2509">
        <f t="shared" si="289"/>
        <v>2493</v>
      </c>
      <c r="R2509" s="48">
        <f t="shared" ca="1" si="290"/>
        <v>0.35</v>
      </c>
      <c r="S2509">
        <f t="shared" ca="1" si="291"/>
        <v>195.13445831134476</v>
      </c>
      <c r="T2509" s="61">
        <f t="shared" ca="1" si="292"/>
        <v>16800</v>
      </c>
      <c r="U2509" s="61">
        <f t="shared" ca="1" si="293"/>
        <v>19469.918321899273</v>
      </c>
      <c r="V2509" s="39">
        <f t="shared" ca="1" si="294"/>
        <v>0.12809156790723206</v>
      </c>
      <c r="W2509" s="48">
        <f t="shared" ca="1" si="295"/>
        <v>1.6580972339775339</v>
      </c>
    </row>
    <row r="2510" spans="17:23" x14ac:dyDescent="0.2">
      <c r="Q2510">
        <f t="shared" si="289"/>
        <v>2494</v>
      </c>
      <c r="R2510" s="48">
        <f t="shared" ca="1" si="290"/>
        <v>0.35</v>
      </c>
      <c r="S2510">
        <f t="shared" ca="1" si="291"/>
        <v>163.95486517772574</v>
      </c>
      <c r="T2510" s="61">
        <f t="shared" ca="1" si="292"/>
        <v>16800</v>
      </c>
      <c r="U2510" s="61">
        <f t="shared" ca="1" si="293"/>
        <v>3256.5298924173821</v>
      </c>
      <c r="V2510" s="39">
        <f t="shared" ca="1" si="294"/>
        <v>2.142453876590383E-2</v>
      </c>
      <c r="W2510" s="48">
        <f t="shared" ca="1" si="295"/>
        <v>0.18760828344376268</v>
      </c>
    </row>
    <row r="2511" spans="17:23" x14ac:dyDescent="0.2">
      <c r="Q2511">
        <f t="shared" si="289"/>
        <v>2495</v>
      </c>
      <c r="R2511" s="48">
        <f t="shared" ca="1" si="290"/>
        <v>0.45</v>
      </c>
      <c r="S2511">
        <f t="shared" ca="1" si="291"/>
        <v>208.40615415632999</v>
      </c>
      <c r="T2511" s="61">
        <f t="shared" ca="1" si="292"/>
        <v>21600</v>
      </c>
      <c r="U2511" s="61">
        <f t="shared" ca="1" si="293"/>
        <v>29698.707828785198</v>
      </c>
      <c r="V2511" s="39">
        <f t="shared" ca="1" si="294"/>
        <v>0.19538623571569208</v>
      </c>
      <c r="W2511" s="48">
        <f t="shared" ca="1" si="295"/>
        <v>3.2528301149930865</v>
      </c>
    </row>
    <row r="2512" spans="17:23" x14ac:dyDescent="0.2">
      <c r="Q2512">
        <f t="shared" si="289"/>
        <v>2496</v>
      </c>
      <c r="R2512" s="48">
        <f t="shared" ca="1" si="290"/>
        <v>0.3</v>
      </c>
      <c r="S2512">
        <f t="shared" ca="1" si="291"/>
        <v>214.37477277698568</v>
      </c>
      <c r="T2512" s="61">
        <f t="shared" ca="1" si="292"/>
        <v>14400</v>
      </c>
      <c r="U2512" s="61">
        <f t="shared" ca="1" si="293"/>
        <v>28049.872755111981</v>
      </c>
      <c r="V2512" s="39">
        <f t="shared" ca="1" si="294"/>
        <v>0.18453863654678934</v>
      </c>
      <c r="W2512" s="48">
        <f t="shared" ca="1" si="295"/>
        <v>2.9497170384434308</v>
      </c>
    </row>
    <row r="2513" spans="17:23" x14ac:dyDescent="0.2">
      <c r="Q2513">
        <f t="shared" si="289"/>
        <v>2497</v>
      </c>
      <c r="R2513" s="48">
        <f t="shared" ca="1" si="290"/>
        <v>0.35</v>
      </c>
      <c r="S2513">
        <f t="shared" ca="1" si="291"/>
        <v>192.75989492152689</v>
      </c>
      <c r="T2513" s="61">
        <f t="shared" ca="1" si="292"/>
        <v>16800</v>
      </c>
      <c r="U2513" s="61">
        <f t="shared" ca="1" si="293"/>
        <v>18235.145359193986</v>
      </c>
      <c r="V2513" s="39">
        <f t="shared" ca="1" si="294"/>
        <v>0.11996806157364465</v>
      </c>
      <c r="W2513" s="48">
        <f t="shared" ca="1" si="295"/>
        <v>1.5067579257791177</v>
      </c>
    </row>
    <row r="2514" spans="17:23" x14ac:dyDescent="0.2">
      <c r="Q2514">
        <f t="shared" si="289"/>
        <v>2498</v>
      </c>
      <c r="R2514" s="48">
        <f t="shared" ca="1" si="290"/>
        <v>0.45</v>
      </c>
      <c r="S2514">
        <f t="shared" ca="1" si="291"/>
        <v>196.17661894251131</v>
      </c>
      <c r="T2514" s="61">
        <f t="shared" ca="1" si="292"/>
        <v>21600</v>
      </c>
      <c r="U2514" s="61">
        <f t="shared" ca="1" si="293"/>
        <v>24317.712334704978</v>
      </c>
      <c r="V2514" s="39">
        <f t="shared" ca="1" si="294"/>
        <v>0.1599849495704275</v>
      </c>
      <c r="W2514" s="48">
        <f t="shared" ca="1" si="295"/>
        <v>2.3325771189230236</v>
      </c>
    </row>
    <row r="2515" spans="17:23" x14ac:dyDescent="0.2">
      <c r="Q2515">
        <f t="shared" ref="Q2515:Q2578" si="296">Q2514+1</f>
        <v>2499</v>
      </c>
      <c r="R2515" s="48">
        <f t="shared" ref="R2515:R2578" ca="1" si="297">LOOKUP(RAND(),$U$6:$U$12,$S$6:$S$12)</f>
        <v>0.15</v>
      </c>
      <c r="S2515">
        <f t="shared" ref="S2515:S2578" ca="1" si="298">_xlfn.NORM.INV(RAND(),$Q$5,$Q$10)</f>
        <v>166.06468734847263</v>
      </c>
      <c r="T2515" s="61">
        <f t="shared" ca="1" si="292"/>
        <v>7200</v>
      </c>
      <c r="U2515" s="61">
        <f t="shared" ca="1" si="293"/>
        <v>-9076.0126030386109</v>
      </c>
      <c r="V2515" s="39">
        <f t="shared" ca="1" si="294"/>
        <v>-5.971060923051718E-2</v>
      </c>
      <c r="W2515" s="48">
        <f t="shared" ca="1" si="295"/>
        <v>-0.39309411647250014</v>
      </c>
    </row>
    <row r="2516" spans="17:23" x14ac:dyDescent="0.2">
      <c r="Q2516">
        <f t="shared" si="296"/>
        <v>2500</v>
      </c>
      <c r="R2516" s="48">
        <f t="shared" ca="1" si="297"/>
        <v>0.4</v>
      </c>
      <c r="S2516">
        <f t="shared" ca="1" si="298"/>
        <v>213.75768527171445</v>
      </c>
      <c r="T2516" s="61">
        <f t="shared" ca="1" si="292"/>
        <v>19200</v>
      </c>
      <c r="U2516" s="61">
        <f t="shared" ca="1" si="293"/>
        <v>30603.688930422937</v>
      </c>
      <c r="V2516" s="39">
        <f t="shared" ca="1" si="294"/>
        <v>0.20134005875278249</v>
      </c>
      <c r="W2516" s="48">
        <f t="shared" ca="1" si="295"/>
        <v>3.4277128139223372</v>
      </c>
    </row>
    <row r="2517" spans="17:23" x14ac:dyDescent="0.2">
      <c r="Q2517">
        <f t="shared" si="296"/>
        <v>2501</v>
      </c>
      <c r="R2517" s="48">
        <f t="shared" ca="1" si="297"/>
        <v>0.5</v>
      </c>
      <c r="S2517">
        <f t="shared" ca="1" si="298"/>
        <v>208.99104200502316</v>
      </c>
      <c r="T2517" s="61">
        <f t="shared" ca="1" si="292"/>
        <v>24000</v>
      </c>
      <c r="U2517" s="61">
        <f t="shared" ca="1" si="293"/>
        <v>31596.416802009262</v>
      </c>
      <c r="V2517" s="39">
        <f t="shared" ca="1" si="294"/>
        <v>0.20787116317111357</v>
      </c>
      <c r="W2517" s="48">
        <f t="shared" ca="1" si="295"/>
        <v>3.6267742030720349</v>
      </c>
    </row>
    <row r="2518" spans="17:23" x14ac:dyDescent="0.2">
      <c r="Q2518">
        <f t="shared" si="296"/>
        <v>2502</v>
      </c>
      <c r="R2518" s="48">
        <f t="shared" ca="1" si="297"/>
        <v>0.4</v>
      </c>
      <c r="S2518">
        <f t="shared" ca="1" si="298"/>
        <v>190.12654851509751</v>
      </c>
      <c r="T2518" s="61">
        <f t="shared" ca="1" si="292"/>
        <v>19200</v>
      </c>
      <c r="U2518" s="61">
        <f t="shared" ca="1" si="293"/>
        <v>19260.743287246805</v>
      </c>
      <c r="V2518" s="39">
        <f t="shared" ca="1" si="294"/>
        <v>0.12671541636346581</v>
      </c>
      <c r="W2518" s="48">
        <f t="shared" ca="1" si="295"/>
        <v>1.6319099769208409</v>
      </c>
    </row>
    <row r="2519" spans="17:23" x14ac:dyDescent="0.2">
      <c r="Q2519">
        <f t="shared" si="296"/>
        <v>2503</v>
      </c>
      <c r="R2519" s="48">
        <f t="shared" ca="1" si="297"/>
        <v>0.5</v>
      </c>
      <c r="S2519">
        <f t="shared" ca="1" si="298"/>
        <v>189.53970755286787</v>
      </c>
      <c r="T2519" s="61">
        <f t="shared" ca="1" si="292"/>
        <v>24000</v>
      </c>
      <c r="U2519" s="61">
        <f t="shared" ca="1" si="293"/>
        <v>23815.883021147147</v>
      </c>
      <c r="V2519" s="39">
        <f t="shared" ca="1" si="294"/>
        <v>0.15668344092859965</v>
      </c>
      <c r="W2519" s="48">
        <f t="shared" ca="1" si="295"/>
        <v>2.2564167617745055</v>
      </c>
    </row>
    <row r="2520" spans="17:23" x14ac:dyDescent="0.2">
      <c r="Q2520">
        <f t="shared" si="296"/>
        <v>2504</v>
      </c>
      <c r="R2520" s="48">
        <f t="shared" ca="1" si="297"/>
        <v>0.3</v>
      </c>
      <c r="S2520">
        <f t="shared" ca="1" si="298"/>
        <v>163.89146089933183</v>
      </c>
      <c r="T2520" s="61">
        <f t="shared" ca="1" si="292"/>
        <v>14400</v>
      </c>
      <c r="U2520" s="61">
        <f t="shared" ca="1" si="293"/>
        <v>-220.78189637417381</v>
      </c>
      <c r="V2520" s="39">
        <f t="shared" ca="1" si="294"/>
        <v>-1.4525124761458803E-3</v>
      </c>
      <c r="W2520" s="48">
        <f t="shared" ca="1" si="295"/>
        <v>-1.1720824407535191E-2</v>
      </c>
    </row>
    <row r="2521" spans="17:23" x14ac:dyDescent="0.2">
      <c r="Q2521">
        <f t="shared" si="296"/>
        <v>2505</v>
      </c>
      <c r="R2521" s="48">
        <f t="shared" ca="1" si="297"/>
        <v>0.4</v>
      </c>
      <c r="S2521">
        <f t="shared" ca="1" si="298"/>
        <v>213.85466466089227</v>
      </c>
      <c r="T2521" s="61">
        <f t="shared" ca="1" si="292"/>
        <v>19200</v>
      </c>
      <c r="U2521" s="61">
        <f t="shared" ca="1" si="293"/>
        <v>30650.23903722829</v>
      </c>
      <c r="V2521" s="39">
        <f t="shared" ca="1" si="294"/>
        <v>0.20164630945544929</v>
      </c>
      <c r="W2521" s="48">
        <f t="shared" ca="1" si="295"/>
        <v>3.4368763817605394</v>
      </c>
    </row>
    <row r="2522" spans="17:23" x14ac:dyDescent="0.2">
      <c r="Q2522">
        <f t="shared" si="296"/>
        <v>2506</v>
      </c>
      <c r="R2522" s="48">
        <f t="shared" ca="1" si="297"/>
        <v>0.3</v>
      </c>
      <c r="S2522">
        <f t="shared" ca="1" si="298"/>
        <v>219.63233860558569</v>
      </c>
      <c r="T2522" s="61">
        <f t="shared" ca="1" si="292"/>
        <v>14400</v>
      </c>
      <c r="U2522" s="61">
        <f t="shared" ca="1" si="293"/>
        <v>30994.109619127987</v>
      </c>
      <c r="V2522" s="39">
        <f t="shared" ca="1" si="294"/>
        <v>0.2039086159153157</v>
      </c>
      <c r="W2522" s="48">
        <f t="shared" ca="1" si="295"/>
        <v>3.5050852772094014</v>
      </c>
    </row>
    <row r="2523" spans="17:23" x14ac:dyDescent="0.2">
      <c r="Q2523">
        <f t="shared" si="296"/>
        <v>2507</v>
      </c>
      <c r="R2523" s="48">
        <f t="shared" ca="1" si="297"/>
        <v>0.3</v>
      </c>
      <c r="S2523">
        <f t="shared" ca="1" si="298"/>
        <v>169.93009471304745</v>
      </c>
      <c r="T2523" s="61">
        <f t="shared" ca="1" si="292"/>
        <v>14400</v>
      </c>
      <c r="U2523" s="61">
        <f t="shared" ca="1" si="293"/>
        <v>3160.8530393065739</v>
      </c>
      <c r="V2523" s="39">
        <f t="shared" ca="1" si="294"/>
        <v>2.0795085784911672E-2</v>
      </c>
      <c r="W2523" s="48">
        <f t="shared" ca="1" si="295"/>
        <v>0.18168504602274749</v>
      </c>
    </row>
    <row r="2524" spans="17:23" x14ac:dyDescent="0.2">
      <c r="Q2524">
        <f t="shared" si="296"/>
        <v>2508</v>
      </c>
      <c r="R2524" s="48">
        <f t="shared" ca="1" si="297"/>
        <v>0.4</v>
      </c>
      <c r="S2524">
        <f t="shared" ca="1" si="298"/>
        <v>200.71831778692206</v>
      </c>
      <c r="T2524" s="61">
        <f t="shared" ca="1" si="292"/>
        <v>19200</v>
      </c>
      <c r="U2524" s="61">
        <f t="shared" ca="1" si="293"/>
        <v>24344.792537722587</v>
      </c>
      <c r="V2524" s="39">
        <f t="shared" ca="1" si="294"/>
        <v>0.1601631088008065</v>
      </c>
      <c r="W2524" s="48">
        <f t="shared" ca="1" si="295"/>
        <v>2.3367309966185226</v>
      </c>
    </row>
    <row r="2525" spans="17:23" x14ac:dyDescent="0.2">
      <c r="Q2525">
        <f t="shared" si="296"/>
        <v>2509</v>
      </c>
      <c r="R2525" s="48">
        <f t="shared" ca="1" si="297"/>
        <v>0.5</v>
      </c>
      <c r="S2525">
        <f t="shared" ca="1" si="298"/>
        <v>232.16810043055949</v>
      </c>
      <c r="T2525" s="61">
        <f t="shared" ca="1" si="292"/>
        <v>24000</v>
      </c>
      <c r="U2525" s="61">
        <f t="shared" ca="1" si="293"/>
        <v>40867.240172223799</v>
      </c>
      <c r="V2525" s="39">
        <f t="shared" ca="1" si="294"/>
        <v>0.26886342218568288</v>
      </c>
      <c r="W2525" s="48">
        <f t="shared" ca="1" si="295"/>
        <v>5.899372073389662</v>
      </c>
    </row>
    <row r="2526" spans="17:23" x14ac:dyDescent="0.2">
      <c r="Q2526">
        <f t="shared" si="296"/>
        <v>2510</v>
      </c>
      <c r="R2526" s="48">
        <f t="shared" ca="1" si="297"/>
        <v>0.4</v>
      </c>
      <c r="S2526">
        <f t="shared" ca="1" si="298"/>
        <v>184.31844304466051</v>
      </c>
      <c r="T2526" s="61">
        <f t="shared" ca="1" si="292"/>
        <v>19200</v>
      </c>
      <c r="U2526" s="61">
        <f t="shared" ca="1" si="293"/>
        <v>16472.852661437046</v>
      </c>
      <c r="V2526" s="39">
        <f t="shared" ca="1" si="294"/>
        <v>0.10837403066734899</v>
      </c>
      <c r="W2526" s="48">
        <f t="shared" ca="1" si="295"/>
        <v>1.3038589274598751</v>
      </c>
    </row>
    <row r="2527" spans="17:23" x14ac:dyDescent="0.2">
      <c r="Q2527">
        <f t="shared" si="296"/>
        <v>2511</v>
      </c>
      <c r="R2527" s="48">
        <f t="shared" ca="1" si="297"/>
        <v>0.5</v>
      </c>
      <c r="S2527">
        <f t="shared" ca="1" si="298"/>
        <v>182.57126189787138</v>
      </c>
      <c r="T2527" s="61">
        <f t="shared" ca="1" si="292"/>
        <v>24000</v>
      </c>
      <c r="U2527" s="61">
        <f t="shared" ca="1" si="293"/>
        <v>21028.504759148553</v>
      </c>
      <c r="V2527" s="39">
        <f t="shared" ca="1" si="294"/>
        <v>0.13834542604702996</v>
      </c>
      <c r="W2527" s="48">
        <f t="shared" ca="1" si="295"/>
        <v>1.8605214515973691</v>
      </c>
    </row>
    <row r="2528" spans="17:23" x14ac:dyDescent="0.2">
      <c r="Q2528">
        <f t="shared" si="296"/>
        <v>2512</v>
      </c>
      <c r="R2528" s="48">
        <f t="shared" ca="1" si="297"/>
        <v>0.35</v>
      </c>
      <c r="S2528">
        <f t="shared" ca="1" si="298"/>
        <v>228.37340801601644</v>
      </c>
      <c r="T2528" s="61">
        <f t="shared" ca="1" si="292"/>
        <v>16800</v>
      </c>
      <c r="U2528" s="61">
        <f t="shared" ca="1" si="293"/>
        <v>36754.17216832855</v>
      </c>
      <c r="V2528" s="39">
        <f t="shared" ca="1" si="294"/>
        <v>0.24180376426531941</v>
      </c>
      <c r="W2528" s="48">
        <f t="shared" ca="1" si="295"/>
        <v>4.792607551452547</v>
      </c>
    </row>
    <row r="2529" spans="17:23" x14ac:dyDescent="0.2">
      <c r="Q2529">
        <f t="shared" si="296"/>
        <v>2513</v>
      </c>
      <c r="R2529" s="48">
        <f t="shared" ca="1" si="297"/>
        <v>0.4</v>
      </c>
      <c r="S2529">
        <f t="shared" ca="1" si="298"/>
        <v>177.92407847021244</v>
      </c>
      <c r="T2529" s="61">
        <f t="shared" ca="1" si="292"/>
        <v>19200</v>
      </c>
      <c r="U2529" s="61">
        <f t="shared" ca="1" si="293"/>
        <v>13403.55766570197</v>
      </c>
      <c r="V2529" s="39">
        <f t="shared" ca="1" si="294"/>
        <v>8.818130043224981E-2</v>
      </c>
      <c r="W2529" s="48">
        <f t="shared" ca="1" si="295"/>
        <v>0.98466854461984865</v>
      </c>
    </row>
    <row r="2530" spans="17:23" x14ac:dyDescent="0.2">
      <c r="Q2530">
        <f t="shared" si="296"/>
        <v>2514</v>
      </c>
      <c r="R2530" s="48">
        <f t="shared" ca="1" si="297"/>
        <v>0.3</v>
      </c>
      <c r="S2530">
        <f t="shared" ca="1" si="298"/>
        <v>172.20032024250682</v>
      </c>
      <c r="T2530" s="61">
        <f t="shared" ca="1" si="292"/>
        <v>14400</v>
      </c>
      <c r="U2530" s="61">
        <f t="shared" ca="1" si="293"/>
        <v>4432.1793358038194</v>
      </c>
      <c r="V2530" s="39">
        <f t="shared" ca="1" si="294"/>
        <v>2.9159074577656707E-2</v>
      </c>
      <c r="W2530" s="48">
        <f t="shared" ca="1" si="295"/>
        <v>0.26254541050040414</v>
      </c>
    </row>
    <row r="2531" spans="17:23" x14ac:dyDescent="0.2">
      <c r="Q2531">
        <f t="shared" si="296"/>
        <v>2515</v>
      </c>
      <c r="R2531" s="48">
        <f t="shared" ca="1" si="297"/>
        <v>0.4</v>
      </c>
      <c r="S2531">
        <f t="shared" ca="1" si="298"/>
        <v>164.40893056054875</v>
      </c>
      <c r="T2531" s="61">
        <f t="shared" ca="1" si="292"/>
        <v>19200</v>
      </c>
      <c r="U2531" s="61">
        <f t="shared" ca="1" si="293"/>
        <v>6916.2866690634019</v>
      </c>
      <c r="V2531" s="39">
        <f t="shared" ca="1" si="294"/>
        <v>4.5501885980680272E-2</v>
      </c>
      <c r="W2531" s="48">
        <f t="shared" ca="1" si="295"/>
        <v>0.43464935334174859</v>
      </c>
    </row>
    <row r="2532" spans="17:23" x14ac:dyDescent="0.2">
      <c r="Q2532">
        <f t="shared" si="296"/>
        <v>2516</v>
      </c>
      <c r="R2532" s="48">
        <f t="shared" ca="1" si="297"/>
        <v>0.217</v>
      </c>
      <c r="S2532">
        <f t="shared" ca="1" si="298"/>
        <v>186.28876383123981</v>
      </c>
      <c r="T2532" s="61">
        <f t="shared" ca="1" si="292"/>
        <v>10416</v>
      </c>
      <c r="U2532" s="61">
        <f t="shared" ca="1" si="293"/>
        <v>8091.2816638886143</v>
      </c>
      <c r="V2532" s="39">
        <f t="shared" ca="1" si="294"/>
        <v>5.3232116209793512E-2</v>
      </c>
      <c r="W2532" s="48">
        <f t="shared" ca="1" si="295"/>
        <v>0.52298429772122224</v>
      </c>
    </row>
    <row r="2533" spans="17:23" x14ac:dyDescent="0.2">
      <c r="Q2533">
        <f t="shared" si="296"/>
        <v>2517</v>
      </c>
      <c r="R2533" s="48">
        <f t="shared" ca="1" si="297"/>
        <v>0.15</v>
      </c>
      <c r="S2533">
        <f t="shared" ca="1" si="298"/>
        <v>175.62037959611044</v>
      </c>
      <c r="T2533" s="61">
        <f t="shared" ca="1" si="292"/>
        <v>7200</v>
      </c>
      <c r="U2533" s="61">
        <f t="shared" ca="1" si="293"/>
        <v>-2578.1418746449017</v>
      </c>
      <c r="V2533" s="39">
        <f t="shared" ca="1" si="294"/>
        <v>-1.6961459701611194E-2</v>
      </c>
      <c r="W2533" s="48">
        <f t="shared" ca="1" si="295"/>
        <v>-0.12955995368611029</v>
      </c>
    </row>
    <row r="2534" spans="17:23" x14ac:dyDescent="0.2">
      <c r="Q2534">
        <f t="shared" si="296"/>
        <v>2518</v>
      </c>
      <c r="R2534" s="48">
        <f t="shared" ca="1" si="297"/>
        <v>0.217</v>
      </c>
      <c r="S2534">
        <f t="shared" ca="1" si="298"/>
        <v>195.61611505407521</v>
      </c>
      <c r="T2534" s="61">
        <f t="shared" ca="1" si="292"/>
        <v>10416</v>
      </c>
      <c r="U2534" s="61">
        <f t="shared" ca="1" si="293"/>
        <v>13933.934469872711</v>
      </c>
      <c r="V2534" s="39">
        <f t="shared" ca="1" si="294"/>
        <v>9.1670621512320472E-2</v>
      </c>
      <c r="W2534" s="48">
        <f t="shared" ca="1" si="295"/>
        <v>1.036879729190864</v>
      </c>
    </row>
    <row r="2535" spans="17:23" x14ac:dyDescent="0.2">
      <c r="Q2535">
        <f t="shared" si="296"/>
        <v>2519</v>
      </c>
      <c r="R2535" s="48">
        <f t="shared" ca="1" si="297"/>
        <v>0.45</v>
      </c>
      <c r="S2535">
        <f t="shared" ca="1" si="298"/>
        <v>185.17873971713328</v>
      </c>
      <c r="T2535" s="61">
        <f t="shared" ca="1" si="292"/>
        <v>21600</v>
      </c>
      <c r="U2535" s="61">
        <f t="shared" ca="1" si="293"/>
        <v>19478.645475538644</v>
      </c>
      <c r="V2535" s="39">
        <f t="shared" ca="1" si="294"/>
        <v>0.12814898339170161</v>
      </c>
      <c r="W2535" s="48">
        <f t="shared" ca="1" si="295"/>
        <v>1.6591947591442735</v>
      </c>
    </row>
    <row r="2536" spans="17:23" x14ac:dyDescent="0.2">
      <c r="Q2536">
        <f t="shared" si="296"/>
        <v>2520</v>
      </c>
      <c r="R2536" s="48">
        <f t="shared" ca="1" si="297"/>
        <v>0.4</v>
      </c>
      <c r="S2536">
        <f t="shared" ca="1" si="298"/>
        <v>212.91022489088832</v>
      </c>
      <c r="T2536" s="61">
        <f t="shared" ca="1" si="292"/>
        <v>19200</v>
      </c>
      <c r="U2536" s="61">
        <f t="shared" ca="1" si="293"/>
        <v>30196.907947626391</v>
      </c>
      <c r="V2536" s="39">
        <f t="shared" ca="1" si="294"/>
        <v>0.19866386807648942</v>
      </c>
      <c r="W2536" s="48">
        <f t="shared" ca="1" si="295"/>
        <v>3.3483397752898592</v>
      </c>
    </row>
    <row r="2537" spans="17:23" x14ac:dyDescent="0.2">
      <c r="Q2537">
        <f t="shared" si="296"/>
        <v>2521</v>
      </c>
      <c r="R2537" s="48">
        <f t="shared" ca="1" si="297"/>
        <v>0.3</v>
      </c>
      <c r="S2537">
        <f t="shared" ca="1" si="298"/>
        <v>215.80689190593046</v>
      </c>
      <c r="T2537" s="61">
        <f t="shared" ca="1" si="292"/>
        <v>14400</v>
      </c>
      <c r="U2537" s="61">
        <f t="shared" ca="1" si="293"/>
        <v>28851.859467321054</v>
      </c>
      <c r="V2537" s="39">
        <f t="shared" ca="1" si="294"/>
        <v>0.18981486491658589</v>
      </c>
      <c r="W2537" s="48">
        <f t="shared" ca="1" si="295"/>
        <v>3.0946965510912312</v>
      </c>
    </row>
    <row r="2538" spans="17:23" x14ac:dyDescent="0.2">
      <c r="Q2538">
        <f t="shared" si="296"/>
        <v>2522</v>
      </c>
      <c r="R2538" s="48">
        <f t="shared" ca="1" si="297"/>
        <v>0.45</v>
      </c>
      <c r="S2538">
        <f t="shared" ca="1" si="298"/>
        <v>191.58074355652516</v>
      </c>
      <c r="T2538" s="61">
        <f t="shared" ca="1" si="292"/>
        <v>21600</v>
      </c>
      <c r="U2538" s="61">
        <f t="shared" ca="1" si="293"/>
        <v>22295.527164871073</v>
      </c>
      <c r="V2538" s="39">
        <f t="shared" ca="1" si="294"/>
        <v>0.14668109976888863</v>
      </c>
      <c r="W2538" s="48">
        <f t="shared" ca="1" si="295"/>
        <v>2.0349110972276572</v>
      </c>
    </row>
    <row r="2539" spans="17:23" x14ac:dyDescent="0.2">
      <c r="Q2539">
        <f t="shared" si="296"/>
        <v>2523</v>
      </c>
      <c r="R2539" s="48">
        <f t="shared" ca="1" si="297"/>
        <v>0.5</v>
      </c>
      <c r="S2539">
        <f t="shared" ca="1" si="298"/>
        <v>205.96061756711265</v>
      </c>
      <c r="T2539" s="61">
        <f t="shared" ca="1" si="292"/>
        <v>24000</v>
      </c>
      <c r="U2539" s="61">
        <f t="shared" ca="1" si="293"/>
        <v>30384.24702684506</v>
      </c>
      <c r="V2539" s="39">
        <f t="shared" ca="1" si="294"/>
        <v>0.19989636201871749</v>
      </c>
      <c r="W2539" s="48">
        <f t="shared" ca="1" si="295"/>
        <v>3.3847379297384119</v>
      </c>
    </row>
    <row r="2540" spans="17:23" x14ac:dyDescent="0.2">
      <c r="Q2540">
        <f t="shared" si="296"/>
        <v>2524</v>
      </c>
      <c r="R2540" s="48">
        <f t="shared" ca="1" si="297"/>
        <v>0.45</v>
      </c>
      <c r="S2540">
        <f t="shared" ca="1" si="298"/>
        <v>195.51850945229481</v>
      </c>
      <c r="T2540" s="61">
        <f t="shared" ca="1" si="292"/>
        <v>21600</v>
      </c>
      <c r="U2540" s="61">
        <f t="shared" ca="1" si="293"/>
        <v>24028.144159009717</v>
      </c>
      <c r="V2540" s="39">
        <f t="shared" ca="1" si="294"/>
        <v>0.15807989578295867</v>
      </c>
      <c r="W2540" s="48">
        <f t="shared" ca="1" si="295"/>
        <v>2.288442381787628</v>
      </c>
    </row>
    <row r="2541" spans="17:23" x14ac:dyDescent="0.2">
      <c r="Q2541">
        <f t="shared" si="296"/>
        <v>2525</v>
      </c>
      <c r="R2541" s="48">
        <f t="shared" ca="1" si="297"/>
        <v>0.4</v>
      </c>
      <c r="S2541">
        <f t="shared" ca="1" si="298"/>
        <v>159.1607872448941</v>
      </c>
      <c r="T2541" s="61">
        <f t="shared" ca="1" si="292"/>
        <v>19200</v>
      </c>
      <c r="U2541" s="61">
        <f t="shared" ca="1" si="293"/>
        <v>4397.1778775491657</v>
      </c>
      <c r="V2541" s="39">
        <f t="shared" ca="1" si="294"/>
        <v>2.8928801825981353E-2</v>
      </c>
      <c r="W2541" s="48">
        <f t="shared" ca="1" si="295"/>
        <v>0.26025590380383168</v>
      </c>
    </row>
    <row r="2542" spans="17:23" x14ac:dyDescent="0.2">
      <c r="Q2542">
        <f t="shared" si="296"/>
        <v>2526</v>
      </c>
      <c r="R2542" s="48">
        <f t="shared" ca="1" si="297"/>
        <v>0.4</v>
      </c>
      <c r="S2542">
        <f t="shared" ca="1" si="298"/>
        <v>170.85475684167722</v>
      </c>
      <c r="T2542" s="61">
        <f t="shared" ca="1" si="292"/>
        <v>19200</v>
      </c>
      <c r="U2542" s="61">
        <f t="shared" ca="1" si="293"/>
        <v>10010.283284005063</v>
      </c>
      <c r="V2542" s="39">
        <f t="shared" ca="1" si="294"/>
        <v>6.5857126868454366E-2</v>
      </c>
      <c r="W2542" s="48">
        <f t="shared" ca="1" si="295"/>
        <v>0.67752736581312045</v>
      </c>
    </row>
    <row r="2543" spans="17:23" x14ac:dyDescent="0.2">
      <c r="Q2543">
        <f t="shared" si="296"/>
        <v>2527</v>
      </c>
      <c r="R2543" s="48">
        <f t="shared" ca="1" si="297"/>
        <v>0.45</v>
      </c>
      <c r="S2543">
        <f t="shared" ca="1" si="298"/>
        <v>204.19116967237255</v>
      </c>
      <c r="T2543" s="61">
        <f t="shared" ca="1" si="292"/>
        <v>21600</v>
      </c>
      <c r="U2543" s="61">
        <f t="shared" ca="1" si="293"/>
        <v>27844.114655843925</v>
      </c>
      <c r="V2543" s="39">
        <f t="shared" ca="1" si="294"/>
        <v>0.18318496484107846</v>
      </c>
      <c r="W2543" s="48">
        <f t="shared" ca="1" si="295"/>
        <v>2.9132545470655704</v>
      </c>
    </row>
    <row r="2544" spans="17:23" x14ac:dyDescent="0.2">
      <c r="Q2544">
        <f t="shared" si="296"/>
        <v>2528</v>
      </c>
      <c r="R2544" s="48">
        <f t="shared" ca="1" si="297"/>
        <v>0.5</v>
      </c>
      <c r="S2544">
        <f t="shared" ca="1" si="298"/>
        <v>214.12119361493853</v>
      </c>
      <c r="T2544" s="61">
        <f t="shared" ca="1" si="292"/>
        <v>24000</v>
      </c>
      <c r="U2544" s="61">
        <f t="shared" ca="1" si="293"/>
        <v>33648.477445975412</v>
      </c>
      <c r="V2544" s="39">
        <f t="shared" ca="1" si="294"/>
        <v>0.22137156214457507</v>
      </c>
      <c r="W2544" s="48">
        <f t="shared" ca="1" si="295"/>
        <v>4.0632828249825215</v>
      </c>
    </row>
    <row r="2545" spans="17:23" x14ac:dyDescent="0.2">
      <c r="Q2545">
        <f t="shared" si="296"/>
        <v>2529</v>
      </c>
      <c r="R2545" s="48">
        <f t="shared" ca="1" si="297"/>
        <v>0.35</v>
      </c>
      <c r="S2545">
        <f t="shared" ca="1" si="298"/>
        <v>174.56968433778903</v>
      </c>
      <c r="T2545" s="61">
        <f t="shared" ca="1" si="292"/>
        <v>16800</v>
      </c>
      <c r="U2545" s="61">
        <f t="shared" ca="1" si="293"/>
        <v>8776.235855650295</v>
      </c>
      <c r="V2545" s="39">
        <f t="shared" ca="1" si="294"/>
        <v>5.7738393787172992E-2</v>
      </c>
      <c r="W2545" s="48">
        <f t="shared" ca="1" si="295"/>
        <v>0.57664836871255298</v>
      </c>
    </row>
    <row r="2546" spans="17:23" x14ac:dyDescent="0.2">
      <c r="Q2546">
        <f t="shared" si="296"/>
        <v>2530</v>
      </c>
      <c r="R2546" s="48">
        <f t="shared" ca="1" si="297"/>
        <v>0.3</v>
      </c>
      <c r="S2546">
        <f t="shared" ca="1" si="298"/>
        <v>220.06963396581915</v>
      </c>
      <c r="T2546" s="61">
        <f t="shared" ca="1" si="292"/>
        <v>14400</v>
      </c>
      <c r="U2546" s="61">
        <f t="shared" ca="1" si="293"/>
        <v>31238.995020858725</v>
      </c>
      <c r="V2546" s="39">
        <f t="shared" ca="1" si="294"/>
        <v>0.20551970408459688</v>
      </c>
      <c r="W2546" s="48">
        <f t="shared" ca="1" si="295"/>
        <v>3.5542186167069518</v>
      </c>
    </row>
    <row r="2547" spans="17:23" x14ac:dyDescent="0.2">
      <c r="Q2547">
        <f t="shared" si="296"/>
        <v>2531</v>
      </c>
      <c r="R2547" s="48">
        <f t="shared" ca="1" si="297"/>
        <v>0.4</v>
      </c>
      <c r="S2547">
        <f t="shared" ca="1" si="298"/>
        <v>207.33332891317718</v>
      </c>
      <c r="T2547" s="61">
        <f t="shared" ca="1" si="292"/>
        <v>19200</v>
      </c>
      <c r="U2547" s="61">
        <f t="shared" ca="1" si="293"/>
        <v>27519.997878325048</v>
      </c>
      <c r="V2547" s="39">
        <f t="shared" ca="1" si="294"/>
        <v>0.18105261762055952</v>
      </c>
      <c r="W2547" s="48">
        <f t="shared" ca="1" si="295"/>
        <v>2.8564161084724544</v>
      </c>
    </row>
    <row r="2548" spans="17:23" x14ac:dyDescent="0.2">
      <c r="Q2548">
        <f t="shared" si="296"/>
        <v>2532</v>
      </c>
      <c r="R2548" s="48">
        <f t="shared" ca="1" si="297"/>
        <v>0.3</v>
      </c>
      <c r="S2548">
        <f t="shared" ca="1" si="298"/>
        <v>217.65828275762385</v>
      </c>
      <c r="T2548" s="61">
        <f t="shared" ca="1" si="292"/>
        <v>14400</v>
      </c>
      <c r="U2548" s="61">
        <f t="shared" ca="1" si="293"/>
        <v>29888.638344269355</v>
      </c>
      <c r="V2548" s="39">
        <f t="shared" ca="1" si="294"/>
        <v>0.19663577858071943</v>
      </c>
      <c r="W2548" s="48">
        <f t="shared" ca="1" si="295"/>
        <v>3.2890223868887576</v>
      </c>
    </row>
    <row r="2549" spans="17:23" x14ac:dyDescent="0.2">
      <c r="Q2549">
        <f t="shared" si="296"/>
        <v>2533</v>
      </c>
      <c r="R2549" s="48">
        <f t="shared" ca="1" si="297"/>
        <v>0.3</v>
      </c>
      <c r="S2549">
        <f t="shared" ca="1" si="298"/>
        <v>175.25137391931315</v>
      </c>
      <c r="T2549" s="61">
        <f t="shared" ca="1" si="292"/>
        <v>14400</v>
      </c>
      <c r="U2549" s="61">
        <f t="shared" ca="1" si="293"/>
        <v>6140.7693948153646</v>
      </c>
      <c r="V2549" s="39">
        <f t="shared" ca="1" si="294"/>
        <v>4.0399798650101085E-2</v>
      </c>
      <c r="W2549" s="48">
        <f t="shared" ca="1" si="295"/>
        <v>0.37883791085934115</v>
      </c>
    </row>
    <row r="2550" spans="17:23" x14ac:dyDescent="0.2">
      <c r="Q2550">
        <f t="shared" si="296"/>
        <v>2534</v>
      </c>
      <c r="R2550" s="48">
        <f t="shared" ca="1" si="297"/>
        <v>0.3</v>
      </c>
      <c r="S2550">
        <f t="shared" ca="1" si="298"/>
        <v>194.06354667731367</v>
      </c>
      <c r="T2550" s="61">
        <f t="shared" ca="1" si="292"/>
        <v>14400</v>
      </c>
      <c r="U2550" s="61">
        <f t="shared" ca="1" si="293"/>
        <v>16675.586139295654</v>
      </c>
      <c r="V2550" s="39">
        <f t="shared" ca="1" si="294"/>
        <v>0.10970780354799772</v>
      </c>
      <c r="W2550" s="48">
        <f t="shared" ca="1" si="295"/>
        <v>1.3264423900599822</v>
      </c>
    </row>
    <row r="2551" spans="17:23" x14ac:dyDescent="0.2">
      <c r="Q2551">
        <f t="shared" si="296"/>
        <v>2535</v>
      </c>
      <c r="R2551" s="48">
        <f t="shared" ca="1" si="297"/>
        <v>0.15</v>
      </c>
      <c r="S2551">
        <f t="shared" ca="1" si="298"/>
        <v>170.37715842746135</v>
      </c>
      <c r="T2551" s="61">
        <f t="shared" ca="1" si="292"/>
        <v>7200</v>
      </c>
      <c r="U2551" s="61">
        <f t="shared" ca="1" si="293"/>
        <v>-6143.5322693262806</v>
      </c>
      <c r="V2551" s="39">
        <f t="shared" ca="1" si="294"/>
        <v>-4.0417975456093949E-2</v>
      </c>
      <c r="W2551" s="48">
        <f t="shared" ca="1" si="295"/>
        <v>-0.28440721363337496</v>
      </c>
    </row>
    <row r="2552" spans="17:23" x14ac:dyDescent="0.2">
      <c r="Q2552">
        <f t="shared" si="296"/>
        <v>2536</v>
      </c>
      <c r="R2552" s="48">
        <f t="shared" ca="1" si="297"/>
        <v>0.3</v>
      </c>
      <c r="S2552">
        <f t="shared" ca="1" si="298"/>
        <v>213.34361722380092</v>
      </c>
      <c r="T2552" s="61">
        <f t="shared" ca="1" si="292"/>
        <v>14400</v>
      </c>
      <c r="U2552" s="61">
        <f t="shared" ca="1" si="293"/>
        <v>27472.425645328512</v>
      </c>
      <c r="V2552" s="39">
        <f t="shared" ca="1" si="294"/>
        <v>0.18073964240347706</v>
      </c>
      <c r="W2552" s="48">
        <f t="shared" ca="1" si="295"/>
        <v>2.8481348608130568</v>
      </c>
    </row>
    <row r="2553" spans="17:23" x14ac:dyDescent="0.2">
      <c r="Q2553">
        <f t="shared" si="296"/>
        <v>2537</v>
      </c>
      <c r="R2553" s="48">
        <f t="shared" ca="1" si="297"/>
        <v>0.4</v>
      </c>
      <c r="S2553">
        <f t="shared" ca="1" si="298"/>
        <v>180.82509801752178</v>
      </c>
      <c r="T2553" s="61">
        <f t="shared" ref="T2553:T2616" ca="1" si="299">($B$8-$B$7)*($E$6*R2553)</f>
        <v>19200</v>
      </c>
      <c r="U2553" s="61">
        <f t="shared" ref="U2553:U2616" ca="1" si="300">T2553+((S2553-$B$7)*($E$6*(1-R2553)))</f>
        <v>14796.047048410455</v>
      </c>
      <c r="V2553" s="39">
        <f t="shared" ref="V2553:V2616" ca="1" si="301">U2553/$E$4</f>
        <v>9.7342414792174051E-2</v>
      </c>
      <c r="W2553" s="48">
        <f t="shared" ref="W2553:W2616" ca="1" si="302">(1+V2553)^($J$29/$J$30)-1</f>
        <v>1.1243192807863003</v>
      </c>
    </row>
    <row r="2554" spans="17:23" x14ac:dyDescent="0.2">
      <c r="Q2554">
        <f t="shared" si="296"/>
        <v>2538</v>
      </c>
      <c r="R2554" s="48">
        <f t="shared" ca="1" si="297"/>
        <v>0.4</v>
      </c>
      <c r="S2554">
        <f t="shared" ca="1" si="298"/>
        <v>194.84823947133592</v>
      </c>
      <c r="T2554" s="61">
        <f t="shared" ca="1" si="299"/>
        <v>19200</v>
      </c>
      <c r="U2554" s="61">
        <f t="shared" ca="1" si="300"/>
        <v>21527.15494624124</v>
      </c>
      <c r="V2554" s="39">
        <f t="shared" ca="1" si="301"/>
        <v>0.14162601938316605</v>
      </c>
      <c r="W2554" s="48">
        <f t="shared" ca="1" si="302"/>
        <v>1.9280764213494344</v>
      </c>
    </row>
    <row r="2555" spans="17:23" x14ac:dyDescent="0.2">
      <c r="Q2555">
        <f t="shared" si="296"/>
        <v>2539</v>
      </c>
      <c r="R2555" s="48">
        <f t="shared" ca="1" si="297"/>
        <v>0.35</v>
      </c>
      <c r="S2555">
        <f t="shared" ca="1" si="298"/>
        <v>202.65710658899599</v>
      </c>
      <c r="T2555" s="61">
        <f t="shared" ca="1" si="299"/>
        <v>16800</v>
      </c>
      <c r="U2555" s="61">
        <f t="shared" ca="1" si="300"/>
        <v>23381.695426277911</v>
      </c>
      <c r="V2555" s="39">
        <f t="shared" ca="1" si="301"/>
        <v>0.15382694359393362</v>
      </c>
      <c r="W2555" s="48">
        <f t="shared" ca="1" si="302"/>
        <v>2.1917578040379775</v>
      </c>
    </row>
    <row r="2556" spans="17:23" x14ac:dyDescent="0.2">
      <c r="Q2556">
        <f t="shared" si="296"/>
        <v>2540</v>
      </c>
      <c r="R2556" s="48">
        <f t="shared" ca="1" si="297"/>
        <v>0.15</v>
      </c>
      <c r="S2556">
        <f t="shared" ca="1" si="298"/>
        <v>211.66735641078176</v>
      </c>
      <c r="T2556" s="61">
        <f t="shared" ca="1" si="299"/>
        <v>7200</v>
      </c>
      <c r="U2556" s="61">
        <f t="shared" ca="1" si="300"/>
        <v>21933.802359331599</v>
      </c>
      <c r="V2556" s="39">
        <f t="shared" ca="1" si="301"/>
        <v>0.14430133131139211</v>
      </c>
      <c r="W2556" s="48">
        <f t="shared" ca="1" si="302"/>
        <v>1.9841985493991197</v>
      </c>
    </row>
    <row r="2557" spans="17:23" x14ac:dyDescent="0.2">
      <c r="Q2557">
        <f t="shared" si="296"/>
        <v>2541</v>
      </c>
      <c r="R2557" s="48">
        <f t="shared" ca="1" si="297"/>
        <v>0.35</v>
      </c>
      <c r="S2557">
        <f t="shared" ca="1" si="298"/>
        <v>221.15965374943255</v>
      </c>
      <c r="T2557" s="61">
        <f t="shared" ca="1" si="299"/>
        <v>16800</v>
      </c>
      <c r="U2557" s="61">
        <f t="shared" ca="1" si="300"/>
        <v>33003.019949704925</v>
      </c>
      <c r="V2557" s="39">
        <f t="shared" ca="1" si="301"/>
        <v>0.21712513124805871</v>
      </c>
      <c r="W2557" s="48">
        <f t="shared" ca="1" si="302"/>
        <v>3.9222484509597351</v>
      </c>
    </row>
    <row r="2558" spans="17:23" x14ac:dyDescent="0.2">
      <c r="Q2558">
        <f t="shared" si="296"/>
        <v>2542</v>
      </c>
      <c r="R2558" s="48">
        <f t="shared" ca="1" si="297"/>
        <v>0.4</v>
      </c>
      <c r="S2558">
        <f t="shared" ca="1" si="298"/>
        <v>201.92765613858489</v>
      </c>
      <c r="T2558" s="61">
        <f t="shared" ca="1" si="299"/>
        <v>19200</v>
      </c>
      <c r="U2558" s="61">
        <f t="shared" ca="1" si="300"/>
        <v>24925.274946520749</v>
      </c>
      <c r="V2558" s="39">
        <f t="shared" ca="1" si="301"/>
        <v>0.16398207201658388</v>
      </c>
      <c r="W2558" s="48">
        <f t="shared" ca="1" si="302"/>
        <v>2.4268705210221824</v>
      </c>
    </row>
    <row r="2559" spans="17:23" x14ac:dyDescent="0.2">
      <c r="Q2559">
        <f t="shared" si="296"/>
        <v>2543</v>
      </c>
      <c r="R2559" s="48">
        <f t="shared" ca="1" si="297"/>
        <v>0.45</v>
      </c>
      <c r="S2559">
        <f t="shared" ca="1" si="298"/>
        <v>159.52466771024908</v>
      </c>
      <c r="T2559" s="61">
        <f t="shared" ca="1" si="299"/>
        <v>21600</v>
      </c>
      <c r="U2559" s="61">
        <f t="shared" ca="1" si="300"/>
        <v>8190.8537925095916</v>
      </c>
      <c r="V2559" s="39">
        <f t="shared" ca="1" si="301"/>
        <v>5.3887196003352573E-2</v>
      </c>
      <c r="W2559" s="48">
        <f t="shared" ca="1" si="302"/>
        <v>0.53068457674822955</v>
      </c>
    </row>
    <row r="2560" spans="17:23" x14ac:dyDescent="0.2">
      <c r="Q2560">
        <f t="shared" si="296"/>
        <v>2544</v>
      </c>
      <c r="R2560" s="48">
        <f t="shared" ca="1" si="297"/>
        <v>0.35</v>
      </c>
      <c r="S2560">
        <f t="shared" ca="1" si="298"/>
        <v>186.8323170328346</v>
      </c>
      <c r="T2560" s="61">
        <f t="shared" ca="1" si="299"/>
        <v>16800</v>
      </c>
      <c r="U2560" s="61">
        <f t="shared" ca="1" si="300"/>
        <v>15152.80485707399</v>
      </c>
      <c r="V2560" s="39">
        <f t="shared" ca="1" si="301"/>
        <v>9.9689505638644677E-2</v>
      </c>
      <c r="W2560" s="48">
        <f t="shared" ca="1" si="302"/>
        <v>1.1614550547192692</v>
      </c>
    </row>
    <row r="2561" spans="17:23" x14ac:dyDescent="0.2">
      <c r="Q2561">
        <f t="shared" si="296"/>
        <v>2545</v>
      </c>
      <c r="R2561" s="48">
        <f t="shared" ca="1" si="297"/>
        <v>0.45</v>
      </c>
      <c r="S2561">
        <f t="shared" ca="1" si="298"/>
        <v>202.06661724752664</v>
      </c>
      <c r="T2561" s="61">
        <f t="shared" ca="1" si="299"/>
        <v>21600</v>
      </c>
      <c r="U2561" s="61">
        <f t="shared" ca="1" si="300"/>
        <v>26909.311588911722</v>
      </c>
      <c r="V2561" s="39">
        <f t="shared" ca="1" si="301"/>
        <v>0.17703494466389291</v>
      </c>
      <c r="W2561" s="48">
        <f t="shared" ca="1" si="302"/>
        <v>2.7512873931757884</v>
      </c>
    </row>
    <row r="2562" spans="17:23" x14ac:dyDescent="0.2">
      <c r="Q2562">
        <f t="shared" si="296"/>
        <v>2546</v>
      </c>
      <c r="R2562" s="48">
        <f t="shared" ca="1" si="297"/>
        <v>0.3</v>
      </c>
      <c r="S2562">
        <f t="shared" ca="1" si="298"/>
        <v>185.20442028838769</v>
      </c>
      <c r="T2562" s="61">
        <f t="shared" ca="1" si="299"/>
        <v>14400</v>
      </c>
      <c r="U2562" s="61">
        <f t="shared" ca="1" si="300"/>
        <v>11714.475361497109</v>
      </c>
      <c r="V2562" s="39">
        <f t="shared" ca="1" si="301"/>
        <v>7.7068916851954661E-2</v>
      </c>
      <c r="W2562" s="48">
        <f t="shared" ca="1" si="302"/>
        <v>0.82612521150829932</v>
      </c>
    </row>
    <row r="2563" spans="17:23" x14ac:dyDescent="0.2">
      <c r="Q2563">
        <f t="shared" si="296"/>
        <v>2547</v>
      </c>
      <c r="R2563" s="48">
        <f t="shared" ca="1" si="297"/>
        <v>0.4</v>
      </c>
      <c r="S2563">
        <f t="shared" ca="1" si="298"/>
        <v>184.82691615244661</v>
      </c>
      <c r="T2563" s="61">
        <f t="shared" ca="1" si="299"/>
        <v>19200</v>
      </c>
      <c r="U2563" s="61">
        <f t="shared" ca="1" si="300"/>
        <v>16716.919753174374</v>
      </c>
      <c r="V2563" s="39">
        <f t="shared" ca="1" si="301"/>
        <v>0.10997973521825247</v>
      </c>
      <c r="W2563" s="48">
        <f t="shared" ca="1" si="302"/>
        <v>1.3310704845827614</v>
      </c>
    </row>
    <row r="2564" spans="17:23" x14ac:dyDescent="0.2">
      <c r="Q2564">
        <f t="shared" si="296"/>
        <v>2548</v>
      </c>
      <c r="R2564" s="48">
        <f t="shared" ca="1" si="297"/>
        <v>0.4</v>
      </c>
      <c r="S2564">
        <f t="shared" ca="1" si="298"/>
        <v>166.90063945345619</v>
      </c>
      <c r="T2564" s="61">
        <f t="shared" ca="1" si="299"/>
        <v>19200</v>
      </c>
      <c r="U2564" s="61">
        <f t="shared" ca="1" si="300"/>
        <v>8112.3069376589738</v>
      </c>
      <c r="V2564" s="39">
        <f t="shared" ca="1" si="301"/>
        <v>5.3370440379335353E-2</v>
      </c>
      <c r="W2564" s="48">
        <f t="shared" ca="1" si="302"/>
        <v>0.52460742493831169</v>
      </c>
    </row>
    <row r="2565" spans="17:23" x14ac:dyDescent="0.2">
      <c r="Q2565">
        <f t="shared" si="296"/>
        <v>2549</v>
      </c>
      <c r="R2565" s="48">
        <f t="shared" ca="1" si="297"/>
        <v>0.35</v>
      </c>
      <c r="S2565">
        <f t="shared" ca="1" si="298"/>
        <v>175.44085615021956</v>
      </c>
      <c r="T2565" s="61">
        <f t="shared" ca="1" si="299"/>
        <v>16800</v>
      </c>
      <c r="U2565" s="61">
        <f t="shared" ca="1" si="300"/>
        <v>9229.2451981141712</v>
      </c>
      <c r="V2565" s="39">
        <f t="shared" ca="1" si="301"/>
        <v>6.0718718408645865E-2</v>
      </c>
      <c r="W2565" s="48">
        <f t="shared" ca="1" si="302"/>
        <v>0.61304444292166327</v>
      </c>
    </row>
    <row r="2566" spans="17:23" x14ac:dyDescent="0.2">
      <c r="Q2566">
        <f t="shared" si="296"/>
        <v>2550</v>
      </c>
      <c r="R2566" s="48">
        <f t="shared" ca="1" si="297"/>
        <v>0.3</v>
      </c>
      <c r="S2566">
        <f t="shared" ca="1" si="298"/>
        <v>190.04453537482709</v>
      </c>
      <c r="T2566" s="61">
        <f t="shared" ca="1" si="299"/>
        <v>14400</v>
      </c>
      <c r="U2566" s="61">
        <f t="shared" ca="1" si="300"/>
        <v>14424.939809903171</v>
      </c>
      <c r="V2566" s="39">
        <f t="shared" ca="1" si="301"/>
        <v>9.4900919801994554E-2</v>
      </c>
      <c r="W2566" s="48">
        <f t="shared" ca="1" si="302"/>
        <v>1.0862845646414683</v>
      </c>
    </row>
    <row r="2567" spans="17:23" x14ac:dyDescent="0.2">
      <c r="Q2567">
        <f t="shared" si="296"/>
        <v>2551</v>
      </c>
      <c r="R2567" s="48">
        <f t="shared" ca="1" si="297"/>
        <v>0.217</v>
      </c>
      <c r="S2567">
        <f t="shared" ca="1" si="298"/>
        <v>219.31850906084205</v>
      </c>
      <c r="T2567" s="61">
        <f t="shared" ca="1" si="299"/>
        <v>10416</v>
      </c>
      <c r="U2567" s="61">
        <f t="shared" ca="1" si="300"/>
        <v>28781.114075711459</v>
      </c>
      <c r="V2567" s="39">
        <f t="shared" ca="1" si="301"/>
        <v>0.18934943470862803</v>
      </c>
      <c r="W2567" s="48">
        <f t="shared" ca="1" si="302"/>
        <v>3.0817225697364448</v>
      </c>
    </row>
    <row r="2568" spans="17:23" x14ac:dyDescent="0.2">
      <c r="Q2568">
        <f t="shared" si="296"/>
        <v>2552</v>
      </c>
      <c r="R2568" s="48">
        <f t="shared" ca="1" si="297"/>
        <v>0.3</v>
      </c>
      <c r="S2568">
        <f t="shared" ca="1" si="298"/>
        <v>193.09476443216334</v>
      </c>
      <c r="T2568" s="61">
        <f t="shared" ca="1" si="299"/>
        <v>14400</v>
      </c>
      <c r="U2568" s="61">
        <f t="shared" ca="1" si="300"/>
        <v>16133.068082011472</v>
      </c>
      <c r="V2568" s="39">
        <f t="shared" ca="1" si="301"/>
        <v>0.10613860580270705</v>
      </c>
      <c r="W2568" s="48">
        <f t="shared" ca="1" si="302"/>
        <v>1.2664394889806503</v>
      </c>
    </row>
    <row r="2569" spans="17:23" x14ac:dyDescent="0.2">
      <c r="Q2569">
        <f t="shared" si="296"/>
        <v>2553</v>
      </c>
      <c r="R2569" s="48">
        <f t="shared" ca="1" si="297"/>
        <v>0.3</v>
      </c>
      <c r="S2569">
        <f t="shared" ca="1" si="298"/>
        <v>172.91588171024279</v>
      </c>
      <c r="T2569" s="61">
        <f t="shared" ca="1" si="299"/>
        <v>14400</v>
      </c>
      <c r="U2569" s="61">
        <f t="shared" ca="1" si="300"/>
        <v>4832.8937577359611</v>
      </c>
      <c r="V2569" s="39">
        <f t="shared" ca="1" si="301"/>
        <v>3.1795353669315532E-2</v>
      </c>
      <c r="W2569" s="48">
        <f t="shared" ca="1" si="302"/>
        <v>0.28901787319011385</v>
      </c>
    </row>
    <row r="2570" spans="17:23" x14ac:dyDescent="0.2">
      <c r="Q2570">
        <f t="shared" si="296"/>
        <v>2554</v>
      </c>
      <c r="R2570" s="48">
        <f t="shared" ca="1" si="297"/>
        <v>0.45</v>
      </c>
      <c r="S2570">
        <f t="shared" ca="1" si="298"/>
        <v>199.32259485650323</v>
      </c>
      <c r="T2570" s="61">
        <f t="shared" ca="1" si="299"/>
        <v>21600</v>
      </c>
      <c r="U2570" s="61">
        <f t="shared" ca="1" si="300"/>
        <v>25701.941736861423</v>
      </c>
      <c r="V2570" s="39">
        <f t="shared" ca="1" si="301"/>
        <v>0.16909172195303568</v>
      </c>
      <c r="W2570" s="48">
        <f t="shared" ca="1" si="302"/>
        <v>2.5508098410010374</v>
      </c>
    </row>
    <row r="2571" spans="17:23" x14ac:dyDescent="0.2">
      <c r="Q2571">
        <f t="shared" si="296"/>
        <v>2555</v>
      </c>
      <c r="R2571" s="48">
        <f t="shared" ca="1" si="297"/>
        <v>0.3</v>
      </c>
      <c r="S2571">
        <f t="shared" ca="1" si="298"/>
        <v>217.17098601140546</v>
      </c>
      <c r="T2571" s="61">
        <f t="shared" ca="1" si="299"/>
        <v>14400</v>
      </c>
      <c r="U2571" s="61">
        <f t="shared" ca="1" si="300"/>
        <v>29615.752166387058</v>
      </c>
      <c r="V2571" s="39">
        <f t="shared" ca="1" si="301"/>
        <v>0.19484047477886221</v>
      </c>
      <c r="W2571" s="48">
        <f t="shared" ca="1" si="302"/>
        <v>3.2371066712701158</v>
      </c>
    </row>
    <row r="2572" spans="17:23" x14ac:dyDescent="0.2">
      <c r="Q2572">
        <f t="shared" si="296"/>
        <v>2556</v>
      </c>
      <c r="R2572" s="48">
        <f t="shared" ca="1" si="297"/>
        <v>0.45</v>
      </c>
      <c r="S2572">
        <f t="shared" ca="1" si="298"/>
        <v>220.84750614496775</v>
      </c>
      <c r="T2572" s="61">
        <f t="shared" ca="1" si="299"/>
        <v>21600</v>
      </c>
      <c r="U2572" s="61">
        <f t="shared" ca="1" si="300"/>
        <v>35172.90270378581</v>
      </c>
      <c r="V2572" s="39">
        <f t="shared" ca="1" si="301"/>
        <v>0.23140067568280137</v>
      </c>
      <c r="W2572" s="48">
        <f t="shared" ca="1" si="302"/>
        <v>4.4105258566990599</v>
      </c>
    </row>
    <row r="2573" spans="17:23" x14ac:dyDescent="0.2">
      <c r="Q2573">
        <f t="shared" si="296"/>
        <v>2557</v>
      </c>
      <c r="R2573" s="48">
        <f t="shared" ca="1" si="297"/>
        <v>0.3</v>
      </c>
      <c r="S2573">
        <f t="shared" ca="1" si="298"/>
        <v>187.95146097757478</v>
      </c>
      <c r="T2573" s="61">
        <f t="shared" ca="1" si="299"/>
        <v>14400</v>
      </c>
      <c r="U2573" s="61">
        <f t="shared" ca="1" si="300"/>
        <v>13252.818147441878</v>
      </c>
      <c r="V2573" s="39">
        <f t="shared" ca="1" si="301"/>
        <v>8.7189593075275518E-2</v>
      </c>
      <c r="W2573" s="48">
        <f t="shared" ca="1" si="302"/>
        <v>0.97004530193325311</v>
      </c>
    </row>
    <row r="2574" spans="17:23" x14ac:dyDescent="0.2">
      <c r="Q2574">
        <f t="shared" si="296"/>
        <v>2558</v>
      </c>
      <c r="R2574" s="48">
        <f t="shared" ca="1" si="297"/>
        <v>0.3</v>
      </c>
      <c r="S2574">
        <f t="shared" ca="1" si="298"/>
        <v>173.15937087488166</v>
      </c>
      <c r="T2574" s="61">
        <f t="shared" ca="1" si="299"/>
        <v>14400</v>
      </c>
      <c r="U2574" s="61">
        <f t="shared" ca="1" si="300"/>
        <v>4969.2476899337289</v>
      </c>
      <c r="V2574" s="39">
        <f t="shared" ca="1" si="301"/>
        <v>3.26924190127219E-2</v>
      </c>
      <c r="W2574" s="48">
        <f t="shared" ca="1" si="302"/>
        <v>0.29813614696548285</v>
      </c>
    </row>
    <row r="2575" spans="17:23" x14ac:dyDescent="0.2">
      <c r="Q2575">
        <f t="shared" si="296"/>
        <v>2559</v>
      </c>
      <c r="R2575" s="48">
        <f t="shared" ca="1" si="297"/>
        <v>0.4</v>
      </c>
      <c r="S2575">
        <f t="shared" ca="1" si="298"/>
        <v>194.94082620449782</v>
      </c>
      <c r="T2575" s="61">
        <f t="shared" ca="1" si="299"/>
        <v>19200</v>
      </c>
      <c r="U2575" s="61">
        <f t="shared" ca="1" si="300"/>
        <v>21571.596578158955</v>
      </c>
      <c r="V2575" s="39">
        <f t="shared" ca="1" si="301"/>
        <v>0.14191839854051944</v>
      </c>
      <c r="W2575" s="48">
        <f t="shared" ca="1" si="302"/>
        <v>1.9341645077432403</v>
      </c>
    </row>
    <row r="2576" spans="17:23" x14ac:dyDescent="0.2">
      <c r="Q2576">
        <f t="shared" si="296"/>
        <v>2560</v>
      </c>
      <c r="R2576" s="48">
        <f t="shared" ca="1" si="297"/>
        <v>0.3</v>
      </c>
      <c r="S2576">
        <f t="shared" ca="1" si="298"/>
        <v>187.97955066237219</v>
      </c>
      <c r="T2576" s="61">
        <f t="shared" ca="1" si="299"/>
        <v>14400</v>
      </c>
      <c r="U2576" s="61">
        <f t="shared" ca="1" si="300"/>
        <v>13268.548370928427</v>
      </c>
      <c r="V2576" s="39">
        <f t="shared" ca="1" si="301"/>
        <v>8.7293081387687016E-2</v>
      </c>
      <c r="W2576" s="48">
        <f t="shared" ca="1" si="302"/>
        <v>0.97156686364898004</v>
      </c>
    </row>
    <row r="2577" spans="17:23" x14ac:dyDescent="0.2">
      <c r="Q2577">
        <f t="shared" si="296"/>
        <v>2561</v>
      </c>
      <c r="R2577" s="48">
        <f t="shared" ca="1" si="297"/>
        <v>0.3</v>
      </c>
      <c r="S2577">
        <f t="shared" ca="1" si="298"/>
        <v>163.00142409190403</v>
      </c>
      <c r="T2577" s="61">
        <f t="shared" ca="1" si="299"/>
        <v>14400</v>
      </c>
      <c r="U2577" s="61">
        <f t="shared" ca="1" si="300"/>
        <v>-719.20250853374455</v>
      </c>
      <c r="V2577" s="39">
        <f t="shared" ca="1" si="301"/>
        <v>-4.7315954508798984E-3</v>
      </c>
      <c r="W2577" s="48">
        <f t="shared" ca="1" si="302"/>
        <v>-3.7739023361409885E-2</v>
      </c>
    </row>
    <row r="2578" spans="17:23" x14ac:dyDescent="0.2">
      <c r="Q2578">
        <f t="shared" si="296"/>
        <v>2562</v>
      </c>
      <c r="R2578" s="48">
        <f t="shared" ca="1" si="297"/>
        <v>0.35</v>
      </c>
      <c r="S2578">
        <f t="shared" ca="1" si="298"/>
        <v>167.52482125388488</v>
      </c>
      <c r="T2578" s="61">
        <f t="shared" ca="1" si="299"/>
        <v>16800</v>
      </c>
      <c r="U2578" s="61">
        <f t="shared" ca="1" si="300"/>
        <v>5112.9070520201385</v>
      </c>
      <c r="V2578" s="39">
        <f t="shared" ca="1" si="301"/>
        <v>3.3637546394869329E-2</v>
      </c>
      <c r="W2578" s="48">
        <f t="shared" ca="1" si="302"/>
        <v>0.30780407724629599</v>
      </c>
    </row>
    <row r="2579" spans="17:23" x14ac:dyDescent="0.2">
      <c r="Q2579">
        <f t="shared" ref="Q2579:Q2642" si="303">Q2578+1</f>
        <v>2563</v>
      </c>
      <c r="R2579" s="48">
        <f t="shared" ref="R2579:R2642" ca="1" si="304">LOOKUP(RAND(),$U$6:$U$12,$S$6:$S$12)</f>
        <v>0.4</v>
      </c>
      <c r="S2579">
        <f t="shared" ref="S2579:S2642" ca="1" si="305">_xlfn.NORM.INV(RAND(),$Q$5,$Q$10)</f>
        <v>180.5323082786835</v>
      </c>
      <c r="T2579" s="61">
        <f t="shared" ca="1" si="299"/>
        <v>19200</v>
      </c>
      <c r="U2579" s="61">
        <f t="shared" ca="1" si="300"/>
        <v>14655.507973768081</v>
      </c>
      <c r="V2579" s="39">
        <f t="shared" ca="1" si="301"/>
        <v>9.6417815616895275E-2</v>
      </c>
      <c r="W2579" s="48">
        <f t="shared" ca="1" si="302"/>
        <v>1.109844543685587</v>
      </c>
    </row>
    <row r="2580" spans="17:23" x14ac:dyDescent="0.2">
      <c r="Q2580">
        <f t="shared" si="303"/>
        <v>2564</v>
      </c>
      <c r="R2580" s="48">
        <f t="shared" ca="1" si="304"/>
        <v>0.45</v>
      </c>
      <c r="S2580">
        <f t="shared" ca="1" si="305"/>
        <v>181.4416539599078</v>
      </c>
      <c r="T2580" s="61">
        <f t="shared" ca="1" si="299"/>
        <v>21600</v>
      </c>
      <c r="U2580" s="61">
        <f t="shared" ca="1" si="300"/>
        <v>17834.32774235943</v>
      </c>
      <c r="V2580" s="39">
        <f t="shared" ca="1" si="301"/>
        <v>0.11733110356815414</v>
      </c>
      <c r="W2580" s="48">
        <f t="shared" ca="1" si="302"/>
        <v>1.4592838148840563</v>
      </c>
    </row>
    <row r="2581" spans="17:23" x14ac:dyDescent="0.2">
      <c r="Q2581">
        <f t="shared" si="303"/>
        <v>2565</v>
      </c>
      <c r="R2581" s="48">
        <f t="shared" ca="1" si="304"/>
        <v>0.3</v>
      </c>
      <c r="S2581">
        <f t="shared" ca="1" si="305"/>
        <v>190.78843429931845</v>
      </c>
      <c r="T2581" s="61">
        <f t="shared" ca="1" si="299"/>
        <v>14400</v>
      </c>
      <c r="U2581" s="61">
        <f t="shared" ca="1" si="300"/>
        <v>14841.523207618335</v>
      </c>
      <c r="V2581" s="39">
        <f t="shared" ca="1" si="301"/>
        <v>9.7641600050120625E-2</v>
      </c>
      <c r="W2581" s="48">
        <f t="shared" ca="1" si="302"/>
        <v>1.129021676827092</v>
      </c>
    </row>
    <row r="2582" spans="17:23" x14ac:dyDescent="0.2">
      <c r="Q2582">
        <f t="shared" si="303"/>
        <v>2566</v>
      </c>
      <c r="R2582" s="48">
        <f t="shared" ca="1" si="304"/>
        <v>0.5</v>
      </c>
      <c r="S2582">
        <f t="shared" ca="1" si="305"/>
        <v>182.56840201638076</v>
      </c>
      <c r="T2582" s="61">
        <f t="shared" ca="1" si="299"/>
        <v>24000</v>
      </c>
      <c r="U2582" s="61">
        <f t="shared" ca="1" si="300"/>
        <v>21027.360806552304</v>
      </c>
      <c r="V2582" s="39">
        <f t="shared" ca="1" si="301"/>
        <v>0.13833790004310725</v>
      </c>
      <c r="W2582" s="48">
        <f t="shared" ca="1" si="302"/>
        <v>1.8603680585327718</v>
      </c>
    </row>
    <row r="2583" spans="17:23" x14ac:dyDescent="0.2">
      <c r="Q2583">
        <f t="shared" si="303"/>
        <v>2567</v>
      </c>
      <c r="R2583" s="48">
        <f t="shared" ca="1" si="304"/>
        <v>0.45</v>
      </c>
      <c r="S2583">
        <f t="shared" ca="1" si="305"/>
        <v>201.1494060517775</v>
      </c>
      <c r="T2583" s="61">
        <f t="shared" ca="1" si="299"/>
        <v>21600</v>
      </c>
      <c r="U2583" s="61">
        <f t="shared" ca="1" si="300"/>
        <v>26505.738662782103</v>
      </c>
      <c r="V2583" s="39">
        <f t="shared" ca="1" si="301"/>
        <v>0.17437985962356647</v>
      </c>
      <c r="W2583" s="48">
        <f t="shared" ca="1" si="302"/>
        <v>2.6831997044161131</v>
      </c>
    </row>
    <row r="2584" spans="17:23" x14ac:dyDescent="0.2">
      <c r="Q2584">
        <f t="shared" si="303"/>
        <v>2568</v>
      </c>
      <c r="R2584" s="48">
        <f t="shared" ca="1" si="304"/>
        <v>0.3</v>
      </c>
      <c r="S2584">
        <f t="shared" ca="1" si="305"/>
        <v>167.55947183181902</v>
      </c>
      <c r="T2584" s="61">
        <f t="shared" ca="1" si="299"/>
        <v>14400</v>
      </c>
      <c r="U2584" s="61">
        <f t="shared" ca="1" si="300"/>
        <v>1833.3042258186542</v>
      </c>
      <c r="V2584" s="39">
        <f t="shared" ca="1" si="301"/>
        <v>1.206121201196483E-2</v>
      </c>
      <c r="W2584" s="48">
        <f t="shared" ca="1" si="302"/>
        <v>0.10212987639817306</v>
      </c>
    </row>
    <row r="2585" spans="17:23" x14ac:dyDescent="0.2">
      <c r="Q2585">
        <f t="shared" si="303"/>
        <v>2569</v>
      </c>
      <c r="R2585" s="48">
        <f t="shared" ca="1" si="304"/>
        <v>0.3</v>
      </c>
      <c r="S2585">
        <f t="shared" ca="1" si="305"/>
        <v>165.1541395899564</v>
      </c>
      <c r="T2585" s="61">
        <f t="shared" ca="1" si="299"/>
        <v>14400</v>
      </c>
      <c r="U2585" s="61">
        <f t="shared" ca="1" si="300"/>
        <v>486.31817037558358</v>
      </c>
      <c r="V2585" s="39">
        <f t="shared" ca="1" si="301"/>
        <v>3.1994616472077867E-3</v>
      </c>
      <c r="W2585" s="48">
        <f t="shared" ca="1" si="302"/>
        <v>2.6248338044102981E-2</v>
      </c>
    </row>
    <row r="2586" spans="17:23" x14ac:dyDescent="0.2">
      <c r="Q2586">
        <f t="shared" si="303"/>
        <v>2570</v>
      </c>
      <c r="R2586" s="48">
        <f t="shared" ca="1" si="304"/>
        <v>0.35</v>
      </c>
      <c r="S2586">
        <f t="shared" ca="1" si="305"/>
        <v>184.99610770896942</v>
      </c>
      <c r="T2586" s="61">
        <f t="shared" ca="1" si="299"/>
        <v>16800</v>
      </c>
      <c r="U2586" s="61">
        <f t="shared" ca="1" si="300"/>
        <v>14197.976008664098</v>
      </c>
      <c r="V2586" s="39">
        <f t="shared" ca="1" si="301"/>
        <v>9.3407736899105906E-2</v>
      </c>
      <c r="W2586" s="48">
        <f t="shared" ca="1" si="302"/>
        <v>1.0633184796595954</v>
      </c>
    </row>
    <row r="2587" spans="17:23" x14ac:dyDescent="0.2">
      <c r="Q2587">
        <f t="shared" si="303"/>
        <v>2571</v>
      </c>
      <c r="R2587" s="48">
        <f t="shared" ca="1" si="304"/>
        <v>0.35</v>
      </c>
      <c r="S2587">
        <f t="shared" ca="1" si="305"/>
        <v>183.56894912699352</v>
      </c>
      <c r="T2587" s="61">
        <f t="shared" ca="1" si="299"/>
        <v>16800</v>
      </c>
      <c r="U2587" s="61">
        <f t="shared" ca="1" si="300"/>
        <v>13455.853546036629</v>
      </c>
      <c r="V2587" s="39">
        <f t="shared" ca="1" si="301"/>
        <v>8.8525352276556765E-2</v>
      </c>
      <c r="W2587" s="48">
        <f t="shared" ca="1" si="302"/>
        <v>0.98976395570486098</v>
      </c>
    </row>
    <row r="2588" spans="17:23" x14ac:dyDescent="0.2">
      <c r="Q2588">
        <f t="shared" si="303"/>
        <v>2572</v>
      </c>
      <c r="R2588" s="48">
        <f t="shared" ca="1" si="304"/>
        <v>0.3</v>
      </c>
      <c r="S2588">
        <f t="shared" ca="1" si="305"/>
        <v>209.36967055863335</v>
      </c>
      <c r="T2588" s="61">
        <f t="shared" ca="1" si="299"/>
        <v>14400</v>
      </c>
      <c r="U2588" s="61">
        <f t="shared" ca="1" si="300"/>
        <v>25247.015512834674</v>
      </c>
      <c r="V2588" s="39">
        <f t="shared" ca="1" si="301"/>
        <v>0.16609878626864918</v>
      </c>
      <c r="W2588" s="48">
        <f t="shared" ca="1" si="302"/>
        <v>2.4777453986521274</v>
      </c>
    </row>
    <row r="2589" spans="17:23" x14ac:dyDescent="0.2">
      <c r="Q2589">
        <f t="shared" si="303"/>
        <v>2573</v>
      </c>
      <c r="R2589" s="48">
        <f t="shared" ca="1" si="304"/>
        <v>0.217</v>
      </c>
      <c r="S2589">
        <f t="shared" ca="1" si="305"/>
        <v>233.95021894692533</v>
      </c>
      <c r="T2589" s="61">
        <f t="shared" ca="1" si="299"/>
        <v>10416</v>
      </c>
      <c r="U2589" s="61">
        <f t="shared" ca="1" si="300"/>
        <v>37946.417148354027</v>
      </c>
      <c r="V2589" s="39">
        <f t="shared" ca="1" si="301"/>
        <v>0.24964748123917122</v>
      </c>
      <c r="W2589" s="48">
        <f t="shared" ca="1" si="302"/>
        <v>5.0961313237256842</v>
      </c>
    </row>
    <row r="2590" spans="17:23" x14ac:dyDescent="0.2">
      <c r="Q2590">
        <f t="shared" si="303"/>
        <v>2574</v>
      </c>
      <c r="R2590" s="48">
        <f t="shared" ca="1" si="304"/>
        <v>0.217</v>
      </c>
      <c r="S2590">
        <f t="shared" ca="1" si="305"/>
        <v>195.24796579638962</v>
      </c>
      <c r="T2590" s="61">
        <f t="shared" ca="1" si="299"/>
        <v>10416</v>
      </c>
      <c r="U2590" s="61">
        <f t="shared" ca="1" si="300"/>
        <v>13703.325774858458</v>
      </c>
      <c r="V2590" s="39">
        <f t="shared" ca="1" si="301"/>
        <v>9.015345904512144E-2</v>
      </c>
      <c r="W2590" s="48">
        <f t="shared" ca="1" si="302"/>
        <v>1.014032109211771</v>
      </c>
    </row>
    <row r="2591" spans="17:23" x14ac:dyDescent="0.2">
      <c r="Q2591">
        <f t="shared" si="303"/>
        <v>2575</v>
      </c>
      <c r="R2591" s="48">
        <f t="shared" ca="1" si="304"/>
        <v>0.3</v>
      </c>
      <c r="S2591">
        <f t="shared" ca="1" si="305"/>
        <v>200.9576412895276</v>
      </c>
      <c r="T2591" s="61">
        <f t="shared" ca="1" si="299"/>
        <v>14400</v>
      </c>
      <c r="U2591" s="61">
        <f t="shared" ca="1" si="300"/>
        <v>20536.279122135456</v>
      </c>
      <c r="V2591" s="39">
        <f t="shared" ca="1" si="301"/>
        <v>0.13510709948773328</v>
      </c>
      <c r="W2591" s="48">
        <f t="shared" ca="1" si="302"/>
        <v>1.7951809264524154</v>
      </c>
    </row>
    <row r="2592" spans="17:23" x14ac:dyDescent="0.2">
      <c r="Q2592">
        <f t="shared" si="303"/>
        <v>2576</v>
      </c>
      <c r="R2592" s="48">
        <f t="shared" ca="1" si="304"/>
        <v>0.35</v>
      </c>
      <c r="S2592">
        <f t="shared" ca="1" si="305"/>
        <v>172.0073722062582</v>
      </c>
      <c r="T2592" s="61">
        <f t="shared" ca="1" si="299"/>
        <v>16800</v>
      </c>
      <c r="U2592" s="61">
        <f t="shared" ca="1" si="300"/>
        <v>7443.8335472542622</v>
      </c>
      <c r="V2592" s="39">
        <f t="shared" ca="1" si="301"/>
        <v>4.897258912667278E-2</v>
      </c>
      <c r="W2592" s="48">
        <f t="shared" ca="1" si="302"/>
        <v>0.47373787296387282</v>
      </c>
    </row>
    <row r="2593" spans="17:23" x14ac:dyDescent="0.2">
      <c r="Q2593">
        <f t="shared" si="303"/>
        <v>2577</v>
      </c>
      <c r="R2593" s="48">
        <f t="shared" ca="1" si="304"/>
        <v>0.4</v>
      </c>
      <c r="S2593">
        <f t="shared" ca="1" si="305"/>
        <v>195.08077428454524</v>
      </c>
      <c r="T2593" s="61">
        <f t="shared" ca="1" si="299"/>
        <v>19200</v>
      </c>
      <c r="U2593" s="61">
        <f t="shared" ca="1" si="300"/>
        <v>21638.771656581717</v>
      </c>
      <c r="V2593" s="39">
        <f t="shared" ca="1" si="301"/>
        <v>0.14236033984593235</v>
      </c>
      <c r="W2593" s="48">
        <f t="shared" ca="1" si="302"/>
        <v>1.9433879282406119</v>
      </c>
    </row>
    <row r="2594" spans="17:23" x14ac:dyDescent="0.2">
      <c r="Q2594">
        <f t="shared" si="303"/>
        <v>2578</v>
      </c>
      <c r="R2594" s="48">
        <f t="shared" ca="1" si="304"/>
        <v>0.35</v>
      </c>
      <c r="S2594">
        <f t="shared" ca="1" si="305"/>
        <v>179.46539001791828</v>
      </c>
      <c r="T2594" s="61">
        <f t="shared" ca="1" si="299"/>
        <v>16800</v>
      </c>
      <c r="U2594" s="61">
        <f t="shared" ca="1" si="300"/>
        <v>11322.002809317506</v>
      </c>
      <c r="V2594" s="39">
        <f t="shared" ca="1" si="301"/>
        <v>7.4486860587615167E-2</v>
      </c>
      <c r="W2594" s="48">
        <f t="shared" ca="1" si="302"/>
        <v>0.7909178392020082</v>
      </c>
    </row>
    <row r="2595" spans="17:23" x14ac:dyDescent="0.2">
      <c r="Q2595">
        <f t="shared" si="303"/>
        <v>2579</v>
      </c>
      <c r="R2595" s="48">
        <f t="shared" ca="1" si="304"/>
        <v>0.4</v>
      </c>
      <c r="S2595">
        <f t="shared" ca="1" si="305"/>
        <v>204.3196209562976</v>
      </c>
      <c r="T2595" s="61">
        <f t="shared" ca="1" si="299"/>
        <v>19200</v>
      </c>
      <c r="U2595" s="61">
        <f t="shared" ca="1" si="300"/>
        <v>26073.418059022846</v>
      </c>
      <c r="V2595" s="39">
        <f t="shared" ca="1" si="301"/>
        <v>0.17153564512515029</v>
      </c>
      <c r="W2595" s="48">
        <f t="shared" ca="1" si="302"/>
        <v>2.6114662160051099</v>
      </c>
    </row>
    <row r="2596" spans="17:23" x14ac:dyDescent="0.2">
      <c r="Q2596">
        <f t="shared" si="303"/>
        <v>2580</v>
      </c>
      <c r="R2596" s="48">
        <f t="shared" ca="1" si="304"/>
        <v>0.3</v>
      </c>
      <c r="S2596">
        <f t="shared" ca="1" si="305"/>
        <v>180.36307789385899</v>
      </c>
      <c r="T2596" s="61">
        <f t="shared" ca="1" si="299"/>
        <v>14400</v>
      </c>
      <c r="U2596" s="61">
        <f t="shared" ca="1" si="300"/>
        <v>9003.3236205610319</v>
      </c>
      <c r="V2596" s="39">
        <f t="shared" ca="1" si="301"/>
        <v>5.9232392240533102E-2</v>
      </c>
      <c r="W2596" s="48">
        <f t="shared" ca="1" si="302"/>
        <v>0.59480222581841447</v>
      </c>
    </row>
    <row r="2597" spans="17:23" x14ac:dyDescent="0.2">
      <c r="Q2597">
        <f t="shared" si="303"/>
        <v>2581</v>
      </c>
      <c r="R2597" s="48">
        <f t="shared" ca="1" si="304"/>
        <v>0.3</v>
      </c>
      <c r="S2597">
        <f t="shared" ca="1" si="305"/>
        <v>199.42651743449301</v>
      </c>
      <c r="T2597" s="61">
        <f t="shared" ca="1" si="299"/>
        <v>14400</v>
      </c>
      <c r="U2597" s="61">
        <f t="shared" ca="1" si="300"/>
        <v>19678.849763316084</v>
      </c>
      <c r="V2597" s="39">
        <f t="shared" ca="1" si="301"/>
        <v>0.12946611686392159</v>
      </c>
      <c r="W2597" s="48">
        <f t="shared" ca="1" si="302"/>
        <v>1.684481753004484</v>
      </c>
    </row>
    <row r="2598" spans="17:23" x14ac:dyDescent="0.2">
      <c r="Q2598">
        <f t="shared" si="303"/>
        <v>2582</v>
      </c>
      <c r="R2598" s="48">
        <f t="shared" ca="1" si="304"/>
        <v>0.3</v>
      </c>
      <c r="S2598">
        <f t="shared" ca="1" si="305"/>
        <v>142.37935914839468</v>
      </c>
      <c r="T2598" s="61">
        <f t="shared" ca="1" si="299"/>
        <v>14400</v>
      </c>
      <c r="U2598" s="61">
        <f t="shared" ca="1" si="300"/>
        <v>-12267.558876898976</v>
      </c>
      <c r="V2598" s="39">
        <f t="shared" ca="1" si="301"/>
        <v>-8.0707624190124852E-2</v>
      </c>
      <c r="W2598" s="48">
        <f t="shared" ca="1" si="302"/>
        <v>-0.49467758653513405</v>
      </c>
    </row>
    <row r="2599" spans="17:23" x14ac:dyDescent="0.2">
      <c r="Q2599">
        <f t="shared" si="303"/>
        <v>2583</v>
      </c>
      <c r="R2599" s="48">
        <f t="shared" ca="1" si="304"/>
        <v>0.4</v>
      </c>
      <c r="S2599">
        <f t="shared" ca="1" si="305"/>
        <v>208.95750512172691</v>
      </c>
      <c r="T2599" s="61">
        <f t="shared" ca="1" si="299"/>
        <v>19200</v>
      </c>
      <c r="U2599" s="61">
        <f t="shared" ca="1" si="300"/>
        <v>28299.602458428919</v>
      </c>
      <c r="V2599" s="39">
        <f t="shared" ca="1" si="301"/>
        <v>0.18618159512124288</v>
      </c>
      <c r="W2599" s="48">
        <f t="shared" ca="1" si="302"/>
        <v>2.9943716418807989</v>
      </c>
    </row>
    <row r="2600" spans="17:23" x14ac:dyDescent="0.2">
      <c r="Q2600">
        <f t="shared" si="303"/>
        <v>2584</v>
      </c>
      <c r="R2600" s="48">
        <f t="shared" ca="1" si="304"/>
        <v>0.3</v>
      </c>
      <c r="S2600">
        <f t="shared" ca="1" si="305"/>
        <v>169.8723082298109</v>
      </c>
      <c r="T2600" s="61">
        <f t="shared" ca="1" si="299"/>
        <v>14400</v>
      </c>
      <c r="U2600" s="61">
        <f t="shared" ca="1" si="300"/>
        <v>3128.4926086941032</v>
      </c>
      <c r="V2600" s="39">
        <f t="shared" ca="1" si="301"/>
        <v>2.0582188215092785E-2</v>
      </c>
      <c r="W2600" s="48">
        <f t="shared" ca="1" si="302"/>
        <v>0.17968752117304732</v>
      </c>
    </row>
    <row r="2601" spans="17:23" x14ac:dyDescent="0.2">
      <c r="Q2601">
        <f t="shared" si="303"/>
        <v>2585</v>
      </c>
      <c r="R2601" s="48">
        <f t="shared" ca="1" si="304"/>
        <v>0.45</v>
      </c>
      <c r="S2601">
        <f t="shared" ca="1" si="305"/>
        <v>199.12137190066241</v>
      </c>
      <c r="T2601" s="61">
        <f t="shared" ca="1" si="299"/>
        <v>21600</v>
      </c>
      <c r="U2601" s="61">
        <f t="shared" ca="1" si="300"/>
        <v>25613.403636291463</v>
      </c>
      <c r="V2601" s="39">
        <f t="shared" ca="1" si="301"/>
        <v>0.16850923444928595</v>
      </c>
      <c r="W2601" s="48">
        <f t="shared" ca="1" si="302"/>
        <v>2.5364854379635093</v>
      </c>
    </row>
    <row r="2602" spans="17:23" x14ac:dyDescent="0.2">
      <c r="Q2602">
        <f t="shared" si="303"/>
        <v>2586</v>
      </c>
      <c r="R2602" s="48">
        <f t="shared" ca="1" si="304"/>
        <v>0.3</v>
      </c>
      <c r="S2602">
        <f t="shared" ca="1" si="305"/>
        <v>188.80200783203017</v>
      </c>
      <c r="T2602" s="61">
        <f t="shared" ca="1" si="299"/>
        <v>14400</v>
      </c>
      <c r="U2602" s="61">
        <f t="shared" ca="1" si="300"/>
        <v>13729.124385936895</v>
      </c>
      <c r="V2602" s="39">
        <f t="shared" ca="1" si="301"/>
        <v>9.0323186749584838E-2</v>
      </c>
      <c r="W2602" s="48">
        <f t="shared" ca="1" si="302"/>
        <v>1.0165769010504047</v>
      </c>
    </row>
    <row r="2603" spans="17:23" x14ac:dyDescent="0.2">
      <c r="Q2603">
        <f t="shared" si="303"/>
        <v>2587</v>
      </c>
      <c r="R2603" s="48">
        <f t="shared" ca="1" si="304"/>
        <v>0.3</v>
      </c>
      <c r="S2603">
        <f t="shared" ca="1" si="305"/>
        <v>191.49724533237821</v>
      </c>
      <c r="T2603" s="61">
        <f t="shared" ca="1" si="299"/>
        <v>14400</v>
      </c>
      <c r="U2603" s="61">
        <f t="shared" ca="1" si="300"/>
        <v>15238.457386131799</v>
      </c>
      <c r="V2603" s="39">
        <f t="shared" ca="1" si="301"/>
        <v>0.10025300911928815</v>
      </c>
      <c r="W2603" s="48">
        <f t="shared" ca="1" si="302"/>
        <v>1.1704550948438981</v>
      </c>
    </row>
    <row r="2604" spans="17:23" x14ac:dyDescent="0.2">
      <c r="Q2604">
        <f t="shared" si="303"/>
        <v>2588</v>
      </c>
      <c r="R2604" s="48">
        <f t="shared" ca="1" si="304"/>
        <v>0.4</v>
      </c>
      <c r="S2604">
        <f t="shared" ca="1" si="305"/>
        <v>198.18723508575823</v>
      </c>
      <c r="T2604" s="61">
        <f t="shared" ca="1" si="299"/>
        <v>19200</v>
      </c>
      <c r="U2604" s="61">
        <f t="shared" ca="1" si="300"/>
        <v>23129.872841163953</v>
      </c>
      <c r="V2604" s="39">
        <f t="shared" ca="1" si="301"/>
        <v>0.15217021606028916</v>
      </c>
      <c r="W2604" s="48">
        <f t="shared" ca="1" si="302"/>
        <v>2.1547746169582642</v>
      </c>
    </row>
    <row r="2605" spans="17:23" x14ac:dyDescent="0.2">
      <c r="Q2605">
        <f t="shared" si="303"/>
        <v>2589</v>
      </c>
      <c r="R2605" s="48">
        <f t="shared" ca="1" si="304"/>
        <v>0.45</v>
      </c>
      <c r="S2605">
        <f t="shared" ca="1" si="305"/>
        <v>176.96300460959833</v>
      </c>
      <c r="T2605" s="61">
        <f t="shared" ca="1" si="299"/>
        <v>21600</v>
      </c>
      <c r="U2605" s="61">
        <f t="shared" ca="1" si="300"/>
        <v>15863.722028223263</v>
      </c>
      <c r="V2605" s="39">
        <f t="shared" ca="1" si="301"/>
        <v>0.10436659229094251</v>
      </c>
      <c r="W2605" s="48">
        <f t="shared" ca="1" si="302"/>
        <v>1.2371569132219995</v>
      </c>
    </row>
    <row r="2606" spans="17:23" x14ac:dyDescent="0.2">
      <c r="Q2606">
        <f t="shared" si="303"/>
        <v>2590</v>
      </c>
      <c r="R2606" s="48">
        <f t="shared" ca="1" si="304"/>
        <v>0.3</v>
      </c>
      <c r="S2606">
        <f t="shared" ca="1" si="305"/>
        <v>220.30570627818486</v>
      </c>
      <c r="T2606" s="61">
        <f t="shared" ca="1" si="299"/>
        <v>14400</v>
      </c>
      <c r="U2606" s="61">
        <f t="shared" ca="1" si="300"/>
        <v>31371.195515783518</v>
      </c>
      <c r="V2606" s="39">
        <f t="shared" ca="1" si="301"/>
        <v>0.20638944418278629</v>
      </c>
      <c r="W2606" s="48">
        <f t="shared" ca="1" si="302"/>
        <v>3.5809378301174455</v>
      </c>
    </row>
    <row r="2607" spans="17:23" x14ac:dyDescent="0.2">
      <c r="Q2607">
        <f t="shared" si="303"/>
        <v>2591</v>
      </c>
      <c r="R2607" s="48">
        <f t="shared" ca="1" si="304"/>
        <v>0.35</v>
      </c>
      <c r="S2607">
        <f t="shared" ca="1" si="305"/>
        <v>191.68263597615635</v>
      </c>
      <c r="T2607" s="61">
        <f t="shared" ca="1" si="299"/>
        <v>16800</v>
      </c>
      <c r="U2607" s="61">
        <f t="shared" ca="1" si="300"/>
        <v>17674.9707076013</v>
      </c>
      <c r="V2607" s="39">
        <f t="shared" ca="1" si="301"/>
        <v>0.11628270202369276</v>
      </c>
      <c r="W2607" s="48">
        <f t="shared" ca="1" si="302"/>
        <v>1.4406292028332794</v>
      </c>
    </row>
    <row r="2608" spans="17:23" x14ac:dyDescent="0.2">
      <c r="Q2608">
        <f t="shared" si="303"/>
        <v>2592</v>
      </c>
      <c r="R2608" s="48">
        <f t="shared" ca="1" si="304"/>
        <v>0.45</v>
      </c>
      <c r="S2608">
        <f t="shared" ca="1" si="305"/>
        <v>183.63619072442617</v>
      </c>
      <c r="T2608" s="61">
        <f t="shared" ca="1" si="299"/>
        <v>21600</v>
      </c>
      <c r="U2608" s="61">
        <f t="shared" ca="1" si="300"/>
        <v>18799.923918747514</v>
      </c>
      <c r="V2608" s="39">
        <f t="shared" ca="1" si="301"/>
        <v>0.12368370999175995</v>
      </c>
      <c r="W2608" s="48">
        <f t="shared" ca="1" si="302"/>
        <v>1.5750152191208677</v>
      </c>
    </row>
    <row r="2609" spans="17:23" x14ac:dyDescent="0.2">
      <c r="Q2609">
        <f t="shared" si="303"/>
        <v>2593</v>
      </c>
      <c r="R2609" s="48">
        <f t="shared" ca="1" si="304"/>
        <v>0.35</v>
      </c>
      <c r="S2609">
        <f t="shared" ca="1" si="305"/>
        <v>174.56977351397828</v>
      </c>
      <c r="T2609" s="61">
        <f t="shared" ca="1" si="299"/>
        <v>16800</v>
      </c>
      <c r="U2609" s="61">
        <f t="shared" ca="1" si="300"/>
        <v>8776.2822272687044</v>
      </c>
      <c r="V2609" s="39">
        <f t="shared" ca="1" si="301"/>
        <v>5.7738698863609897E-2</v>
      </c>
      <c r="W2609" s="48">
        <f t="shared" ca="1" si="302"/>
        <v>0.57665205718071255</v>
      </c>
    </row>
    <row r="2610" spans="17:23" x14ac:dyDescent="0.2">
      <c r="Q2610">
        <f t="shared" si="303"/>
        <v>2594</v>
      </c>
      <c r="R2610" s="48">
        <f t="shared" ca="1" si="304"/>
        <v>0.15</v>
      </c>
      <c r="S2610">
        <f t="shared" ca="1" si="305"/>
        <v>184.42625254466816</v>
      </c>
      <c r="T2610" s="61">
        <f t="shared" ca="1" si="299"/>
        <v>7200</v>
      </c>
      <c r="U2610" s="61">
        <f t="shared" ca="1" si="300"/>
        <v>3409.8517303743483</v>
      </c>
      <c r="V2610" s="39">
        <f t="shared" ca="1" si="301"/>
        <v>2.2433235068252292E-2</v>
      </c>
      <c r="W2610" s="48">
        <f t="shared" ca="1" si="302"/>
        <v>0.1971545381169042</v>
      </c>
    </row>
    <row r="2611" spans="17:23" x14ac:dyDescent="0.2">
      <c r="Q2611">
        <f t="shared" si="303"/>
        <v>2595</v>
      </c>
      <c r="R2611" s="48">
        <f t="shared" ca="1" si="304"/>
        <v>0.35</v>
      </c>
      <c r="S2611">
        <f t="shared" ca="1" si="305"/>
        <v>175.05513930035943</v>
      </c>
      <c r="T2611" s="61">
        <f t="shared" ca="1" si="299"/>
        <v>16800</v>
      </c>
      <c r="U2611" s="61">
        <f t="shared" ca="1" si="300"/>
        <v>9028.6724361869019</v>
      </c>
      <c r="V2611" s="39">
        <f t="shared" ca="1" si="301"/>
        <v>5.9399160764387511E-2</v>
      </c>
      <c r="W2611" s="48">
        <f t="shared" ca="1" si="302"/>
        <v>0.59683998632755086</v>
      </c>
    </row>
    <row r="2612" spans="17:23" x14ac:dyDescent="0.2">
      <c r="Q2612">
        <f t="shared" si="303"/>
        <v>2596</v>
      </c>
      <c r="R2612" s="48">
        <f t="shared" ca="1" si="304"/>
        <v>0.45</v>
      </c>
      <c r="S2612">
        <f t="shared" ca="1" si="305"/>
        <v>194.67132631328082</v>
      </c>
      <c r="T2612" s="61">
        <f t="shared" ca="1" si="299"/>
        <v>21600</v>
      </c>
      <c r="U2612" s="61">
        <f t="shared" ca="1" si="300"/>
        <v>23655.38357784356</v>
      </c>
      <c r="V2612" s="39">
        <f t="shared" ca="1" si="301"/>
        <v>0.15562752353844447</v>
      </c>
      <c r="W2612" s="48">
        <f t="shared" ca="1" si="302"/>
        <v>2.2323827398077634</v>
      </c>
    </row>
    <row r="2613" spans="17:23" x14ac:dyDescent="0.2">
      <c r="Q2613">
        <f t="shared" si="303"/>
        <v>2597</v>
      </c>
      <c r="R2613" s="48">
        <f t="shared" ca="1" si="304"/>
        <v>0.45</v>
      </c>
      <c r="S2613">
        <f t="shared" ca="1" si="305"/>
        <v>212.61397258177632</v>
      </c>
      <c r="T2613" s="61">
        <f t="shared" ca="1" si="299"/>
        <v>21600</v>
      </c>
      <c r="U2613" s="61">
        <f t="shared" ca="1" si="300"/>
        <v>31550.147935981586</v>
      </c>
      <c r="V2613" s="39">
        <f t="shared" ca="1" si="301"/>
        <v>0.20756676273672095</v>
      </c>
      <c r="W2613" s="48">
        <f t="shared" ca="1" si="302"/>
        <v>3.6173250216595294</v>
      </c>
    </row>
    <row r="2614" spans="17:23" x14ac:dyDescent="0.2">
      <c r="Q2614">
        <f t="shared" si="303"/>
        <v>2598</v>
      </c>
      <c r="R2614" s="48">
        <f t="shared" ca="1" si="304"/>
        <v>0.4</v>
      </c>
      <c r="S2614">
        <f t="shared" ca="1" si="305"/>
        <v>210.92422848877064</v>
      </c>
      <c r="T2614" s="61">
        <f t="shared" ca="1" si="299"/>
        <v>19200</v>
      </c>
      <c r="U2614" s="61">
        <f t="shared" ca="1" si="300"/>
        <v>29243.629674609907</v>
      </c>
      <c r="V2614" s="39">
        <f t="shared" ca="1" si="301"/>
        <v>0.19239230049085465</v>
      </c>
      <c r="W2614" s="48">
        <f t="shared" ca="1" si="302"/>
        <v>3.1671997894476176</v>
      </c>
    </row>
    <row r="2615" spans="17:23" x14ac:dyDescent="0.2">
      <c r="Q2615">
        <f t="shared" si="303"/>
        <v>2599</v>
      </c>
      <c r="R2615" s="48">
        <f t="shared" ca="1" si="304"/>
        <v>0.35</v>
      </c>
      <c r="S2615">
        <f t="shared" ca="1" si="305"/>
        <v>189.9572599247048</v>
      </c>
      <c r="T2615" s="61">
        <f t="shared" ca="1" si="299"/>
        <v>16800</v>
      </c>
      <c r="U2615" s="61">
        <f t="shared" ca="1" si="300"/>
        <v>16777.775160846497</v>
      </c>
      <c r="V2615" s="39">
        <f t="shared" ca="1" si="301"/>
        <v>0.11038009974241117</v>
      </c>
      <c r="W2615" s="48">
        <f t="shared" ca="1" si="302"/>
        <v>1.3378991104217004</v>
      </c>
    </row>
    <row r="2616" spans="17:23" x14ac:dyDescent="0.2">
      <c r="Q2616">
        <f t="shared" si="303"/>
        <v>2600</v>
      </c>
      <c r="R2616" s="48">
        <f t="shared" ca="1" si="304"/>
        <v>0.3</v>
      </c>
      <c r="S2616">
        <f t="shared" ca="1" si="305"/>
        <v>171.86377261220929</v>
      </c>
      <c r="T2616" s="61">
        <f t="shared" ca="1" si="299"/>
        <v>14400</v>
      </c>
      <c r="U2616" s="61">
        <f t="shared" ca="1" si="300"/>
        <v>4243.7126628372025</v>
      </c>
      <c r="V2616" s="39">
        <f t="shared" ca="1" si="301"/>
        <v>2.7919162255507911E-2</v>
      </c>
      <c r="W2616" s="48">
        <f t="shared" ca="1" si="302"/>
        <v>0.25026038577977872</v>
      </c>
    </row>
    <row r="2617" spans="17:23" x14ac:dyDescent="0.2">
      <c r="Q2617">
        <f t="shared" si="303"/>
        <v>2601</v>
      </c>
      <c r="R2617" s="48">
        <f t="shared" ca="1" si="304"/>
        <v>0.15</v>
      </c>
      <c r="S2617">
        <f t="shared" ca="1" si="305"/>
        <v>192.05381501601838</v>
      </c>
      <c r="T2617" s="61">
        <f t="shared" ref="T2617:T2680" ca="1" si="306">($B$8-$B$7)*($E$6*R2617)</f>
        <v>7200</v>
      </c>
      <c r="U2617" s="61">
        <f t="shared" ref="U2617:U2680" ca="1" si="307">T2617+((S2617-$B$7)*($E$6*(1-R2617)))</f>
        <v>8596.5942108924955</v>
      </c>
      <c r="V2617" s="39">
        <f t="shared" ref="V2617:V2680" ca="1" si="308">U2617/$E$4</f>
        <v>5.6556540861134839E-2</v>
      </c>
      <c r="W2617" s="48">
        <f t="shared" ref="W2617:W2680" ca="1" si="309">(1+V2617)^($J$29/$J$30)-1</f>
        <v>0.56241605479277634</v>
      </c>
    </row>
    <row r="2618" spans="17:23" x14ac:dyDescent="0.2">
      <c r="Q2618">
        <f t="shared" si="303"/>
        <v>2602</v>
      </c>
      <c r="R2618" s="48">
        <f t="shared" ca="1" si="304"/>
        <v>0.5</v>
      </c>
      <c r="S2618">
        <f t="shared" ca="1" si="305"/>
        <v>215.76908624371856</v>
      </c>
      <c r="T2618" s="61">
        <f t="shared" ca="1" si="306"/>
        <v>24000</v>
      </c>
      <c r="U2618" s="61">
        <f t="shared" ca="1" si="307"/>
        <v>34307.634497487423</v>
      </c>
      <c r="V2618" s="39">
        <f t="shared" ca="1" si="308"/>
        <v>0.22570812169399621</v>
      </c>
      <c r="W2618" s="48">
        <f t="shared" ca="1" si="309"/>
        <v>4.2109546696816595</v>
      </c>
    </row>
    <row r="2619" spans="17:23" x14ac:dyDescent="0.2">
      <c r="Q2619">
        <f t="shared" si="303"/>
        <v>2603</v>
      </c>
      <c r="R2619" s="48">
        <f t="shared" ca="1" si="304"/>
        <v>0.3</v>
      </c>
      <c r="S2619">
        <f t="shared" ca="1" si="305"/>
        <v>200.43193608350106</v>
      </c>
      <c r="T2619" s="61">
        <f t="shared" ca="1" si="306"/>
        <v>14400</v>
      </c>
      <c r="U2619" s="61">
        <f t="shared" ca="1" si="307"/>
        <v>20241.884206760591</v>
      </c>
      <c r="V2619" s="39">
        <f t="shared" ca="1" si="308"/>
        <v>0.13317029083395127</v>
      </c>
      <c r="W2619" s="48">
        <f t="shared" ca="1" si="309"/>
        <v>1.7567300222570936</v>
      </c>
    </row>
    <row r="2620" spans="17:23" x14ac:dyDescent="0.2">
      <c r="Q2620">
        <f t="shared" si="303"/>
        <v>2604</v>
      </c>
      <c r="R2620" s="48">
        <f t="shared" ca="1" si="304"/>
        <v>0.3</v>
      </c>
      <c r="S2620">
        <f t="shared" ca="1" si="305"/>
        <v>209.13745849640583</v>
      </c>
      <c r="T2620" s="61">
        <f t="shared" ca="1" si="306"/>
        <v>14400</v>
      </c>
      <c r="U2620" s="61">
        <f t="shared" ca="1" si="307"/>
        <v>25116.976757987264</v>
      </c>
      <c r="V2620" s="39">
        <f t="shared" ca="1" si="308"/>
        <v>0.16524326814465307</v>
      </c>
      <c r="W2620" s="48">
        <f t="shared" ca="1" si="309"/>
        <v>2.4571039897284521</v>
      </c>
    </row>
    <row r="2621" spans="17:23" x14ac:dyDescent="0.2">
      <c r="Q2621">
        <f t="shared" si="303"/>
        <v>2605</v>
      </c>
      <c r="R2621" s="48">
        <f t="shared" ca="1" si="304"/>
        <v>0.35</v>
      </c>
      <c r="S2621">
        <f t="shared" ca="1" si="305"/>
        <v>161.01257994010717</v>
      </c>
      <c r="T2621" s="61">
        <f t="shared" ca="1" si="306"/>
        <v>16800</v>
      </c>
      <c r="U2621" s="61">
        <f t="shared" ca="1" si="307"/>
        <v>1726.5415688557296</v>
      </c>
      <c r="V2621" s="39">
        <f t="shared" ca="1" si="308"/>
        <v>1.1358826110892957E-2</v>
      </c>
      <c r="W2621" s="48">
        <f t="shared" ca="1" si="309"/>
        <v>9.5941016452397054E-2</v>
      </c>
    </row>
    <row r="2622" spans="17:23" x14ac:dyDescent="0.2">
      <c r="Q2622">
        <f t="shared" si="303"/>
        <v>2606</v>
      </c>
      <c r="R2622" s="48">
        <f t="shared" ca="1" si="304"/>
        <v>0.45</v>
      </c>
      <c r="S2622">
        <f t="shared" ca="1" si="305"/>
        <v>206.38539049498789</v>
      </c>
      <c r="T2622" s="61">
        <f t="shared" ca="1" si="306"/>
        <v>21600</v>
      </c>
      <c r="U2622" s="61">
        <f t="shared" ca="1" si="307"/>
        <v>28809.571817794673</v>
      </c>
      <c r="V2622" s="39">
        <f t="shared" ca="1" si="308"/>
        <v>0.18953665669601757</v>
      </c>
      <c r="W2622" s="48">
        <f t="shared" ca="1" si="309"/>
        <v>3.0869370892664421</v>
      </c>
    </row>
    <row r="2623" spans="17:23" x14ac:dyDescent="0.2">
      <c r="Q2623">
        <f t="shared" si="303"/>
        <v>2607</v>
      </c>
      <c r="R2623" s="48">
        <f t="shared" ca="1" si="304"/>
        <v>0.45</v>
      </c>
      <c r="S2623">
        <f t="shared" ca="1" si="305"/>
        <v>184.64285316322531</v>
      </c>
      <c r="T2623" s="61">
        <f t="shared" ca="1" si="306"/>
        <v>21600</v>
      </c>
      <c r="U2623" s="61">
        <f t="shared" ca="1" si="307"/>
        <v>19242.855391819136</v>
      </c>
      <c r="V2623" s="39">
        <f t="shared" ca="1" si="308"/>
        <v>0.12659773284091536</v>
      </c>
      <c r="W2623" s="48">
        <f t="shared" ca="1" si="309"/>
        <v>1.629681072100269</v>
      </c>
    </row>
    <row r="2624" spans="17:23" x14ac:dyDescent="0.2">
      <c r="Q2624">
        <f t="shared" si="303"/>
        <v>2608</v>
      </c>
      <c r="R2624" s="48">
        <f t="shared" ca="1" si="304"/>
        <v>0.4</v>
      </c>
      <c r="S2624">
        <f t="shared" ca="1" si="305"/>
        <v>186.17398564512931</v>
      </c>
      <c r="T2624" s="61">
        <f t="shared" ca="1" si="306"/>
        <v>19200</v>
      </c>
      <c r="U2624" s="61">
        <f t="shared" ca="1" si="307"/>
        <v>17363.513109662068</v>
      </c>
      <c r="V2624" s="39">
        <f t="shared" ca="1" si="308"/>
        <v>0.11423363887935571</v>
      </c>
      <c r="W2624" s="48">
        <f t="shared" ca="1" si="309"/>
        <v>1.4045272930051627</v>
      </c>
    </row>
    <row r="2625" spans="17:23" x14ac:dyDescent="0.2">
      <c r="Q2625">
        <f t="shared" si="303"/>
        <v>2609</v>
      </c>
      <c r="R2625" s="48">
        <f t="shared" ca="1" si="304"/>
        <v>0.217</v>
      </c>
      <c r="S2625">
        <f t="shared" ca="1" si="305"/>
        <v>210.87398022673221</v>
      </c>
      <c r="T2625" s="61">
        <f t="shared" ca="1" si="306"/>
        <v>10416</v>
      </c>
      <c r="U2625" s="61">
        <f t="shared" ca="1" si="307"/>
        <v>23491.461214025061</v>
      </c>
      <c r="V2625" s="39">
        <f t="shared" ca="1" si="308"/>
        <v>0.15454908693437541</v>
      </c>
      <c r="W2625" s="48">
        <f t="shared" ca="1" si="309"/>
        <v>2.2079968163026207</v>
      </c>
    </row>
    <row r="2626" spans="17:23" x14ac:dyDescent="0.2">
      <c r="Q2626">
        <f t="shared" si="303"/>
        <v>2610</v>
      </c>
      <c r="R2626" s="48">
        <f t="shared" ca="1" si="304"/>
        <v>0.45</v>
      </c>
      <c r="S2626">
        <f t="shared" ca="1" si="305"/>
        <v>220.32161022371128</v>
      </c>
      <c r="T2626" s="61">
        <f t="shared" ca="1" si="306"/>
        <v>21600</v>
      </c>
      <c r="U2626" s="61">
        <f t="shared" ca="1" si="307"/>
        <v>34941.508498432959</v>
      </c>
      <c r="V2626" s="39">
        <f t="shared" ca="1" si="308"/>
        <v>0.22987834538442736</v>
      </c>
      <c r="W2626" s="48">
        <f t="shared" ca="1" si="309"/>
        <v>4.3565100377975652</v>
      </c>
    </row>
    <row r="2627" spans="17:23" x14ac:dyDescent="0.2">
      <c r="Q2627">
        <f t="shared" si="303"/>
        <v>2611</v>
      </c>
      <c r="R2627" s="48">
        <f t="shared" ca="1" si="304"/>
        <v>0.5</v>
      </c>
      <c r="S2627">
        <f t="shared" ca="1" si="305"/>
        <v>204.09157206368758</v>
      </c>
      <c r="T2627" s="61">
        <f t="shared" ca="1" si="306"/>
        <v>24000</v>
      </c>
      <c r="U2627" s="61">
        <f t="shared" ca="1" si="307"/>
        <v>29636.628825475032</v>
      </c>
      <c r="V2627" s="39">
        <f t="shared" ca="1" si="308"/>
        <v>0.19497782122023047</v>
      </c>
      <c r="W2627" s="48">
        <f t="shared" ca="1" si="309"/>
        <v>3.2410588332845318</v>
      </c>
    </row>
    <row r="2628" spans="17:23" x14ac:dyDescent="0.2">
      <c r="Q2628">
        <f t="shared" si="303"/>
        <v>2612</v>
      </c>
      <c r="R2628" s="48">
        <f t="shared" ca="1" si="304"/>
        <v>0.35</v>
      </c>
      <c r="S2628">
        <f t="shared" ca="1" si="305"/>
        <v>236.59518464288959</v>
      </c>
      <c r="T2628" s="61">
        <f t="shared" ca="1" si="306"/>
        <v>16800</v>
      </c>
      <c r="U2628" s="61">
        <f t="shared" ca="1" si="307"/>
        <v>41029.496014302589</v>
      </c>
      <c r="V2628" s="39">
        <f t="shared" ca="1" si="308"/>
        <v>0.26993089483093807</v>
      </c>
      <c r="W2628" s="48">
        <f t="shared" ca="1" si="309"/>
        <v>5.9465926352270291</v>
      </c>
    </row>
    <row r="2629" spans="17:23" x14ac:dyDescent="0.2">
      <c r="Q2629">
        <f t="shared" si="303"/>
        <v>2613</v>
      </c>
      <c r="R2629" s="48">
        <f t="shared" ca="1" si="304"/>
        <v>0.4</v>
      </c>
      <c r="S2629">
        <f t="shared" ca="1" si="305"/>
        <v>179.37234033125631</v>
      </c>
      <c r="T2629" s="61">
        <f t="shared" ca="1" si="306"/>
        <v>19200</v>
      </c>
      <c r="U2629" s="61">
        <f t="shared" ca="1" si="307"/>
        <v>14098.72335900303</v>
      </c>
      <c r="V2629" s="39">
        <f t="shared" ca="1" si="308"/>
        <v>9.2754758940809409E-2</v>
      </c>
      <c r="W2629" s="48">
        <f t="shared" ca="1" si="309"/>
        <v>1.0533451315829296</v>
      </c>
    </row>
    <row r="2630" spans="17:23" x14ac:dyDescent="0.2">
      <c r="Q2630">
        <f t="shared" si="303"/>
        <v>2614</v>
      </c>
      <c r="R2630" s="48">
        <f t="shared" ca="1" si="304"/>
        <v>0.5</v>
      </c>
      <c r="S2630">
        <f t="shared" ca="1" si="305"/>
        <v>195.82283826658309</v>
      </c>
      <c r="T2630" s="61">
        <f t="shared" ca="1" si="306"/>
        <v>24000</v>
      </c>
      <c r="U2630" s="61">
        <f t="shared" ca="1" si="307"/>
        <v>26329.135306633238</v>
      </c>
      <c r="V2630" s="39">
        <f t="shared" ca="1" si="308"/>
        <v>0.17321799543837657</v>
      </c>
      <c r="W2630" s="48">
        <f t="shared" ca="1" si="309"/>
        <v>2.6537470067953515</v>
      </c>
    </row>
    <row r="2631" spans="17:23" x14ac:dyDescent="0.2">
      <c r="Q2631">
        <f t="shared" si="303"/>
        <v>2615</v>
      </c>
      <c r="R2631" s="48">
        <f t="shared" ca="1" si="304"/>
        <v>0.45</v>
      </c>
      <c r="S2631">
        <f t="shared" ca="1" si="305"/>
        <v>211.05705420492154</v>
      </c>
      <c r="T2631" s="61">
        <f t="shared" ca="1" si="306"/>
        <v>21600</v>
      </c>
      <c r="U2631" s="61">
        <f t="shared" ca="1" si="307"/>
        <v>30865.10385016548</v>
      </c>
      <c r="V2631" s="39">
        <f t="shared" ca="1" si="308"/>
        <v>0.20305989375108868</v>
      </c>
      <c r="W2631" s="48">
        <f t="shared" ca="1" si="309"/>
        <v>3.4793891899302052</v>
      </c>
    </row>
    <row r="2632" spans="17:23" x14ac:dyDescent="0.2">
      <c r="Q2632">
        <f t="shared" si="303"/>
        <v>2616</v>
      </c>
      <c r="R2632" s="48">
        <f t="shared" ca="1" si="304"/>
        <v>0.3</v>
      </c>
      <c r="S2632">
        <f t="shared" ca="1" si="305"/>
        <v>155.81554629270181</v>
      </c>
      <c r="T2632" s="61">
        <f t="shared" ca="1" si="306"/>
        <v>14400</v>
      </c>
      <c r="U2632" s="61">
        <f t="shared" ca="1" si="307"/>
        <v>-4743.294076086986</v>
      </c>
      <c r="V2632" s="39">
        <f t="shared" ca="1" si="308"/>
        <v>-3.1205882079519645E-2</v>
      </c>
      <c r="W2632" s="48">
        <f t="shared" ca="1" si="309"/>
        <v>-0.22674611201431227</v>
      </c>
    </row>
    <row r="2633" spans="17:23" x14ac:dyDescent="0.2">
      <c r="Q2633">
        <f t="shared" si="303"/>
        <v>2617</v>
      </c>
      <c r="R2633" s="48">
        <f t="shared" ca="1" si="304"/>
        <v>0.5</v>
      </c>
      <c r="S2633">
        <f t="shared" ca="1" si="305"/>
        <v>223.13497955272899</v>
      </c>
      <c r="T2633" s="61">
        <f t="shared" ca="1" si="306"/>
        <v>24000</v>
      </c>
      <c r="U2633" s="61">
        <f t="shared" ca="1" si="307"/>
        <v>37253.991821091593</v>
      </c>
      <c r="V2633" s="39">
        <f t="shared" ca="1" si="308"/>
        <v>0.24509205145454996</v>
      </c>
      <c r="W2633" s="48">
        <f t="shared" ca="1" si="309"/>
        <v>4.9181998299798497</v>
      </c>
    </row>
    <row r="2634" spans="17:23" x14ac:dyDescent="0.2">
      <c r="Q2634">
        <f t="shared" si="303"/>
        <v>2618</v>
      </c>
      <c r="R2634" s="48">
        <f t="shared" ca="1" si="304"/>
        <v>0.4</v>
      </c>
      <c r="S2634">
        <f t="shared" ca="1" si="305"/>
        <v>184.29700686712462</v>
      </c>
      <c r="T2634" s="61">
        <f t="shared" ca="1" si="306"/>
        <v>19200</v>
      </c>
      <c r="U2634" s="61">
        <f t="shared" ca="1" si="307"/>
        <v>16462.563296219818</v>
      </c>
      <c r="V2634" s="39">
        <f t="shared" ca="1" si="308"/>
        <v>0.10830633747513038</v>
      </c>
      <c r="W2634" s="48">
        <f t="shared" ca="1" si="309"/>
        <v>1.3027178882219999</v>
      </c>
    </row>
    <row r="2635" spans="17:23" x14ac:dyDescent="0.2">
      <c r="Q2635">
        <f t="shared" si="303"/>
        <v>2619</v>
      </c>
      <c r="R2635" s="48">
        <f t="shared" ca="1" si="304"/>
        <v>0.217</v>
      </c>
      <c r="S2635">
        <f t="shared" ca="1" si="305"/>
        <v>169.14040802659366</v>
      </c>
      <c r="T2635" s="61">
        <f t="shared" ca="1" si="306"/>
        <v>10416</v>
      </c>
      <c r="U2635" s="61">
        <f t="shared" ca="1" si="307"/>
        <v>-2650.4484121417299</v>
      </c>
      <c r="V2635" s="39">
        <f t="shared" ca="1" si="308"/>
        <v>-1.743716060619559E-2</v>
      </c>
      <c r="W2635" s="48">
        <f t="shared" ca="1" si="309"/>
        <v>-0.13297059076175899</v>
      </c>
    </row>
    <row r="2636" spans="17:23" x14ac:dyDescent="0.2">
      <c r="Q2636">
        <f t="shared" si="303"/>
        <v>2620</v>
      </c>
      <c r="R2636" s="48">
        <f t="shared" ca="1" si="304"/>
        <v>0.45</v>
      </c>
      <c r="S2636">
        <f t="shared" ca="1" si="305"/>
        <v>196.05577777493673</v>
      </c>
      <c r="T2636" s="61">
        <f t="shared" ca="1" si="306"/>
        <v>21600</v>
      </c>
      <c r="U2636" s="61">
        <f t="shared" ca="1" si="307"/>
        <v>24264.542220972162</v>
      </c>
      <c r="V2636" s="39">
        <f t="shared" ca="1" si="308"/>
        <v>0.15963514619060634</v>
      </c>
      <c r="W2636" s="48">
        <f t="shared" ca="1" si="309"/>
        <v>2.3244344535408006</v>
      </c>
    </row>
    <row r="2637" spans="17:23" x14ac:dyDescent="0.2">
      <c r="Q2637">
        <f t="shared" si="303"/>
        <v>2621</v>
      </c>
      <c r="R2637" s="48">
        <f t="shared" ca="1" si="304"/>
        <v>0.4</v>
      </c>
      <c r="S2637">
        <f t="shared" ca="1" si="305"/>
        <v>176.14121535038382</v>
      </c>
      <c r="T2637" s="61">
        <f t="shared" ca="1" si="306"/>
        <v>19200</v>
      </c>
      <c r="U2637" s="61">
        <f t="shared" ca="1" si="307"/>
        <v>12547.783368184231</v>
      </c>
      <c r="V2637" s="39">
        <f t="shared" ca="1" si="308"/>
        <v>8.2551206369633104E-2</v>
      </c>
      <c r="W2637" s="48">
        <f t="shared" ca="1" si="309"/>
        <v>0.90289660787416004</v>
      </c>
    </row>
    <row r="2638" spans="17:23" x14ac:dyDescent="0.2">
      <c r="Q2638">
        <f t="shared" si="303"/>
        <v>2622</v>
      </c>
      <c r="R2638" s="48">
        <f t="shared" ca="1" si="304"/>
        <v>0.4</v>
      </c>
      <c r="S2638">
        <f t="shared" ca="1" si="305"/>
        <v>146.7274713649625</v>
      </c>
      <c r="T2638" s="61">
        <f t="shared" ca="1" si="306"/>
        <v>19200</v>
      </c>
      <c r="U2638" s="61">
        <f t="shared" ca="1" si="307"/>
        <v>-1570.8137448180023</v>
      </c>
      <c r="V2638" s="39">
        <f t="shared" ca="1" si="308"/>
        <v>-1.0334300952750015E-2</v>
      </c>
      <c r="W2638" s="48">
        <f t="shared" ca="1" si="309"/>
        <v>-8.0806657278444827E-2</v>
      </c>
    </row>
    <row r="2639" spans="17:23" x14ac:dyDescent="0.2">
      <c r="Q2639">
        <f t="shared" si="303"/>
        <v>2623</v>
      </c>
      <c r="R2639" s="48">
        <f t="shared" ca="1" si="304"/>
        <v>0.3</v>
      </c>
      <c r="S2639">
        <f t="shared" ca="1" si="305"/>
        <v>231.38049691673439</v>
      </c>
      <c r="T2639" s="61">
        <f t="shared" ca="1" si="306"/>
        <v>14400</v>
      </c>
      <c r="U2639" s="61">
        <f t="shared" ca="1" si="307"/>
        <v>37573.078273371255</v>
      </c>
      <c r="V2639" s="39">
        <f t="shared" ca="1" si="308"/>
        <v>0.24719130443007403</v>
      </c>
      <c r="W2639" s="48">
        <f t="shared" ca="1" si="309"/>
        <v>4.999621107564117</v>
      </c>
    </row>
    <row r="2640" spans="17:23" x14ac:dyDescent="0.2">
      <c r="Q2640">
        <f t="shared" si="303"/>
        <v>2624</v>
      </c>
      <c r="R2640" s="48">
        <f t="shared" ca="1" si="304"/>
        <v>0.35</v>
      </c>
      <c r="S2640">
        <f t="shared" ca="1" si="305"/>
        <v>209.16142326294121</v>
      </c>
      <c r="T2640" s="61">
        <f t="shared" ca="1" si="306"/>
        <v>16800</v>
      </c>
      <c r="U2640" s="61">
        <f t="shared" ca="1" si="307"/>
        <v>26763.940096729431</v>
      </c>
      <c r="V2640" s="39">
        <f t="shared" ca="1" si="308"/>
        <v>0.17607855326795679</v>
      </c>
      <c r="W2640" s="48">
        <f t="shared" ca="1" si="309"/>
        <v>2.7266353703132467</v>
      </c>
    </row>
    <row r="2641" spans="17:23" x14ac:dyDescent="0.2">
      <c r="Q2641">
        <f t="shared" si="303"/>
        <v>2625</v>
      </c>
      <c r="R2641" s="48">
        <f t="shared" ca="1" si="304"/>
        <v>0.4</v>
      </c>
      <c r="S2641">
        <f t="shared" ca="1" si="305"/>
        <v>200.89146211926709</v>
      </c>
      <c r="T2641" s="61">
        <f t="shared" ca="1" si="306"/>
        <v>19200</v>
      </c>
      <c r="U2641" s="61">
        <f t="shared" ca="1" si="307"/>
        <v>24427.901817248203</v>
      </c>
      <c r="V2641" s="39">
        <f t="shared" ca="1" si="308"/>
        <v>0.16070988037663292</v>
      </c>
      <c r="W2641" s="48">
        <f t="shared" ca="1" si="309"/>
        <v>2.3495076248264897</v>
      </c>
    </row>
    <row r="2642" spans="17:23" x14ac:dyDescent="0.2">
      <c r="Q2642">
        <f t="shared" si="303"/>
        <v>2626</v>
      </c>
      <c r="R2642" s="48">
        <f t="shared" ca="1" si="304"/>
        <v>0.35</v>
      </c>
      <c r="S2642">
        <f t="shared" ca="1" si="305"/>
        <v>181.2114912569331</v>
      </c>
      <c r="T2642" s="61">
        <f t="shared" ca="1" si="306"/>
        <v>16800</v>
      </c>
      <c r="U2642" s="61">
        <f t="shared" ca="1" si="307"/>
        <v>12229.975453605213</v>
      </c>
      <c r="V2642" s="39">
        <f t="shared" ca="1" si="308"/>
        <v>8.0460364826350092E-2</v>
      </c>
      <c r="W2642" s="48">
        <f t="shared" ca="1" si="309"/>
        <v>0.8732900905878862</v>
      </c>
    </row>
    <row r="2643" spans="17:23" x14ac:dyDescent="0.2">
      <c r="Q2643">
        <f t="shared" ref="Q2643:Q2706" si="310">Q2642+1</f>
        <v>2627</v>
      </c>
      <c r="R2643" s="48">
        <f t="shared" ref="R2643:R2706" ca="1" si="311">LOOKUP(RAND(),$U$6:$U$12,$S$6:$S$12)</f>
        <v>0.35</v>
      </c>
      <c r="S2643">
        <f t="shared" ref="S2643:S2706" ca="1" si="312">_xlfn.NORM.INV(RAND(),$Q$5,$Q$10)</f>
        <v>187.87549467189029</v>
      </c>
      <c r="T2643" s="61">
        <f t="shared" ca="1" si="306"/>
        <v>16800</v>
      </c>
      <c r="U2643" s="61">
        <f t="shared" ca="1" si="307"/>
        <v>15695.257229382953</v>
      </c>
      <c r="V2643" s="39">
        <f t="shared" ca="1" si="308"/>
        <v>0.10325827124594048</v>
      </c>
      <c r="W2643" s="48">
        <f t="shared" ca="1" si="309"/>
        <v>1.219010958084974</v>
      </c>
    </row>
    <row r="2644" spans="17:23" x14ac:dyDescent="0.2">
      <c r="Q2644">
        <f t="shared" si="310"/>
        <v>2628</v>
      </c>
      <c r="R2644" s="48">
        <f t="shared" ca="1" si="311"/>
        <v>0.3</v>
      </c>
      <c r="S2644">
        <f t="shared" ca="1" si="312"/>
        <v>139.055097207919</v>
      </c>
      <c r="T2644" s="61">
        <f t="shared" ca="1" si="306"/>
        <v>14400</v>
      </c>
      <c r="U2644" s="61">
        <f t="shared" ca="1" si="307"/>
        <v>-14129.145563565358</v>
      </c>
      <c r="V2644" s="39">
        <f t="shared" ca="1" si="308"/>
        <v>-9.2954905023456311E-2</v>
      </c>
      <c r="W2644" s="48">
        <f t="shared" ca="1" si="309"/>
        <v>-0.5467653225614193</v>
      </c>
    </row>
    <row r="2645" spans="17:23" x14ac:dyDescent="0.2">
      <c r="Q2645">
        <f t="shared" si="310"/>
        <v>2629</v>
      </c>
      <c r="R2645" s="48">
        <f t="shared" ca="1" si="311"/>
        <v>0.4</v>
      </c>
      <c r="S2645">
        <f t="shared" ca="1" si="312"/>
        <v>177.83554557617114</v>
      </c>
      <c r="T2645" s="61">
        <f t="shared" ca="1" si="306"/>
        <v>19200</v>
      </c>
      <c r="U2645" s="61">
        <f t="shared" ca="1" si="307"/>
        <v>13361.061876562148</v>
      </c>
      <c r="V2645" s="39">
        <f t="shared" ca="1" si="308"/>
        <v>8.7901722872119392E-2</v>
      </c>
      <c r="W2645" s="48">
        <f t="shared" ca="1" si="309"/>
        <v>0.98053642688185905</v>
      </c>
    </row>
    <row r="2646" spans="17:23" x14ac:dyDescent="0.2">
      <c r="Q2646">
        <f t="shared" si="310"/>
        <v>2630</v>
      </c>
      <c r="R2646" s="48">
        <f t="shared" ca="1" si="311"/>
        <v>0.217</v>
      </c>
      <c r="S2646">
        <f t="shared" ca="1" si="312"/>
        <v>173.64310749581284</v>
      </c>
      <c r="T2646" s="61">
        <f t="shared" ca="1" si="306"/>
        <v>10416</v>
      </c>
      <c r="U2646" s="61">
        <f t="shared" ca="1" si="307"/>
        <v>170.04253537716431</v>
      </c>
      <c r="V2646" s="39">
        <f t="shared" ca="1" si="308"/>
        <v>1.1187008906392388E-3</v>
      </c>
      <c r="W2646" s="48">
        <f t="shared" ca="1" si="309"/>
        <v>9.1100819924960774E-3</v>
      </c>
    </row>
    <row r="2647" spans="17:23" x14ac:dyDescent="0.2">
      <c r="Q2647">
        <f t="shared" si="310"/>
        <v>2631</v>
      </c>
      <c r="R2647" s="48">
        <f t="shared" ca="1" si="311"/>
        <v>0.3</v>
      </c>
      <c r="S2647">
        <f t="shared" ca="1" si="312"/>
        <v>175.15100912531636</v>
      </c>
      <c r="T2647" s="61">
        <f t="shared" ca="1" si="306"/>
        <v>14400</v>
      </c>
      <c r="U2647" s="61">
        <f t="shared" ca="1" si="307"/>
        <v>6084.5651101771637</v>
      </c>
      <c r="V2647" s="39">
        <f t="shared" ca="1" si="308"/>
        <v>4.0030033619586604E-2</v>
      </c>
      <c r="W2647" s="48">
        <f t="shared" ca="1" si="309"/>
        <v>0.37486809474755312</v>
      </c>
    </row>
    <row r="2648" spans="17:23" x14ac:dyDescent="0.2">
      <c r="Q2648">
        <f t="shared" si="310"/>
        <v>2632</v>
      </c>
      <c r="R2648" s="48">
        <f t="shared" ca="1" si="311"/>
        <v>0.217</v>
      </c>
      <c r="S2648">
        <f t="shared" ca="1" si="312"/>
        <v>209.34358640383579</v>
      </c>
      <c r="T2648" s="61">
        <f t="shared" ca="1" si="306"/>
        <v>10416</v>
      </c>
      <c r="U2648" s="61">
        <f t="shared" ca="1" si="307"/>
        <v>22532.822523362738</v>
      </c>
      <c r="V2648" s="39">
        <f t="shared" ca="1" si="308"/>
        <v>0.1482422534431759</v>
      </c>
      <c r="W2648" s="48">
        <f t="shared" ca="1" si="309"/>
        <v>2.0685880173179205</v>
      </c>
    </row>
    <row r="2649" spans="17:23" x14ac:dyDescent="0.2">
      <c r="Q2649">
        <f t="shared" si="310"/>
        <v>2633</v>
      </c>
      <c r="R2649" s="48">
        <f t="shared" ca="1" si="311"/>
        <v>0.3</v>
      </c>
      <c r="S2649">
        <f t="shared" ca="1" si="312"/>
        <v>161.68689963858159</v>
      </c>
      <c r="T2649" s="61">
        <f t="shared" ca="1" si="306"/>
        <v>14400</v>
      </c>
      <c r="U2649" s="61">
        <f t="shared" ca="1" si="307"/>
        <v>-1455.3362023943082</v>
      </c>
      <c r="V2649" s="39">
        <f t="shared" ca="1" si="308"/>
        <v>-9.5745802789099221E-3</v>
      </c>
      <c r="W2649" s="48">
        <f t="shared" ca="1" si="309"/>
        <v>-7.506763035629116E-2</v>
      </c>
    </row>
    <row r="2650" spans="17:23" x14ac:dyDescent="0.2">
      <c r="Q2650">
        <f t="shared" si="310"/>
        <v>2634</v>
      </c>
      <c r="R2650" s="48">
        <f t="shared" ca="1" si="311"/>
        <v>0.217</v>
      </c>
      <c r="S2650">
        <f t="shared" ca="1" si="312"/>
        <v>190.73907251781344</v>
      </c>
      <c r="T2650" s="61">
        <f t="shared" ca="1" si="306"/>
        <v>10416</v>
      </c>
      <c r="U2650" s="61">
        <f t="shared" ca="1" si="307"/>
        <v>10878.955025158339</v>
      </c>
      <c r="V2650" s="39">
        <f t="shared" ca="1" si="308"/>
        <v>7.1572072533936437E-2</v>
      </c>
      <c r="W2650" s="48">
        <f t="shared" ca="1" si="309"/>
        <v>0.75188986882324049</v>
      </c>
    </row>
    <row r="2651" spans="17:23" x14ac:dyDescent="0.2">
      <c r="Q2651">
        <f t="shared" si="310"/>
        <v>2635</v>
      </c>
      <c r="R2651" s="48">
        <f t="shared" ca="1" si="311"/>
        <v>0.35</v>
      </c>
      <c r="S2651">
        <f t="shared" ca="1" si="312"/>
        <v>204.5208510737437</v>
      </c>
      <c r="T2651" s="61">
        <f t="shared" ca="1" si="306"/>
        <v>16800</v>
      </c>
      <c r="U2651" s="61">
        <f t="shared" ca="1" si="307"/>
        <v>24350.842558346725</v>
      </c>
      <c r="V2651" s="39">
        <f t="shared" ca="1" si="308"/>
        <v>0.16020291156807057</v>
      </c>
      <c r="W2651" s="48">
        <f t="shared" ca="1" si="309"/>
        <v>2.337659639511557</v>
      </c>
    </row>
    <row r="2652" spans="17:23" x14ac:dyDescent="0.2">
      <c r="Q2652">
        <f t="shared" si="310"/>
        <v>2636</v>
      </c>
      <c r="R2652" s="48">
        <f t="shared" ca="1" si="311"/>
        <v>0.4</v>
      </c>
      <c r="S2652">
        <f t="shared" ca="1" si="312"/>
        <v>172.25715661099315</v>
      </c>
      <c r="T2652" s="61">
        <f t="shared" ca="1" si="306"/>
        <v>19200</v>
      </c>
      <c r="U2652" s="61">
        <f t="shared" ca="1" si="307"/>
        <v>10683.435173276712</v>
      </c>
      <c r="V2652" s="39">
        <f t="shared" ca="1" si="308"/>
        <v>7.0285757718925729E-2</v>
      </c>
      <c r="W2652" s="48">
        <f t="shared" ca="1" si="309"/>
        <v>0.73490508561516843</v>
      </c>
    </row>
    <row r="2653" spans="17:23" x14ac:dyDescent="0.2">
      <c r="Q2653">
        <f t="shared" si="310"/>
        <v>2637</v>
      </c>
      <c r="R2653" s="48">
        <f t="shared" ca="1" si="311"/>
        <v>0.217</v>
      </c>
      <c r="S2653">
        <f t="shared" ca="1" si="312"/>
        <v>192.64057873075103</v>
      </c>
      <c r="T2653" s="61">
        <f t="shared" ca="1" si="306"/>
        <v>10416</v>
      </c>
      <c r="U2653" s="61">
        <f t="shared" ca="1" si="307"/>
        <v>12070.058516942445</v>
      </c>
      <c r="V2653" s="39">
        <f t="shared" ca="1" si="308"/>
        <v>7.9408279716726607E-2</v>
      </c>
      <c r="W2653" s="48">
        <f t="shared" ca="1" si="309"/>
        <v>0.85854578934522774</v>
      </c>
    </row>
    <row r="2654" spans="17:23" x14ac:dyDescent="0.2">
      <c r="Q2654">
        <f t="shared" si="310"/>
        <v>2638</v>
      </c>
      <c r="R2654" s="48">
        <f t="shared" ca="1" si="311"/>
        <v>0.3</v>
      </c>
      <c r="S2654">
        <f t="shared" ca="1" si="312"/>
        <v>185.33728109380152</v>
      </c>
      <c r="T2654" s="61">
        <f t="shared" ca="1" si="306"/>
        <v>14400</v>
      </c>
      <c r="U2654" s="61">
        <f t="shared" ca="1" si="307"/>
        <v>11788.877412528853</v>
      </c>
      <c r="V2654" s="39">
        <f t="shared" ca="1" si="308"/>
        <v>7.7558404029795081E-2</v>
      </c>
      <c r="W2654" s="48">
        <f t="shared" ca="1" si="309"/>
        <v>0.83286755034838</v>
      </c>
    </row>
    <row r="2655" spans="17:23" x14ac:dyDescent="0.2">
      <c r="Q2655">
        <f t="shared" si="310"/>
        <v>2639</v>
      </c>
      <c r="R2655" s="48">
        <f t="shared" ca="1" si="311"/>
        <v>0.4</v>
      </c>
      <c r="S2655">
        <f t="shared" ca="1" si="312"/>
        <v>182.19062000186705</v>
      </c>
      <c r="T2655" s="61">
        <f t="shared" ca="1" si="306"/>
        <v>19200</v>
      </c>
      <c r="U2655" s="61">
        <f t="shared" ca="1" si="307"/>
        <v>15451.497600896182</v>
      </c>
      <c r="V2655" s="39">
        <f t="shared" ca="1" si="308"/>
        <v>0.10165458947958014</v>
      </c>
      <c r="W2655" s="48">
        <f t="shared" ca="1" si="309"/>
        <v>1.1929831811116185</v>
      </c>
    </row>
    <row r="2656" spans="17:23" x14ac:dyDescent="0.2">
      <c r="Q2656">
        <f t="shared" si="310"/>
        <v>2640</v>
      </c>
      <c r="R2656" s="48">
        <f t="shared" ca="1" si="311"/>
        <v>0.4</v>
      </c>
      <c r="S2656">
        <f t="shared" ca="1" si="312"/>
        <v>194.12903260157756</v>
      </c>
      <c r="T2656" s="61">
        <f t="shared" ca="1" si="306"/>
        <v>19200</v>
      </c>
      <c r="U2656" s="61">
        <f t="shared" ca="1" si="307"/>
        <v>21181.93564875723</v>
      </c>
      <c r="V2656" s="39">
        <f t="shared" ca="1" si="308"/>
        <v>0.13935483979445545</v>
      </c>
      <c r="W2656" s="48">
        <f t="shared" ca="1" si="309"/>
        <v>1.8811605292710634</v>
      </c>
    </row>
    <row r="2657" spans="17:23" x14ac:dyDescent="0.2">
      <c r="Q2657">
        <f t="shared" si="310"/>
        <v>2641</v>
      </c>
      <c r="R2657" s="48">
        <f t="shared" ca="1" si="311"/>
        <v>0.15</v>
      </c>
      <c r="S2657">
        <f t="shared" ca="1" si="312"/>
        <v>160.09415040925066</v>
      </c>
      <c r="T2657" s="61">
        <f t="shared" ca="1" si="306"/>
        <v>7200</v>
      </c>
      <c r="U2657" s="61">
        <f t="shared" ca="1" si="307"/>
        <v>-13135.977721709551</v>
      </c>
      <c r="V2657" s="39">
        <f t="shared" ca="1" si="308"/>
        <v>-8.6420906063878616E-2</v>
      </c>
      <c r="W2657" s="48">
        <f t="shared" ca="1" si="309"/>
        <v>-0.51959481791786888</v>
      </c>
    </row>
    <row r="2658" spans="17:23" x14ac:dyDescent="0.2">
      <c r="Q2658">
        <f t="shared" si="310"/>
        <v>2642</v>
      </c>
      <c r="R2658" s="48">
        <f t="shared" ca="1" si="311"/>
        <v>0.217</v>
      </c>
      <c r="S2658">
        <f t="shared" ca="1" si="312"/>
        <v>200.92353246888948</v>
      </c>
      <c r="T2658" s="61">
        <f t="shared" ca="1" si="306"/>
        <v>10416</v>
      </c>
      <c r="U2658" s="61">
        <f t="shared" ca="1" si="307"/>
        <v>17258.500738512368</v>
      </c>
      <c r="V2658" s="39">
        <f t="shared" ca="1" si="308"/>
        <v>0.11354276801652874</v>
      </c>
      <c r="W2658" s="48">
        <f t="shared" ca="1" si="309"/>
        <v>1.3924610133916628</v>
      </c>
    </row>
    <row r="2659" spans="17:23" x14ac:dyDescent="0.2">
      <c r="Q2659">
        <f t="shared" si="310"/>
        <v>2643</v>
      </c>
      <c r="R2659" s="48">
        <f t="shared" ca="1" si="311"/>
        <v>0.4</v>
      </c>
      <c r="S2659">
        <f t="shared" ca="1" si="312"/>
        <v>212.48427710719329</v>
      </c>
      <c r="T2659" s="61">
        <f t="shared" ca="1" si="306"/>
        <v>19200</v>
      </c>
      <c r="U2659" s="61">
        <f t="shared" ca="1" si="307"/>
        <v>29992.453011452781</v>
      </c>
      <c r="V2659" s="39">
        <f t="shared" ca="1" si="308"/>
        <v>0.19731876981218935</v>
      </c>
      <c r="W2659" s="48">
        <f t="shared" ca="1" si="309"/>
        <v>3.3089187308947983</v>
      </c>
    </row>
    <row r="2660" spans="17:23" x14ac:dyDescent="0.2">
      <c r="Q2660">
        <f t="shared" si="310"/>
        <v>2644</v>
      </c>
      <c r="R2660" s="48">
        <f t="shared" ca="1" si="311"/>
        <v>0.217</v>
      </c>
      <c r="S2660">
        <f t="shared" ca="1" si="312"/>
        <v>184.34196840946538</v>
      </c>
      <c r="T2660" s="61">
        <f t="shared" ca="1" si="306"/>
        <v>10416</v>
      </c>
      <c r="U2660" s="61">
        <f t="shared" ca="1" si="307"/>
        <v>6871.8090116891144</v>
      </c>
      <c r="V2660" s="39">
        <f t="shared" ca="1" si="308"/>
        <v>4.5209269813744173E-2</v>
      </c>
      <c r="W2660" s="48">
        <f t="shared" ca="1" si="309"/>
        <v>0.43139572857826702</v>
      </c>
    </row>
    <row r="2661" spans="17:23" x14ac:dyDescent="0.2">
      <c r="Q2661">
        <f t="shared" si="310"/>
        <v>2645</v>
      </c>
      <c r="R2661" s="48">
        <f t="shared" ca="1" si="311"/>
        <v>0.45</v>
      </c>
      <c r="S2661">
        <f t="shared" ca="1" si="312"/>
        <v>211.80793310852556</v>
      </c>
      <c r="T2661" s="61">
        <f t="shared" ca="1" si="306"/>
        <v>21600</v>
      </c>
      <c r="U2661" s="61">
        <f t="shared" ca="1" si="307"/>
        <v>31195.490567751247</v>
      </c>
      <c r="V2661" s="39">
        <f t="shared" ca="1" si="308"/>
        <v>0.20523349057731083</v>
      </c>
      <c r="W2661" s="48">
        <f t="shared" ca="1" si="309"/>
        <v>3.5454558056600645</v>
      </c>
    </row>
    <row r="2662" spans="17:23" x14ac:dyDescent="0.2">
      <c r="Q2662">
        <f t="shared" si="310"/>
        <v>2646</v>
      </c>
      <c r="R2662" s="48">
        <f t="shared" ca="1" si="311"/>
        <v>0.35</v>
      </c>
      <c r="S2662">
        <f t="shared" ca="1" si="312"/>
        <v>171.57854398999979</v>
      </c>
      <c r="T2662" s="61">
        <f t="shared" ca="1" si="306"/>
        <v>16800</v>
      </c>
      <c r="U2662" s="61">
        <f t="shared" ca="1" si="307"/>
        <v>7220.8428747998896</v>
      </c>
      <c r="V2662" s="39">
        <f t="shared" ca="1" si="308"/>
        <v>4.7505545228946643E-2</v>
      </c>
      <c r="W2662" s="48">
        <f t="shared" ca="1" si="309"/>
        <v>0.45710295121672018</v>
      </c>
    </row>
    <row r="2663" spans="17:23" x14ac:dyDescent="0.2">
      <c r="Q2663">
        <f t="shared" si="310"/>
        <v>2647</v>
      </c>
      <c r="R2663" s="48">
        <f t="shared" ca="1" si="311"/>
        <v>0.15</v>
      </c>
      <c r="S2663">
        <f t="shared" ca="1" si="312"/>
        <v>151.72827060208516</v>
      </c>
      <c r="T2663" s="61">
        <f t="shared" ca="1" si="306"/>
        <v>7200</v>
      </c>
      <c r="U2663" s="61">
        <f t="shared" ca="1" si="307"/>
        <v>-18824.775990582089</v>
      </c>
      <c r="V2663" s="39">
        <f t="shared" ca="1" si="308"/>
        <v>-0.12384721046435584</v>
      </c>
      <c r="W2663" s="48">
        <f t="shared" ca="1" si="309"/>
        <v>-0.65781673387694239</v>
      </c>
    </row>
    <row r="2664" spans="17:23" x14ac:dyDescent="0.2">
      <c r="Q2664">
        <f t="shared" si="310"/>
        <v>2648</v>
      </c>
      <c r="R2664" s="48">
        <f t="shared" ca="1" si="311"/>
        <v>0.45</v>
      </c>
      <c r="S2664">
        <f t="shared" ca="1" si="312"/>
        <v>201.70799863591691</v>
      </c>
      <c r="T2664" s="61">
        <f t="shared" ca="1" si="306"/>
        <v>21600</v>
      </c>
      <c r="U2664" s="61">
        <f t="shared" ca="1" si="307"/>
        <v>26751.519399803441</v>
      </c>
      <c r="V2664" s="39">
        <f t="shared" ca="1" si="308"/>
        <v>0.17599683815660158</v>
      </c>
      <c r="W2664" s="48">
        <f t="shared" ca="1" si="309"/>
        <v>2.7245356762943267</v>
      </c>
    </row>
    <row r="2665" spans="17:23" x14ac:dyDescent="0.2">
      <c r="Q2665">
        <f t="shared" si="310"/>
        <v>2649</v>
      </c>
      <c r="R2665" s="48">
        <f t="shared" ca="1" si="311"/>
        <v>0.5</v>
      </c>
      <c r="S2665">
        <f t="shared" ca="1" si="312"/>
        <v>180.2619990534505</v>
      </c>
      <c r="T2665" s="61">
        <f t="shared" ca="1" si="306"/>
        <v>24000</v>
      </c>
      <c r="U2665" s="61">
        <f t="shared" ca="1" si="307"/>
        <v>20104.799621380196</v>
      </c>
      <c r="V2665" s="39">
        <f t="shared" ca="1" si="308"/>
        <v>0.13226841856171181</v>
      </c>
      <c r="W2665" s="48">
        <f t="shared" ca="1" si="309"/>
        <v>1.7389842164511142</v>
      </c>
    </row>
    <row r="2666" spans="17:23" x14ac:dyDescent="0.2">
      <c r="Q2666">
        <f t="shared" si="310"/>
        <v>2650</v>
      </c>
      <c r="R2666" s="48">
        <f t="shared" ca="1" si="311"/>
        <v>0.217</v>
      </c>
      <c r="S2666">
        <f t="shared" ca="1" si="312"/>
        <v>226.50010834350428</v>
      </c>
      <c r="T2666" s="61">
        <f t="shared" ca="1" si="306"/>
        <v>10416</v>
      </c>
      <c r="U2666" s="61">
        <f t="shared" ca="1" si="307"/>
        <v>33279.667866371077</v>
      </c>
      <c r="V2666" s="39">
        <f t="shared" ca="1" si="308"/>
        <v>0.21894518333138865</v>
      </c>
      <c r="W2666" s="48">
        <f t="shared" ca="1" si="309"/>
        <v>3.9822693433599365</v>
      </c>
    </row>
    <row r="2667" spans="17:23" x14ac:dyDescent="0.2">
      <c r="Q2667">
        <f t="shared" si="310"/>
        <v>2651</v>
      </c>
      <c r="R2667" s="48">
        <f t="shared" ca="1" si="311"/>
        <v>0.3</v>
      </c>
      <c r="S2667">
        <f t="shared" ca="1" si="312"/>
        <v>184.60623873044676</v>
      </c>
      <c r="T2667" s="61">
        <f t="shared" ca="1" si="306"/>
        <v>14400</v>
      </c>
      <c r="U2667" s="61">
        <f t="shared" ca="1" si="307"/>
        <v>11379.493689050187</v>
      </c>
      <c r="V2667" s="39">
        <f t="shared" ca="1" si="308"/>
        <v>7.4865090059540701E-2</v>
      </c>
      <c r="W2667" s="48">
        <f t="shared" ca="1" si="309"/>
        <v>0.79603764960195655</v>
      </c>
    </row>
    <row r="2668" spans="17:23" x14ac:dyDescent="0.2">
      <c r="Q2668">
        <f t="shared" si="310"/>
        <v>2652</v>
      </c>
      <c r="R2668" s="48">
        <f t="shared" ca="1" si="311"/>
        <v>0.4</v>
      </c>
      <c r="S2668">
        <f t="shared" ca="1" si="312"/>
        <v>191.48291260073776</v>
      </c>
      <c r="T2668" s="61">
        <f t="shared" ca="1" si="306"/>
        <v>19200</v>
      </c>
      <c r="U2668" s="61">
        <f t="shared" ca="1" si="307"/>
        <v>19911.798048354125</v>
      </c>
      <c r="V2668" s="39">
        <f t="shared" ca="1" si="308"/>
        <v>0.13099867137075083</v>
      </c>
      <c r="W2668" s="48">
        <f t="shared" ca="1" si="309"/>
        <v>1.7141696550617977</v>
      </c>
    </row>
    <row r="2669" spans="17:23" x14ac:dyDescent="0.2">
      <c r="Q2669">
        <f t="shared" si="310"/>
        <v>2653</v>
      </c>
      <c r="R2669" s="48">
        <f t="shared" ca="1" si="311"/>
        <v>0.3</v>
      </c>
      <c r="S2669">
        <f t="shared" ca="1" si="312"/>
        <v>207.0832379379936</v>
      </c>
      <c r="T2669" s="61">
        <f t="shared" ca="1" si="306"/>
        <v>14400</v>
      </c>
      <c r="U2669" s="61">
        <f t="shared" ca="1" si="307"/>
        <v>23966.613245276418</v>
      </c>
      <c r="V2669" s="39">
        <f t="shared" ca="1" si="308"/>
        <v>0.15767508713997644</v>
      </c>
      <c r="W2669" s="48">
        <f t="shared" ca="1" si="309"/>
        <v>2.2791303997915473</v>
      </c>
    </row>
    <row r="2670" spans="17:23" x14ac:dyDescent="0.2">
      <c r="Q2670">
        <f t="shared" si="310"/>
        <v>2654</v>
      </c>
      <c r="R2670" s="48">
        <f t="shared" ca="1" si="311"/>
        <v>0.3</v>
      </c>
      <c r="S2670">
        <f t="shared" ca="1" si="312"/>
        <v>187.59834486362641</v>
      </c>
      <c r="T2670" s="61">
        <f t="shared" ca="1" si="306"/>
        <v>14400</v>
      </c>
      <c r="U2670" s="61">
        <f t="shared" ca="1" si="307"/>
        <v>13055.073123630789</v>
      </c>
      <c r="V2670" s="39">
        <f t="shared" ca="1" si="308"/>
        <v>8.5888638971255191E-2</v>
      </c>
      <c r="W2670" s="48">
        <f t="shared" ca="1" si="309"/>
        <v>0.95100534092481226</v>
      </c>
    </row>
    <row r="2671" spans="17:23" x14ac:dyDescent="0.2">
      <c r="Q2671">
        <f t="shared" si="310"/>
        <v>2655</v>
      </c>
      <c r="R2671" s="48">
        <f t="shared" ca="1" si="311"/>
        <v>0.15</v>
      </c>
      <c r="S2671">
        <f t="shared" ca="1" si="312"/>
        <v>215.75118241234605</v>
      </c>
      <c r="T2671" s="61">
        <f t="shared" ca="1" si="306"/>
        <v>7200</v>
      </c>
      <c r="U2671" s="61">
        <f t="shared" ca="1" si="307"/>
        <v>24710.804040395316</v>
      </c>
      <c r="V2671" s="39">
        <f t="shared" ca="1" si="308"/>
        <v>0.16257107921312708</v>
      </c>
      <c r="W2671" s="48">
        <f t="shared" ca="1" si="309"/>
        <v>2.3933210793964861</v>
      </c>
    </row>
    <row r="2672" spans="17:23" x14ac:dyDescent="0.2">
      <c r="Q2672">
        <f t="shared" si="310"/>
        <v>2656</v>
      </c>
      <c r="R2672" s="48">
        <f t="shared" ca="1" si="311"/>
        <v>0.35</v>
      </c>
      <c r="S2672">
        <f t="shared" ca="1" si="312"/>
        <v>214.18861023715255</v>
      </c>
      <c r="T2672" s="61">
        <f t="shared" ca="1" si="306"/>
        <v>16800</v>
      </c>
      <c r="U2672" s="61">
        <f t="shared" ca="1" si="307"/>
        <v>29378.077323319325</v>
      </c>
      <c r="V2672" s="39">
        <f t="shared" ca="1" si="308"/>
        <v>0.19327682449552189</v>
      </c>
      <c r="W2672" s="48">
        <f t="shared" ca="1" si="309"/>
        <v>3.1923395316438423</v>
      </c>
    </row>
    <row r="2673" spans="17:23" x14ac:dyDescent="0.2">
      <c r="Q2673">
        <f t="shared" si="310"/>
        <v>2657</v>
      </c>
      <c r="R2673" s="48">
        <f t="shared" ca="1" si="311"/>
        <v>0.4</v>
      </c>
      <c r="S2673">
        <f t="shared" ca="1" si="312"/>
        <v>167.31399026694646</v>
      </c>
      <c r="T2673" s="61">
        <f t="shared" ca="1" si="306"/>
        <v>19200</v>
      </c>
      <c r="U2673" s="61">
        <f t="shared" ca="1" si="307"/>
        <v>8310.7153281343017</v>
      </c>
      <c r="V2673" s="39">
        <f t="shared" ca="1" si="308"/>
        <v>5.467575873772567E-2</v>
      </c>
      <c r="W2673" s="48">
        <f t="shared" ca="1" si="309"/>
        <v>0.53999916809665693</v>
      </c>
    </row>
    <row r="2674" spans="17:23" x14ac:dyDescent="0.2">
      <c r="Q2674">
        <f t="shared" si="310"/>
        <v>2658</v>
      </c>
      <c r="R2674" s="48">
        <f t="shared" ca="1" si="311"/>
        <v>0.4</v>
      </c>
      <c r="S2674">
        <f t="shared" ca="1" si="312"/>
        <v>184.37053392326112</v>
      </c>
      <c r="T2674" s="61">
        <f t="shared" ca="1" si="306"/>
        <v>19200</v>
      </c>
      <c r="U2674" s="61">
        <f t="shared" ca="1" si="307"/>
        <v>16497.85628316534</v>
      </c>
      <c r="V2674" s="39">
        <f t="shared" ca="1" si="308"/>
        <v>0.10853852817871934</v>
      </c>
      <c r="W2674" s="48">
        <f t="shared" ca="1" si="309"/>
        <v>1.3066337703962798</v>
      </c>
    </row>
    <row r="2675" spans="17:23" x14ac:dyDescent="0.2">
      <c r="Q2675">
        <f t="shared" si="310"/>
        <v>2659</v>
      </c>
      <c r="R2675" s="48">
        <f t="shared" ca="1" si="311"/>
        <v>0.4</v>
      </c>
      <c r="S2675">
        <f t="shared" ca="1" si="312"/>
        <v>202.17337125908395</v>
      </c>
      <c r="T2675" s="61">
        <f t="shared" ca="1" si="306"/>
        <v>19200</v>
      </c>
      <c r="U2675" s="61">
        <f t="shared" ca="1" si="307"/>
        <v>25043.218204360295</v>
      </c>
      <c r="V2675" s="39">
        <f t="shared" ca="1" si="308"/>
        <v>0.16475801450237038</v>
      </c>
      <c r="W2675" s="48">
        <f t="shared" ca="1" si="309"/>
        <v>2.4454438966874652</v>
      </c>
    </row>
    <row r="2676" spans="17:23" x14ac:dyDescent="0.2">
      <c r="Q2676">
        <f t="shared" si="310"/>
        <v>2660</v>
      </c>
      <c r="R2676" s="48">
        <f t="shared" ca="1" si="311"/>
        <v>0.4</v>
      </c>
      <c r="S2676">
        <f t="shared" ca="1" si="312"/>
        <v>204.44654998720384</v>
      </c>
      <c r="T2676" s="61">
        <f t="shared" ca="1" si="306"/>
        <v>19200</v>
      </c>
      <c r="U2676" s="61">
        <f t="shared" ca="1" si="307"/>
        <v>26134.343993857841</v>
      </c>
      <c r="V2676" s="39">
        <f t="shared" ca="1" si="308"/>
        <v>0.17193647364380157</v>
      </c>
      <c r="W2676" s="48">
        <f t="shared" ca="1" si="309"/>
        <v>2.6215007077068142</v>
      </c>
    </row>
    <row r="2677" spans="17:23" x14ac:dyDescent="0.2">
      <c r="Q2677">
        <f t="shared" si="310"/>
        <v>2661</v>
      </c>
      <c r="R2677" s="48">
        <f t="shared" ca="1" si="311"/>
        <v>0.4</v>
      </c>
      <c r="S2677">
        <f t="shared" ca="1" si="312"/>
        <v>205.75383478795123</v>
      </c>
      <c r="T2677" s="61">
        <f t="shared" ca="1" si="306"/>
        <v>19200</v>
      </c>
      <c r="U2677" s="61">
        <f t="shared" ca="1" si="307"/>
        <v>26761.840698216591</v>
      </c>
      <c r="V2677" s="39">
        <f t="shared" ca="1" si="308"/>
        <v>0.17606474143563547</v>
      </c>
      <c r="W2677" s="48">
        <f t="shared" ca="1" si="309"/>
        <v>2.726280398323655</v>
      </c>
    </row>
    <row r="2678" spans="17:23" x14ac:dyDescent="0.2">
      <c r="Q2678">
        <f t="shared" si="310"/>
        <v>2662</v>
      </c>
      <c r="R2678" s="48">
        <f t="shared" ca="1" si="311"/>
        <v>0.4</v>
      </c>
      <c r="S2678">
        <f t="shared" ca="1" si="312"/>
        <v>190.60296189849365</v>
      </c>
      <c r="T2678" s="61">
        <f t="shared" ca="1" si="306"/>
        <v>19200</v>
      </c>
      <c r="U2678" s="61">
        <f t="shared" ca="1" si="307"/>
        <v>19489.421711276951</v>
      </c>
      <c r="V2678" s="39">
        <f t="shared" ca="1" si="308"/>
        <v>0.12821987967945361</v>
      </c>
      <c r="W2678" s="48">
        <f t="shared" ca="1" si="309"/>
        <v>1.6605505246403456</v>
      </c>
    </row>
    <row r="2679" spans="17:23" x14ac:dyDescent="0.2">
      <c r="Q2679">
        <f t="shared" si="310"/>
        <v>2663</v>
      </c>
      <c r="R2679" s="48">
        <f t="shared" ca="1" si="311"/>
        <v>0.5</v>
      </c>
      <c r="S2679">
        <f t="shared" ca="1" si="312"/>
        <v>199.49756216728275</v>
      </c>
      <c r="T2679" s="61">
        <f t="shared" ca="1" si="306"/>
        <v>24000</v>
      </c>
      <c r="U2679" s="61">
        <f t="shared" ca="1" si="307"/>
        <v>27799.0248669131</v>
      </c>
      <c r="V2679" s="39">
        <f t="shared" ca="1" si="308"/>
        <v>0.18288832149284934</v>
      </c>
      <c r="W2679" s="48">
        <f t="shared" ca="1" si="309"/>
        <v>2.9053037018025805</v>
      </c>
    </row>
    <row r="2680" spans="17:23" x14ac:dyDescent="0.2">
      <c r="Q2680">
        <f t="shared" si="310"/>
        <v>2664</v>
      </c>
      <c r="R2680" s="48">
        <f t="shared" ca="1" si="311"/>
        <v>0.3</v>
      </c>
      <c r="S2680">
        <f t="shared" ca="1" si="312"/>
        <v>199.48780730926958</v>
      </c>
      <c r="T2680" s="61">
        <f t="shared" ca="1" si="306"/>
        <v>14400</v>
      </c>
      <c r="U2680" s="61">
        <f t="shared" ca="1" si="307"/>
        <v>19713.172093190966</v>
      </c>
      <c r="V2680" s="39">
        <f t="shared" ca="1" si="308"/>
        <v>0.12969192166573004</v>
      </c>
      <c r="W2680" s="48">
        <f t="shared" ca="1" si="309"/>
        <v>1.688837969948112</v>
      </c>
    </row>
    <row r="2681" spans="17:23" x14ac:dyDescent="0.2">
      <c r="Q2681">
        <f t="shared" si="310"/>
        <v>2665</v>
      </c>
      <c r="R2681" s="48">
        <f t="shared" ca="1" si="311"/>
        <v>0.3</v>
      </c>
      <c r="S2681">
        <f t="shared" ca="1" si="312"/>
        <v>212.35317367727907</v>
      </c>
      <c r="T2681" s="61">
        <f t="shared" ref="T2681:T2744" ca="1" si="313">($B$8-$B$7)*($E$6*R2681)</f>
        <v>14400</v>
      </c>
      <c r="U2681" s="61">
        <f t="shared" ref="U2681:U2744" ca="1" si="314">T2681+((S2681-$B$7)*($E$6*(1-R2681)))</f>
        <v>26917.777259276281</v>
      </c>
      <c r="V2681" s="39">
        <f t="shared" ref="V2681:V2744" ca="1" si="315">U2681/$E$4</f>
        <v>0.17709063986365975</v>
      </c>
      <c r="W2681" s="48">
        <f t="shared" ref="W2681:W2744" ca="1" si="316">(1+V2681)^($J$29/$J$30)-1</f>
        <v>2.7527273920920972</v>
      </c>
    </row>
    <row r="2682" spans="17:23" x14ac:dyDescent="0.2">
      <c r="Q2682">
        <f t="shared" si="310"/>
        <v>2666</v>
      </c>
      <c r="R2682" s="48">
        <f t="shared" ca="1" si="311"/>
        <v>0.3</v>
      </c>
      <c r="S2682">
        <f t="shared" ca="1" si="312"/>
        <v>183.08991998807869</v>
      </c>
      <c r="T2682" s="61">
        <f t="shared" ca="1" si="313"/>
        <v>14400</v>
      </c>
      <c r="U2682" s="61">
        <f t="shared" ca="1" si="314"/>
        <v>10530.355193324067</v>
      </c>
      <c r="V2682" s="39">
        <f t="shared" ca="1" si="315"/>
        <v>6.9278652587658335E-2</v>
      </c>
      <c r="W2682" s="48">
        <f t="shared" ca="1" si="316"/>
        <v>0.72170798632747224</v>
      </c>
    </row>
    <row r="2683" spans="17:23" x14ac:dyDescent="0.2">
      <c r="Q2683">
        <f t="shared" si="310"/>
        <v>2667</v>
      </c>
      <c r="R2683" s="48">
        <f t="shared" ca="1" si="311"/>
        <v>0.35</v>
      </c>
      <c r="S2683">
        <f t="shared" ca="1" si="312"/>
        <v>188.67856913973091</v>
      </c>
      <c r="T2683" s="61">
        <f t="shared" ca="1" si="313"/>
        <v>16800</v>
      </c>
      <c r="U2683" s="61">
        <f t="shared" ca="1" si="314"/>
        <v>16112.855952660073</v>
      </c>
      <c r="V2683" s="39">
        <f t="shared" ca="1" si="315"/>
        <v>0.10600563126750048</v>
      </c>
      <c r="W2683" s="48">
        <f t="shared" ca="1" si="316"/>
        <v>1.264230478457594</v>
      </c>
    </row>
    <row r="2684" spans="17:23" x14ac:dyDescent="0.2">
      <c r="Q2684">
        <f t="shared" si="310"/>
        <v>2668</v>
      </c>
      <c r="R2684" s="48">
        <f t="shared" ca="1" si="311"/>
        <v>0.5</v>
      </c>
      <c r="S2684">
        <f t="shared" ca="1" si="312"/>
        <v>189.77090382886254</v>
      </c>
      <c r="T2684" s="61">
        <f t="shared" ca="1" si="313"/>
        <v>24000</v>
      </c>
      <c r="U2684" s="61">
        <f t="shared" ca="1" si="314"/>
        <v>23908.361531545019</v>
      </c>
      <c r="V2684" s="39">
        <f t="shared" ca="1" si="315"/>
        <v>0.15729185218121722</v>
      </c>
      <c r="W2684" s="48">
        <f t="shared" ca="1" si="316"/>
        <v>2.2703359973117236</v>
      </c>
    </row>
    <row r="2685" spans="17:23" x14ac:dyDescent="0.2">
      <c r="Q2685">
        <f t="shared" si="310"/>
        <v>2669</v>
      </c>
      <c r="R2685" s="48">
        <f t="shared" ca="1" si="311"/>
        <v>0.5</v>
      </c>
      <c r="S2685">
        <f t="shared" ca="1" si="312"/>
        <v>153.48066534196613</v>
      </c>
      <c r="T2685" s="61">
        <f t="shared" ca="1" si="313"/>
        <v>24000</v>
      </c>
      <c r="U2685" s="61">
        <f t="shared" ca="1" si="314"/>
        <v>9392.266136786453</v>
      </c>
      <c r="V2685" s="39">
        <f t="shared" ca="1" si="315"/>
        <v>6.1791224584121403E-2</v>
      </c>
      <c r="W2685" s="48">
        <f t="shared" ca="1" si="316"/>
        <v>0.62632107680147153</v>
      </c>
    </row>
    <row r="2686" spans="17:23" x14ac:dyDescent="0.2">
      <c r="Q2686">
        <f t="shared" si="310"/>
        <v>2670</v>
      </c>
      <c r="R2686" s="48">
        <f t="shared" ca="1" si="311"/>
        <v>0.45</v>
      </c>
      <c r="S2686">
        <f t="shared" ca="1" si="312"/>
        <v>192.32376013548696</v>
      </c>
      <c r="T2686" s="61">
        <f t="shared" ca="1" si="313"/>
        <v>21600</v>
      </c>
      <c r="U2686" s="61">
        <f t="shared" ca="1" si="314"/>
        <v>22622.454459614266</v>
      </c>
      <c r="V2686" s="39">
        <f t="shared" ca="1" si="315"/>
        <v>0.14883193723430438</v>
      </c>
      <c r="W2686" s="48">
        <f t="shared" ca="1" si="316"/>
        <v>2.0813935519474569</v>
      </c>
    </row>
    <row r="2687" spans="17:23" x14ac:dyDescent="0.2">
      <c r="Q2687">
        <f t="shared" si="310"/>
        <v>2671</v>
      </c>
      <c r="R2687" s="48">
        <f t="shared" ca="1" si="311"/>
        <v>0.217</v>
      </c>
      <c r="S2687">
        <f t="shared" ca="1" si="312"/>
        <v>213.0698101232569</v>
      </c>
      <c r="T2687" s="61">
        <f t="shared" ca="1" si="313"/>
        <v>10416</v>
      </c>
      <c r="U2687" s="61">
        <f t="shared" ca="1" si="314"/>
        <v>24866.929061208124</v>
      </c>
      <c r="V2687" s="39">
        <f t="shared" ca="1" si="315"/>
        <v>0.16359821750794817</v>
      </c>
      <c r="W2687" s="48">
        <f t="shared" ca="1" si="316"/>
        <v>2.4177148702924764</v>
      </c>
    </row>
    <row r="2688" spans="17:23" x14ac:dyDescent="0.2">
      <c r="Q2688">
        <f t="shared" si="310"/>
        <v>2672</v>
      </c>
      <c r="R2688" s="48">
        <f t="shared" ca="1" si="311"/>
        <v>0.4</v>
      </c>
      <c r="S2688">
        <f t="shared" ca="1" si="312"/>
        <v>194.22006193536717</v>
      </c>
      <c r="T2688" s="61">
        <f t="shared" ca="1" si="313"/>
        <v>19200</v>
      </c>
      <c r="U2688" s="61">
        <f t="shared" ca="1" si="314"/>
        <v>21225.629728976241</v>
      </c>
      <c r="V2688" s="39">
        <f t="shared" ca="1" si="315"/>
        <v>0.13964230084852791</v>
      </c>
      <c r="W2688" s="48">
        <f t="shared" ca="1" si="316"/>
        <v>1.8870619616949353</v>
      </c>
    </row>
    <row r="2689" spans="17:23" x14ac:dyDescent="0.2">
      <c r="Q2689">
        <f t="shared" si="310"/>
        <v>2673</v>
      </c>
      <c r="R2689" s="48">
        <f t="shared" ca="1" si="311"/>
        <v>0.3</v>
      </c>
      <c r="S2689">
        <f t="shared" ca="1" si="312"/>
        <v>170.4995739086194</v>
      </c>
      <c r="T2689" s="61">
        <f t="shared" ca="1" si="313"/>
        <v>14400</v>
      </c>
      <c r="U2689" s="61">
        <f t="shared" ca="1" si="314"/>
        <v>3479.7613888268625</v>
      </c>
      <c r="V2689" s="39">
        <f t="shared" ca="1" si="315"/>
        <v>2.2893167031755673E-2</v>
      </c>
      <c r="W2689" s="48">
        <f t="shared" ca="1" si="316"/>
        <v>0.20152959704619944</v>
      </c>
    </row>
    <row r="2690" spans="17:23" x14ac:dyDescent="0.2">
      <c r="Q2690">
        <f t="shared" si="310"/>
        <v>2674</v>
      </c>
      <c r="R2690" s="48">
        <f t="shared" ca="1" si="311"/>
        <v>0.35</v>
      </c>
      <c r="S2690">
        <f t="shared" ca="1" si="312"/>
        <v>165.44518238460446</v>
      </c>
      <c r="T2690" s="61">
        <f t="shared" ca="1" si="313"/>
        <v>16800</v>
      </c>
      <c r="U2690" s="61">
        <f t="shared" ca="1" si="314"/>
        <v>4031.4948399943223</v>
      </c>
      <c r="V2690" s="39">
        <f t="shared" ca="1" si="315"/>
        <v>2.6522992368383701E-2</v>
      </c>
      <c r="W2690" s="48">
        <f t="shared" ca="1" si="316"/>
        <v>0.23655271972687308</v>
      </c>
    </row>
    <row r="2691" spans="17:23" x14ac:dyDescent="0.2">
      <c r="Q2691">
        <f t="shared" si="310"/>
        <v>2675</v>
      </c>
      <c r="R2691" s="48">
        <f t="shared" ca="1" si="311"/>
        <v>0.4</v>
      </c>
      <c r="S2691">
        <f t="shared" ca="1" si="312"/>
        <v>201.37691970579823</v>
      </c>
      <c r="T2691" s="61">
        <f t="shared" ca="1" si="313"/>
        <v>19200</v>
      </c>
      <c r="U2691" s="61">
        <f t="shared" ca="1" si="314"/>
        <v>24660.921458783152</v>
      </c>
      <c r="V2691" s="39">
        <f t="shared" ca="1" si="315"/>
        <v>0.16224290433409969</v>
      </c>
      <c r="W2691" s="48">
        <f t="shared" ca="1" si="316"/>
        <v>2.3855594077588682</v>
      </c>
    </row>
    <row r="2692" spans="17:23" x14ac:dyDescent="0.2">
      <c r="Q2692">
        <f t="shared" si="310"/>
        <v>2676</v>
      </c>
      <c r="R2692" s="48">
        <f t="shared" ca="1" si="311"/>
        <v>0.4</v>
      </c>
      <c r="S2692">
        <f t="shared" ca="1" si="312"/>
        <v>192.06317665306506</v>
      </c>
      <c r="T2692" s="61">
        <f t="shared" ca="1" si="313"/>
        <v>19200</v>
      </c>
      <c r="U2692" s="61">
        <f t="shared" ca="1" si="314"/>
        <v>20190.324793471227</v>
      </c>
      <c r="V2692" s="39">
        <f t="shared" ca="1" si="315"/>
        <v>0.13283108416757386</v>
      </c>
      <c r="W2692" s="48">
        <f t="shared" ca="1" si="316"/>
        <v>1.7500437879972908</v>
      </c>
    </row>
    <row r="2693" spans="17:23" x14ac:dyDescent="0.2">
      <c r="Q2693">
        <f t="shared" si="310"/>
        <v>2677</v>
      </c>
      <c r="R2693" s="48">
        <f t="shared" ca="1" si="311"/>
        <v>0.5</v>
      </c>
      <c r="S2693">
        <f t="shared" ca="1" si="312"/>
        <v>213.10046506719775</v>
      </c>
      <c r="T2693" s="61">
        <f t="shared" ca="1" si="313"/>
        <v>24000</v>
      </c>
      <c r="U2693" s="61">
        <f t="shared" ca="1" si="314"/>
        <v>33240.186026879099</v>
      </c>
      <c r="V2693" s="39">
        <f t="shared" ca="1" si="315"/>
        <v>0.21868543438736249</v>
      </c>
      <c r="W2693" s="48">
        <f t="shared" ca="1" si="316"/>
        <v>3.973664397617247</v>
      </c>
    </row>
    <row r="2694" spans="17:23" x14ac:dyDescent="0.2">
      <c r="Q2694">
        <f t="shared" si="310"/>
        <v>2678</v>
      </c>
      <c r="R2694" s="48">
        <f t="shared" ca="1" si="311"/>
        <v>0.4</v>
      </c>
      <c r="S2694">
        <f t="shared" ca="1" si="312"/>
        <v>187.21957912557414</v>
      </c>
      <c r="T2694" s="61">
        <f t="shared" ca="1" si="313"/>
        <v>19200</v>
      </c>
      <c r="U2694" s="61">
        <f t="shared" ca="1" si="314"/>
        <v>17865.397980275589</v>
      </c>
      <c r="V2694" s="39">
        <f t="shared" ca="1" si="315"/>
        <v>0.11753551302812888</v>
      </c>
      <c r="W2694" s="48">
        <f t="shared" ca="1" si="316"/>
        <v>1.4629354772280254</v>
      </c>
    </row>
    <row r="2695" spans="17:23" x14ac:dyDescent="0.2">
      <c r="Q2695">
        <f t="shared" si="310"/>
        <v>2679</v>
      </c>
      <c r="R2695" s="48">
        <f t="shared" ca="1" si="311"/>
        <v>0.5</v>
      </c>
      <c r="S2695">
        <f t="shared" ca="1" si="312"/>
        <v>190.65044111410884</v>
      </c>
      <c r="T2695" s="61">
        <f t="shared" ca="1" si="313"/>
        <v>24000</v>
      </c>
      <c r="U2695" s="61">
        <f t="shared" ca="1" si="314"/>
        <v>24260.176445643538</v>
      </c>
      <c r="V2695" s="39">
        <f t="shared" ca="1" si="315"/>
        <v>0.15960642398449695</v>
      </c>
      <c r="W2695" s="48">
        <f t="shared" ca="1" si="316"/>
        <v>2.3237666383339137</v>
      </c>
    </row>
    <row r="2696" spans="17:23" x14ac:dyDescent="0.2">
      <c r="Q2696">
        <f t="shared" si="310"/>
        <v>2680</v>
      </c>
      <c r="R2696" s="48">
        <f t="shared" ca="1" si="311"/>
        <v>0.4</v>
      </c>
      <c r="S2696">
        <f t="shared" ca="1" si="312"/>
        <v>226.70774423204296</v>
      </c>
      <c r="T2696" s="61">
        <f t="shared" ca="1" si="313"/>
        <v>19200</v>
      </c>
      <c r="U2696" s="61">
        <f t="shared" ca="1" si="314"/>
        <v>36819.717231380622</v>
      </c>
      <c r="V2696" s="39">
        <f t="shared" ca="1" si="315"/>
        <v>0.24223498178539882</v>
      </c>
      <c r="W2696" s="48">
        <f t="shared" ca="1" si="316"/>
        <v>4.8089431157367351</v>
      </c>
    </row>
    <row r="2697" spans="17:23" x14ac:dyDescent="0.2">
      <c r="Q2697">
        <f t="shared" si="310"/>
        <v>2681</v>
      </c>
      <c r="R2697" s="48">
        <f t="shared" ca="1" si="311"/>
        <v>0.217</v>
      </c>
      <c r="S2697">
        <f t="shared" ca="1" si="312"/>
        <v>219.63216299768001</v>
      </c>
      <c r="T2697" s="61">
        <f t="shared" ca="1" si="313"/>
        <v>10416</v>
      </c>
      <c r="U2697" s="61">
        <f t="shared" ca="1" si="314"/>
        <v>28977.586901746759</v>
      </c>
      <c r="V2697" s="39">
        <f t="shared" ca="1" si="315"/>
        <v>0.19064201909043921</v>
      </c>
      <c r="W2697" s="48">
        <f t="shared" ca="1" si="316"/>
        <v>3.1178429180363088</v>
      </c>
    </row>
    <row r="2698" spans="17:23" x14ac:dyDescent="0.2">
      <c r="Q2698">
        <f t="shared" si="310"/>
        <v>2682</v>
      </c>
      <c r="R2698" s="48">
        <f t="shared" ca="1" si="311"/>
        <v>0.4</v>
      </c>
      <c r="S2698">
        <f t="shared" ca="1" si="312"/>
        <v>215.16589892293689</v>
      </c>
      <c r="T2698" s="61">
        <f t="shared" ca="1" si="313"/>
        <v>19200</v>
      </c>
      <c r="U2698" s="61">
        <f t="shared" ca="1" si="314"/>
        <v>31279.631483009707</v>
      </c>
      <c r="V2698" s="39">
        <f t="shared" ca="1" si="315"/>
        <v>0.20578704923032701</v>
      </c>
      <c r="W2698" s="48">
        <f t="shared" ca="1" si="316"/>
        <v>3.5624171219438994</v>
      </c>
    </row>
    <row r="2699" spans="17:23" x14ac:dyDescent="0.2">
      <c r="Q2699">
        <f t="shared" si="310"/>
        <v>2683</v>
      </c>
      <c r="R2699" s="48">
        <f t="shared" ca="1" si="311"/>
        <v>0.3</v>
      </c>
      <c r="S2699">
        <f t="shared" ca="1" si="312"/>
        <v>177.53647971381002</v>
      </c>
      <c r="T2699" s="61">
        <f t="shared" ca="1" si="313"/>
        <v>14400</v>
      </c>
      <c r="U2699" s="61">
        <f t="shared" ca="1" si="314"/>
        <v>7420.4286397336136</v>
      </c>
      <c r="V2699" s="39">
        <f t="shared" ca="1" si="315"/>
        <v>4.8818609471931666E-2</v>
      </c>
      <c r="W2699" s="48">
        <f t="shared" ca="1" si="316"/>
        <v>0.47198410094339316</v>
      </c>
    </row>
    <row r="2700" spans="17:23" x14ac:dyDescent="0.2">
      <c r="Q2700">
        <f t="shared" si="310"/>
        <v>2684</v>
      </c>
      <c r="R2700" s="48">
        <f t="shared" ca="1" si="311"/>
        <v>0.217</v>
      </c>
      <c r="S2700">
        <f t="shared" ca="1" si="312"/>
        <v>201.48496307353389</v>
      </c>
      <c r="T2700" s="61">
        <f t="shared" ca="1" si="313"/>
        <v>10416</v>
      </c>
      <c r="U2700" s="61">
        <f t="shared" ca="1" si="314"/>
        <v>17610.180869261629</v>
      </c>
      <c r="V2700" s="39">
        <f t="shared" ca="1" si="315"/>
        <v>0.11585645308724755</v>
      </c>
      <c r="W2700" s="48">
        <f t="shared" ca="1" si="316"/>
        <v>1.4330803372178278</v>
      </c>
    </row>
    <row r="2701" spans="17:23" x14ac:dyDescent="0.2">
      <c r="Q2701">
        <f t="shared" si="310"/>
        <v>2685</v>
      </c>
      <c r="R2701" s="48">
        <f t="shared" ca="1" si="311"/>
        <v>0.45</v>
      </c>
      <c r="S2701">
        <f t="shared" ca="1" si="312"/>
        <v>220.73984306529761</v>
      </c>
      <c r="T2701" s="61">
        <f t="shared" ca="1" si="313"/>
        <v>21600</v>
      </c>
      <c r="U2701" s="61">
        <f t="shared" ca="1" si="314"/>
        <v>35125.53094873095</v>
      </c>
      <c r="V2701" s="39">
        <f t="shared" ca="1" si="315"/>
        <v>0.23108901939954571</v>
      </c>
      <c r="W2701" s="48">
        <f t="shared" ca="1" si="316"/>
        <v>4.3994288578665017</v>
      </c>
    </row>
    <row r="2702" spans="17:23" x14ac:dyDescent="0.2">
      <c r="Q2702">
        <f t="shared" si="310"/>
        <v>2686</v>
      </c>
      <c r="R2702" s="48">
        <f t="shared" ca="1" si="311"/>
        <v>0.217</v>
      </c>
      <c r="S2702">
        <f t="shared" ca="1" si="312"/>
        <v>196.56634865431727</v>
      </c>
      <c r="T2702" s="61">
        <f t="shared" ca="1" si="313"/>
        <v>10416</v>
      </c>
      <c r="U2702" s="61">
        <f t="shared" ca="1" si="314"/>
        <v>14529.160797064334</v>
      </c>
      <c r="V2702" s="39">
        <f t="shared" ca="1" si="315"/>
        <v>9.5586584191212728E-2</v>
      </c>
      <c r="W2702" s="48">
        <f t="shared" ca="1" si="316"/>
        <v>1.0969053793199852</v>
      </c>
    </row>
    <row r="2703" spans="17:23" x14ac:dyDescent="0.2">
      <c r="Q2703">
        <f t="shared" si="310"/>
        <v>2687</v>
      </c>
      <c r="R2703" s="48">
        <f t="shared" ca="1" si="311"/>
        <v>0.5</v>
      </c>
      <c r="S2703">
        <f t="shared" ca="1" si="312"/>
        <v>179.087629220944</v>
      </c>
      <c r="T2703" s="61">
        <f t="shared" ca="1" si="313"/>
        <v>24000</v>
      </c>
      <c r="U2703" s="61">
        <f t="shared" ca="1" si="314"/>
        <v>19635.0516883776</v>
      </c>
      <c r="V2703" s="39">
        <f t="shared" ca="1" si="315"/>
        <v>0.12917797163406317</v>
      </c>
      <c r="W2703" s="48">
        <f t="shared" ca="1" si="316"/>
        <v>1.6789318534818114</v>
      </c>
    </row>
    <row r="2704" spans="17:23" x14ac:dyDescent="0.2">
      <c r="Q2704">
        <f t="shared" si="310"/>
        <v>2688</v>
      </c>
      <c r="R2704" s="48">
        <f t="shared" ca="1" si="311"/>
        <v>0.4</v>
      </c>
      <c r="S2704">
        <f t="shared" ca="1" si="312"/>
        <v>214.11770452038587</v>
      </c>
      <c r="T2704" s="61">
        <f t="shared" ca="1" si="313"/>
        <v>19200</v>
      </c>
      <c r="U2704" s="61">
        <f t="shared" ca="1" si="314"/>
        <v>30776.49816978522</v>
      </c>
      <c r="V2704" s="39">
        <f t="shared" ca="1" si="315"/>
        <v>0.20247696164332382</v>
      </c>
      <c r="W2704" s="48">
        <f t="shared" ca="1" si="316"/>
        <v>3.4618147391457574</v>
      </c>
    </row>
    <row r="2705" spans="17:23" x14ac:dyDescent="0.2">
      <c r="Q2705">
        <f t="shared" si="310"/>
        <v>2689</v>
      </c>
      <c r="R2705" s="48">
        <f t="shared" ca="1" si="311"/>
        <v>0.3</v>
      </c>
      <c r="S2705">
        <f t="shared" ca="1" si="312"/>
        <v>205.54667953675113</v>
      </c>
      <c r="T2705" s="61">
        <f t="shared" ca="1" si="313"/>
        <v>14400</v>
      </c>
      <c r="U2705" s="61">
        <f t="shared" ca="1" si="314"/>
        <v>23106.140540580633</v>
      </c>
      <c r="V2705" s="39">
        <f t="shared" ca="1" si="315"/>
        <v>0.15201408250381995</v>
      </c>
      <c r="W2705" s="48">
        <f t="shared" ca="1" si="316"/>
        <v>2.1513086928334935</v>
      </c>
    </row>
    <row r="2706" spans="17:23" x14ac:dyDescent="0.2">
      <c r="Q2706">
        <f t="shared" si="310"/>
        <v>2690</v>
      </c>
      <c r="R2706" s="48">
        <f t="shared" ca="1" si="311"/>
        <v>0.217</v>
      </c>
      <c r="S2706">
        <f t="shared" ca="1" si="312"/>
        <v>189.46642469704403</v>
      </c>
      <c r="T2706" s="61">
        <f t="shared" ca="1" si="313"/>
        <v>10416</v>
      </c>
      <c r="U2706" s="61">
        <f t="shared" ca="1" si="314"/>
        <v>10081.768430228381</v>
      </c>
      <c r="V2706" s="39">
        <f t="shared" ca="1" si="315"/>
        <v>6.6327423883081452E-2</v>
      </c>
      <c r="W2706" s="48">
        <f t="shared" ca="1" si="316"/>
        <v>0.68354055146355042</v>
      </c>
    </row>
    <row r="2707" spans="17:23" x14ac:dyDescent="0.2">
      <c r="Q2707">
        <f t="shared" ref="Q2707:Q2770" si="317">Q2706+1</f>
        <v>2691</v>
      </c>
      <c r="R2707" s="48">
        <f t="shared" ref="R2707:R2770" ca="1" si="318">LOOKUP(RAND(),$U$6:$U$12,$S$6:$S$12)</f>
        <v>0.217</v>
      </c>
      <c r="S2707">
        <f t="shared" ref="S2707:S2770" ca="1" si="319">_xlfn.NORM.INV(RAND(),$Q$5,$Q$10)</f>
        <v>196.74369746957439</v>
      </c>
      <c r="T2707" s="61">
        <f t="shared" ca="1" si="313"/>
        <v>10416</v>
      </c>
      <c r="U2707" s="61">
        <f t="shared" ca="1" si="314"/>
        <v>14640.252094941396</v>
      </c>
      <c r="V2707" s="39">
        <f t="shared" ca="1" si="315"/>
        <v>9.6317447993035502E-2</v>
      </c>
      <c r="W2707" s="48">
        <f t="shared" ca="1" si="316"/>
        <v>1.1082784886671719</v>
      </c>
    </row>
    <row r="2708" spans="17:23" x14ac:dyDescent="0.2">
      <c r="Q2708">
        <f t="shared" si="317"/>
        <v>2692</v>
      </c>
      <c r="R2708" s="48">
        <f t="shared" ca="1" si="318"/>
        <v>0.4</v>
      </c>
      <c r="S2708">
        <f t="shared" ca="1" si="319"/>
        <v>185.36123428327306</v>
      </c>
      <c r="T2708" s="61">
        <f t="shared" ca="1" si="313"/>
        <v>19200</v>
      </c>
      <c r="U2708" s="61">
        <f t="shared" ca="1" si="314"/>
        <v>16973.392455971072</v>
      </c>
      <c r="V2708" s="39">
        <f t="shared" ca="1" si="315"/>
        <v>0.11166705563138864</v>
      </c>
      <c r="W2708" s="48">
        <f t="shared" ca="1" si="316"/>
        <v>1.3599684003178645</v>
      </c>
    </row>
    <row r="2709" spans="17:23" x14ac:dyDescent="0.2">
      <c r="Q2709">
        <f t="shared" si="317"/>
        <v>2693</v>
      </c>
      <c r="R2709" s="48">
        <f t="shared" ca="1" si="318"/>
        <v>0.4</v>
      </c>
      <c r="S2709">
        <f t="shared" ca="1" si="319"/>
        <v>171.34336843467284</v>
      </c>
      <c r="T2709" s="61">
        <f t="shared" ca="1" si="313"/>
        <v>19200</v>
      </c>
      <c r="U2709" s="61">
        <f t="shared" ca="1" si="314"/>
        <v>10244.816848642964</v>
      </c>
      <c r="V2709" s="39">
        <f t="shared" ca="1" si="315"/>
        <v>6.7400110846335293E-2</v>
      </c>
      <c r="W2709" s="48">
        <f t="shared" ca="1" si="316"/>
        <v>0.69732661031927279</v>
      </c>
    </row>
    <row r="2710" spans="17:23" x14ac:dyDescent="0.2">
      <c r="Q2710">
        <f t="shared" si="317"/>
        <v>2694</v>
      </c>
      <c r="R2710" s="48">
        <f t="shared" ca="1" si="318"/>
        <v>0.3</v>
      </c>
      <c r="S2710">
        <f t="shared" ca="1" si="319"/>
        <v>224.59290634009602</v>
      </c>
      <c r="T2710" s="61">
        <f t="shared" ca="1" si="313"/>
        <v>14400</v>
      </c>
      <c r="U2710" s="61">
        <f t="shared" ca="1" si="314"/>
        <v>33772.027550453771</v>
      </c>
      <c r="V2710" s="39">
        <f t="shared" ca="1" si="315"/>
        <v>0.22218439177930113</v>
      </c>
      <c r="W2710" s="48">
        <f t="shared" ca="1" si="316"/>
        <v>4.0906791358673074</v>
      </c>
    </row>
    <row r="2711" spans="17:23" x14ac:dyDescent="0.2">
      <c r="Q2711">
        <f t="shared" si="317"/>
        <v>2695</v>
      </c>
      <c r="R2711" s="48">
        <f t="shared" ca="1" si="318"/>
        <v>0.35</v>
      </c>
      <c r="S2711">
        <f t="shared" ca="1" si="319"/>
        <v>210.56996069546224</v>
      </c>
      <c r="T2711" s="61">
        <f t="shared" ca="1" si="313"/>
        <v>16800</v>
      </c>
      <c r="U2711" s="61">
        <f t="shared" ca="1" si="314"/>
        <v>27496.379561640366</v>
      </c>
      <c r="V2711" s="39">
        <f t="shared" ca="1" si="315"/>
        <v>0.18089723395816029</v>
      </c>
      <c r="W2711" s="48">
        <f t="shared" ca="1" si="316"/>
        <v>2.8523027439519102</v>
      </c>
    </row>
    <row r="2712" spans="17:23" x14ac:dyDescent="0.2">
      <c r="Q2712">
        <f t="shared" si="317"/>
        <v>2696</v>
      </c>
      <c r="R2712" s="48">
        <f t="shared" ca="1" si="318"/>
        <v>0.15</v>
      </c>
      <c r="S2712">
        <f t="shared" ca="1" si="319"/>
        <v>204.57479961668457</v>
      </c>
      <c r="T2712" s="61">
        <f t="shared" ca="1" si="313"/>
        <v>7200</v>
      </c>
      <c r="U2712" s="61">
        <f t="shared" ca="1" si="314"/>
        <v>17110.86373934551</v>
      </c>
      <c r="V2712" s="39">
        <f t="shared" ca="1" si="315"/>
        <v>0.11257147196937836</v>
      </c>
      <c r="W2712" s="48">
        <f t="shared" ca="1" si="316"/>
        <v>1.3755868076053841</v>
      </c>
    </row>
    <row r="2713" spans="17:23" x14ac:dyDescent="0.2">
      <c r="Q2713">
        <f t="shared" si="317"/>
        <v>2697</v>
      </c>
      <c r="R2713" s="48">
        <f t="shared" ca="1" si="318"/>
        <v>0.217</v>
      </c>
      <c r="S2713">
        <f t="shared" ca="1" si="319"/>
        <v>175.20119502329521</v>
      </c>
      <c r="T2713" s="61">
        <f t="shared" ca="1" si="313"/>
        <v>10416</v>
      </c>
      <c r="U2713" s="61">
        <f t="shared" ca="1" si="314"/>
        <v>1146.0285625921224</v>
      </c>
      <c r="V2713" s="39">
        <f t="shared" ca="1" si="315"/>
        <v>7.5396615960008056E-3</v>
      </c>
      <c r="W2713" s="48">
        <f t="shared" ca="1" si="316"/>
        <v>6.2819881154545509E-2</v>
      </c>
    </row>
    <row r="2714" spans="17:23" x14ac:dyDescent="0.2">
      <c r="Q2714">
        <f t="shared" si="317"/>
        <v>2698</v>
      </c>
      <c r="R2714" s="48">
        <f t="shared" ca="1" si="318"/>
        <v>0.217</v>
      </c>
      <c r="S2714">
        <f t="shared" ca="1" si="319"/>
        <v>227.91595858550238</v>
      </c>
      <c r="T2714" s="61">
        <f t="shared" ca="1" si="313"/>
        <v>10416</v>
      </c>
      <c r="U2714" s="61">
        <f t="shared" ca="1" si="314"/>
        <v>34166.556457958693</v>
      </c>
      <c r="V2714" s="39">
        <f t="shared" ca="1" si="315"/>
        <v>0.22477997669709668</v>
      </c>
      <c r="W2714" s="48">
        <f t="shared" ca="1" si="316"/>
        <v>4.1790350759924548</v>
      </c>
    </row>
    <row r="2715" spans="17:23" x14ac:dyDescent="0.2">
      <c r="Q2715">
        <f t="shared" si="317"/>
        <v>2699</v>
      </c>
      <c r="R2715" s="48">
        <f t="shared" ca="1" si="318"/>
        <v>0.5</v>
      </c>
      <c r="S2715">
        <f t="shared" ca="1" si="319"/>
        <v>207.52589125632812</v>
      </c>
      <c r="T2715" s="61">
        <f t="shared" ca="1" si="313"/>
        <v>24000</v>
      </c>
      <c r="U2715" s="61">
        <f t="shared" ca="1" si="314"/>
        <v>31010.356502531249</v>
      </c>
      <c r="V2715" s="39">
        <f t="shared" ca="1" si="315"/>
        <v>0.20401550330612664</v>
      </c>
      <c r="W2715" s="48">
        <f t="shared" ca="1" si="316"/>
        <v>3.5083305665198683</v>
      </c>
    </row>
    <row r="2716" spans="17:23" x14ac:dyDescent="0.2">
      <c r="Q2716">
        <f t="shared" si="317"/>
        <v>2700</v>
      </c>
      <c r="R2716" s="48">
        <f t="shared" ca="1" si="318"/>
        <v>0.45</v>
      </c>
      <c r="S2716">
        <f t="shared" ca="1" si="319"/>
        <v>191.80110875493216</v>
      </c>
      <c r="T2716" s="61">
        <f t="shared" ca="1" si="313"/>
        <v>21600</v>
      </c>
      <c r="U2716" s="61">
        <f t="shared" ca="1" si="314"/>
        <v>22392.48785217015</v>
      </c>
      <c r="V2716" s="39">
        <f t="shared" ca="1" si="315"/>
        <v>0.1473189990274352</v>
      </c>
      <c r="W2716" s="48">
        <f t="shared" ca="1" si="316"/>
        <v>2.0486323860857598</v>
      </c>
    </row>
    <row r="2717" spans="17:23" x14ac:dyDescent="0.2">
      <c r="Q2717">
        <f t="shared" si="317"/>
        <v>2701</v>
      </c>
      <c r="R2717" s="48">
        <f t="shared" ca="1" si="318"/>
        <v>0.217</v>
      </c>
      <c r="S2717">
        <f t="shared" ca="1" si="319"/>
        <v>208.74223564519397</v>
      </c>
      <c r="T2717" s="61">
        <f t="shared" ca="1" si="313"/>
        <v>10416</v>
      </c>
      <c r="U2717" s="61">
        <f t="shared" ca="1" si="314"/>
        <v>22156.136408149505</v>
      </c>
      <c r="V2717" s="39">
        <f t="shared" ca="1" si="315"/>
        <v>0.14576405531677306</v>
      </c>
      <c r="W2717" s="48">
        <f t="shared" ca="1" si="316"/>
        <v>2.0152802342230949</v>
      </c>
    </row>
    <row r="2718" spans="17:23" x14ac:dyDescent="0.2">
      <c r="Q2718">
        <f t="shared" si="317"/>
        <v>2702</v>
      </c>
      <c r="R2718" s="48">
        <f t="shared" ca="1" si="318"/>
        <v>0.4</v>
      </c>
      <c r="S2718">
        <f t="shared" ca="1" si="319"/>
        <v>182.96464743971771</v>
      </c>
      <c r="T2718" s="61">
        <f t="shared" ca="1" si="313"/>
        <v>19200</v>
      </c>
      <c r="U2718" s="61">
        <f t="shared" ca="1" si="314"/>
        <v>15823.030771064499</v>
      </c>
      <c r="V2718" s="39">
        <f t="shared" ca="1" si="315"/>
        <v>0.10409888665174012</v>
      </c>
      <c r="W2718" s="48">
        <f t="shared" ca="1" si="316"/>
        <v>1.2327620358084483</v>
      </c>
    </row>
    <row r="2719" spans="17:23" x14ac:dyDescent="0.2">
      <c r="Q2719">
        <f t="shared" si="317"/>
        <v>2703</v>
      </c>
      <c r="R2719" s="48">
        <f t="shared" ca="1" si="318"/>
        <v>0.3</v>
      </c>
      <c r="S2719">
        <f t="shared" ca="1" si="319"/>
        <v>198.46775027844714</v>
      </c>
      <c r="T2719" s="61">
        <f t="shared" ca="1" si="313"/>
        <v>14400</v>
      </c>
      <c r="U2719" s="61">
        <f t="shared" ca="1" si="314"/>
        <v>19141.940155930399</v>
      </c>
      <c r="V2719" s="39">
        <f t="shared" ca="1" si="315"/>
        <v>0.12593381681533158</v>
      </c>
      <c r="W2719" s="48">
        <f t="shared" ca="1" si="316"/>
        <v>1.6171375973399771</v>
      </c>
    </row>
    <row r="2720" spans="17:23" x14ac:dyDescent="0.2">
      <c r="Q2720">
        <f t="shared" si="317"/>
        <v>2704</v>
      </c>
      <c r="R2720" s="48">
        <f t="shared" ca="1" si="318"/>
        <v>0.217</v>
      </c>
      <c r="S2720">
        <f t="shared" ca="1" si="319"/>
        <v>182.99563417614027</v>
      </c>
      <c r="T2720" s="61">
        <f t="shared" ca="1" si="313"/>
        <v>10416</v>
      </c>
      <c r="U2720" s="61">
        <f t="shared" ca="1" si="314"/>
        <v>6028.4652479342658</v>
      </c>
      <c r="V2720" s="39">
        <f t="shared" ca="1" si="315"/>
        <v>3.9660955578514907E-2</v>
      </c>
      <c r="W2720" s="48">
        <f t="shared" ca="1" si="316"/>
        <v>0.3709156502348927</v>
      </c>
    </row>
    <row r="2721" spans="17:23" x14ac:dyDescent="0.2">
      <c r="Q2721">
        <f t="shared" si="317"/>
        <v>2705</v>
      </c>
      <c r="R2721" s="48">
        <f t="shared" ca="1" si="318"/>
        <v>0.45</v>
      </c>
      <c r="S2721">
        <f t="shared" ca="1" si="319"/>
        <v>209.84387376308436</v>
      </c>
      <c r="T2721" s="61">
        <f t="shared" ca="1" si="313"/>
        <v>21600</v>
      </c>
      <c r="U2721" s="61">
        <f t="shared" ca="1" si="314"/>
        <v>30331.304455757119</v>
      </c>
      <c r="V2721" s="39">
        <f t="shared" ca="1" si="315"/>
        <v>0.19954805562998104</v>
      </c>
      <c r="W2721" s="48">
        <f t="shared" ca="1" si="316"/>
        <v>3.3744247285323032</v>
      </c>
    </row>
    <row r="2722" spans="17:23" x14ac:dyDescent="0.2">
      <c r="Q2722">
        <f t="shared" si="317"/>
        <v>2706</v>
      </c>
      <c r="R2722" s="48">
        <f t="shared" ca="1" si="318"/>
        <v>0.5</v>
      </c>
      <c r="S2722">
        <f t="shared" ca="1" si="319"/>
        <v>177.46486523252028</v>
      </c>
      <c r="T2722" s="61">
        <f t="shared" ca="1" si="313"/>
        <v>24000</v>
      </c>
      <c r="U2722" s="61">
        <f t="shared" ca="1" si="314"/>
        <v>18985.946093008111</v>
      </c>
      <c r="V2722" s="39">
        <f t="shared" ca="1" si="315"/>
        <v>0.12490754008557968</v>
      </c>
      <c r="W2722" s="48">
        <f t="shared" ca="1" si="316"/>
        <v>1.5978511882267155</v>
      </c>
    </row>
    <row r="2723" spans="17:23" x14ac:dyDescent="0.2">
      <c r="Q2723">
        <f t="shared" si="317"/>
        <v>2707</v>
      </c>
      <c r="R2723" s="48">
        <f t="shared" ca="1" si="318"/>
        <v>0.45</v>
      </c>
      <c r="S2723">
        <f t="shared" ca="1" si="319"/>
        <v>194.33292157782336</v>
      </c>
      <c r="T2723" s="61">
        <f t="shared" ca="1" si="313"/>
        <v>21600</v>
      </c>
      <c r="U2723" s="61">
        <f t="shared" ca="1" si="314"/>
        <v>23506.485494242275</v>
      </c>
      <c r="V2723" s="39">
        <f t="shared" ca="1" si="315"/>
        <v>0.15464793088317286</v>
      </c>
      <c r="W2723" s="48">
        <f t="shared" ca="1" si="316"/>
        <v>2.2102251702092301</v>
      </c>
    </row>
    <row r="2724" spans="17:23" x14ac:dyDescent="0.2">
      <c r="Q2724">
        <f t="shared" si="317"/>
        <v>2708</v>
      </c>
      <c r="R2724" s="48">
        <f t="shared" ca="1" si="318"/>
        <v>0.45</v>
      </c>
      <c r="S2724">
        <f t="shared" ca="1" si="319"/>
        <v>173.4467112741018</v>
      </c>
      <c r="T2724" s="61">
        <f t="shared" ca="1" si="313"/>
        <v>21600</v>
      </c>
      <c r="U2724" s="61">
        <f t="shared" ca="1" si="314"/>
        <v>14316.552960604791</v>
      </c>
      <c r="V2724" s="39">
        <f t="shared" ca="1" si="315"/>
        <v>9.4187848425031515E-2</v>
      </c>
      <c r="W2724" s="48">
        <f t="shared" ca="1" si="316"/>
        <v>1.0752892770851683</v>
      </c>
    </row>
    <row r="2725" spans="17:23" x14ac:dyDescent="0.2">
      <c r="Q2725">
        <f t="shared" si="317"/>
        <v>2709</v>
      </c>
      <c r="R2725" s="48">
        <f t="shared" ca="1" si="318"/>
        <v>0.15</v>
      </c>
      <c r="S2725">
        <f t="shared" ca="1" si="319"/>
        <v>197.2166014645756</v>
      </c>
      <c r="T2725" s="61">
        <f t="shared" ca="1" si="313"/>
        <v>7200</v>
      </c>
      <c r="U2725" s="61">
        <f t="shared" ca="1" si="314"/>
        <v>12107.288995911411</v>
      </c>
      <c r="V2725" s="39">
        <f t="shared" ca="1" si="315"/>
        <v>7.9653217078364549E-2</v>
      </c>
      <c r="W2725" s="48">
        <f t="shared" ca="1" si="316"/>
        <v>0.86196931293450696</v>
      </c>
    </row>
    <row r="2726" spans="17:23" x14ac:dyDescent="0.2">
      <c r="Q2726">
        <f t="shared" si="317"/>
        <v>2710</v>
      </c>
      <c r="R2726" s="48">
        <f t="shared" ca="1" si="318"/>
        <v>0.217</v>
      </c>
      <c r="S2726">
        <f t="shared" ca="1" si="319"/>
        <v>180.29472473986038</v>
      </c>
      <c r="T2726" s="61">
        <f t="shared" ca="1" si="313"/>
        <v>10416</v>
      </c>
      <c r="U2726" s="61">
        <f t="shared" ca="1" si="314"/>
        <v>4336.6155770485457</v>
      </c>
      <c r="V2726" s="39">
        <f t="shared" ca="1" si="315"/>
        <v>2.8530365638477273E-2</v>
      </c>
      <c r="W2726" s="48">
        <f t="shared" ca="1" si="316"/>
        <v>0.25630301450067661</v>
      </c>
    </row>
    <row r="2727" spans="17:23" x14ac:dyDescent="0.2">
      <c r="Q2727">
        <f t="shared" si="317"/>
        <v>2711</v>
      </c>
      <c r="R2727" s="48">
        <f t="shared" ca="1" si="318"/>
        <v>0.3</v>
      </c>
      <c r="S2727">
        <f t="shared" ca="1" si="319"/>
        <v>173.18788264048132</v>
      </c>
      <c r="T2727" s="61">
        <f t="shared" ca="1" si="313"/>
        <v>14400</v>
      </c>
      <c r="U2727" s="61">
        <f t="shared" ca="1" si="314"/>
        <v>4985.2142786695385</v>
      </c>
      <c r="V2727" s="39">
        <f t="shared" ca="1" si="315"/>
        <v>3.2797462359668017E-2</v>
      </c>
      <c r="W2727" s="48">
        <f t="shared" ca="1" si="316"/>
        <v>0.29920755581375746</v>
      </c>
    </row>
    <row r="2728" spans="17:23" x14ac:dyDescent="0.2">
      <c r="Q2728">
        <f t="shared" si="317"/>
        <v>2712</v>
      </c>
      <c r="R2728" s="48">
        <f t="shared" ca="1" si="318"/>
        <v>0.35</v>
      </c>
      <c r="S2728">
        <f t="shared" ca="1" si="319"/>
        <v>190.20788134283688</v>
      </c>
      <c r="T2728" s="61">
        <f t="shared" ca="1" si="313"/>
        <v>16800</v>
      </c>
      <c r="U2728" s="61">
        <f t="shared" ca="1" si="314"/>
        <v>16908.098298275181</v>
      </c>
      <c r="V2728" s="39">
        <f t="shared" ca="1" si="315"/>
        <v>0.11123748880444198</v>
      </c>
      <c r="W2728" s="48">
        <f t="shared" ca="1" si="316"/>
        <v>1.3525817777247018</v>
      </c>
    </row>
    <row r="2729" spans="17:23" x14ac:dyDescent="0.2">
      <c r="Q2729">
        <f t="shared" si="317"/>
        <v>2713</v>
      </c>
      <c r="R2729" s="48">
        <f t="shared" ca="1" si="318"/>
        <v>0.4</v>
      </c>
      <c r="S2729">
        <f t="shared" ca="1" si="319"/>
        <v>182.02384753479532</v>
      </c>
      <c r="T2729" s="61">
        <f t="shared" ca="1" si="313"/>
        <v>19200</v>
      </c>
      <c r="U2729" s="61">
        <f t="shared" ca="1" si="314"/>
        <v>15371.446816701755</v>
      </c>
      <c r="V2729" s="39">
        <f t="shared" ca="1" si="315"/>
        <v>0.10112793958356418</v>
      </c>
      <c r="W2729" s="48">
        <f t="shared" ca="1" si="316"/>
        <v>1.1844942285319684</v>
      </c>
    </row>
    <row r="2730" spans="17:23" x14ac:dyDescent="0.2">
      <c r="Q2730">
        <f t="shared" si="317"/>
        <v>2714</v>
      </c>
      <c r="R2730" s="48">
        <f t="shared" ca="1" si="318"/>
        <v>0.217</v>
      </c>
      <c r="S2730">
        <f t="shared" ca="1" si="319"/>
        <v>211.2065221792227</v>
      </c>
      <c r="T2730" s="61">
        <f t="shared" ca="1" si="313"/>
        <v>10416</v>
      </c>
      <c r="U2730" s="61">
        <f t="shared" ca="1" si="314"/>
        <v>23699.765493065101</v>
      </c>
      <c r="V2730" s="39">
        <f t="shared" ca="1" si="315"/>
        <v>0.1559195098227967</v>
      </c>
      <c r="W2730" s="48">
        <f t="shared" ca="1" si="316"/>
        <v>2.2390131116376826</v>
      </c>
    </row>
    <row r="2731" spans="17:23" x14ac:dyDescent="0.2">
      <c r="Q2731">
        <f t="shared" si="317"/>
        <v>2715</v>
      </c>
      <c r="R2731" s="48">
        <f t="shared" ca="1" si="318"/>
        <v>0.217</v>
      </c>
      <c r="S2731">
        <f t="shared" ca="1" si="319"/>
        <v>194.68337071551844</v>
      </c>
      <c r="T2731" s="61">
        <f t="shared" ca="1" si="313"/>
        <v>10416</v>
      </c>
      <c r="U2731" s="61">
        <f t="shared" ca="1" si="314"/>
        <v>13349.663416200749</v>
      </c>
      <c r="V2731" s="39">
        <f t="shared" ca="1" si="315"/>
        <v>8.7826733001320711E-2</v>
      </c>
      <c r="W2731" s="48">
        <f t="shared" ca="1" si="316"/>
        <v>0.97942937063223523</v>
      </c>
    </row>
    <row r="2732" spans="17:23" x14ac:dyDescent="0.2">
      <c r="Q2732">
        <f t="shared" si="317"/>
        <v>2716</v>
      </c>
      <c r="R2732" s="48">
        <f t="shared" ca="1" si="318"/>
        <v>0.45</v>
      </c>
      <c r="S2732">
        <f t="shared" ca="1" si="319"/>
        <v>196.07802939726744</v>
      </c>
      <c r="T2732" s="61">
        <f t="shared" ca="1" si="313"/>
        <v>21600</v>
      </c>
      <c r="U2732" s="61">
        <f t="shared" ca="1" si="314"/>
        <v>24274.332934797676</v>
      </c>
      <c r="V2732" s="39">
        <f t="shared" ca="1" si="315"/>
        <v>0.15969955878156367</v>
      </c>
      <c r="W2732" s="48">
        <f t="shared" ca="1" si="316"/>
        <v>2.3259325276452048</v>
      </c>
    </row>
    <row r="2733" spans="17:23" x14ac:dyDescent="0.2">
      <c r="Q2733">
        <f t="shared" si="317"/>
        <v>2717</v>
      </c>
      <c r="R2733" s="48">
        <f t="shared" ca="1" si="318"/>
        <v>0.45</v>
      </c>
      <c r="S2733">
        <f t="shared" ca="1" si="319"/>
        <v>182.94583963962191</v>
      </c>
      <c r="T2733" s="61">
        <f t="shared" ca="1" si="313"/>
        <v>21600</v>
      </c>
      <c r="U2733" s="61">
        <f t="shared" ca="1" si="314"/>
        <v>18496.169441433638</v>
      </c>
      <c r="V2733" s="39">
        <f t="shared" ca="1" si="315"/>
        <v>0.12168532527258973</v>
      </c>
      <c r="W2733" s="48">
        <f t="shared" ca="1" si="316"/>
        <v>1.5381046900880921</v>
      </c>
    </row>
    <row r="2734" spans="17:23" x14ac:dyDescent="0.2">
      <c r="Q2734">
        <f t="shared" si="317"/>
        <v>2718</v>
      </c>
      <c r="R2734" s="48">
        <f t="shared" ca="1" si="318"/>
        <v>0.15</v>
      </c>
      <c r="S2734">
        <f t="shared" ca="1" si="319"/>
        <v>176.21913487653916</v>
      </c>
      <c r="T2734" s="61">
        <f t="shared" ca="1" si="313"/>
        <v>7200</v>
      </c>
      <c r="U2734" s="61">
        <f t="shared" ca="1" si="314"/>
        <v>-2170.988283953373</v>
      </c>
      <c r="V2734" s="39">
        <f t="shared" ca="1" si="315"/>
        <v>-1.428281765758798E-2</v>
      </c>
      <c r="W2734" s="48">
        <f t="shared" ca="1" si="316"/>
        <v>-0.11013437684959082</v>
      </c>
    </row>
    <row r="2735" spans="17:23" x14ac:dyDescent="0.2">
      <c r="Q2735">
        <f t="shared" si="317"/>
        <v>2719</v>
      </c>
      <c r="R2735" s="48">
        <f t="shared" ca="1" si="318"/>
        <v>0.3</v>
      </c>
      <c r="S2735">
        <f t="shared" ca="1" si="319"/>
        <v>226.25443123241439</v>
      </c>
      <c r="T2735" s="61">
        <f t="shared" ca="1" si="313"/>
        <v>14400</v>
      </c>
      <c r="U2735" s="61">
        <f t="shared" ca="1" si="314"/>
        <v>34702.481490152059</v>
      </c>
      <c r="V2735" s="39">
        <f t="shared" ca="1" si="315"/>
        <v>0.22830579927731617</v>
      </c>
      <c r="W2735" s="48">
        <f t="shared" ca="1" si="316"/>
        <v>4.301209446847893</v>
      </c>
    </row>
    <row r="2736" spans="17:23" x14ac:dyDescent="0.2">
      <c r="Q2736">
        <f t="shared" si="317"/>
        <v>2720</v>
      </c>
      <c r="R2736" s="48">
        <f t="shared" ca="1" si="318"/>
        <v>0.45</v>
      </c>
      <c r="S2736">
        <f t="shared" ca="1" si="319"/>
        <v>204.62411044536523</v>
      </c>
      <c r="T2736" s="61">
        <f t="shared" ca="1" si="313"/>
        <v>21600</v>
      </c>
      <c r="U2736" s="61">
        <f t="shared" ca="1" si="314"/>
        <v>28034.608595960704</v>
      </c>
      <c r="V2736" s="39">
        <f t="shared" ca="1" si="315"/>
        <v>0.18443821444710989</v>
      </c>
      <c r="W2736" s="48">
        <f t="shared" ca="1" si="316"/>
        <v>2.9470018780237885</v>
      </c>
    </row>
    <row r="2737" spans="17:23" x14ac:dyDescent="0.2">
      <c r="Q2737">
        <f t="shared" si="317"/>
        <v>2721</v>
      </c>
      <c r="R2737" s="48">
        <f t="shared" ca="1" si="318"/>
        <v>0.3</v>
      </c>
      <c r="S2737">
        <f t="shared" ca="1" si="319"/>
        <v>193.39089510278774</v>
      </c>
      <c r="T2737" s="61">
        <f t="shared" ca="1" si="313"/>
        <v>14400</v>
      </c>
      <c r="U2737" s="61">
        <f t="shared" ca="1" si="314"/>
        <v>16298.901257561134</v>
      </c>
      <c r="V2737" s="39">
        <f t="shared" ca="1" si="315"/>
        <v>0.10722961353658642</v>
      </c>
      <c r="W2737" s="48">
        <f t="shared" ca="1" si="316"/>
        <v>1.2846350806712894</v>
      </c>
    </row>
    <row r="2738" spans="17:23" x14ac:dyDescent="0.2">
      <c r="Q2738">
        <f t="shared" si="317"/>
        <v>2722</v>
      </c>
      <c r="R2738" s="48">
        <f t="shared" ca="1" si="318"/>
        <v>0.217</v>
      </c>
      <c r="S2738">
        <f t="shared" ca="1" si="319"/>
        <v>173.40891931073907</v>
      </c>
      <c r="T2738" s="61">
        <f t="shared" ca="1" si="313"/>
        <v>10416</v>
      </c>
      <c r="U2738" s="61">
        <f t="shared" ca="1" si="314"/>
        <v>23.347056246951979</v>
      </c>
      <c r="V2738" s="39">
        <f t="shared" ca="1" si="315"/>
        <v>1.5359905425626303E-4</v>
      </c>
      <c r="W2738" s="48">
        <f t="shared" ca="1" si="316"/>
        <v>1.2465396095013848E-3</v>
      </c>
    </row>
    <row r="2739" spans="17:23" x14ac:dyDescent="0.2">
      <c r="Q2739">
        <f t="shared" si="317"/>
        <v>2723</v>
      </c>
      <c r="R2739" s="48">
        <f t="shared" ca="1" si="318"/>
        <v>0.45</v>
      </c>
      <c r="S2739">
        <f t="shared" ca="1" si="319"/>
        <v>203.2846053275708</v>
      </c>
      <c r="T2739" s="61">
        <f t="shared" ca="1" si="313"/>
        <v>21600</v>
      </c>
      <c r="U2739" s="61">
        <f t="shared" ca="1" si="314"/>
        <v>27445.226344131152</v>
      </c>
      <c r="V2739" s="39">
        <f t="shared" ca="1" si="315"/>
        <v>0.18056069963244178</v>
      </c>
      <c r="W2739" s="48">
        <f t="shared" ca="1" si="316"/>
        <v>2.8434070875733202</v>
      </c>
    </row>
    <row r="2740" spans="17:23" x14ac:dyDescent="0.2">
      <c r="Q2740">
        <f t="shared" si="317"/>
        <v>2724</v>
      </c>
      <c r="R2740" s="48">
        <f t="shared" ca="1" si="318"/>
        <v>0.4</v>
      </c>
      <c r="S2740">
        <f t="shared" ca="1" si="319"/>
        <v>189.54246677285732</v>
      </c>
      <c r="T2740" s="61">
        <f t="shared" ca="1" si="313"/>
        <v>19200</v>
      </c>
      <c r="U2740" s="61">
        <f t="shared" ca="1" si="314"/>
        <v>18980.384050971516</v>
      </c>
      <c r="V2740" s="39">
        <f t="shared" ca="1" si="315"/>
        <v>0.12487094770375998</v>
      </c>
      <c r="W2740" s="48">
        <f t="shared" ca="1" si="316"/>
        <v>1.5971658290348016</v>
      </c>
    </row>
    <row r="2741" spans="17:23" x14ac:dyDescent="0.2">
      <c r="Q2741">
        <f t="shared" si="317"/>
        <v>2725</v>
      </c>
      <c r="R2741" s="48">
        <f t="shared" ca="1" si="318"/>
        <v>0.3</v>
      </c>
      <c r="S2741">
        <f t="shared" ca="1" si="319"/>
        <v>186.48033281534916</v>
      </c>
      <c r="T2741" s="61">
        <f t="shared" ca="1" si="313"/>
        <v>14400</v>
      </c>
      <c r="U2741" s="61">
        <f t="shared" ca="1" si="314"/>
        <v>12428.986376595529</v>
      </c>
      <c r="V2741" s="39">
        <f t="shared" ca="1" si="315"/>
        <v>8.1769647214444269E-2</v>
      </c>
      <c r="W2741" s="48">
        <f t="shared" ca="1" si="316"/>
        <v>0.89178199509710687</v>
      </c>
    </row>
    <row r="2742" spans="17:23" x14ac:dyDescent="0.2">
      <c r="Q2742">
        <f t="shared" si="317"/>
        <v>2726</v>
      </c>
      <c r="R2742" s="48">
        <f t="shared" ca="1" si="318"/>
        <v>0.45</v>
      </c>
      <c r="S2742">
        <f t="shared" ca="1" si="319"/>
        <v>176.04443468256926</v>
      </c>
      <c r="T2742" s="61">
        <f t="shared" ca="1" si="313"/>
        <v>21600</v>
      </c>
      <c r="U2742" s="61">
        <f t="shared" ca="1" si="314"/>
        <v>15459.551260330474</v>
      </c>
      <c r="V2742" s="39">
        <f t="shared" ca="1" si="315"/>
        <v>0.10170757408112154</v>
      </c>
      <c r="W2742" s="48">
        <f t="shared" ca="1" si="316"/>
        <v>1.1938388271504552</v>
      </c>
    </row>
    <row r="2743" spans="17:23" x14ac:dyDescent="0.2">
      <c r="Q2743">
        <f t="shared" si="317"/>
        <v>2727</v>
      </c>
      <c r="R2743" s="48">
        <f t="shared" ca="1" si="318"/>
        <v>0.35</v>
      </c>
      <c r="S2743">
        <f t="shared" ca="1" si="319"/>
        <v>193.5308413345733</v>
      </c>
      <c r="T2743" s="61">
        <f t="shared" ca="1" si="313"/>
        <v>16800</v>
      </c>
      <c r="U2743" s="61">
        <f t="shared" ca="1" si="314"/>
        <v>18636.037493978114</v>
      </c>
      <c r="V2743" s="39">
        <f t="shared" ca="1" si="315"/>
        <v>0.12260550982880339</v>
      </c>
      <c r="W2743" s="48">
        <f t="shared" ca="1" si="316"/>
        <v>1.5550426389447276</v>
      </c>
    </row>
    <row r="2744" spans="17:23" x14ac:dyDescent="0.2">
      <c r="Q2744">
        <f t="shared" si="317"/>
        <v>2728</v>
      </c>
      <c r="R2744" s="48">
        <f t="shared" ca="1" si="318"/>
        <v>0.35</v>
      </c>
      <c r="S2744">
        <f t="shared" ca="1" si="319"/>
        <v>223.97423206188213</v>
      </c>
      <c r="T2744" s="61">
        <f t="shared" ca="1" si="313"/>
        <v>16800</v>
      </c>
      <c r="U2744" s="61">
        <f t="shared" ca="1" si="314"/>
        <v>34466.600672178713</v>
      </c>
      <c r="V2744" s="39">
        <f t="shared" ca="1" si="315"/>
        <v>0.22675395179064942</v>
      </c>
      <c r="W2744" s="48">
        <f t="shared" ca="1" si="316"/>
        <v>4.247128088364267</v>
      </c>
    </row>
    <row r="2745" spans="17:23" x14ac:dyDescent="0.2">
      <c r="Q2745">
        <f t="shared" si="317"/>
        <v>2729</v>
      </c>
      <c r="R2745" s="48">
        <f t="shared" ca="1" si="318"/>
        <v>0.35</v>
      </c>
      <c r="S2745">
        <f t="shared" ca="1" si="319"/>
        <v>217.87902193701618</v>
      </c>
      <c r="T2745" s="61">
        <f t="shared" ref="T2745:T2808" ca="1" si="320">($B$8-$B$7)*($E$6*R2745)</f>
        <v>16800</v>
      </c>
      <c r="U2745" s="61">
        <f t="shared" ref="U2745:U2808" ca="1" si="321">T2745+((S2745-$B$7)*($E$6*(1-R2745)))</f>
        <v>31297.091407248412</v>
      </c>
      <c r="V2745" s="39">
        <f t="shared" ref="V2745:V2808" ca="1" si="322">U2745/$E$4</f>
        <v>0.20590191715295009</v>
      </c>
      <c r="W2745" s="48">
        <f t="shared" ref="W2745:W2808" ca="1" si="323">(1+V2745)^($J$29/$J$30)-1</f>
        <v>3.5659436764214485</v>
      </c>
    </row>
    <row r="2746" spans="17:23" x14ac:dyDescent="0.2">
      <c r="Q2746">
        <f t="shared" si="317"/>
        <v>2730</v>
      </c>
      <c r="R2746" s="48">
        <f t="shared" ca="1" si="318"/>
        <v>0.45</v>
      </c>
      <c r="S2746">
        <f t="shared" ca="1" si="319"/>
        <v>158.72581083813864</v>
      </c>
      <c r="T2746" s="61">
        <f t="shared" ca="1" si="320"/>
        <v>21600</v>
      </c>
      <c r="U2746" s="61">
        <f t="shared" ca="1" si="321"/>
        <v>7839.3567687810009</v>
      </c>
      <c r="V2746" s="39">
        <f t="shared" ca="1" si="322"/>
        <v>5.157471558408553E-2</v>
      </c>
      <c r="W2746" s="48">
        <f t="shared" ca="1" si="323"/>
        <v>0.50365347948654038</v>
      </c>
    </row>
    <row r="2747" spans="17:23" x14ac:dyDescent="0.2">
      <c r="Q2747">
        <f t="shared" si="317"/>
        <v>2731</v>
      </c>
      <c r="R2747" s="48">
        <f t="shared" ca="1" si="318"/>
        <v>0.217</v>
      </c>
      <c r="S2747">
        <f t="shared" ca="1" si="319"/>
        <v>203.70904883431663</v>
      </c>
      <c r="T2747" s="61">
        <f t="shared" ca="1" si="320"/>
        <v>10416</v>
      </c>
      <c r="U2747" s="61">
        <f t="shared" ca="1" si="321"/>
        <v>19003.348189815937</v>
      </c>
      <c r="V2747" s="39">
        <f t="shared" ca="1" si="322"/>
        <v>0.12502202756457853</v>
      </c>
      <c r="W2747" s="48">
        <f t="shared" ca="1" si="323"/>
        <v>1.5999965124970648</v>
      </c>
    </row>
    <row r="2748" spans="17:23" x14ac:dyDescent="0.2">
      <c r="Q2748">
        <f t="shared" si="317"/>
        <v>2732</v>
      </c>
      <c r="R2748" s="48">
        <f t="shared" ca="1" si="318"/>
        <v>0.3</v>
      </c>
      <c r="S2748">
        <f t="shared" ca="1" si="319"/>
        <v>177.68579859418108</v>
      </c>
      <c r="T2748" s="61">
        <f t="shared" ca="1" si="320"/>
        <v>14400</v>
      </c>
      <c r="U2748" s="61">
        <f t="shared" ca="1" si="321"/>
        <v>7504.047212741405</v>
      </c>
      <c r="V2748" s="39">
        <f t="shared" ca="1" si="322"/>
        <v>4.9368731662772398E-2</v>
      </c>
      <c r="W2748" s="48">
        <f t="shared" ca="1" si="323"/>
        <v>0.4782582133460811</v>
      </c>
    </row>
    <row r="2749" spans="17:23" x14ac:dyDescent="0.2">
      <c r="Q2749">
        <f t="shared" si="317"/>
        <v>2733</v>
      </c>
      <c r="R2749" s="48">
        <f t="shared" ca="1" si="318"/>
        <v>0.45</v>
      </c>
      <c r="S2749">
        <f t="shared" ca="1" si="319"/>
        <v>196.42230456523566</v>
      </c>
      <c r="T2749" s="61">
        <f t="shared" ca="1" si="320"/>
        <v>21600</v>
      </c>
      <c r="U2749" s="61">
        <f t="shared" ca="1" si="321"/>
        <v>24425.814008703692</v>
      </c>
      <c r="V2749" s="39">
        <f t="shared" ca="1" si="322"/>
        <v>0.16069614479410324</v>
      </c>
      <c r="W2749" s="48">
        <f t="shared" ca="1" si="323"/>
        <v>2.349186135580839</v>
      </c>
    </row>
    <row r="2750" spans="17:23" x14ac:dyDescent="0.2">
      <c r="Q2750">
        <f t="shared" si="317"/>
        <v>2734</v>
      </c>
      <c r="R2750" s="48">
        <f t="shared" ca="1" si="318"/>
        <v>0.45</v>
      </c>
      <c r="S2750">
        <f t="shared" ca="1" si="319"/>
        <v>189.94477903449206</v>
      </c>
      <c r="T2750" s="61">
        <f t="shared" ca="1" si="320"/>
        <v>21600</v>
      </c>
      <c r="U2750" s="61">
        <f t="shared" ca="1" si="321"/>
        <v>21575.702775176505</v>
      </c>
      <c r="V2750" s="39">
        <f t="shared" ca="1" si="322"/>
        <v>0.14194541299458227</v>
      </c>
      <c r="W2750" s="48">
        <f t="shared" ca="1" si="323"/>
        <v>1.9347275778424833</v>
      </c>
    </row>
    <row r="2751" spans="17:23" x14ac:dyDescent="0.2">
      <c r="Q2751">
        <f t="shared" si="317"/>
        <v>2735</v>
      </c>
      <c r="R2751" s="48">
        <f t="shared" ca="1" si="318"/>
        <v>0.4</v>
      </c>
      <c r="S2751">
        <f t="shared" ca="1" si="319"/>
        <v>215.60309144424656</v>
      </c>
      <c r="T2751" s="61">
        <f t="shared" ca="1" si="320"/>
        <v>19200</v>
      </c>
      <c r="U2751" s="61">
        <f t="shared" ca="1" si="321"/>
        <v>31489.48389323835</v>
      </c>
      <c r="V2751" s="39">
        <f t="shared" ca="1" si="322"/>
        <v>0.20716765719235758</v>
      </c>
      <c r="W2751" s="48">
        <f t="shared" ca="1" si="323"/>
        <v>3.6049616449984185</v>
      </c>
    </row>
    <row r="2752" spans="17:23" x14ac:dyDescent="0.2">
      <c r="Q2752">
        <f t="shared" si="317"/>
        <v>2736</v>
      </c>
      <c r="R2752" s="48">
        <f t="shared" ca="1" si="318"/>
        <v>0.45</v>
      </c>
      <c r="S2752">
        <f t="shared" ca="1" si="319"/>
        <v>155.83714029860252</v>
      </c>
      <c r="T2752" s="61">
        <f t="shared" ca="1" si="320"/>
        <v>21600</v>
      </c>
      <c r="U2752" s="61">
        <f t="shared" ca="1" si="321"/>
        <v>6568.3417313851078</v>
      </c>
      <c r="V2752" s="39">
        <f t="shared" ca="1" si="322"/>
        <v>4.3212774548586234E-2</v>
      </c>
      <c r="W2752" s="48">
        <f t="shared" ca="1" si="323"/>
        <v>0.40936864460109712</v>
      </c>
    </row>
    <row r="2753" spans="17:23" x14ac:dyDescent="0.2">
      <c r="Q2753">
        <f t="shared" si="317"/>
        <v>2737</v>
      </c>
      <c r="R2753" s="48">
        <f t="shared" ca="1" si="318"/>
        <v>0.3</v>
      </c>
      <c r="S2753">
        <f t="shared" ca="1" si="319"/>
        <v>171.46743795343227</v>
      </c>
      <c r="T2753" s="61">
        <f t="shared" ca="1" si="320"/>
        <v>14400</v>
      </c>
      <c r="U2753" s="61">
        <f t="shared" ca="1" si="321"/>
        <v>4021.765253922069</v>
      </c>
      <c r="V2753" s="39">
        <f t="shared" ca="1" si="322"/>
        <v>2.6458981933697823E-2</v>
      </c>
      <c r="W2753" s="48">
        <f t="shared" ca="1" si="323"/>
        <v>0.23592743359589141</v>
      </c>
    </row>
    <row r="2754" spans="17:23" x14ac:dyDescent="0.2">
      <c r="Q2754">
        <f t="shared" si="317"/>
        <v>2738</v>
      </c>
      <c r="R2754" s="48">
        <f t="shared" ca="1" si="318"/>
        <v>0.5</v>
      </c>
      <c r="S2754">
        <f t="shared" ca="1" si="319"/>
        <v>149.50815824803692</v>
      </c>
      <c r="T2754" s="61">
        <f t="shared" ca="1" si="320"/>
        <v>24000</v>
      </c>
      <c r="U2754" s="61">
        <f t="shared" ca="1" si="321"/>
        <v>7803.2632992147683</v>
      </c>
      <c r="V2754" s="39">
        <f t="shared" ca="1" si="322"/>
        <v>5.1337258547465583E-2</v>
      </c>
      <c r="W2754" s="48">
        <f t="shared" ca="1" si="323"/>
        <v>0.50090163203361637</v>
      </c>
    </row>
    <row r="2755" spans="17:23" x14ac:dyDescent="0.2">
      <c r="Q2755">
        <f t="shared" si="317"/>
        <v>2739</v>
      </c>
      <c r="R2755" s="48">
        <f t="shared" ca="1" si="318"/>
        <v>0.3</v>
      </c>
      <c r="S2755">
        <f t="shared" ca="1" si="319"/>
        <v>190.95799424395491</v>
      </c>
      <c r="T2755" s="61">
        <f t="shared" ca="1" si="320"/>
        <v>14400</v>
      </c>
      <c r="U2755" s="61">
        <f t="shared" ca="1" si="321"/>
        <v>14936.476776614752</v>
      </c>
      <c r="V2755" s="39">
        <f t="shared" ca="1" si="322"/>
        <v>9.8266294582991798E-2</v>
      </c>
      <c r="W2755" s="48">
        <f t="shared" ca="1" si="323"/>
        <v>1.1388696425522875</v>
      </c>
    </row>
    <row r="2756" spans="17:23" x14ac:dyDescent="0.2">
      <c r="Q2756">
        <f t="shared" si="317"/>
        <v>2740</v>
      </c>
      <c r="R2756" s="48">
        <f t="shared" ca="1" si="318"/>
        <v>0.5</v>
      </c>
      <c r="S2756">
        <f t="shared" ca="1" si="319"/>
        <v>200.49202862495889</v>
      </c>
      <c r="T2756" s="61">
        <f t="shared" ca="1" si="320"/>
        <v>24000</v>
      </c>
      <c r="U2756" s="61">
        <f t="shared" ca="1" si="321"/>
        <v>28196.811449983557</v>
      </c>
      <c r="V2756" s="39">
        <f t="shared" ca="1" si="322"/>
        <v>0.18550533848673392</v>
      </c>
      <c r="W2756" s="48">
        <f t="shared" ca="1" si="323"/>
        <v>2.9759380925767851</v>
      </c>
    </row>
    <row r="2757" spans="17:23" x14ac:dyDescent="0.2">
      <c r="Q2757">
        <f t="shared" si="317"/>
        <v>2741</v>
      </c>
      <c r="R2757" s="48">
        <f t="shared" ca="1" si="318"/>
        <v>0.217</v>
      </c>
      <c r="S2757">
        <f t="shared" ca="1" si="319"/>
        <v>193.9639094488023</v>
      </c>
      <c r="T2757" s="61">
        <f t="shared" ca="1" si="320"/>
        <v>10416</v>
      </c>
      <c r="U2757" s="61">
        <f t="shared" ca="1" si="321"/>
        <v>12898.992878729759</v>
      </c>
      <c r="V2757" s="39">
        <f t="shared" ca="1" si="322"/>
        <v>8.4861795254801045E-2</v>
      </c>
      <c r="W2757" s="48">
        <f t="shared" ca="1" si="323"/>
        <v>0.9360912071905616</v>
      </c>
    </row>
    <row r="2758" spans="17:23" x14ac:dyDescent="0.2">
      <c r="Q2758">
        <f t="shared" si="317"/>
        <v>2742</v>
      </c>
      <c r="R2758" s="48">
        <f t="shared" ca="1" si="318"/>
        <v>0.3</v>
      </c>
      <c r="S2758">
        <f t="shared" ca="1" si="319"/>
        <v>212.99645359217766</v>
      </c>
      <c r="T2758" s="61">
        <f t="shared" ca="1" si="320"/>
        <v>14400</v>
      </c>
      <c r="U2758" s="61">
        <f t="shared" ca="1" si="321"/>
        <v>27278.014011619489</v>
      </c>
      <c r="V2758" s="39">
        <f t="shared" ca="1" si="322"/>
        <v>0.17946061849749664</v>
      </c>
      <c r="W2758" s="48">
        <f t="shared" ca="1" si="323"/>
        <v>2.8144540196585472</v>
      </c>
    </row>
    <row r="2759" spans="17:23" x14ac:dyDescent="0.2">
      <c r="Q2759">
        <f t="shared" si="317"/>
        <v>2743</v>
      </c>
      <c r="R2759" s="48">
        <f t="shared" ca="1" si="318"/>
        <v>0.45</v>
      </c>
      <c r="S2759">
        <f t="shared" ca="1" si="319"/>
        <v>192.01239340103817</v>
      </c>
      <c r="T2759" s="61">
        <f t="shared" ca="1" si="320"/>
        <v>21600</v>
      </c>
      <c r="U2759" s="61">
        <f t="shared" ca="1" si="321"/>
        <v>22485.453096456793</v>
      </c>
      <c r="V2759" s="39">
        <f t="shared" ca="1" si="322"/>
        <v>0.14793061247668943</v>
      </c>
      <c r="W2759" s="48">
        <f t="shared" ca="1" si="323"/>
        <v>2.061839305427049</v>
      </c>
    </row>
    <row r="2760" spans="17:23" x14ac:dyDescent="0.2">
      <c r="Q2760">
        <f t="shared" si="317"/>
        <v>2744</v>
      </c>
      <c r="R2760" s="48">
        <f t="shared" ca="1" si="318"/>
        <v>0.5</v>
      </c>
      <c r="S2760">
        <f t="shared" ca="1" si="319"/>
        <v>178.57859311840286</v>
      </c>
      <c r="T2760" s="61">
        <f t="shared" ca="1" si="320"/>
        <v>24000</v>
      </c>
      <c r="U2760" s="61">
        <f t="shared" ca="1" si="321"/>
        <v>19431.437247361144</v>
      </c>
      <c r="V2760" s="39">
        <f t="shared" ca="1" si="322"/>
        <v>0.12783840294316542</v>
      </c>
      <c r="W2760" s="48">
        <f t="shared" ca="1" si="323"/>
        <v>1.6532625961479575</v>
      </c>
    </row>
    <row r="2761" spans="17:23" x14ac:dyDescent="0.2">
      <c r="Q2761">
        <f t="shared" si="317"/>
        <v>2745</v>
      </c>
      <c r="R2761" s="48">
        <f t="shared" ca="1" si="318"/>
        <v>0.4</v>
      </c>
      <c r="S2761">
        <f t="shared" ca="1" si="319"/>
        <v>167.92433613729506</v>
      </c>
      <c r="T2761" s="61">
        <f t="shared" ca="1" si="320"/>
        <v>19200</v>
      </c>
      <c r="U2761" s="61">
        <f t="shared" ca="1" si="321"/>
        <v>8603.6813459016266</v>
      </c>
      <c r="V2761" s="39">
        <f t="shared" ca="1" si="322"/>
        <v>5.6603166749352805E-2</v>
      </c>
      <c r="W2761" s="48">
        <f t="shared" ca="1" si="323"/>
        <v>0.56297539953918641</v>
      </c>
    </row>
    <row r="2762" spans="17:23" x14ac:dyDescent="0.2">
      <c r="Q2762">
        <f t="shared" si="317"/>
        <v>2746</v>
      </c>
      <c r="R2762" s="48">
        <f t="shared" ca="1" si="318"/>
        <v>0.45</v>
      </c>
      <c r="S2762">
        <f t="shared" ca="1" si="319"/>
        <v>184.33690102377238</v>
      </c>
      <c r="T2762" s="61">
        <f t="shared" ca="1" si="320"/>
        <v>21600</v>
      </c>
      <c r="U2762" s="61">
        <f t="shared" ca="1" si="321"/>
        <v>19108.236450459848</v>
      </c>
      <c r="V2762" s="39">
        <f t="shared" ca="1" si="322"/>
        <v>0.12571208191092006</v>
      </c>
      <c r="W2762" s="48">
        <f t="shared" ca="1" si="323"/>
        <v>1.6129600245577276</v>
      </c>
    </row>
    <row r="2763" spans="17:23" x14ac:dyDescent="0.2">
      <c r="Q2763">
        <f t="shared" si="317"/>
        <v>2747</v>
      </c>
      <c r="R2763" s="48">
        <f t="shared" ca="1" si="318"/>
        <v>0.35</v>
      </c>
      <c r="S2763">
        <f t="shared" ca="1" si="319"/>
        <v>206.63326716252948</v>
      </c>
      <c r="T2763" s="61">
        <f t="shared" ca="1" si="320"/>
        <v>16800</v>
      </c>
      <c r="U2763" s="61">
        <f t="shared" ca="1" si="321"/>
        <v>25449.298924515329</v>
      </c>
      <c r="V2763" s="39">
        <f t="shared" ca="1" si="322"/>
        <v>0.16742959818760086</v>
      </c>
      <c r="W2763" s="48">
        <f t="shared" ca="1" si="323"/>
        <v>2.5100691879402572</v>
      </c>
    </row>
    <row r="2764" spans="17:23" x14ac:dyDescent="0.2">
      <c r="Q2764">
        <f t="shared" si="317"/>
        <v>2748</v>
      </c>
      <c r="R2764" s="48">
        <f t="shared" ca="1" si="318"/>
        <v>0.4</v>
      </c>
      <c r="S2764">
        <f t="shared" ca="1" si="319"/>
        <v>185.96312337987456</v>
      </c>
      <c r="T2764" s="61">
        <f t="shared" ca="1" si="320"/>
        <v>19200</v>
      </c>
      <c r="U2764" s="61">
        <f t="shared" ca="1" si="321"/>
        <v>17262.299222339789</v>
      </c>
      <c r="V2764" s="39">
        <f t="shared" ca="1" si="322"/>
        <v>0.11356775804170914</v>
      </c>
      <c r="W2764" s="48">
        <f t="shared" ca="1" si="323"/>
        <v>1.3928965449870945</v>
      </c>
    </row>
    <row r="2765" spans="17:23" x14ac:dyDescent="0.2">
      <c r="Q2765">
        <f t="shared" si="317"/>
        <v>2749</v>
      </c>
      <c r="R2765" s="48">
        <f t="shared" ca="1" si="318"/>
        <v>0.4</v>
      </c>
      <c r="S2765">
        <f t="shared" ca="1" si="319"/>
        <v>190.85900811024058</v>
      </c>
      <c r="T2765" s="61">
        <f t="shared" ca="1" si="320"/>
        <v>19200</v>
      </c>
      <c r="U2765" s="61">
        <f t="shared" ca="1" si="321"/>
        <v>19612.32389291548</v>
      </c>
      <c r="V2765" s="39">
        <f t="shared" ca="1" si="322"/>
        <v>0.12902844666391763</v>
      </c>
      <c r="W2765" s="48">
        <f t="shared" ca="1" si="323"/>
        <v>1.6760558535282244</v>
      </c>
    </row>
    <row r="2766" spans="17:23" x14ac:dyDescent="0.2">
      <c r="Q2766">
        <f t="shared" si="317"/>
        <v>2750</v>
      </c>
      <c r="R2766" s="48">
        <f t="shared" ca="1" si="318"/>
        <v>0.3</v>
      </c>
      <c r="S2766">
        <f t="shared" ca="1" si="319"/>
        <v>169.78123550025637</v>
      </c>
      <c r="T2766" s="61">
        <f t="shared" ca="1" si="320"/>
        <v>14400</v>
      </c>
      <c r="U2766" s="61">
        <f t="shared" ca="1" si="321"/>
        <v>3077.4918801435688</v>
      </c>
      <c r="V2766" s="39">
        <f t="shared" ca="1" si="322"/>
        <v>2.024665710620769E-2</v>
      </c>
      <c r="W2766" s="48">
        <f t="shared" ca="1" si="323"/>
        <v>0.17654538847035095</v>
      </c>
    </row>
    <row r="2767" spans="17:23" x14ac:dyDescent="0.2">
      <c r="Q2767">
        <f t="shared" si="317"/>
        <v>2751</v>
      </c>
      <c r="R2767" s="48">
        <f t="shared" ca="1" si="318"/>
        <v>0.35</v>
      </c>
      <c r="S2767">
        <f t="shared" ca="1" si="319"/>
        <v>192.05689505634973</v>
      </c>
      <c r="T2767" s="61">
        <f t="shared" ca="1" si="320"/>
        <v>16800</v>
      </c>
      <c r="U2767" s="61">
        <f t="shared" ca="1" si="321"/>
        <v>17869.58542930186</v>
      </c>
      <c r="V2767" s="39">
        <f t="shared" ca="1" si="322"/>
        <v>0.11756306203488066</v>
      </c>
      <c r="W2767" s="48">
        <f t="shared" ca="1" si="323"/>
        <v>1.4634279883744874</v>
      </c>
    </row>
    <row r="2768" spans="17:23" x14ac:dyDescent="0.2">
      <c r="Q2768">
        <f t="shared" si="317"/>
        <v>2752</v>
      </c>
      <c r="R2768" s="48">
        <f t="shared" ca="1" si="318"/>
        <v>0.45</v>
      </c>
      <c r="S2768">
        <f t="shared" ca="1" si="319"/>
        <v>182.23380212292903</v>
      </c>
      <c r="T2768" s="61">
        <f t="shared" ca="1" si="320"/>
        <v>21600</v>
      </c>
      <c r="U2768" s="61">
        <f t="shared" ca="1" si="321"/>
        <v>18182.872934088773</v>
      </c>
      <c r="V2768" s="39">
        <f t="shared" ca="1" si="322"/>
        <v>0.11962416404005771</v>
      </c>
      <c r="W2768" s="48">
        <f t="shared" ca="1" si="323"/>
        <v>1.5005214095197017</v>
      </c>
    </row>
    <row r="2769" spans="17:23" x14ac:dyDescent="0.2">
      <c r="Q2769">
        <f t="shared" si="317"/>
        <v>2753</v>
      </c>
      <c r="R2769" s="48">
        <f t="shared" ca="1" si="318"/>
        <v>0.45</v>
      </c>
      <c r="S2769">
        <f t="shared" ca="1" si="319"/>
        <v>212.4713115764834</v>
      </c>
      <c r="T2769" s="61">
        <f t="shared" ca="1" si="320"/>
        <v>21600</v>
      </c>
      <c r="U2769" s="61">
        <f t="shared" ca="1" si="321"/>
        <v>31487.3770936527</v>
      </c>
      <c r="V2769" s="39">
        <f t="shared" ca="1" si="322"/>
        <v>0.20715379666876776</v>
      </c>
      <c r="W2769" s="48">
        <f t="shared" ca="1" si="323"/>
        <v>3.6045327996701264</v>
      </c>
    </row>
    <row r="2770" spans="17:23" x14ac:dyDescent="0.2">
      <c r="Q2770">
        <f t="shared" si="317"/>
        <v>2754</v>
      </c>
      <c r="R2770" s="48">
        <f t="shared" ca="1" si="318"/>
        <v>0.45</v>
      </c>
      <c r="S2770">
        <f t="shared" ca="1" si="319"/>
        <v>197.32765444432977</v>
      </c>
      <c r="T2770" s="61">
        <f t="shared" ca="1" si="320"/>
        <v>21600</v>
      </c>
      <c r="U2770" s="61">
        <f t="shared" ca="1" si="321"/>
        <v>24824.167955505098</v>
      </c>
      <c r="V2770" s="39">
        <f t="shared" ca="1" si="322"/>
        <v>0.16331689444411249</v>
      </c>
      <c r="W2770" s="48">
        <f t="shared" ca="1" si="323"/>
        <v>2.4110184120907232</v>
      </c>
    </row>
    <row r="2771" spans="17:23" x14ac:dyDescent="0.2">
      <c r="Q2771">
        <f t="shared" ref="Q2771:Q2834" si="324">Q2770+1</f>
        <v>2755</v>
      </c>
      <c r="R2771" s="48">
        <f t="shared" ref="R2771:R2834" ca="1" si="325">LOOKUP(RAND(),$U$6:$U$12,$S$6:$S$12)</f>
        <v>0.3</v>
      </c>
      <c r="S2771">
        <f t="shared" ref="S2771:S2834" ca="1" si="326">_xlfn.NORM.INV(RAND(),$Q$5,$Q$10)</f>
        <v>215.53275439113222</v>
      </c>
      <c r="T2771" s="61">
        <f t="shared" ca="1" si="320"/>
        <v>14400</v>
      </c>
      <c r="U2771" s="61">
        <f t="shared" ca="1" si="321"/>
        <v>28698.34245903404</v>
      </c>
      <c r="V2771" s="39">
        <f t="shared" ca="1" si="322"/>
        <v>0.18880488459890815</v>
      </c>
      <c r="W2771" s="48">
        <f t="shared" ca="1" si="323"/>
        <v>3.0665888636333483</v>
      </c>
    </row>
    <row r="2772" spans="17:23" x14ac:dyDescent="0.2">
      <c r="Q2772">
        <f t="shared" si="324"/>
        <v>2756</v>
      </c>
      <c r="R2772" s="48">
        <f t="shared" ca="1" si="325"/>
        <v>0.4</v>
      </c>
      <c r="S2772">
        <f t="shared" ca="1" si="326"/>
        <v>185.00439553495599</v>
      </c>
      <c r="T2772" s="61">
        <f t="shared" ca="1" si="320"/>
        <v>19200</v>
      </c>
      <c r="U2772" s="61">
        <f t="shared" ca="1" si="321"/>
        <v>16802.109856778876</v>
      </c>
      <c r="V2772" s="39">
        <f t="shared" ca="1" si="322"/>
        <v>0.11054019642617681</v>
      </c>
      <c r="W2772" s="48">
        <f t="shared" ca="1" si="323"/>
        <v>1.3406346275009122</v>
      </c>
    </row>
    <row r="2773" spans="17:23" x14ac:dyDescent="0.2">
      <c r="Q2773">
        <f t="shared" si="324"/>
        <v>2757</v>
      </c>
      <c r="R2773" s="48">
        <f t="shared" ca="1" si="325"/>
        <v>0.3</v>
      </c>
      <c r="S2773">
        <f t="shared" ca="1" si="326"/>
        <v>188.38517472729427</v>
      </c>
      <c r="T2773" s="61">
        <f t="shared" ca="1" si="320"/>
        <v>14400</v>
      </c>
      <c r="U2773" s="61">
        <f t="shared" ca="1" si="321"/>
        <v>13495.697847284791</v>
      </c>
      <c r="V2773" s="39">
        <f t="shared" ca="1" si="322"/>
        <v>8.878748583739994E-2</v>
      </c>
      <c r="W2773" s="48">
        <f t="shared" ca="1" si="323"/>
        <v>0.99365385061767886</v>
      </c>
    </row>
    <row r="2774" spans="17:23" x14ac:dyDescent="0.2">
      <c r="Q2774">
        <f t="shared" si="324"/>
        <v>2758</v>
      </c>
      <c r="R2774" s="48">
        <f t="shared" ca="1" si="325"/>
        <v>0.35</v>
      </c>
      <c r="S2774">
        <f t="shared" ca="1" si="326"/>
        <v>156.94978448987717</v>
      </c>
      <c r="T2774" s="61">
        <f t="shared" ca="1" si="320"/>
        <v>16800</v>
      </c>
      <c r="U2774" s="61">
        <f t="shared" ca="1" si="321"/>
        <v>-386.11206526387105</v>
      </c>
      <c r="V2774" s="39">
        <f t="shared" ca="1" si="322"/>
        <v>-2.5402109556833621E-3</v>
      </c>
      <c r="W2774" s="48">
        <f t="shared" ca="1" si="323"/>
        <v>-2.0418801255975061E-2</v>
      </c>
    </row>
    <row r="2775" spans="17:23" x14ac:dyDescent="0.2">
      <c r="Q2775">
        <f t="shared" si="324"/>
        <v>2759</v>
      </c>
      <c r="R2775" s="48">
        <f t="shared" ca="1" si="325"/>
        <v>0.4</v>
      </c>
      <c r="S2775">
        <f t="shared" ca="1" si="326"/>
        <v>212.53357279415576</v>
      </c>
      <c r="T2775" s="61">
        <f t="shared" ca="1" si="320"/>
        <v>19200</v>
      </c>
      <c r="U2775" s="61">
        <f t="shared" ca="1" si="321"/>
        <v>30016.114941194763</v>
      </c>
      <c r="V2775" s="39">
        <f t="shared" ca="1" si="322"/>
        <v>0.19747444040259712</v>
      </c>
      <c r="W2775" s="48">
        <f t="shared" ca="1" si="323"/>
        <v>3.31346490650352</v>
      </c>
    </row>
    <row r="2776" spans="17:23" x14ac:dyDescent="0.2">
      <c r="Q2776">
        <f t="shared" si="324"/>
        <v>2760</v>
      </c>
      <c r="R2776" s="48">
        <f t="shared" ca="1" si="325"/>
        <v>0.4</v>
      </c>
      <c r="S2776">
        <f t="shared" ca="1" si="326"/>
        <v>190.9208322856816</v>
      </c>
      <c r="T2776" s="61">
        <f t="shared" ca="1" si="320"/>
        <v>19200</v>
      </c>
      <c r="U2776" s="61">
        <f t="shared" ca="1" si="321"/>
        <v>19641.999497127166</v>
      </c>
      <c r="V2776" s="39">
        <f t="shared" ca="1" si="322"/>
        <v>0.12922368090215242</v>
      </c>
      <c r="W2776" s="48">
        <f t="shared" ca="1" si="323"/>
        <v>1.6798115773908444</v>
      </c>
    </row>
    <row r="2777" spans="17:23" x14ac:dyDescent="0.2">
      <c r="Q2777">
        <f t="shared" si="324"/>
        <v>2761</v>
      </c>
      <c r="R2777" s="48">
        <f t="shared" ca="1" si="325"/>
        <v>0.15</v>
      </c>
      <c r="S2777">
        <f t="shared" ca="1" si="326"/>
        <v>174.36488101498171</v>
      </c>
      <c r="T2777" s="61">
        <f t="shared" ca="1" si="320"/>
        <v>7200</v>
      </c>
      <c r="U2777" s="61">
        <f t="shared" ca="1" si="321"/>
        <v>-3431.8809098124402</v>
      </c>
      <c r="V2777" s="39">
        <f t="shared" ca="1" si="322"/>
        <v>-2.2578163880345E-2</v>
      </c>
      <c r="W2777" s="48">
        <f t="shared" ca="1" si="323"/>
        <v>-0.16908939590528627</v>
      </c>
    </row>
    <row r="2778" spans="17:23" x14ac:dyDescent="0.2">
      <c r="Q2778">
        <f t="shared" si="324"/>
        <v>2762</v>
      </c>
      <c r="R2778" s="48">
        <f t="shared" ca="1" si="325"/>
        <v>0.4</v>
      </c>
      <c r="S2778">
        <f t="shared" ca="1" si="326"/>
        <v>190.28807287070919</v>
      </c>
      <c r="T2778" s="61">
        <f t="shared" ca="1" si="320"/>
        <v>19200</v>
      </c>
      <c r="U2778" s="61">
        <f t="shared" ca="1" si="321"/>
        <v>19338.274977940411</v>
      </c>
      <c r="V2778" s="39">
        <f t="shared" ca="1" si="322"/>
        <v>0.12722549327592375</v>
      </c>
      <c r="W2778" s="48">
        <f t="shared" ca="1" si="323"/>
        <v>1.641589900997714</v>
      </c>
    </row>
    <row r="2779" spans="17:23" x14ac:dyDescent="0.2">
      <c r="Q2779">
        <f t="shared" si="324"/>
        <v>2763</v>
      </c>
      <c r="R2779" s="48">
        <f t="shared" ca="1" si="325"/>
        <v>0.4</v>
      </c>
      <c r="S2779">
        <f t="shared" ca="1" si="326"/>
        <v>198.88827299999161</v>
      </c>
      <c r="T2779" s="61">
        <f t="shared" ca="1" si="320"/>
        <v>19200</v>
      </c>
      <c r="U2779" s="61">
        <f t="shared" ca="1" si="321"/>
        <v>23466.371039995975</v>
      </c>
      <c r="V2779" s="39">
        <f t="shared" ca="1" si="322"/>
        <v>0.1543840199999735</v>
      </c>
      <c r="W2779" s="48">
        <f t="shared" ca="1" si="323"/>
        <v>2.2042785439164239</v>
      </c>
    </row>
    <row r="2780" spans="17:23" x14ac:dyDescent="0.2">
      <c r="Q2780">
        <f t="shared" si="324"/>
        <v>2764</v>
      </c>
      <c r="R2780" s="48">
        <f t="shared" ca="1" si="325"/>
        <v>0.45</v>
      </c>
      <c r="S2780">
        <f t="shared" ca="1" si="326"/>
        <v>144.5737663917825</v>
      </c>
      <c r="T2780" s="61">
        <f t="shared" ca="1" si="320"/>
        <v>21600</v>
      </c>
      <c r="U2780" s="61">
        <f t="shared" ca="1" si="321"/>
        <v>1612.4572123842954</v>
      </c>
      <c r="V2780" s="39">
        <f t="shared" ca="1" si="322"/>
        <v>1.0608271134107207E-2</v>
      </c>
      <c r="W2780" s="48">
        <f t="shared" ca="1" si="323"/>
        <v>8.9361423393597539E-2</v>
      </c>
    </row>
    <row r="2781" spans="17:23" x14ac:dyDescent="0.2">
      <c r="Q2781">
        <f t="shared" si="324"/>
        <v>2765</v>
      </c>
      <c r="R2781" s="48">
        <f t="shared" ca="1" si="325"/>
        <v>0.45</v>
      </c>
      <c r="S2781">
        <f t="shared" ca="1" si="326"/>
        <v>167.42483129537084</v>
      </c>
      <c r="T2781" s="61">
        <f t="shared" ca="1" si="320"/>
        <v>21600</v>
      </c>
      <c r="U2781" s="61">
        <f t="shared" ca="1" si="321"/>
        <v>11666.925769963167</v>
      </c>
      <c r="V2781" s="39">
        <f t="shared" ca="1" si="322"/>
        <v>7.6756090591862947E-2</v>
      </c>
      <c r="W2781" s="48">
        <f t="shared" ca="1" si="323"/>
        <v>0.82182764943751274</v>
      </c>
    </row>
    <row r="2782" spans="17:23" x14ac:dyDescent="0.2">
      <c r="Q2782">
        <f t="shared" si="324"/>
        <v>2766</v>
      </c>
      <c r="R2782" s="48">
        <f t="shared" ca="1" si="325"/>
        <v>0.4</v>
      </c>
      <c r="S2782">
        <f t="shared" ca="1" si="326"/>
        <v>174.29946358085553</v>
      </c>
      <c r="T2782" s="61">
        <f t="shared" ca="1" si="320"/>
        <v>19200</v>
      </c>
      <c r="U2782" s="61">
        <f t="shared" ca="1" si="321"/>
        <v>11663.742518810654</v>
      </c>
      <c r="V2782" s="39">
        <f t="shared" ca="1" si="322"/>
        <v>7.6735148150070084E-2</v>
      </c>
      <c r="W2782" s="48">
        <f t="shared" ca="1" si="323"/>
        <v>0.82154026212796372</v>
      </c>
    </row>
    <row r="2783" spans="17:23" x14ac:dyDescent="0.2">
      <c r="Q2783">
        <f t="shared" si="324"/>
        <v>2767</v>
      </c>
      <c r="R2783" s="48">
        <f t="shared" ca="1" si="325"/>
        <v>0.3</v>
      </c>
      <c r="S2783">
        <f t="shared" ca="1" si="326"/>
        <v>179.09421625084772</v>
      </c>
      <c r="T2783" s="61">
        <f t="shared" ca="1" si="320"/>
        <v>14400</v>
      </c>
      <c r="U2783" s="61">
        <f t="shared" ca="1" si="321"/>
        <v>8292.761100474725</v>
      </c>
      <c r="V2783" s="39">
        <f t="shared" ca="1" si="322"/>
        <v>5.4557638818912665E-2</v>
      </c>
      <c r="W2783" s="48">
        <f t="shared" ca="1" si="323"/>
        <v>0.53860076596447848</v>
      </c>
    </row>
    <row r="2784" spans="17:23" x14ac:dyDescent="0.2">
      <c r="Q2784">
        <f t="shared" si="324"/>
        <v>2768</v>
      </c>
      <c r="R2784" s="48">
        <f t="shared" ca="1" si="325"/>
        <v>0.35</v>
      </c>
      <c r="S2784">
        <f t="shared" ca="1" si="326"/>
        <v>208.5144934179894</v>
      </c>
      <c r="T2784" s="61">
        <f t="shared" ca="1" si="320"/>
        <v>16800</v>
      </c>
      <c r="U2784" s="61">
        <f t="shared" ca="1" si="321"/>
        <v>26427.536577354487</v>
      </c>
      <c r="V2784" s="39">
        <f t="shared" ca="1" si="322"/>
        <v>0.1738653722194374</v>
      </c>
      <c r="W2784" s="48">
        <f t="shared" ca="1" si="323"/>
        <v>2.670132118560776</v>
      </c>
    </row>
    <row r="2785" spans="17:23" x14ac:dyDescent="0.2">
      <c r="Q2785">
        <f t="shared" si="324"/>
        <v>2769</v>
      </c>
      <c r="R2785" s="48">
        <f t="shared" ca="1" si="325"/>
        <v>0.4</v>
      </c>
      <c r="S2785">
        <f t="shared" ca="1" si="326"/>
        <v>209.32143967139291</v>
      </c>
      <c r="T2785" s="61">
        <f t="shared" ca="1" si="320"/>
        <v>19200</v>
      </c>
      <c r="U2785" s="61">
        <f t="shared" ca="1" si="321"/>
        <v>28474.291042268596</v>
      </c>
      <c r="V2785" s="39">
        <f t="shared" ca="1" si="322"/>
        <v>0.18733086212018812</v>
      </c>
      <c r="W2785" s="48">
        <f t="shared" ca="1" si="323"/>
        <v>3.0258705176626313</v>
      </c>
    </row>
    <row r="2786" spans="17:23" x14ac:dyDescent="0.2">
      <c r="Q2786">
        <f t="shared" si="324"/>
        <v>2770</v>
      </c>
      <c r="R2786" s="48">
        <f t="shared" ca="1" si="325"/>
        <v>0.5</v>
      </c>
      <c r="S2786">
        <f t="shared" ca="1" si="326"/>
        <v>168.02431609907572</v>
      </c>
      <c r="T2786" s="61">
        <f t="shared" ca="1" si="320"/>
        <v>24000</v>
      </c>
      <c r="U2786" s="61">
        <f t="shared" ca="1" si="321"/>
        <v>15209.726439630287</v>
      </c>
      <c r="V2786" s="39">
        <f t="shared" ca="1" si="322"/>
        <v>0.10006398973440979</v>
      </c>
      <c r="W2786" s="48">
        <f t="shared" ca="1" si="323"/>
        <v>1.1674325018775558</v>
      </c>
    </row>
    <row r="2787" spans="17:23" x14ac:dyDescent="0.2">
      <c r="Q2787">
        <f t="shared" si="324"/>
        <v>2771</v>
      </c>
      <c r="R2787" s="48">
        <f t="shared" ca="1" si="325"/>
        <v>0.3</v>
      </c>
      <c r="S2787">
        <f t="shared" ca="1" si="326"/>
        <v>181.27599330160513</v>
      </c>
      <c r="T2787" s="61">
        <f t="shared" ca="1" si="320"/>
        <v>14400</v>
      </c>
      <c r="U2787" s="61">
        <f t="shared" ca="1" si="321"/>
        <v>9514.5562488988708</v>
      </c>
      <c r="V2787" s="39">
        <f t="shared" ca="1" si="322"/>
        <v>6.259576479538731E-2</v>
      </c>
      <c r="W2787" s="48">
        <f t="shared" ca="1" si="323"/>
        <v>0.63634333376009389</v>
      </c>
    </row>
    <row r="2788" spans="17:23" x14ac:dyDescent="0.2">
      <c r="Q2788">
        <f t="shared" si="324"/>
        <v>2772</v>
      </c>
      <c r="R2788" s="48">
        <f t="shared" ca="1" si="325"/>
        <v>0.217</v>
      </c>
      <c r="S2788">
        <f t="shared" ca="1" si="326"/>
        <v>196.43682203890708</v>
      </c>
      <c r="T2788" s="61">
        <f t="shared" ca="1" si="320"/>
        <v>10416</v>
      </c>
      <c r="U2788" s="61">
        <f t="shared" ca="1" si="321"/>
        <v>14448.025325171395</v>
      </c>
      <c r="V2788" s="39">
        <f t="shared" ca="1" si="322"/>
        <v>9.5052798191917073E-2</v>
      </c>
      <c r="W2788" s="48">
        <f t="shared" ca="1" si="323"/>
        <v>1.0886330576087446</v>
      </c>
    </row>
    <row r="2789" spans="17:23" x14ac:dyDescent="0.2">
      <c r="Q2789">
        <f t="shared" si="324"/>
        <v>2773</v>
      </c>
      <c r="R2789" s="48">
        <f t="shared" ca="1" si="325"/>
        <v>0.4</v>
      </c>
      <c r="S2789">
        <f t="shared" ca="1" si="326"/>
        <v>196.72557948044638</v>
      </c>
      <c r="T2789" s="61">
        <f t="shared" ca="1" si="320"/>
        <v>19200</v>
      </c>
      <c r="U2789" s="61">
        <f t="shared" ca="1" si="321"/>
        <v>22428.278150614264</v>
      </c>
      <c r="V2789" s="39">
        <f t="shared" ca="1" si="322"/>
        <v>0.14755446151719911</v>
      </c>
      <c r="W2789" s="48">
        <f t="shared" ca="1" si="323"/>
        <v>2.0537109377882024</v>
      </c>
    </row>
    <row r="2790" spans="17:23" x14ac:dyDescent="0.2">
      <c r="Q2790">
        <f t="shared" si="324"/>
        <v>2774</v>
      </c>
      <c r="R2790" s="48">
        <f t="shared" ca="1" si="325"/>
        <v>0.5</v>
      </c>
      <c r="S2790">
        <f t="shared" ca="1" si="326"/>
        <v>212.10278043626522</v>
      </c>
      <c r="T2790" s="61">
        <f t="shared" ca="1" si="320"/>
        <v>24000</v>
      </c>
      <c r="U2790" s="61">
        <f t="shared" ca="1" si="321"/>
        <v>32841.112174506088</v>
      </c>
      <c r="V2790" s="39">
        <f t="shared" ca="1" si="322"/>
        <v>0.21605994851648741</v>
      </c>
      <c r="W2790" s="48">
        <f t="shared" ca="1" si="323"/>
        <v>3.8874161883359086</v>
      </c>
    </row>
    <row r="2791" spans="17:23" x14ac:dyDescent="0.2">
      <c r="Q2791">
        <f t="shared" si="324"/>
        <v>2775</v>
      </c>
      <c r="R2791" s="48">
        <f t="shared" ca="1" si="325"/>
        <v>0.5</v>
      </c>
      <c r="S2791">
        <f t="shared" ca="1" si="326"/>
        <v>193.78712702949502</v>
      </c>
      <c r="T2791" s="61">
        <f t="shared" ca="1" si="320"/>
        <v>24000</v>
      </c>
      <c r="U2791" s="61">
        <f t="shared" ca="1" si="321"/>
        <v>25514.850811798009</v>
      </c>
      <c r="V2791" s="39">
        <f t="shared" ca="1" si="322"/>
        <v>0.16786086060393426</v>
      </c>
      <c r="W2791" s="48">
        <f t="shared" ca="1" si="323"/>
        <v>2.5206003773709331</v>
      </c>
    </row>
    <row r="2792" spans="17:23" x14ac:dyDescent="0.2">
      <c r="Q2792">
        <f t="shared" si="324"/>
        <v>2776</v>
      </c>
      <c r="R2792" s="48">
        <f t="shared" ca="1" si="325"/>
        <v>0.35</v>
      </c>
      <c r="S2792">
        <f t="shared" ca="1" si="326"/>
        <v>208.22667230555888</v>
      </c>
      <c r="T2792" s="61">
        <f t="shared" ca="1" si="320"/>
        <v>16800</v>
      </c>
      <c r="U2792" s="61">
        <f t="shared" ca="1" si="321"/>
        <v>26277.869598890618</v>
      </c>
      <c r="V2792" s="39">
        <f t="shared" ca="1" si="322"/>
        <v>0.172880721045333</v>
      </c>
      <c r="W2792" s="48">
        <f t="shared" ca="1" si="323"/>
        <v>2.6452360262373764</v>
      </c>
    </row>
    <row r="2793" spans="17:23" x14ac:dyDescent="0.2">
      <c r="Q2793">
        <f t="shared" si="324"/>
        <v>2777</v>
      </c>
      <c r="R2793" s="48">
        <f t="shared" ca="1" si="325"/>
        <v>0.3</v>
      </c>
      <c r="S2793">
        <f t="shared" ca="1" si="326"/>
        <v>171.87502308281356</v>
      </c>
      <c r="T2793" s="61">
        <f t="shared" ca="1" si="320"/>
        <v>14400</v>
      </c>
      <c r="U2793" s="61">
        <f t="shared" ca="1" si="321"/>
        <v>4250.0129263755916</v>
      </c>
      <c r="V2793" s="39">
        <f t="shared" ca="1" si="322"/>
        <v>2.7960611357734155E-2</v>
      </c>
      <c r="W2793" s="48">
        <f t="shared" ca="1" si="323"/>
        <v>0.25066936312729693</v>
      </c>
    </row>
    <row r="2794" spans="17:23" x14ac:dyDescent="0.2">
      <c r="Q2794">
        <f t="shared" si="324"/>
        <v>2778</v>
      </c>
      <c r="R2794" s="48">
        <f t="shared" ca="1" si="325"/>
        <v>0.217</v>
      </c>
      <c r="S2794">
        <f t="shared" ca="1" si="326"/>
        <v>200.3983309577996</v>
      </c>
      <c r="T2794" s="61">
        <f t="shared" ca="1" si="320"/>
        <v>10416</v>
      </c>
      <c r="U2794" s="61">
        <f t="shared" ca="1" si="321"/>
        <v>16929.51451196567</v>
      </c>
      <c r="V2794" s="39">
        <f t="shared" ca="1" si="322"/>
        <v>0.11137838494714257</v>
      </c>
      <c r="W2794" s="48">
        <f t="shared" ca="1" si="323"/>
        <v>1.3550023223417536</v>
      </c>
    </row>
    <row r="2795" spans="17:23" x14ac:dyDescent="0.2">
      <c r="Q2795">
        <f t="shared" si="324"/>
        <v>2779</v>
      </c>
      <c r="R2795" s="48">
        <f t="shared" ca="1" si="325"/>
        <v>0.35</v>
      </c>
      <c r="S2795">
        <f t="shared" ca="1" si="326"/>
        <v>199.32148895382824</v>
      </c>
      <c r="T2795" s="61">
        <f t="shared" ca="1" si="320"/>
        <v>16800</v>
      </c>
      <c r="U2795" s="61">
        <f t="shared" ca="1" si="321"/>
        <v>21647.174255990685</v>
      </c>
      <c r="V2795" s="39">
        <f t="shared" ca="1" si="322"/>
        <v>0.14241562010520187</v>
      </c>
      <c r="W2795" s="48">
        <f t="shared" ca="1" si="323"/>
        <v>1.9445434271343416</v>
      </c>
    </row>
    <row r="2796" spans="17:23" x14ac:dyDescent="0.2">
      <c r="Q2796">
        <f t="shared" si="324"/>
        <v>2780</v>
      </c>
      <c r="R2796" s="48">
        <f t="shared" ca="1" si="325"/>
        <v>0.35</v>
      </c>
      <c r="S2796">
        <f t="shared" ca="1" si="326"/>
        <v>163.13892117256904</v>
      </c>
      <c r="T2796" s="61">
        <f t="shared" ca="1" si="320"/>
        <v>16800</v>
      </c>
      <c r="U2796" s="61">
        <f t="shared" ca="1" si="321"/>
        <v>2832.2390097359021</v>
      </c>
      <c r="V2796" s="39">
        <f t="shared" ca="1" si="322"/>
        <v>1.8633151379841461E-2</v>
      </c>
      <c r="W2796" s="48">
        <f t="shared" ca="1" si="323"/>
        <v>0.16153771725485822</v>
      </c>
    </row>
    <row r="2797" spans="17:23" x14ac:dyDescent="0.2">
      <c r="Q2797">
        <f t="shared" si="324"/>
        <v>2781</v>
      </c>
      <c r="R2797" s="48">
        <f t="shared" ca="1" si="325"/>
        <v>0.35</v>
      </c>
      <c r="S2797">
        <f t="shared" ca="1" si="326"/>
        <v>198.74067648999142</v>
      </c>
      <c r="T2797" s="61">
        <f t="shared" ca="1" si="320"/>
        <v>16800</v>
      </c>
      <c r="U2797" s="61">
        <f t="shared" ca="1" si="321"/>
        <v>21345.151774795537</v>
      </c>
      <c r="V2797" s="39">
        <f t="shared" ca="1" si="322"/>
        <v>0.14042863009733905</v>
      </c>
      <c r="W2797" s="48">
        <f t="shared" ca="1" si="323"/>
        <v>1.9032590873685384</v>
      </c>
    </row>
    <row r="2798" spans="17:23" x14ac:dyDescent="0.2">
      <c r="Q2798">
        <f t="shared" si="324"/>
        <v>2782</v>
      </c>
      <c r="R2798" s="48">
        <f t="shared" ca="1" si="325"/>
        <v>0.3</v>
      </c>
      <c r="S2798">
        <f t="shared" ca="1" si="326"/>
        <v>193.46841867971642</v>
      </c>
      <c r="T2798" s="61">
        <f t="shared" ca="1" si="320"/>
        <v>14400</v>
      </c>
      <c r="U2798" s="61">
        <f t="shared" ca="1" si="321"/>
        <v>16342.314460641195</v>
      </c>
      <c r="V2798" s="39">
        <f t="shared" ca="1" si="322"/>
        <v>0.1075152267147447</v>
      </c>
      <c r="W2798" s="48">
        <f t="shared" ca="1" si="323"/>
        <v>1.2894195754805495</v>
      </c>
    </row>
    <row r="2799" spans="17:23" x14ac:dyDescent="0.2">
      <c r="Q2799">
        <f t="shared" si="324"/>
        <v>2783</v>
      </c>
      <c r="R2799" s="48">
        <f t="shared" ca="1" si="325"/>
        <v>0.217</v>
      </c>
      <c r="S2799">
        <f t="shared" ca="1" si="326"/>
        <v>159.58489456803659</v>
      </c>
      <c r="T2799" s="61">
        <f t="shared" ca="1" si="320"/>
        <v>10416</v>
      </c>
      <c r="U2799" s="61">
        <f t="shared" ca="1" si="321"/>
        <v>-8636.0220425818807</v>
      </c>
      <c r="V2799" s="39">
        <f t="shared" ca="1" si="322"/>
        <v>-5.6815934490670267E-2</v>
      </c>
      <c r="W2799" s="48">
        <f t="shared" ca="1" si="323"/>
        <v>-0.37777275392659448</v>
      </c>
    </row>
    <row r="2800" spans="17:23" x14ac:dyDescent="0.2">
      <c r="Q2800">
        <f t="shared" si="324"/>
        <v>2784</v>
      </c>
      <c r="R2800" s="48">
        <f t="shared" ca="1" si="325"/>
        <v>0.35</v>
      </c>
      <c r="S2800">
        <f t="shared" ca="1" si="326"/>
        <v>200.90388626997986</v>
      </c>
      <c r="T2800" s="61">
        <f t="shared" ca="1" si="320"/>
        <v>16800</v>
      </c>
      <c r="U2800" s="61">
        <f t="shared" ca="1" si="321"/>
        <v>22470.02086038953</v>
      </c>
      <c r="V2800" s="39">
        <f t="shared" ca="1" si="322"/>
        <v>0.14782908460782584</v>
      </c>
      <c r="W2800" s="48">
        <f t="shared" ca="1" si="323"/>
        <v>2.0596434901195186</v>
      </c>
    </row>
    <row r="2801" spans="17:23" x14ac:dyDescent="0.2">
      <c r="Q2801">
        <f t="shared" si="324"/>
        <v>2785</v>
      </c>
      <c r="R2801" s="48">
        <f t="shared" ca="1" si="325"/>
        <v>0.3</v>
      </c>
      <c r="S2801">
        <f t="shared" ca="1" si="326"/>
        <v>185.72210828668577</v>
      </c>
      <c r="T2801" s="61">
        <f t="shared" ca="1" si="320"/>
        <v>14400</v>
      </c>
      <c r="U2801" s="61">
        <f t="shared" ca="1" si="321"/>
        <v>12004.38064054403</v>
      </c>
      <c r="V2801" s="39">
        <f t="shared" ca="1" si="322"/>
        <v>7.8976188424631777E-2</v>
      </c>
      <c r="W2801" s="48">
        <f t="shared" ca="1" si="323"/>
        <v>0.8525198422173017</v>
      </c>
    </row>
    <row r="2802" spans="17:23" x14ac:dyDescent="0.2">
      <c r="Q2802">
        <f t="shared" si="324"/>
        <v>2786</v>
      </c>
      <c r="R2802" s="48">
        <f t="shared" ca="1" si="325"/>
        <v>0.4</v>
      </c>
      <c r="S2802">
        <f t="shared" ca="1" si="326"/>
        <v>175.57747755333023</v>
      </c>
      <c r="T2802" s="61">
        <f t="shared" ca="1" si="320"/>
        <v>19200</v>
      </c>
      <c r="U2802" s="61">
        <f t="shared" ca="1" si="321"/>
        <v>12277.189225598508</v>
      </c>
      <c r="V2802" s="39">
        <f t="shared" ca="1" si="322"/>
        <v>8.0770981747358597E-2</v>
      </c>
      <c r="W2802" s="48">
        <f t="shared" ca="1" si="323"/>
        <v>0.87766274961774782</v>
      </c>
    </row>
    <row r="2803" spans="17:23" x14ac:dyDescent="0.2">
      <c r="Q2803">
        <f t="shared" si="324"/>
        <v>2787</v>
      </c>
      <c r="R2803" s="48">
        <f t="shared" ca="1" si="325"/>
        <v>0.45</v>
      </c>
      <c r="S2803">
        <f t="shared" ca="1" si="326"/>
        <v>212.65705875395329</v>
      </c>
      <c r="T2803" s="61">
        <f t="shared" ca="1" si="320"/>
        <v>21600</v>
      </c>
      <c r="U2803" s="61">
        <f t="shared" ca="1" si="321"/>
        <v>31569.105851739449</v>
      </c>
      <c r="V2803" s="39">
        <f t="shared" ca="1" si="322"/>
        <v>0.20769148586670691</v>
      </c>
      <c r="W2803" s="48">
        <f t="shared" ca="1" si="323"/>
        <v>3.6211946222389697</v>
      </c>
    </row>
    <row r="2804" spans="17:23" x14ac:dyDescent="0.2">
      <c r="Q2804">
        <f t="shared" si="324"/>
        <v>2788</v>
      </c>
      <c r="R2804" s="48">
        <f t="shared" ca="1" si="325"/>
        <v>0.45</v>
      </c>
      <c r="S2804">
        <f t="shared" ca="1" si="326"/>
        <v>158.8929565544363</v>
      </c>
      <c r="T2804" s="61">
        <f t="shared" ca="1" si="320"/>
        <v>21600</v>
      </c>
      <c r="U2804" s="61">
        <f t="shared" ca="1" si="321"/>
        <v>7912.9008839519684</v>
      </c>
      <c r="V2804" s="39">
        <f t="shared" ca="1" si="322"/>
        <v>5.2058558447052421E-2</v>
      </c>
      <c r="W2804" s="48">
        <f t="shared" ca="1" si="323"/>
        <v>0.5092743410576559</v>
      </c>
    </row>
    <row r="2805" spans="17:23" x14ac:dyDescent="0.2">
      <c r="Q2805">
        <f t="shared" si="324"/>
        <v>2789</v>
      </c>
      <c r="R2805" s="48">
        <f t="shared" ca="1" si="325"/>
        <v>0.3</v>
      </c>
      <c r="S2805">
        <f t="shared" ca="1" si="326"/>
        <v>182.81509371307513</v>
      </c>
      <c r="T2805" s="61">
        <f t="shared" ca="1" si="320"/>
        <v>14400</v>
      </c>
      <c r="U2805" s="61">
        <f t="shared" ca="1" si="321"/>
        <v>10376.452479322072</v>
      </c>
      <c r="V2805" s="39">
        <f t="shared" ca="1" si="322"/>
        <v>6.826613473238205E-2</v>
      </c>
      <c r="W2805" s="48">
        <f t="shared" ca="1" si="323"/>
        <v>0.70852876325335368</v>
      </c>
    </row>
    <row r="2806" spans="17:23" x14ac:dyDescent="0.2">
      <c r="Q2806">
        <f t="shared" si="324"/>
        <v>2790</v>
      </c>
      <c r="R2806" s="48">
        <f t="shared" ca="1" si="325"/>
        <v>0.3</v>
      </c>
      <c r="S2806">
        <f t="shared" ca="1" si="326"/>
        <v>204.67438545004899</v>
      </c>
      <c r="T2806" s="61">
        <f t="shared" ca="1" si="320"/>
        <v>14400</v>
      </c>
      <c r="U2806" s="61">
        <f t="shared" ca="1" si="321"/>
        <v>22617.655852027434</v>
      </c>
      <c r="V2806" s="39">
        <f t="shared" ca="1" si="322"/>
        <v>0.1488003674475489</v>
      </c>
      <c r="W2806" s="48">
        <f t="shared" ca="1" si="323"/>
        <v>2.080706799469481</v>
      </c>
    </row>
    <row r="2807" spans="17:23" x14ac:dyDescent="0.2">
      <c r="Q2807">
        <f t="shared" si="324"/>
        <v>2791</v>
      </c>
      <c r="R2807" s="48">
        <f t="shared" ca="1" si="325"/>
        <v>0.45</v>
      </c>
      <c r="S2807">
        <f t="shared" ca="1" si="326"/>
        <v>222.3035478140151</v>
      </c>
      <c r="T2807" s="61">
        <f t="shared" ca="1" si="320"/>
        <v>21600</v>
      </c>
      <c r="U2807" s="61">
        <f t="shared" ca="1" si="321"/>
        <v>35813.561038166648</v>
      </c>
      <c r="V2807" s="39">
        <f t="shared" ca="1" si="322"/>
        <v>0.23561553314583322</v>
      </c>
      <c r="W2807" s="48">
        <f t="shared" ca="1" si="323"/>
        <v>4.5625782865930846</v>
      </c>
    </row>
    <row r="2808" spans="17:23" x14ac:dyDescent="0.2">
      <c r="Q2808">
        <f t="shared" si="324"/>
        <v>2792</v>
      </c>
      <c r="R2808" s="48">
        <f t="shared" ca="1" si="325"/>
        <v>0.3</v>
      </c>
      <c r="S2808">
        <f t="shared" ca="1" si="326"/>
        <v>185.9912611586245</v>
      </c>
      <c r="T2808" s="61">
        <f t="shared" ca="1" si="320"/>
        <v>14400</v>
      </c>
      <c r="U2808" s="61">
        <f t="shared" ca="1" si="321"/>
        <v>12155.106248829718</v>
      </c>
      <c r="V2808" s="39">
        <f t="shared" ca="1" si="322"/>
        <v>7.9967804268616563E-2</v>
      </c>
      <c r="W2808" s="48">
        <f t="shared" ca="1" si="323"/>
        <v>0.86637445165138804</v>
      </c>
    </row>
    <row r="2809" spans="17:23" x14ac:dyDescent="0.2">
      <c r="Q2809">
        <f t="shared" si="324"/>
        <v>2793</v>
      </c>
      <c r="R2809" s="48">
        <f t="shared" ca="1" si="325"/>
        <v>0.3</v>
      </c>
      <c r="S2809">
        <f t="shared" ca="1" si="326"/>
        <v>165.59566802178739</v>
      </c>
      <c r="T2809" s="61">
        <f t="shared" ref="T2809:T2872" ca="1" si="327">($B$8-$B$7)*($E$6*R2809)</f>
        <v>14400</v>
      </c>
      <c r="U2809" s="61">
        <f t="shared" ref="U2809:U2872" ca="1" si="328">T2809+((S2809-$B$7)*($E$6*(1-R2809)))</f>
        <v>733.57409220093905</v>
      </c>
      <c r="V2809" s="39">
        <f t="shared" ref="V2809:V2872" ca="1" si="329">U2809/$E$4</f>
        <v>4.8261453434272307E-3</v>
      </c>
      <c r="W2809" s="48">
        <f t="shared" ref="W2809:W2872" ca="1" si="330">(1+V2809)^($J$29/$J$30)-1</f>
        <v>3.9823766230121072E-2</v>
      </c>
    </row>
    <row r="2810" spans="17:23" x14ac:dyDescent="0.2">
      <c r="Q2810">
        <f t="shared" si="324"/>
        <v>2794</v>
      </c>
      <c r="R2810" s="48">
        <f t="shared" ca="1" si="325"/>
        <v>0.217</v>
      </c>
      <c r="S2810">
        <f t="shared" ca="1" si="326"/>
        <v>192.85508308147803</v>
      </c>
      <c r="T2810" s="61">
        <f t="shared" ca="1" si="327"/>
        <v>10416</v>
      </c>
      <c r="U2810" s="61">
        <f t="shared" ca="1" si="328"/>
        <v>12204.424042237837</v>
      </c>
      <c r="V2810" s="39">
        <f t="shared" ca="1" si="329"/>
        <v>8.0292263435775238E-2</v>
      </c>
      <c r="W2810" s="48">
        <f t="shared" ca="1" si="330"/>
        <v>0.87092739583271772</v>
      </c>
    </row>
    <row r="2811" spans="17:23" x14ac:dyDescent="0.2">
      <c r="Q2811">
        <f t="shared" si="324"/>
        <v>2795</v>
      </c>
      <c r="R2811" s="48">
        <f t="shared" ca="1" si="325"/>
        <v>0.15</v>
      </c>
      <c r="S2811">
        <f t="shared" ca="1" si="326"/>
        <v>189.65597677891631</v>
      </c>
      <c r="T2811" s="61">
        <f t="shared" ca="1" si="327"/>
        <v>7200</v>
      </c>
      <c r="U2811" s="61">
        <f t="shared" ca="1" si="328"/>
        <v>6966.0642096630918</v>
      </c>
      <c r="V2811" s="39">
        <f t="shared" ca="1" si="329"/>
        <v>4.5829369800415076E-2</v>
      </c>
      <c r="W2811" s="48">
        <f t="shared" ca="1" si="330"/>
        <v>0.4382983617333438</v>
      </c>
    </row>
    <row r="2812" spans="17:23" x14ac:dyDescent="0.2">
      <c r="Q2812">
        <f t="shared" si="324"/>
        <v>2796</v>
      </c>
      <c r="R2812" s="48">
        <f t="shared" ca="1" si="325"/>
        <v>0.4</v>
      </c>
      <c r="S2812">
        <f t="shared" ca="1" si="326"/>
        <v>199.36477589742705</v>
      </c>
      <c r="T2812" s="61">
        <f t="shared" ca="1" si="327"/>
        <v>19200</v>
      </c>
      <c r="U2812" s="61">
        <f t="shared" ca="1" si="328"/>
        <v>23695.092430764984</v>
      </c>
      <c r="V2812" s="39">
        <f t="shared" ca="1" si="329"/>
        <v>0.1558887659918749</v>
      </c>
      <c r="W2812" s="48">
        <f t="shared" ca="1" si="330"/>
        <v>2.2383144250983058</v>
      </c>
    </row>
    <row r="2813" spans="17:23" x14ac:dyDescent="0.2">
      <c r="Q2813">
        <f t="shared" si="324"/>
        <v>2797</v>
      </c>
      <c r="R2813" s="48">
        <f t="shared" ca="1" si="325"/>
        <v>0.3</v>
      </c>
      <c r="S2813">
        <f t="shared" ca="1" si="326"/>
        <v>164.95846686502108</v>
      </c>
      <c r="T2813" s="61">
        <f t="shared" ca="1" si="327"/>
        <v>14400</v>
      </c>
      <c r="U2813" s="61">
        <f t="shared" ca="1" si="328"/>
        <v>376.74144441180397</v>
      </c>
      <c r="V2813" s="39">
        <f t="shared" ca="1" si="329"/>
        <v>2.478562134288184E-3</v>
      </c>
      <c r="W2813" s="48">
        <f t="shared" ca="1" si="330"/>
        <v>2.0281959098160218E-2</v>
      </c>
    </row>
    <row r="2814" spans="17:23" x14ac:dyDescent="0.2">
      <c r="Q2814">
        <f t="shared" si="324"/>
        <v>2798</v>
      </c>
      <c r="R2814" s="48">
        <f t="shared" ca="1" si="325"/>
        <v>0.217</v>
      </c>
      <c r="S2814">
        <f t="shared" ca="1" si="326"/>
        <v>180.80179476053374</v>
      </c>
      <c r="T2814" s="61">
        <f t="shared" ca="1" si="327"/>
        <v>10416</v>
      </c>
      <c r="U2814" s="61">
        <f t="shared" ca="1" si="328"/>
        <v>4654.244237998334</v>
      </c>
      <c r="V2814" s="39">
        <f t="shared" ca="1" si="329"/>
        <v>3.0620027881567986E-2</v>
      </c>
      <c r="W2814" s="48">
        <f t="shared" ca="1" si="330"/>
        <v>0.27715621116550171</v>
      </c>
    </row>
    <row r="2815" spans="17:23" x14ac:dyDescent="0.2">
      <c r="Q2815">
        <f t="shared" si="324"/>
        <v>2799</v>
      </c>
      <c r="R2815" s="48">
        <f t="shared" ca="1" si="325"/>
        <v>0.3</v>
      </c>
      <c r="S2815">
        <f t="shared" ca="1" si="326"/>
        <v>199.57394408229621</v>
      </c>
      <c r="T2815" s="61">
        <f t="shared" ca="1" si="327"/>
        <v>14400</v>
      </c>
      <c r="U2815" s="61">
        <f t="shared" ca="1" si="328"/>
        <v>19761.408686085877</v>
      </c>
      <c r="V2815" s="39">
        <f t="shared" ca="1" si="329"/>
        <v>0.13000926767161761</v>
      </c>
      <c r="W2815" s="48">
        <f t="shared" ca="1" si="330"/>
        <v>1.6949706711201529</v>
      </c>
    </row>
    <row r="2816" spans="17:23" x14ac:dyDescent="0.2">
      <c r="Q2816">
        <f t="shared" si="324"/>
        <v>2800</v>
      </c>
      <c r="R2816" s="48">
        <f t="shared" ca="1" si="325"/>
        <v>0.35</v>
      </c>
      <c r="S2816">
        <f t="shared" ca="1" si="326"/>
        <v>198.16208230959407</v>
      </c>
      <c r="T2816" s="61">
        <f t="shared" ca="1" si="327"/>
        <v>16800</v>
      </c>
      <c r="U2816" s="61">
        <f t="shared" ca="1" si="328"/>
        <v>21044.282800988916</v>
      </c>
      <c r="V2816" s="39">
        <f t="shared" ca="1" si="329"/>
        <v>0.13844922895387446</v>
      </c>
      <c r="W2816" s="48">
        <f t="shared" ca="1" si="330"/>
        <v>1.8626378714151515</v>
      </c>
    </row>
    <row r="2817" spans="17:23" x14ac:dyDescent="0.2">
      <c r="Q2817">
        <f t="shared" si="324"/>
        <v>2801</v>
      </c>
      <c r="R2817" s="48">
        <f t="shared" ca="1" si="325"/>
        <v>0.3</v>
      </c>
      <c r="S2817">
        <f t="shared" ca="1" si="326"/>
        <v>193.3286237473404</v>
      </c>
      <c r="T2817" s="61">
        <f t="shared" ca="1" si="327"/>
        <v>14400</v>
      </c>
      <c r="U2817" s="61">
        <f t="shared" ca="1" si="328"/>
        <v>16264.029298510624</v>
      </c>
      <c r="V2817" s="39">
        <f t="shared" ca="1" si="329"/>
        <v>0.10700019275335937</v>
      </c>
      <c r="W2817" s="48">
        <f t="shared" ca="1" si="330"/>
        <v>1.2807982527590052</v>
      </c>
    </row>
    <row r="2818" spans="17:23" x14ac:dyDescent="0.2">
      <c r="Q2818">
        <f t="shared" si="324"/>
        <v>2802</v>
      </c>
      <c r="R2818" s="48">
        <f t="shared" ca="1" si="325"/>
        <v>0.45</v>
      </c>
      <c r="S2818">
        <f t="shared" ca="1" si="326"/>
        <v>184.93489474877038</v>
      </c>
      <c r="T2818" s="61">
        <f t="shared" ca="1" si="327"/>
        <v>21600</v>
      </c>
      <c r="U2818" s="61">
        <f t="shared" ca="1" si="328"/>
        <v>19371.353689458963</v>
      </c>
      <c r="V2818" s="39">
        <f t="shared" ca="1" si="329"/>
        <v>0.1274431163780195</v>
      </c>
      <c r="W2818" s="48">
        <f t="shared" ca="1" si="330"/>
        <v>1.6457293074481325</v>
      </c>
    </row>
    <row r="2819" spans="17:23" x14ac:dyDescent="0.2">
      <c r="Q2819">
        <f t="shared" si="324"/>
        <v>2803</v>
      </c>
      <c r="R2819" s="48">
        <f t="shared" ca="1" si="325"/>
        <v>0.3</v>
      </c>
      <c r="S2819">
        <f t="shared" ca="1" si="326"/>
        <v>190.71769631015522</v>
      </c>
      <c r="T2819" s="61">
        <f t="shared" ca="1" si="327"/>
        <v>14400</v>
      </c>
      <c r="U2819" s="61">
        <f t="shared" ca="1" si="328"/>
        <v>14801.909933686922</v>
      </c>
      <c r="V2819" s="39">
        <f t="shared" ca="1" si="329"/>
        <v>9.7380986405835021E-2</v>
      </c>
      <c r="W2819" s="48">
        <f t="shared" ca="1" si="330"/>
        <v>1.1249250121502219</v>
      </c>
    </row>
    <row r="2820" spans="17:23" x14ac:dyDescent="0.2">
      <c r="Q2820">
        <f t="shared" si="324"/>
        <v>2804</v>
      </c>
      <c r="R2820" s="48">
        <f t="shared" ca="1" si="325"/>
        <v>0.4</v>
      </c>
      <c r="S2820">
        <f t="shared" ca="1" si="326"/>
        <v>186.96927517773622</v>
      </c>
      <c r="T2820" s="61">
        <f t="shared" ca="1" si="327"/>
        <v>19200</v>
      </c>
      <c r="U2820" s="61">
        <f t="shared" ca="1" si="328"/>
        <v>17745.252085313386</v>
      </c>
      <c r="V2820" s="39">
        <f t="shared" ca="1" si="329"/>
        <v>0.1167450795086407</v>
      </c>
      <c r="W2820" s="48">
        <f t="shared" ca="1" si="330"/>
        <v>1.4488411153617116</v>
      </c>
    </row>
    <row r="2821" spans="17:23" x14ac:dyDescent="0.2">
      <c r="Q2821">
        <f t="shared" si="324"/>
        <v>2805</v>
      </c>
      <c r="R2821" s="48">
        <f t="shared" ca="1" si="325"/>
        <v>0.217</v>
      </c>
      <c r="S2821">
        <f t="shared" ca="1" si="326"/>
        <v>154.44272585954462</v>
      </c>
      <c r="T2821" s="61">
        <f t="shared" ca="1" si="327"/>
        <v>10416</v>
      </c>
      <c r="U2821" s="61">
        <f t="shared" ca="1" si="328"/>
        <v>-11857.076521581246</v>
      </c>
      <c r="V2821" s="39">
        <f t="shared" ca="1" si="329"/>
        <v>-7.8007082378823991E-2</v>
      </c>
      <c r="W2821" s="48">
        <f t="shared" ca="1" si="330"/>
        <v>-0.48251052331135103</v>
      </c>
    </row>
    <row r="2822" spans="17:23" x14ac:dyDescent="0.2">
      <c r="Q2822">
        <f t="shared" si="324"/>
        <v>2806</v>
      </c>
      <c r="R2822" s="48">
        <f t="shared" ca="1" si="325"/>
        <v>0.3</v>
      </c>
      <c r="S2822">
        <f t="shared" ca="1" si="326"/>
        <v>188.77949199465917</v>
      </c>
      <c r="T2822" s="61">
        <f t="shared" ca="1" si="327"/>
        <v>14400</v>
      </c>
      <c r="U2822" s="61">
        <f t="shared" ca="1" si="328"/>
        <v>13716.515517009135</v>
      </c>
      <c r="V2822" s="39">
        <f t="shared" ca="1" si="329"/>
        <v>9.0240233664533778E-2</v>
      </c>
      <c r="W2822" s="48">
        <f t="shared" ca="1" si="330"/>
        <v>1.0153328020126153</v>
      </c>
    </row>
    <row r="2823" spans="17:23" x14ac:dyDescent="0.2">
      <c r="Q2823">
        <f t="shared" si="324"/>
        <v>2807</v>
      </c>
      <c r="R2823" s="48">
        <f t="shared" ca="1" si="325"/>
        <v>0.45</v>
      </c>
      <c r="S2823">
        <f t="shared" ca="1" si="326"/>
        <v>197.34631320592447</v>
      </c>
      <c r="T2823" s="61">
        <f t="shared" ca="1" si="327"/>
        <v>21600</v>
      </c>
      <c r="U2823" s="61">
        <f t="shared" ca="1" si="328"/>
        <v>24832.377810606769</v>
      </c>
      <c r="V2823" s="39">
        <f t="shared" ca="1" si="329"/>
        <v>0.16337090664872875</v>
      </c>
      <c r="W2823" s="48">
        <f t="shared" ca="1" si="330"/>
        <v>2.4123031956740939</v>
      </c>
    </row>
    <row r="2824" spans="17:23" x14ac:dyDescent="0.2">
      <c r="Q2824">
        <f t="shared" si="324"/>
        <v>2808</v>
      </c>
      <c r="R2824" s="48">
        <f t="shared" ca="1" si="325"/>
        <v>0.217</v>
      </c>
      <c r="S2824">
        <f t="shared" ca="1" si="326"/>
        <v>178.91440935648433</v>
      </c>
      <c r="T2824" s="61">
        <f t="shared" ca="1" si="327"/>
        <v>10416</v>
      </c>
      <c r="U2824" s="61">
        <f t="shared" ca="1" si="328"/>
        <v>3471.9860209017834</v>
      </c>
      <c r="V2824" s="39">
        <f t="shared" ca="1" si="329"/>
        <v>2.2842013295406468E-2</v>
      </c>
      <c r="W2824" s="48">
        <f t="shared" ca="1" si="330"/>
        <v>0.20104231020194585</v>
      </c>
    </row>
    <row r="2825" spans="17:23" x14ac:dyDescent="0.2">
      <c r="Q2825">
        <f t="shared" si="324"/>
        <v>2809</v>
      </c>
      <c r="R2825" s="48">
        <f t="shared" ca="1" si="325"/>
        <v>0.35</v>
      </c>
      <c r="S2825">
        <f t="shared" ca="1" si="326"/>
        <v>209.77203970799616</v>
      </c>
      <c r="T2825" s="61">
        <f t="shared" ca="1" si="327"/>
        <v>16800</v>
      </c>
      <c r="U2825" s="61">
        <f t="shared" ca="1" si="328"/>
        <v>27081.460648158001</v>
      </c>
      <c r="V2825" s="39">
        <f t="shared" ca="1" si="329"/>
        <v>0.17816750426419739</v>
      </c>
      <c r="W2825" s="48">
        <f t="shared" ca="1" si="330"/>
        <v>2.780665146381367</v>
      </c>
    </row>
    <row r="2826" spans="17:23" x14ac:dyDescent="0.2">
      <c r="Q2826">
        <f t="shared" si="324"/>
        <v>2810</v>
      </c>
      <c r="R2826" s="48">
        <f t="shared" ca="1" si="325"/>
        <v>0.217</v>
      </c>
      <c r="S2826">
        <f t="shared" ca="1" si="326"/>
        <v>167.43389811689622</v>
      </c>
      <c r="T2826" s="61">
        <f t="shared" ca="1" si="327"/>
        <v>10416</v>
      </c>
      <c r="U2826" s="61">
        <f t="shared" ca="1" si="328"/>
        <v>-3719.406219576209</v>
      </c>
      <c r="V2826" s="39">
        <f t="shared" ca="1" si="329"/>
        <v>-2.4469777760369796E-2</v>
      </c>
      <c r="W2826" s="48">
        <f t="shared" ca="1" si="330"/>
        <v>-0.18204322572155496</v>
      </c>
    </row>
    <row r="2827" spans="17:23" x14ac:dyDescent="0.2">
      <c r="Q2827">
        <f t="shared" si="324"/>
        <v>2811</v>
      </c>
      <c r="R2827" s="48">
        <f t="shared" ca="1" si="325"/>
        <v>0.45</v>
      </c>
      <c r="S2827">
        <f t="shared" ca="1" si="326"/>
        <v>192.5414929394249</v>
      </c>
      <c r="T2827" s="61">
        <f t="shared" ca="1" si="327"/>
        <v>21600</v>
      </c>
      <c r="U2827" s="61">
        <f t="shared" ca="1" si="328"/>
        <v>22718.256893346956</v>
      </c>
      <c r="V2827" s="39">
        <f t="shared" ca="1" si="329"/>
        <v>0.14946221640359839</v>
      </c>
      <c r="W2827" s="48">
        <f t="shared" ca="1" si="330"/>
        <v>2.0951324297103167</v>
      </c>
    </row>
    <row r="2828" spans="17:23" x14ac:dyDescent="0.2">
      <c r="Q2828">
        <f t="shared" si="324"/>
        <v>2812</v>
      </c>
      <c r="R2828" s="48">
        <f t="shared" ca="1" si="325"/>
        <v>0.3</v>
      </c>
      <c r="S2828">
        <f t="shared" ca="1" si="326"/>
        <v>186.88882512674624</v>
      </c>
      <c r="T2828" s="61">
        <f t="shared" ca="1" si="327"/>
        <v>14400</v>
      </c>
      <c r="U2828" s="61">
        <f t="shared" ca="1" si="328"/>
        <v>12657.742070977894</v>
      </c>
      <c r="V2828" s="39">
        <f t="shared" ca="1" si="329"/>
        <v>8.3274618888012464E-2</v>
      </c>
      <c r="W2828" s="48">
        <f t="shared" ca="1" si="330"/>
        <v>0.91323528977075386</v>
      </c>
    </row>
    <row r="2829" spans="17:23" x14ac:dyDescent="0.2">
      <c r="Q2829">
        <f t="shared" si="324"/>
        <v>2813</v>
      </c>
      <c r="R2829" s="48">
        <f t="shared" ca="1" si="325"/>
        <v>0.3</v>
      </c>
      <c r="S2829">
        <f t="shared" ca="1" si="326"/>
        <v>181.34925732386918</v>
      </c>
      <c r="T2829" s="61">
        <f t="shared" ca="1" si="327"/>
        <v>14400</v>
      </c>
      <c r="U2829" s="61">
        <f t="shared" ca="1" si="328"/>
        <v>9555.5841013667414</v>
      </c>
      <c r="V2829" s="39">
        <f t="shared" ca="1" si="329"/>
        <v>6.2865684877412772E-2</v>
      </c>
      <c r="W2829" s="48">
        <f t="shared" ca="1" si="330"/>
        <v>0.63971787057907847</v>
      </c>
    </row>
    <row r="2830" spans="17:23" x14ac:dyDescent="0.2">
      <c r="Q2830">
        <f t="shared" si="324"/>
        <v>2814</v>
      </c>
      <c r="R2830" s="48">
        <f t="shared" ca="1" si="325"/>
        <v>0.35</v>
      </c>
      <c r="S2830">
        <f t="shared" ca="1" si="326"/>
        <v>184.379617971747</v>
      </c>
      <c r="T2830" s="61">
        <f t="shared" ca="1" si="327"/>
        <v>16800</v>
      </c>
      <c r="U2830" s="61">
        <f t="shared" ca="1" si="328"/>
        <v>13877.401345308437</v>
      </c>
      <c r="V2830" s="39">
        <f t="shared" ca="1" si="329"/>
        <v>9.1298693061239722E-2</v>
      </c>
      <c r="W2830" s="48">
        <f t="shared" ca="1" si="330"/>
        <v>1.031257772800739</v>
      </c>
    </row>
    <row r="2831" spans="17:23" x14ac:dyDescent="0.2">
      <c r="Q2831">
        <f t="shared" si="324"/>
        <v>2815</v>
      </c>
      <c r="R2831" s="48">
        <f t="shared" ca="1" si="325"/>
        <v>0.217</v>
      </c>
      <c r="S2831">
        <f t="shared" ca="1" si="326"/>
        <v>164.17299923740407</v>
      </c>
      <c r="T2831" s="61">
        <f t="shared" ca="1" si="327"/>
        <v>10416</v>
      </c>
      <c r="U2831" s="61">
        <f t="shared" ca="1" si="328"/>
        <v>-5762.0332776900905</v>
      </c>
      <c r="V2831" s="39">
        <f t="shared" ca="1" si="329"/>
        <v>-3.7908113669013754E-2</v>
      </c>
      <c r="W2831" s="48">
        <f t="shared" ca="1" si="330"/>
        <v>-0.26908379733042409</v>
      </c>
    </row>
    <row r="2832" spans="17:23" x14ac:dyDescent="0.2">
      <c r="Q2832">
        <f t="shared" si="324"/>
        <v>2816</v>
      </c>
      <c r="R2832" s="48">
        <f t="shared" ca="1" si="325"/>
        <v>0.217</v>
      </c>
      <c r="S2832">
        <f t="shared" ca="1" si="326"/>
        <v>173.62051676141175</v>
      </c>
      <c r="T2832" s="61">
        <f t="shared" ca="1" si="327"/>
        <v>10416</v>
      </c>
      <c r="U2832" s="61">
        <f t="shared" ca="1" si="328"/>
        <v>155.89169934831989</v>
      </c>
      <c r="V2832" s="39">
        <f t="shared" ca="1" si="329"/>
        <v>1.025603285186315E-3</v>
      </c>
      <c r="W2832" s="48">
        <f t="shared" ca="1" si="330"/>
        <v>8.3491808446947147E-3</v>
      </c>
    </row>
    <row r="2833" spans="17:23" x14ac:dyDescent="0.2">
      <c r="Q2833">
        <f t="shared" si="324"/>
        <v>2817</v>
      </c>
      <c r="R2833" s="48">
        <f t="shared" ca="1" si="325"/>
        <v>0.45</v>
      </c>
      <c r="S2833">
        <f t="shared" ca="1" si="326"/>
        <v>181.60491114125531</v>
      </c>
      <c r="T2833" s="61">
        <f t="shared" ca="1" si="327"/>
        <v>21600</v>
      </c>
      <c r="U2833" s="61">
        <f t="shared" ca="1" si="328"/>
        <v>17906.160902152336</v>
      </c>
      <c r="V2833" s="39">
        <f t="shared" ca="1" si="329"/>
        <v>0.11780369014573905</v>
      </c>
      <c r="W2833" s="48">
        <f t="shared" ca="1" si="330"/>
        <v>1.4677335225774613</v>
      </c>
    </row>
    <row r="2834" spans="17:23" x14ac:dyDescent="0.2">
      <c r="Q2834">
        <f t="shared" si="324"/>
        <v>2818</v>
      </c>
      <c r="R2834" s="48">
        <f t="shared" ca="1" si="325"/>
        <v>0.35</v>
      </c>
      <c r="S2834">
        <f t="shared" ca="1" si="326"/>
        <v>190.55575106441481</v>
      </c>
      <c r="T2834" s="61">
        <f t="shared" ca="1" si="327"/>
        <v>16800</v>
      </c>
      <c r="U2834" s="61">
        <f t="shared" ca="1" si="328"/>
        <v>17088.9905534957</v>
      </c>
      <c r="V2834" s="39">
        <f t="shared" ca="1" si="329"/>
        <v>0.11242756943089276</v>
      </c>
      <c r="W2834" s="48">
        <f t="shared" ca="1" si="330"/>
        <v>1.3730957023807249</v>
      </c>
    </row>
    <row r="2835" spans="17:23" x14ac:dyDescent="0.2">
      <c r="Q2835">
        <f t="shared" ref="Q2835:Q2898" si="331">Q2834+1</f>
        <v>2819</v>
      </c>
      <c r="R2835" s="48">
        <f t="shared" ref="R2835:R2898" ca="1" si="332">LOOKUP(RAND(),$U$6:$U$12,$S$6:$S$12)</f>
        <v>0.35</v>
      </c>
      <c r="S2835">
        <f t="shared" ref="S2835:S2898" ca="1" si="333">_xlfn.NORM.INV(RAND(),$Q$5,$Q$10)</f>
        <v>189.06814813330269</v>
      </c>
      <c r="T2835" s="61">
        <f t="shared" ca="1" si="327"/>
        <v>16800</v>
      </c>
      <c r="U2835" s="61">
        <f t="shared" ca="1" si="328"/>
        <v>16315.437029317396</v>
      </c>
      <c r="V2835" s="39">
        <f t="shared" ca="1" si="329"/>
        <v>0.10733840150866708</v>
      </c>
      <c r="W2835" s="48">
        <f t="shared" ca="1" si="330"/>
        <v>1.2864564251825761</v>
      </c>
    </row>
    <row r="2836" spans="17:23" x14ac:dyDescent="0.2">
      <c r="Q2836">
        <f t="shared" si="331"/>
        <v>2820</v>
      </c>
      <c r="R2836" s="48">
        <f t="shared" ca="1" si="332"/>
        <v>0.45</v>
      </c>
      <c r="S2836">
        <f t="shared" ca="1" si="333"/>
        <v>175.62945448892742</v>
      </c>
      <c r="T2836" s="61">
        <f t="shared" ca="1" si="327"/>
        <v>21600</v>
      </c>
      <c r="U2836" s="61">
        <f t="shared" ca="1" si="328"/>
        <v>15276.959975128066</v>
      </c>
      <c r="V2836" s="39">
        <f t="shared" ca="1" si="329"/>
        <v>0.10050631562584254</v>
      </c>
      <c r="W2836" s="48">
        <f t="shared" ca="1" si="330"/>
        <v>1.1745114919314426</v>
      </c>
    </row>
    <row r="2837" spans="17:23" x14ac:dyDescent="0.2">
      <c r="Q2837">
        <f t="shared" si="331"/>
        <v>2821</v>
      </c>
      <c r="R2837" s="48">
        <f t="shared" ca="1" si="332"/>
        <v>0.4</v>
      </c>
      <c r="S2837">
        <f t="shared" ca="1" si="333"/>
        <v>214.61806051304703</v>
      </c>
      <c r="T2837" s="61">
        <f t="shared" ca="1" si="327"/>
        <v>19200</v>
      </c>
      <c r="U2837" s="61">
        <f t="shared" ca="1" si="328"/>
        <v>31016.669046262574</v>
      </c>
      <c r="V2837" s="39">
        <f t="shared" ca="1" si="329"/>
        <v>0.20405703319909588</v>
      </c>
      <c r="W2837" s="48">
        <f t="shared" ca="1" si="330"/>
        <v>3.5095920399245397</v>
      </c>
    </row>
    <row r="2838" spans="17:23" x14ac:dyDescent="0.2">
      <c r="Q2838">
        <f t="shared" si="331"/>
        <v>2822</v>
      </c>
      <c r="R2838" s="48">
        <f t="shared" ca="1" si="332"/>
        <v>0.45</v>
      </c>
      <c r="S2838">
        <f t="shared" ca="1" si="333"/>
        <v>187.63261092033383</v>
      </c>
      <c r="T2838" s="61">
        <f t="shared" ca="1" si="327"/>
        <v>21600</v>
      </c>
      <c r="U2838" s="61">
        <f t="shared" ca="1" si="328"/>
        <v>20558.348804946887</v>
      </c>
      <c r="V2838" s="39">
        <f t="shared" ca="1" si="329"/>
        <v>0.13525229476938741</v>
      </c>
      <c r="W2838" s="48">
        <f t="shared" ca="1" si="330"/>
        <v>1.79808229877142</v>
      </c>
    </row>
    <row r="2839" spans="17:23" x14ac:dyDescent="0.2">
      <c r="Q2839">
        <f t="shared" si="331"/>
        <v>2823</v>
      </c>
      <c r="R2839" s="48">
        <f t="shared" ca="1" si="332"/>
        <v>0.35</v>
      </c>
      <c r="S2839">
        <f t="shared" ca="1" si="333"/>
        <v>149.66743990496133</v>
      </c>
      <c r="T2839" s="61">
        <f t="shared" ca="1" si="327"/>
        <v>16800</v>
      </c>
      <c r="U2839" s="61">
        <f t="shared" ca="1" si="328"/>
        <v>-4172.9312494201113</v>
      </c>
      <c r="V2839" s="39">
        <f t="shared" ca="1" si="329"/>
        <v>-2.7453495061974417E-2</v>
      </c>
      <c r="W2839" s="48">
        <f t="shared" ca="1" si="330"/>
        <v>-0.20211605137792177</v>
      </c>
    </row>
    <row r="2840" spans="17:23" x14ac:dyDescent="0.2">
      <c r="Q2840">
        <f t="shared" si="331"/>
        <v>2824</v>
      </c>
      <c r="R2840" s="48">
        <f t="shared" ca="1" si="332"/>
        <v>0.5</v>
      </c>
      <c r="S2840">
        <f t="shared" ca="1" si="333"/>
        <v>192.46130522902337</v>
      </c>
      <c r="T2840" s="61">
        <f t="shared" ca="1" si="327"/>
        <v>24000</v>
      </c>
      <c r="U2840" s="61">
        <f t="shared" ca="1" si="328"/>
        <v>24984.522091609346</v>
      </c>
      <c r="V2840" s="39">
        <f t="shared" ca="1" si="329"/>
        <v>0.16437185586585096</v>
      </c>
      <c r="W2840" s="48">
        <f t="shared" ca="1" si="330"/>
        <v>2.4361895944530239</v>
      </c>
    </row>
    <row r="2841" spans="17:23" x14ac:dyDescent="0.2">
      <c r="Q2841">
        <f t="shared" si="331"/>
        <v>2825</v>
      </c>
      <c r="R2841" s="48">
        <f t="shared" ca="1" si="332"/>
        <v>0.4</v>
      </c>
      <c r="S2841">
        <f t="shared" ca="1" si="333"/>
        <v>211.11875061856838</v>
      </c>
      <c r="T2841" s="61">
        <f t="shared" ca="1" si="327"/>
        <v>19200</v>
      </c>
      <c r="U2841" s="61">
        <f t="shared" ca="1" si="328"/>
        <v>29337.000296912825</v>
      </c>
      <c r="V2841" s="39">
        <f t="shared" ca="1" si="329"/>
        <v>0.19300658090074227</v>
      </c>
      <c r="W2841" s="48">
        <f t="shared" ca="1" si="330"/>
        <v>3.1846446611587069</v>
      </c>
    </row>
    <row r="2842" spans="17:23" x14ac:dyDescent="0.2">
      <c r="Q2842">
        <f t="shared" si="331"/>
        <v>2826</v>
      </c>
      <c r="R2842" s="48">
        <f t="shared" ca="1" si="332"/>
        <v>0.217</v>
      </c>
      <c r="S2842">
        <f t="shared" ca="1" si="333"/>
        <v>182.35769570129889</v>
      </c>
      <c r="T2842" s="61">
        <f t="shared" ca="1" si="327"/>
        <v>10416</v>
      </c>
      <c r="U2842" s="61">
        <f t="shared" ca="1" si="328"/>
        <v>5628.8605872936278</v>
      </c>
      <c r="V2842" s="39">
        <f t="shared" ca="1" si="329"/>
        <v>3.7031977547984395E-2</v>
      </c>
      <c r="W2842" s="48">
        <f t="shared" ca="1" si="330"/>
        <v>0.34304903738344983</v>
      </c>
    </row>
    <row r="2843" spans="17:23" x14ac:dyDescent="0.2">
      <c r="Q2843">
        <f t="shared" si="331"/>
        <v>2827</v>
      </c>
      <c r="R2843" s="48">
        <f t="shared" ca="1" si="332"/>
        <v>0.4</v>
      </c>
      <c r="S2843">
        <f t="shared" ca="1" si="333"/>
        <v>193.14598269327453</v>
      </c>
      <c r="T2843" s="61">
        <f t="shared" ca="1" si="327"/>
        <v>19200</v>
      </c>
      <c r="U2843" s="61">
        <f t="shared" ca="1" si="328"/>
        <v>20710.071692771777</v>
      </c>
      <c r="V2843" s="39">
        <f t="shared" ca="1" si="329"/>
        <v>0.13625047166297222</v>
      </c>
      <c r="W2843" s="48">
        <f t="shared" ca="1" si="330"/>
        <v>1.8180999895996988</v>
      </c>
    </row>
    <row r="2844" spans="17:23" x14ac:dyDescent="0.2">
      <c r="Q2844">
        <f t="shared" si="331"/>
        <v>2828</v>
      </c>
      <c r="R2844" s="48">
        <f t="shared" ca="1" si="332"/>
        <v>0.3</v>
      </c>
      <c r="S2844">
        <f t="shared" ca="1" si="333"/>
        <v>206.97586679567189</v>
      </c>
      <c r="T2844" s="61">
        <f t="shared" ca="1" si="327"/>
        <v>14400</v>
      </c>
      <c r="U2844" s="61">
        <f t="shared" ca="1" si="328"/>
        <v>23906.485405576259</v>
      </c>
      <c r="V2844" s="39">
        <f t="shared" ca="1" si="329"/>
        <v>0.15727950924721223</v>
      </c>
      <c r="W2844" s="48">
        <f t="shared" ca="1" si="330"/>
        <v>2.2700530980800973</v>
      </c>
    </row>
    <row r="2845" spans="17:23" x14ac:dyDescent="0.2">
      <c r="Q2845">
        <f t="shared" si="331"/>
        <v>2829</v>
      </c>
      <c r="R2845" s="48">
        <f t="shared" ca="1" si="332"/>
        <v>0.3</v>
      </c>
      <c r="S2845">
        <f t="shared" ca="1" si="333"/>
        <v>213.8309118543244</v>
      </c>
      <c r="T2845" s="61">
        <f t="shared" ca="1" si="327"/>
        <v>14400</v>
      </c>
      <c r="U2845" s="61">
        <f t="shared" ca="1" si="328"/>
        <v>27745.310638421663</v>
      </c>
      <c r="V2845" s="39">
        <f t="shared" ca="1" si="329"/>
        <v>0.18253493841066884</v>
      </c>
      <c r="W2845" s="48">
        <f t="shared" ca="1" si="330"/>
        <v>2.895850565960691</v>
      </c>
    </row>
    <row r="2846" spans="17:23" x14ac:dyDescent="0.2">
      <c r="Q2846">
        <f t="shared" si="331"/>
        <v>2830</v>
      </c>
      <c r="R2846" s="48">
        <f t="shared" ca="1" si="332"/>
        <v>0.4</v>
      </c>
      <c r="S2846">
        <f t="shared" ca="1" si="333"/>
        <v>198.27827498982595</v>
      </c>
      <c r="T2846" s="61">
        <f t="shared" ca="1" si="327"/>
        <v>19200</v>
      </c>
      <c r="U2846" s="61">
        <f t="shared" ca="1" si="328"/>
        <v>23173.571995116454</v>
      </c>
      <c r="V2846" s="39">
        <f t="shared" ca="1" si="329"/>
        <v>0.15245771049418719</v>
      </c>
      <c r="W2846" s="48">
        <f t="shared" ca="1" si="330"/>
        <v>2.1611652931788718</v>
      </c>
    </row>
    <row r="2847" spans="17:23" x14ac:dyDescent="0.2">
      <c r="Q2847">
        <f t="shared" si="331"/>
        <v>2831</v>
      </c>
      <c r="R2847" s="48">
        <f t="shared" ca="1" si="332"/>
        <v>0.35</v>
      </c>
      <c r="S2847">
        <f t="shared" ca="1" si="333"/>
        <v>205.10307016507903</v>
      </c>
      <c r="T2847" s="61">
        <f t="shared" ca="1" si="327"/>
        <v>16800</v>
      </c>
      <c r="U2847" s="61">
        <f t="shared" ca="1" si="328"/>
        <v>24653.596485841095</v>
      </c>
      <c r="V2847" s="39">
        <f t="shared" ca="1" si="329"/>
        <v>0.16219471372263877</v>
      </c>
      <c r="W2847" s="48">
        <f t="shared" ca="1" si="330"/>
        <v>2.3844209621204762</v>
      </c>
    </row>
    <row r="2848" spans="17:23" x14ac:dyDescent="0.2">
      <c r="Q2848">
        <f t="shared" si="331"/>
        <v>2832</v>
      </c>
      <c r="R2848" s="48">
        <f t="shared" ca="1" si="332"/>
        <v>0.35</v>
      </c>
      <c r="S2848">
        <f t="shared" ca="1" si="333"/>
        <v>183.70252395396807</v>
      </c>
      <c r="T2848" s="61">
        <f t="shared" ca="1" si="327"/>
        <v>16800</v>
      </c>
      <c r="U2848" s="61">
        <f t="shared" ca="1" si="328"/>
        <v>13525.312456063395</v>
      </c>
      <c r="V2848" s="39">
        <f t="shared" ca="1" si="329"/>
        <v>8.8982318789890755E-2</v>
      </c>
      <c r="W2848" s="48">
        <f t="shared" ca="1" si="330"/>
        <v>0.99654936502257074</v>
      </c>
    </row>
    <row r="2849" spans="17:23" x14ac:dyDescent="0.2">
      <c r="Q2849">
        <f t="shared" si="331"/>
        <v>2833</v>
      </c>
      <c r="R2849" s="48">
        <f t="shared" ca="1" si="332"/>
        <v>0.35</v>
      </c>
      <c r="S2849">
        <f t="shared" ca="1" si="333"/>
        <v>226.62004111822523</v>
      </c>
      <c r="T2849" s="61">
        <f t="shared" ca="1" si="327"/>
        <v>16800</v>
      </c>
      <c r="U2849" s="61">
        <f t="shared" ca="1" si="328"/>
        <v>35842.421381477121</v>
      </c>
      <c r="V2849" s="39">
        <f t="shared" ca="1" si="329"/>
        <v>0.23580540382550738</v>
      </c>
      <c r="W2849" s="48">
        <f t="shared" ca="1" si="330"/>
        <v>4.5695152327712432</v>
      </c>
    </row>
    <row r="2850" spans="17:23" x14ac:dyDescent="0.2">
      <c r="Q2850">
        <f t="shared" si="331"/>
        <v>2834</v>
      </c>
      <c r="R2850" s="48">
        <f t="shared" ca="1" si="332"/>
        <v>0.45</v>
      </c>
      <c r="S2850">
        <f t="shared" ca="1" si="333"/>
        <v>170.89007465863318</v>
      </c>
      <c r="T2850" s="61">
        <f t="shared" ca="1" si="327"/>
        <v>21600</v>
      </c>
      <c r="U2850" s="61">
        <f t="shared" ca="1" si="328"/>
        <v>13191.6328497986</v>
      </c>
      <c r="V2850" s="39">
        <f t="shared" ca="1" si="329"/>
        <v>8.6787058222359215E-2</v>
      </c>
      <c r="W2850" s="48">
        <f t="shared" ca="1" si="330"/>
        <v>0.96413672230832592</v>
      </c>
    </row>
    <row r="2851" spans="17:23" x14ac:dyDescent="0.2">
      <c r="Q2851">
        <f t="shared" si="331"/>
        <v>2835</v>
      </c>
      <c r="R2851" s="48">
        <f t="shared" ca="1" si="332"/>
        <v>0.45</v>
      </c>
      <c r="S2851">
        <f t="shared" ca="1" si="333"/>
        <v>196.08225794820305</v>
      </c>
      <c r="T2851" s="61">
        <f t="shared" ca="1" si="327"/>
        <v>21600</v>
      </c>
      <c r="U2851" s="61">
        <f t="shared" ca="1" si="328"/>
        <v>24276.193497209344</v>
      </c>
      <c r="V2851" s="39">
        <f t="shared" ca="1" si="329"/>
        <v>0.15971179932374568</v>
      </c>
      <c r="W2851" s="48">
        <f t="shared" ca="1" si="330"/>
        <v>2.3262172786378232</v>
      </c>
    </row>
    <row r="2852" spans="17:23" x14ac:dyDescent="0.2">
      <c r="Q2852">
        <f t="shared" si="331"/>
        <v>2836</v>
      </c>
      <c r="R2852" s="48">
        <f t="shared" ca="1" si="332"/>
        <v>0.5</v>
      </c>
      <c r="S2852">
        <f t="shared" ca="1" si="333"/>
        <v>170.80532288298099</v>
      </c>
      <c r="T2852" s="61">
        <f t="shared" ca="1" si="327"/>
        <v>24000</v>
      </c>
      <c r="U2852" s="61">
        <f t="shared" ca="1" si="328"/>
        <v>16322.129153192396</v>
      </c>
      <c r="V2852" s="39">
        <f t="shared" ca="1" si="329"/>
        <v>0.10738242863942365</v>
      </c>
      <c r="W2852" s="48">
        <f t="shared" ca="1" si="330"/>
        <v>1.2871938957590827</v>
      </c>
    </row>
    <row r="2853" spans="17:23" x14ac:dyDescent="0.2">
      <c r="Q2853">
        <f t="shared" si="331"/>
        <v>2837</v>
      </c>
      <c r="R2853" s="48">
        <f t="shared" ca="1" si="332"/>
        <v>0.45</v>
      </c>
      <c r="S2853">
        <f t="shared" ca="1" si="333"/>
        <v>237.04585323372615</v>
      </c>
      <c r="T2853" s="61">
        <f t="shared" ca="1" si="327"/>
        <v>21600</v>
      </c>
      <c r="U2853" s="61">
        <f t="shared" ca="1" si="328"/>
        <v>42300.175422839508</v>
      </c>
      <c r="V2853" s="39">
        <f t="shared" ca="1" si="329"/>
        <v>0.27829062778183888</v>
      </c>
      <c r="W2853" s="48">
        <f t="shared" ca="1" si="330"/>
        <v>6.326297867113821</v>
      </c>
    </row>
    <row r="2854" spans="17:23" x14ac:dyDescent="0.2">
      <c r="Q2854">
        <f t="shared" si="331"/>
        <v>2838</v>
      </c>
      <c r="R2854" s="48">
        <f t="shared" ca="1" si="332"/>
        <v>0.35</v>
      </c>
      <c r="S2854">
        <f t="shared" ca="1" si="333"/>
        <v>194.17819779803693</v>
      </c>
      <c r="T2854" s="61">
        <f t="shared" ca="1" si="327"/>
        <v>16800</v>
      </c>
      <c r="U2854" s="61">
        <f t="shared" ca="1" si="328"/>
        <v>18972.662854979204</v>
      </c>
      <c r="V2854" s="39">
        <f t="shared" ca="1" si="329"/>
        <v>0.1248201503617053</v>
      </c>
      <c r="W2854" s="48">
        <f t="shared" ca="1" si="330"/>
        <v>1.5962146799630998</v>
      </c>
    </row>
    <row r="2855" spans="17:23" x14ac:dyDescent="0.2">
      <c r="Q2855">
        <f t="shared" si="331"/>
        <v>2839</v>
      </c>
      <c r="R2855" s="48">
        <f t="shared" ca="1" si="332"/>
        <v>0.35</v>
      </c>
      <c r="S2855">
        <f t="shared" ca="1" si="333"/>
        <v>172.37407134751203</v>
      </c>
      <c r="T2855" s="61">
        <f t="shared" ca="1" si="327"/>
        <v>16800</v>
      </c>
      <c r="U2855" s="61">
        <f t="shared" ca="1" si="328"/>
        <v>7634.5171007062545</v>
      </c>
      <c r="V2855" s="39">
        <f t="shared" ca="1" si="329"/>
        <v>5.0227086188856934E-2</v>
      </c>
      <c r="W2855" s="48">
        <f t="shared" ca="1" si="330"/>
        <v>0.48809453177577788</v>
      </c>
    </row>
    <row r="2856" spans="17:23" x14ac:dyDescent="0.2">
      <c r="Q2856">
        <f t="shared" si="331"/>
        <v>2840</v>
      </c>
      <c r="R2856" s="48">
        <f t="shared" ca="1" si="332"/>
        <v>0.4</v>
      </c>
      <c r="S2856">
        <f t="shared" ca="1" si="333"/>
        <v>186.91837372025793</v>
      </c>
      <c r="T2856" s="61">
        <f t="shared" ca="1" si="327"/>
        <v>19200</v>
      </c>
      <c r="U2856" s="61">
        <f t="shared" ca="1" si="328"/>
        <v>17720.819385723807</v>
      </c>
      <c r="V2856" s="39">
        <f t="shared" ca="1" si="329"/>
        <v>0.11658433806397242</v>
      </c>
      <c r="W2856" s="48">
        <f t="shared" ca="1" si="330"/>
        <v>1.44598357400386</v>
      </c>
    </row>
    <row r="2857" spans="17:23" x14ac:dyDescent="0.2">
      <c r="Q2857">
        <f t="shared" si="331"/>
        <v>2841</v>
      </c>
      <c r="R2857" s="48">
        <f t="shared" ca="1" si="332"/>
        <v>0.4</v>
      </c>
      <c r="S2857">
        <f t="shared" ca="1" si="333"/>
        <v>179.56319873416012</v>
      </c>
      <c r="T2857" s="61">
        <f t="shared" ca="1" si="327"/>
        <v>19200</v>
      </c>
      <c r="U2857" s="61">
        <f t="shared" ca="1" si="328"/>
        <v>14190.335392396861</v>
      </c>
      <c r="V2857" s="39">
        <f t="shared" ca="1" si="329"/>
        <v>9.3357469686821445E-2</v>
      </c>
      <c r="W2857" s="48">
        <f t="shared" ca="1" si="330"/>
        <v>1.0625492105596011</v>
      </c>
    </row>
    <row r="2858" spans="17:23" x14ac:dyDescent="0.2">
      <c r="Q2858">
        <f t="shared" si="331"/>
        <v>2842</v>
      </c>
      <c r="R2858" s="48">
        <f t="shared" ca="1" si="332"/>
        <v>0.4</v>
      </c>
      <c r="S2858">
        <f t="shared" ca="1" si="333"/>
        <v>168.18136545828133</v>
      </c>
      <c r="T2858" s="61">
        <f t="shared" ca="1" si="327"/>
        <v>19200</v>
      </c>
      <c r="U2858" s="61">
        <f t="shared" ca="1" si="328"/>
        <v>8727.0554199750404</v>
      </c>
      <c r="V2858" s="39">
        <f t="shared" ca="1" si="329"/>
        <v>5.7414838289309475E-2</v>
      </c>
      <c r="W2858" s="48">
        <f t="shared" ca="1" si="330"/>
        <v>0.57274073902133926</v>
      </c>
    </row>
    <row r="2859" spans="17:23" x14ac:dyDescent="0.2">
      <c r="Q2859">
        <f t="shared" si="331"/>
        <v>2843</v>
      </c>
      <c r="R2859" s="48">
        <f t="shared" ca="1" si="332"/>
        <v>0.5</v>
      </c>
      <c r="S2859">
        <f t="shared" ca="1" si="333"/>
        <v>213.02246874614198</v>
      </c>
      <c r="T2859" s="61">
        <f t="shared" ca="1" si="327"/>
        <v>24000</v>
      </c>
      <c r="U2859" s="61">
        <f t="shared" ca="1" si="328"/>
        <v>33208.987498456794</v>
      </c>
      <c r="V2859" s="39">
        <f t="shared" ca="1" si="329"/>
        <v>0.21848018091089996</v>
      </c>
      <c r="W2859" s="48">
        <f t="shared" ca="1" si="330"/>
        <v>3.9668739927298606</v>
      </c>
    </row>
    <row r="2860" spans="17:23" x14ac:dyDescent="0.2">
      <c r="Q2860">
        <f t="shared" si="331"/>
        <v>2844</v>
      </c>
      <c r="R2860" s="48">
        <f t="shared" ca="1" si="332"/>
        <v>0.35</v>
      </c>
      <c r="S2860">
        <f t="shared" ca="1" si="333"/>
        <v>186.59028817225234</v>
      </c>
      <c r="T2860" s="61">
        <f t="shared" ca="1" si="327"/>
        <v>16800</v>
      </c>
      <c r="U2860" s="61">
        <f t="shared" ca="1" si="328"/>
        <v>15026.949849571218</v>
      </c>
      <c r="V2860" s="39">
        <f t="shared" ca="1" si="329"/>
        <v>9.8861512168231691E-2</v>
      </c>
      <c r="W2860" s="48">
        <f t="shared" ca="1" si="330"/>
        <v>1.1482900515031513</v>
      </c>
    </row>
    <row r="2861" spans="17:23" x14ac:dyDescent="0.2">
      <c r="Q2861">
        <f t="shared" si="331"/>
        <v>2845</v>
      </c>
      <c r="R2861" s="48">
        <f t="shared" ca="1" si="332"/>
        <v>0.3</v>
      </c>
      <c r="S2861">
        <f t="shared" ca="1" si="333"/>
        <v>175.80101573551514</v>
      </c>
      <c r="T2861" s="61">
        <f t="shared" ca="1" si="327"/>
        <v>14400</v>
      </c>
      <c r="U2861" s="61">
        <f t="shared" ca="1" si="328"/>
        <v>6448.5688118884764</v>
      </c>
      <c r="V2861" s="39">
        <f t="shared" ca="1" si="329"/>
        <v>4.2424794815055768E-2</v>
      </c>
      <c r="W2861" s="48">
        <f t="shared" ca="1" si="330"/>
        <v>0.40075710164539813</v>
      </c>
    </row>
    <row r="2862" spans="17:23" x14ac:dyDescent="0.2">
      <c r="Q2862">
        <f t="shared" si="331"/>
        <v>2846</v>
      </c>
      <c r="R2862" s="48">
        <f t="shared" ca="1" si="332"/>
        <v>0.5</v>
      </c>
      <c r="S2862">
        <f t="shared" ca="1" si="333"/>
        <v>181.15515517073109</v>
      </c>
      <c r="T2862" s="61">
        <f t="shared" ca="1" si="327"/>
        <v>24000</v>
      </c>
      <c r="U2862" s="61">
        <f t="shared" ca="1" si="328"/>
        <v>20462.062068292438</v>
      </c>
      <c r="V2862" s="39">
        <f t="shared" ca="1" si="329"/>
        <v>0.13461882939666078</v>
      </c>
      <c r="W2862" s="48">
        <f t="shared" ca="1" si="330"/>
        <v>1.7854433830447687</v>
      </c>
    </row>
    <row r="2863" spans="17:23" x14ac:dyDescent="0.2">
      <c r="Q2863">
        <f t="shared" si="331"/>
        <v>2847</v>
      </c>
      <c r="R2863" s="48">
        <f t="shared" ca="1" si="332"/>
        <v>0.4</v>
      </c>
      <c r="S2863">
        <f t="shared" ca="1" si="333"/>
        <v>188.05651567652885</v>
      </c>
      <c r="T2863" s="61">
        <f t="shared" ca="1" si="327"/>
        <v>19200</v>
      </c>
      <c r="U2863" s="61">
        <f t="shared" ca="1" si="328"/>
        <v>18267.127524733845</v>
      </c>
      <c r="V2863" s="39">
        <f t="shared" ca="1" si="329"/>
        <v>0.1201784705574595</v>
      </c>
      <c r="W2863" s="48">
        <f t="shared" ca="1" si="330"/>
        <v>1.5105803730597382</v>
      </c>
    </row>
    <row r="2864" spans="17:23" x14ac:dyDescent="0.2">
      <c r="Q2864">
        <f t="shared" si="331"/>
        <v>2848</v>
      </c>
      <c r="R2864" s="48">
        <f t="shared" ca="1" si="332"/>
        <v>0.35</v>
      </c>
      <c r="S2864">
        <f t="shared" ca="1" si="333"/>
        <v>195.7190362991476</v>
      </c>
      <c r="T2864" s="61">
        <f t="shared" ca="1" si="327"/>
        <v>16800</v>
      </c>
      <c r="U2864" s="61">
        <f t="shared" ca="1" si="328"/>
        <v>19773.898875556755</v>
      </c>
      <c r="V2864" s="39">
        <f t="shared" ca="1" si="329"/>
        <v>0.13009143997076814</v>
      </c>
      <c r="W2864" s="48">
        <f t="shared" ca="1" si="330"/>
        <v>1.6965606454683404</v>
      </c>
    </row>
    <row r="2865" spans="17:23" x14ac:dyDescent="0.2">
      <c r="Q2865">
        <f t="shared" si="331"/>
        <v>2849</v>
      </c>
      <c r="R2865" s="48">
        <f t="shared" ca="1" si="332"/>
        <v>0.4</v>
      </c>
      <c r="S2865">
        <f t="shared" ca="1" si="333"/>
        <v>169.19494296229126</v>
      </c>
      <c r="T2865" s="61">
        <f t="shared" ca="1" si="327"/>
        <v>19200</v>
      </c>
      <c r="U2865" s="61">
        <f t="shared" ca="1" si="328"/>
        <v>9213.5726218998061</v>
      </c>
      <c r="V2865" s="39">
        <f t="shared" ca="1" si="329"/>
        <v>6.0615609354603986E-2</v>
      </c>
      <c r="W2865" s="48">
        <f t="shared" ca="1" si="330"/>
        <v>0.61177306942212062</v>
      </c>
    </row>
    <row r="2866" spans="17:23" x14ac:dyDescent="0.2">
      <c r="Q2866">
        <f t="shared" si="331"/>
        <v>2850</v>
      </c>
      <c r="R2866" s="48">
        <f t="shared" ca="1" si="332"/>
        <v>0.45</v>
      </c>
      <c r="S2866">
        <f t="shared" ca="1" si="333"/>
        <v>220.77848544820802</v>
      </c>
      <c r="T2866" s="61">
        <f t="shared" ca="1" si="327"/>
        <v>21600</v>
      </c>
      <c r="U2866" s="61">
        <f t="shared" ca="1" si="328"/>
        <v>35142.533597211528</v>
      </c>
      <c r="V2866" s="39">
        <f t="shared" ca="1" si="329"/>
        <v>0.23120087892902322</v>
      </c>
      <c r="W2866" s="48">
        <f t="shared" ca="1" si="330"/>
        <v>4.4034094897162221</v>
      </c>
    </row>
    <row r="2867" spans="17:23" x14ac:dyDescent="0.2">
      <c r="Q2867">
        <f t="shared" si="331"/>
        <v>2851</v>
      </c>
      <c r="R2867" s="48">
        <f t="shared" ca="1" si="332"/>
        <v>0.45</v>
      </c>
      <c r="S2867">
        <f t="shared" ca="1" si="333"/>
        <v>202.36441299019631</v>
      </c>
      <c r="T2867" s="61">
        <f t="shared" ca="1" si="327"/>
        <v>21600</v>
      </c>
      <c r="U2867" s="61">
        <f t="shared" ca="1" si="328"/>
        <v>27040.34171568638</v>
      </c>
      <c r="V2867" s="39">
        <f t="shared" ca="1" si="329"/>
        <v>0.17789698497162093</v>
      </c>
      <c r="W2867" s="48">
        <f t="shared" ca="1" si="330"/>
        <v>2.7736298040599907</v>
      </c>
    </row>
    <row r="2868" spans="17:23" x14ac:dyDescent="0.2">
      <c r="Q2868">
        <f t="shared" si="331"/>
        <v>2852</v>
      </c>
      <c r="R2868" s="48">
        <f t="shared" ca="1" si="332"/>
        <v>0.35</v>
      </c>
      <c r="S2868">
        <f t="shared" ca="1" si="333"/>
        <v>240.65942196822243</v>
      </c>
      <c r="T2868" s="61">
        <f t="shared" ca="1" si="327"/>
        <v>16800</v>
      </c>
      <c r="U2868" s="61">
        <f t="shared" ca="1" si="328"/>
        <v>43142.899423475668</v>
      </c>
      <c r="V2868" s="39">
        <f t="shared" ca="1" si="329"/>
        <v>0.2838348646281294</v>
      </c>
      <c r="W2868" s="48">
        <f t="shared" ca="1" si="330"/>
        <v>6.5880450008625351</v>
      </c>
    </row>
    <row r="2869" spans="17:23" x14ac:dyDescent="0.2">
      <c r="Q2869">
        <f t="shared" si="331"/>
        <v>2853</v>
      </c>
      <c r="R2869" s="48">
        <f t="shared" ca="1" si="332"/>
        <v>0.3</v>
      </c>
      <c r="S2869">
        <f t="shared" ca="1" si="333"/>
        <v>190.16616511357395</v>
      </c>
      <c r="T2869" s="61">
        <f t="shared" ca="1" si="327"/>
        <v>14400</v>
      </c>
      <c r="U2869" s="61">
        <f t="shared" ca="1" si="328"/>
        <v>14493.052463601414</v>
      </c>
      <c r="V2869" s="39">
        <f t="shared" ca="1" si="329"/>
        <v>9.5349029365798782E-2</v>
      </c>
      <c r="W2869" s="48">
        <f t="shared" ca="1" si="330"/>
        <v>1.0932203450055975</v>
      </c>
    </row>
    <row r="2870" spans="17:23" x14ac:dyDescent="0.2">
      <c r="Q2870">
        <f t="shared" si="331"/>
        <v>2854</v>
      </c>
      <c r="R2870" s="48">
        <f t="shared" ca="1" si="332"/>
        <v>0.35</v>
      </c>
      <c r="S2870">
        <f t="shared" ca="1" si="333"/>
        <v>185.81018214156319</v>
      </c>
      <c r="T2870" s="61">
        <f t="shared" ca="1" si="327"/>
        <v>16800</v>
      </c>
      <c r="U2870" s="61">
        <f t="shared" ca="1" si="328"/>
        <v>14621.294713612859</v>
      </c>
      <c r="V2870" s="39">
        <f t="shared" ca="1" si="329"/>
        <v>9.6192728379031964E-2</v>
      </c>
      <c r="W2870" s="48">
        <f t="shared" ca="1" si="330"/>
        <v>1.1063338850086422</v>
      </c>
    </row>
    <row r="2871" spans="17:23" x14ac:dyDescent="0.2">
      <c r="Q2871">
        <f t="shared" si="331"/>
        <v>2855</v>
      </c>
      <c r="R2871" s="48">
        <f t="shared" ca="1" si="332"/>
        <v>0.217</v>
      </c>
      <c r="S2871">
        <f t="shared" ca="1" si="333"/>
        <v>208.31029863376105</v>
      </c>
      <c r="T2871" s="61">
        <f t="shared" ca="1" si="327"/>
        <v>10416</v>
      </c>
      <c r="U2871" s="61">
        <f t="shared" ca="1" si="328"/>
        <v>21885.57106418792</v>
      </c>
      <c r="V2871" s="39">
        <f t="shared" ca="1" si="329"/>
        <v>0.14398402015913106</v>
      </c>
      <c r="W2871" s="48">
        <f t="shared" ca="1" si="330"/>
        <v>1.9774931470980097</v>
      </c>
    </row>
    <row r="2872" spans="17:23" x14ac:dyDescent="0.2">
      <c r="Q2872">
        <f t="shared" si="331"/>
        <v>2856</v>
      </c>
      <c r="R2872" s="48">
        <f t="shared" ca="1" si="332"/>
        <v>0.217</v>
      </c>
      <c r="S2872">
        <f t="shared" ca="1" si="333"/>
        <v>160.15048363730406</v>
      </c>
      <c r="T2872" s="61">
        <f t="shared" ca="1" si="327"/>
        <v>10416</v>
      </c>
      <c r="U2872" s="61">
        <f t="shared" ca="1" si="328"/>
        <v>-8281.7370495927353</v>
      </c>
      <c r="V2872" s="39">
        <f t="shared" ca="1" si="329"/>
        <v>-5.4485112168373255E-2</v>
      </c>
      <c r="W2872" s="48">
        <f t="shared" ca="1" si="330"/>
        <v>-0.36519044078964114</v>
      </c>
    </row>
    <row r="2873" spans="17:23" x14ac:dyDescent="0.2">
      <c r="Q2873">
        <f t="shared" si="331"/>
        <v>2857</v>
      </c>
      <c r="R2873" s="48">
        <f t="shared" ca="1" si="332"/>
        <v>0.4</v>
      </c>
      <c r="S2873">
        <f t="shared" ca="1" si="333"/>
        <v>176.3349530018356</v>
      </c>
      <c r="T2873" s="61">
        <f t="shared" ref="T2873:T2936" ca="1" si="334">($B$8-$B$7)*($E$6*R2873)</f>
        <v>19200</v>
      </c>
      <c r="U2873" s="61">
        <f t="shared" ref="U2873:U2936" ca="1" si="335">T2873+((S2873-$B$7)*($E$6*(1-R2873)))</f>
        <v>12640.777440881087</v>
      </c>
      <c r="V2873" s="39">
        <f t="shared" ref="V2873:V2936" ca="1" si="336">U2873/$E$4</f>
        <v>8.316300947948084E-2</v>
      </c>
      <c r="W2873" s="48">
        <f t="shared" ref="W2873:W2936" ca="1" si="337">(1+V2873)^($J$29/$J$30)-1</f>
        <v>0.91163701338607672</v>
      </c>
    </row>
    <row r="2874" spans="17:23" x14ac:dyDescent="0.2">
      <c r="Q2874">
        <f t="shared" si="331"/>
        <v>2858</v>
      </c>
      <c r="R2874" s="48">
        <f t="shared" ca="1" si="332"/>
        <v>0.45</v>
      </c>
      <c r="S2874">
        <f t="shared" ca="1" si="333"/>
        <v>199.11378849392148</v>
      </c>
      <c r="T2874" s="61">
        <f t="shared" ca="1" si="334"/>
        <v>21600</v>
      </c>
      <c r="U2874" s="61">
        <f t="shared" ca="1" si="335"/>
        <v>25610.06693732545</v>
      </c>
      <c r="V2874" s="39">
        <f t="shared" ca="1" si="336"/>
        <v>0.16848728248240427</v>
      </c>
      <c r="W2874" s="48">
        <f t="shared" ca="1" si="337"/>
        <v>2.5359465921588225</v>
      </c>
    </row>
    <row r="2875" spans="17:23" x14ac:dyDescent="0.2">
      <c r="Q2875">
        <f t="shared" si="331"/>
        <v>2859</v>
      </c>
      <c r="R2875" s="48">
        <f t="shared" ca="1" si="332"/>
        <v>0.4</v>
      </c>
      <c r="S2875">
        <f t="shared" ca="1" si="333"/>
        <v>200.25175254709592</v>
      </c>
      <c r="T2875" s="61">
        <f t="shared" ca="1" si="334"/>
        <v>19200</v>
      </c>
      <c r="U2875" s="61">
        <f t="shared" ca="1" si="335"/>
        <v>24120.841222606039</v>
      </c>
      <c r="V2875" s="39">
        <f t="shared" ca="1" si="336"/>
        <v>0.15868974488556606</v>
      </c>
      <c r="W2875" s="48">
        <f t="shared" ca="1" si="337"/>
        <v>2.3025147673124433</v>
      </c>
    </row>
    <row r="2876" spans="17:23" x14ac:dyDescent="0.2">
      <c r="Q2876">
        <f t="shared" si="331"/>
        <v>2860</v>
      </c>
      <c r="R2876" s="48">
        <f t="shared" ca="1" si="332"/>
        <v>0.3</v>
      </c>
      <c r="S2876">
        <f t="shared" ca="1" si="333"/>
        <v>183.4862976596163</v>
      </c>
      <c r="T2876" s="61">
        <f t="shared" ca="1" si="334"/>
        <v>14400</v>
      </c>
      <c r="U2876" s="61">
        <f t="shared" ca="1" si="335"/>
        <v>10752.326689385127</v>
      </c>
      <c r="V2876" s="39">
        <f t="shared" ca="1" si="336"/>
        <v>7.0738991377533728E-2</v>
      </c>
      <c r="W2876" s="48">
        <f t="shared" ca="1" si="337"/>
        <v>0.74087313564310686</v>
      </c>
    </row>
    <row r="2877" spans="17:23" x14ac:dyDescent="0.2">
      <c r="Q2877">
        <f t="shared" si="331"/>
        <v>2861</v>
      </c>
      <c r="R2877" s="48">
        <f t="shared" ca="1" si="332"/>
        <v>0.3</v>
      </c>
      <c r="S2877">
        <f t="shared" ca="1" si="333"/>
        <v>162.03667808542565</v>
      </c>
      <c r="T2877" s="61">
        <f t="shared" ca="1" si="334"/>
        <v>14400</v>
      </c>
      <c r="U2877" s="61">
        <f t="shared" ca="1" si="335"/>
        <v>-1259.4602721616357</v>
      </c>
      <c r="V2877" s="39">
        <f t="shared" ca="1" si="336"/>
        <v>-8.2859228431686558E-3</v>
      </c>
      <c r="W2877" s="48">
        <f t="shared" ca="1" si="337"/>
        <v>-6.5261089571461262E-2</v>
      </c>
    </row>
    <row r="2878" spans="17:23" x14ac:dyDescent="0.2">
      <c r="Q2878">
        <f t="shared" si="331"/>
        <v>2862</v>
      </c>
      <c r="R2878" s="48">
        <f t="shared" ca="1" si="332"/>
        <v>0.5</v>
      </c>
      <c r="S2878">
        <f t="shared" ca="1" si="333"/>
        <v>199.48801999360265</v>
      </c>
      <c r="T2878" s="61">
        <f t="shared" ca="1" si="334"/>
        <v>24000</v>
      </c>
      <c r="U2878" s="61">
        <f t="shared" ca="1" si="335"/>
        <v>27795.207997441059</v>
      </c>
      <c r="V2878" s="39">
        <f t="shared" ca="1" si="336"/>
        <v>0.18286321050948065</v>
      </c>
      <c r="W2878" s="48">
        <f t="shared" ca="1" si="337"/>
        <v>2.9046313100775065</v>
      </c>
    </row>
    <row r="2879" spans="17:23" x14ac:dyDescent="0.2">
      <c r="Q2879">
        <f t="shared" si="331"/>
        <v>2863</v>
      </c>
      <c r="R2879" s="48">
        <f t="shared" ca="1" si="332"/>
        <v>0.3</v>
      </c>
      <c r="S2879">
        <f t="shared" ca="1" si="333"/>
        <v>183.79195263308145</v>
      </c>
      <c r="T2879" s="61">
        <f t="shared" ca="1" si="334"/>
        <v>14400</v>
      </c>
      <c r="U2879" s="61">
        <f t="shared" ca="1" si="335"/>
        <v>10923.493474525612</v>
      </c>
      <c r="V2879" s="39">
        <f t="shared" ca="1" si="336"/>
        <v>7.1865088648194825E-2</v>
      </c>
      <c r="W2879" s="48">
        <f t="shared" ca="1" si="337"/>
        <v>0.75577924135323715</v>
      </c>
    </row>
    <row r="2880" spans="17:23" x14ac:dyDescent="0.2">
      <c r="Q2880">
        <f t="shared" si="331"/>
        <v>2864</v>
      </c>
      <c r="R2880" s="48">
        <f t="shared" ca="1" si="332"/>
        <v>0.3</v>
      </c>
      <c r="S2880">
        <f t="shared" ca="1" si="333"/>
        <v>183.86761443312676</v>
      </c>
      <c r="T2880" s="61">
        <f t="shared" ca="1" si="334"/>
        <v>14400</v>
      </c>
      <c r="U2880" s="61">
        <f t="shared" ca="1" si="335"/>
        <v>10965.864082550986</v>
      </c>
      <c r="V2880" s="39">
        <f t="shared" ca="1" si="336"/>
        <v>7.2143842648361753E-2</v>
      </c>
      <c r="W2880" s="48">
        <f t="shared" ca="1" si="337"/>
        <v>0.7594863289713103</v>
      </c>
    </row>
    <row r="2881" spans="17:23" x14ac:dyDescent="0.2">
      <c r="Q2881">
        <f t="shared" si="331"/>
        <v>2865</v>
      </c>
      <c r="R2881" s="48">
        <f t="shared" ca="1" si="332"/>
        <v>0.4</v>
      </c>
      <c r="S2881">
        <f t="shared" ca="1" si="333"/>
        <v>203.78522554157638</v>
      </c>
      <c r="T2881" s="61">
        <f t="shared" ca="1" si="334"/>
        <v>19200</v>
      </c>
      <c r="U2881" s="61">
        <f t="shared" ca="1" si="335"/>
        <v>25816.908259956661</v>
      </c>
      <c r="V2881" s="39">
        <f t="shared" ca="1" si="336"/>
        <v>0.16984808065760962</v>
      </c>
      <c r="W2881" s="48">
        <f t="shared" ca="1" si="337"/>
        <v>2.5694859400935579</v>
      </c>
    </row>
    <row r="2882" spans="17:23" x14ac:dyDescent="0.2">
      <c r="Q2882">
        <f t="shared" si="331"/>
        <v>2866</v>
      </c>
      <c r="R2882" s="48">
        <f t="shared" ca="1" si="332"/>
        <v>0.4</v>
      </c>
      <c r="S2882">
        <f t="shared" ca="1" si="333"/>
        <v>210.41793306670473</v>
      </c>
      <c r="T2882" s="61">
        <f t="shared" ca="1" si="334"/>
        <v>19200</v>
      </c>
      <c r="U2882" s="61">
        <f t="shared" ca="1" si="335"/>
        <v>29000.60787201827</v>
      </c>
      <c r="V2882" s="39">
        <f t="shared" ca="1" si="336"/>
        <v>0.19079347284222548</v>
      </c>
      <c r="W2882" s="48">
        <f t="shared" ca="1" si="337"/>
        <v>3.1220934705487471</v>
      </c>
    </row>
    <row r="2883" spans="17:23" x14ac:dyDescent="0.2">
      <c r="Q2883">
        <f t="shared" si="331"/>
        <v>2867</v>
      </c>
      <c r="R2883" s="48">
        <f t="shared" ca="1" si="332"/>
        <v>0.4</v>
      </c>
      <c r="S2883">
        <f t="shared" ca="1" si="333"/>
        <v>201.378489223408</v>
      </c>
      <c r="T2883" s="61">
        <f t="shared" ca="1" si="334"/>
        <v>19200</v>
      </c>
      <c r="U2883" s="61">
        <f t="shared" ca="1" si="335"/>
        <v>24661.674827235838</v>
      </c>
      <c r="V2883" s="39">
        <f t="shared" ca="1" si="336"/>
        <v>0.16224786070549893</v>
      </c>
      <c r="W2883" s="48">
        <f t="shared" ca="1" si="337"/>
        <v>2.3856765151519954</v>
      </c>
    </row>
    <row r="2884" spans="17:23" x14ac:dyDescent="0.2">
      <c r="Q2884">
        <f t="shared" si="331"/>
        <v>2868</v>
      </c>
      <c r="R2884" s="48">
        <f t="shared" ca="1" si="332"/>
        <v>0.217</v>
      </c>
      <c r="S2884">
        <f t="shared" ca="1" si="333"/>
        <v>185.57335539649716</v>
      </c>
      <c r="T2884" s="61">
        <f t="shared" ca="1" si="334"/>
        <v>10416</v>
      </c>
      <c r="U2884" s="61">
        <f t="shared" ca="1" si="335"/>
        <v>7643.149820365823</v>
      </c>
      <c r="V2884" s="39">
        <f t="shared" ca="1" si="336"/>
        <v>5.0283880397143571E-2</v>
      </c>
      <c r="W2884" s="48">
        <f t="shared" ca="1" si="337"/>
        <v>0.48874738448791089</v>
      </c>
    </row>
    <row r="2885" spans="17:23" x14ac:dyDescent="0.2">
      <c r="Q2885">
        <f t="shared" si="331"/>
        <v>2869</v>
      </c>
      <c r="R2885" s="48">
        <f t="shared" ca="1" si="332"/>
        <v>0.45</v>
      </c>
      <c r="S2885">
        <f t="shared" ca="1" si="333"/>
        <v>205.84710138257955</v>
      </c>
      <c r="T2885" s="61">
        <f t="shared" ca="1" si="334"/>
        <v>21600</v>
      </c>
      <c r="U2885" s="61">
        <f t="shared" ca="1" si="335"/>
        <v>28572.724608335004</v>
      </c>
      <c r="V2885" s="39">
        <f t="shared" ca="1" si="336"/>
        <v>0.18797845137062502</v>
      </c>
      <c r="W2885" s="48">
        <f t="shared" ca="1" si="337"/>
        <v>3.0437152630452591</v>
      </c>
    </row>
    <row r="2886" spans="17:23" x14ac:dyDescent="0.2">
      <c r="Q2886">
        <f t="shared" si="331"/>
        <v>2870</v>
      </c>
      <c r="R2886" s="48">
        <f t="shared" ca="1" si="332"/>
        <v>0.217</v>
      </c>
      <c r="S2886">
        <f t="shared" ca="1" si="333"/>
        <v>200.93562442219809</v>
      </c>
      <c r="T2886" s="61">
        <f t="shared" ca="1" si="334"/>
        <v>10416</v>
      </c>
      <c r="U2886" s="61">
        <f t="shared" ca="1" si="335"/>
        <v>17266.075138064884</v>
      </c>
      <c r="V2886" s="39">
        <f t="shared" ca="1" si="336"/>
        <v>0.11359259959253212</v>
      </c>
      <c r="W2886" s="48">
        <f t="shared" ca="1" si="337"/>
        <v>1.3933295578299951</v>
      </c>
    </row>
    <row r="2887" spans="17:23" x14ac:dyDescent="0.2">
      <c r="Q2887">
        <f t="shared" si="331"/>
        <v>2871</v>
      </c>
      <c r="R2887" s="48">
        <f t="shared" ca="1" si="332"/>
        <v>0.217</v>
      </c>
      <c r="S2887">
        <f t="shared" ca="1" si="333"/>
        <v>211.49326451565122</v>
      </c>
      <c r="T2887" s="61">
        <f t="shared" ca="1" si="334"/>
        <v>10416</v>
      </c>
      <c r="U2887" s="61">
        <f t="shared" ca="1" si="335"/>
        <v>23879.380892603924</v>
      </c>
      <c r="V2887" s="39">
        <f t="shared" ca="1" si="336"/>
        <v>0.15710119008292056</v>
      </c>
      <c r="W2887" s="48">
        <f t="shared" ca="1" si="337"/>
        <v>2.2659684279445833</v>
      </c>
    </row>
    <row r="2888" spans="17:23" x14ac:dyDescent="0.2">
      <c r="Q2888">
        <f t="shared" si="331"/>
        <v>2872</v>
      </c>
      <c r="R2888" s="48">
        <f t="shared" ca="1" si="332"/>
        <v>0.4</v>
      </c>
      <c r="S2888">
        <f t="shared" ca="1" si="333"/>
        <v>163.5355416148582</v>
      </c>
      <c r="T2888" s="61">
        <f t="shared" ca="1" si="334"/>
        <v>19200</v>
      </c>
      <c r="U2888" s="61">
        <f t="shared" ca="1" si="335"/>
        <v>6497.0599751319387</v>
      </c>
      <c r="V2888" s="39">
        <f t="shared" ca="1" si="336"/>
        <v>4.2743815625868015E-2</v>
      </c>
      <c r="W2888" s="48">
        <f t="shared" ca="1" si="337"/>
        <v>0.40423798982892079</v>
      </c>
    </row>
    <row r="2889" spans="17:23" x14ac:dyDescent="0.2">
      <c r="Q2889">
        <f t="shared" si="331"/>
        <v>2873</v>
      </c>
      <c r="R2889" s="48">
        <f t="shared" ca="1" si="332"/>
        <v>0.217</v>
      </c>
      <c r="S2889">
        <f t="shared" ca="1" si="333"/>
        <v>187.95080708345517</v>
      </c>
      <c r="T2889" s="61">
        <f t="shared" ca="1" si="334"/>
        <v>10416</v>
      </c>
      <c r="U2889" s="61">
        <f t="shared" ca="1" si="335"/>
        <v>9132.3855570763208</v>
      </c>
      <c r="V2889" s="39">
        <f t="shared" ca="1" si="336"/>
        <v>6.0081483928133686E-2</v>
      </c>
      <c r="W2889" s="48">
        <f t="shared" ca="1" si="337"/>
        <v>0.60520115426247711</v>
      </c>
    </row>
    <row r="2890" spans="17:23" x14ac:dyDescent="0.2">
      <c r="Q2890">
        <f t="shared" si="331"/>
        <v>2874</v>
      </c>
      <c r="R2890" s="48">
        <f t="shared" ca="1" si="332"/>
        <v>0.3</v>
      </c>
      <c r="S2890">
        <f t="shared" ca="1" si="333"/>
        <v>176.88101593352374</v>
      </c>
      <c r="T2890" s="61">
        <f t="shared" ca="1" si="334"/>
        <v>14400</v>
      </c>
      <c r="U2890" s="61">
        <f t="shared" ca="1" si="335"/>
        <v>7053.3689227732957</v>
      </c>
      <c r="V2890" s="39">
        <f t="shared" ca="1" si="336"/>
        <v>4.6403742912982208E-2</v>
      </c>
      <c r="W2890" s="48">
        <f t="shared" ca="1" si="337"/>
        <v>0.44471800332137978</v>
      </c>
    </row>
    <row r="2891" spans="17:23" x14ac:dyDescent="0.2">
      <c r="Q2891">
        <f t="shared" si="331"/>
        <v>2875</v>
      </c>
      <c r="R2891" s="48">
        <f t="shared" ca="1" si="332"/>
        <v>0.217</v>
      </c>
      <c r="S2891">
        <f t="shared" ca="1" si="333"/>
        <v>163.74778210929406</v>
      </c>
      <c r="T2891" s="61">
        <f t="shared" ca="1" si="334"/>
        <v>10416</v>
      </c>
      <c r="U2891" s="61">
        <f t="shared" ca="1" si="335"/>
        <v>-6028.3892867381983</v>
      </c>
      <c r="V2891" s="39">
        <f t="shared" ca="1" si="336"/>
        <v>-3.9660455833803933E-2</v>
      </c>
      <c r="W2891" s="48">
        <f t="shared" ca="1" si="337"/>
        <v>-0.27981230017199676</v>
      </c>
    </row>
    <row r="2892" spans="17:23" x14ac:dyDescent="0.2">
      <c r="Q2892">
        <f t="shared" si="331"/>
        <v>2876</v>
      </c>
      <c r="R2892" s="48">
        <f t="shared" ca="1" si="332"/>
        <v>0.35</v>
      </c>
      <c r="S2892">
        <f t="shared" ca="1" si="333"/>
        <v>211.91795412959996</v>
      </c>
      <c r="T2892" s="61">
        <f t="shared" ca="1" si="334"/>
        <v>16800</v>
      </c>
      <c r="U2892" s="61">
        <f t="shared" ca="1" si="335"/>
        <v>28197.336147391979</v>
      </c>
      <c r="V2892" s="39">
        <f t="shared" ca="1" si="336"/>
        <v>0.18550879044336829</v>
      </c>
      <c r="W2892" s="48">
        <f t="shared" ca="1" si="337"/>
        <v>2.9760319970493549</v>
      </c>
    </row>
    <row r="2893" spans="17:23" x14ac:dyDescent="0.2">
      <c r="Q2893">
        <f t="shared" si="331"/>
        <v>2877</v>
      </c>
      <c r="R2893" s="48">
        <f t="shared" ca="1" si="332"/>
        <v>0.3</v>
      </c>
      <c r="S2893">
        <f t="shared" ca="1" si="333"/>
        <v>179.55649250173005</v>
      </c>
      <c r="T2893" s="61">
        <f t="shared" ca="1" si="334"/>
        <v>14400</v>
      </c>
      <c r="U2893" s="61">
        <f t="shared" ca="1" si="335"/>
        <v>8551.6358009688265</v>
      </c>
      <c r="V2893" s="39">
        <f t="shared" ca="1" si="336"/>
        <v>5.626076184847912E-2</v>
      </c>
      <c r="W2893" s="48">
        <f t="shared" ca="1" si="337"/>
        <v>0.55887184512667964</v>
      </c>
    </row>
    <row r="2894" spans="17:23" x14ac:dyDescent="0.2">
      <c r="Q2894">
        <f t="shared" si="331"/>
        <v>2878</v>
      </c>
      <c r="R2894" s="48">
        <f t="shared" ca="1" si="332"/>
        <v>0.35</v>
      </c>
      <c r="S2894">
        <f t="shared" ca="1" si="333"/>
        <v>198.88047478586961</v>
      </c>
      <c r="T2894" s="61">
        <f t="shared" ca="1" si="334"/>
        <v>16800</v>
      </c>
      <c r="U2894" s="61">
        <f t="shared" ca="1" si="335"/>
        <v>21417.846888652195</v>
      </c>
      <c r="V2894" s="39">
        <f t="shared" ca="1" si="336"/>
        <v>0.14090688742534338</v>
      </c>
      <c r="W2894" s="48">
        <f t="shared" ca="1" si="337"/>
        <v>1.9131493381648363</v>
      </c>
    </row>
    <row r="2895" spans="17:23" x14ac:dyDescent="0.2">
      <c r="Q2895">
        <f t="shared" si="331"/>
        <v>2879</v>
      </c>
      <c r="R2895" s="48">
        <f t="shared" ca="1" si="332"/>
        <v>0.217</v>
      </c>
      <c r="S2895">
        <f t="shared" ca="1" si="333"/>
        <v>177.20057938247515</v>
      </c>
      <c r="T2895" s="61">
        <f t="shared" ca="1" si="334"/>
        <v>10416</v>
      </c>
      <c r="U2895" s="61">
        <f t="shared" ca="1" si="335"/>
        <v>2398.4429251824376</v>
      </c>
      <c r="V2895" s="39">
        <f t="shared" ca="1" si="336"/>
        <v>1.5779229770937091E-2</v>
      </c>
      <c r="W2895" s="48">
        <f t="shared" ca="1" si="337"/>
        <v>0.13540318304689181</v>
      </c>
    </row>
    <row r="2896" spans="17:23" x14ac:dyDescent="0.2">
      <c r="Q2896">
        <f t="shared" si="331"/>
        <v>2880</v>
      </c>
      <c r="R2896" s="48">
        <f t="shared" ca="1" si="332"/>
        <v>0.217</v>
      </c>
      <c r="S2896">
        <f t="shared" ca="1" si="333"/>
        <v>204.21108009573337</v>
      </c>
      <c r="T2896" s="61">
        <f t="shared" ca="1" si="334"/>
        <v>10416</v>
      </c>
      <c r="U2896" s="61">
        <f t="shared" ca="1" si="335"/>
        <v>19317.820571967379</v>
      </c>
      <c r="V2896" s="39">
        <f t="shared" ca="1" si="336"/>
        <v>0.12709092481557485</v>
      </c>
      <c r="W2896" s="48">
        <f t="shared" ca="1" si="337"/>
        <v>1.639033117872541</v>
      </c>
    </row>
    <row r="2897" spans="17:23" x14ac:dyDescent="0.2">
      <c r="Q2897">
        <f t="shared" si="331"/>
        <v>2881</v>
      </c>
      <c r="R2897" s="48">
        <f t="shared" ca="1" si="332"/>
        <v>0.5</v>
      </c>
      <c r="S2897">
        <f t="shared" ca="1" si="333"/>
        <v>195.67466840178201</v>
      </c>
      <c r="T2897" s="61">
        <f t="shared" ca="1" si="334"/>
        <v>24000</v>
      </c>
      <c r="U2897" s="61">
        <f t="shared" ca="1" si="335"/>
        <v>26269.867360712808</v>
      </c>
      <c r="V2897" s="39">
        <f t="shared" ca="1" si="336"/>
        <v>0.17282807474153164</v>
      </c>
      <c r="W2897" s="48">
        <f t="shared" ca="1" si="337"/>
        <v>2.6439090879310796</v>
      </c>
    </row>
    <row r="2898" spans="17:23" x14ac:dyDescent="0.2">
      <c r="Q2898">
        <f t="shared" si="331"/>
        <v>2882</v>
      </c>
      <c r="R2898" s="48">
        <f t="shared" ca="1" si="332"/>
        <v>0.35</v>
      </c>
      <c r="S2898">
        <f t="shared" ca="1" si="333"/>
        <v>201.06040137769247</v>
      </c>
      <c r="T2898" s="61">
        <f t="shared" ca="1" si="334"/>
        <v>16800</v>
      </c>
      <c r="U2898" s="61">
        <f t="shared" ca="1" si="335"/>
        <v>22551.408716400085</v>
      </c>
      <c r="V2898" s="39">
        <f t="shared" ca="1" si="336"/>
        <v>0.14836453102894792</v>
      </c>
      <c r="W2898" s="48">
        <f t="shared" ca="1" si="337"/>
        <v>2.0712395483271258</v>
      </c>
    </row>
    <row r="2899" spans="17:23" x14ac:dyDescent="0.2">
      <c r="Q2899">
        <f t="shared" ref="Q2899:Q2962" si="338">Q2898+1</f>
        <v>2883</v>
      </c>
      <c r="R2899" s="48">
        <f t="shared" ref="R2899:R2962" ca="1" si="339">LOOKUP(RAND(),$U$6:$U$12,$S$6:$S$12)</f>
        <v>0.4</v>
      </c>
      <c r="S2899">
        <f t="shared" ref="S2899:S2962" ca="1" si="340">_xlfn.NORM.INV(RAND(),$Q$5,$Q$10)</f>
        <v>153.41922552005965</v>
      </c>
      <c r="T2899" s="61">
        <f t="shared" ca="1" si="334"/>
        <v>19200</v>
      </c>
      <c r="U2899" s="61">
        <f t="shared" ca="1" si="335"/>
        <v>1641.2282496286352</v>
      </c>
      <c r="V2899" s="39">
        <f t="shared" ca="1" si="336"/>
        <v>1.0797554273872601E-2</v>
      </c>
      <c r="W2899" s="48">
        <f t="shared" ca="1" si="337"/>
        <v>9.1017462753368195E-2</v>
      </c>
    </row>
    <row r="2900" spans="17:23" x14ac:dyDescent="0.2">
      <c r="Q2900">
        <f t="shared" si="338"/>
        <v>2884</v>
      </c>
      <c r="R2900" s="48">
        <f t="shared" ca="1" si="339"/>
        <v>0.4</v>
      </c>
      <c r="S2900">
        <f t="shared" ca="1" si="340"/>
        <v>181.12884149717232</v>
      </c>
      <c r="T2900" s="61">
        <f t="shared" ca="1" si="334"/>
        <v>19200</v>
      </c>
      <c r="U2900" s="61">
        <f t="shared" ca="1" si="335"/>
        <v>14941.843918642713</v>
      </c>
      <c r="V2900" s="39">
        <f t="shared" ca="1" si="336"/>
        <v>9.8301604727912592E-2</v>
      </c>
      <c r="W2900" s="48">
        <f t="shared" ca="1" si="337"/>
        <v>1.1394274780641727</v>
      </c>
    </row>
    <row r="2901" spans="17:23" x14ac:dyDescent="0.2">
      <c r="Q2901">
        <f t="shared" si="338"/>
        <v>2885</v>
      </c>
      <c r="R2901" s="48">
        <f t="shared" ca="1" si="339"/>
        <v>0.45</v>
      </c>
      <c r="S2901">
        <f t="shared" ca="1" si="340"/>
        <v>168.21344128662955</v>
      </c>
      <c r="T2901" s="61">
        <f t="shared" ca="1" si="334"/>
        <v>21600</v>
      </c>
      <c r="U2901" s="61">
        <f t="shared" ca="1" si="335"/>
        <v>12013.914166117</v>
      </c>
      <c r="V2901" s="39">
        <f t="shared" ca="1" si="336"/>
        <v>7.9038908987611844E-2</v>
      </c>
      <c r="W2901" s="48">
        <f t="shared" ca="1" si="337"/>
        <v>0.85339347931877829</v>
      </c>
    </row>
    <row r="2902" spans="17:23" x14ac:dyDescent="0.2">
      <c r="Q2902">
        <f t="shared" si="338"/>
        <v>2886</v>
      </c>
      <c r="R2902" s="48">
        <f t="shared" ca="1" si="339"/>
        <v>0.4</v>
      </c>
      <c r="S2902">
        <f t="shared" ca="1" si="340"/>
        <v>197.22666815821245</v>
      </c>
      <c r="T2902" s="61">
        <f t="shared" ca="1" si="334"/>
        <v>19200</v>
      </c>
      <c r="U2902" s="61">
        <f t="shared" ca="1" si="335"/>
        <v>22668.800715941976</v>
      </c>
      <c r="V2902" s="39">
        <f t="shared" ca="1" si="336"/>
        <v>0.14913684681540773</v>
      </c>
      <c r="W2902" s="48">
        <f t="shared" ca="1" si="337"/>
        <v>2.0880333053740534</v>
      </c>
    </row>
    <row r="2903" spans="17:23" x14ac:dyDescent="0.2">
      <c r="Q2903">
        <f t="shared" si="338"/>
        <v>2887</v>
      </c>
      <c r="R2903" s="48">
        <f t="shared" ca="1" si="339"/>
        <v>0.217</v>
      </c>
      <c r="S2903">
        <f t="shared" ca="1" si="340"/>
        <v>178.66595288639337</v>
      </c>
      <c r="T2903" s="61">
        <f t="shared" ca="1" si="334"/>
        <v>10416</v>
      </c>
      <c r="U2903" s="61">
        <f t="shared" ca="1" si="335"/>
        <v>3316.3528880368076</v>
      </c>
      <c r="V2903" s="39">
        <f t="shared" ca="1" si="336"/>
        <v>2.1818111105505314E-2</v>
      </c>
      <c r="W2903" s="48">
        <f t="shared" ca="1" si="337"/>
        <v>0.19132506382458225</v>
      </c>
    </row>
    <row r="2904" spans="17:23" x14ac:dyDescent="0.2">
      <c r="Q2904">
        <f t="shared" si="338"/>
        <v>2888</v>
      </c>
      <c r="R2904" s="48">
        <f t="shared" ca="1" si="339"/>
        <v>0.217</v>
      </c>
      <c r="S2904">
        <f t="shared" ca="1" si="340"/>
        <v>178.67099281439317</v>
      </c>
      <c r="T2904" s="61">
        <f t="shared" ca="1" si="334"/>
        <v>10416</v>
      </c>
      <c r="U2904" s="61">
        <f t="shared" ca="1" si="335"/>
        <v>3319.5098989358839</v>
      </c>
      <c r="V2904" s="39">
        <f t="shared" ca="1" si="336"/>
        <v>2.1838880914051867E-2</v>
      </c>
      <c r="W2904" s="48">
        <f t="shared" ca="1" si="337"/>
        <v>0.19152149070256463</v>
      </c>
    </row>
    <row r="2905" spans="17:23" x14ac:dyDescent="0.2">
      <c r="Q2905">
        <f t="shared" si="338"/>
        <v>2889</v>
      </c>
      <c r="R2905" s="48">
        <f t="shared" ca="1" si="339"/>
        <v>0.45</v>
      </c>
      <c r="S2905">
        <f t="shared" ca="1" si="340"/>
        <v>200.50692328771203</v>
      </c>
      <c r="T2905" s="61">
        <f t="shared" ca="1" si="334"/>
        <v>21600</v>
      </c>
      <c r="U2905" s="61">
        <f t="shared" ca="1" si="335"/>
        <v>26223.046246593294</v>
      </c>
      <c r="V2905" s="39">
        <f t="shared" ca="1" si="336"/>
        <v>0.17252004109600852</v>
      </c>
      <c r="W2905" s="48">
        <f t="shared" ca="1" si="337"/>
        <v>2.6361536530906431</v>
      </c>
    </row>
    <row r="2906" spans="17:23" x14ac:dyDescent="0.2">
      <c r="Q2906">
        <f t="shared" si="338"/>
        <v>2890</v>
      </c>
      <c r="R2906" s="48">
        <f t="shared" ca="1" si="339"/>
        <v>0.35</v>
      </c>
      <c r="S2906">
        <f t="shared" ca="1" si="340"/>
        <v>207.59683031045608</v>
      </c>
      <c r="T2906" s="61">
        <f t="shared" ca="1" si="334"/>
        <v>16800</v>
      </c>
      <c r="U2906" s="61">
        <f t="shared" ca="1" si="335"/>
        <v>25950.351761437163</v>
      </c>
      <c r="V2906" s="39">
        <f t="shared" ca="1" si="336"/>
        <v>0.17072599843050765</v>
      </c>
      <c r="W2906" s="48">
        <f t="shared" ca="1" si="337"/>
        <v>2.5912715361232475</v>
      </c>
    </row>
    <row r="2907" spans="17:23" x14ac:dyDescent="0.2">
      <c r="Q2907">
        <f t="shared" si="338"/>
        <v>2891</v>
      </c>
      <c r="R2907" s="48">
        <f t="shared" ca="1" si="339"/>
        <v>0.35</v>
      </c>
      <c r="S2907">
        <f t="shared" ca="1" si="340"/>
        <v>161.32580384254726</v>
      </c>
      <c r="T2907" s="61">
        <f t="shared" ca="1" si="334"/>
        <v>16800</v>
      </c>
      <c r="U2907" s="61">
        <f t="shared" ca="1" si="335"/>
        <v>1889.4179981245743</v>
      </c>
      <c r="V2907" s="39">
        <f t="shared" ca="1" si="336"/>
        <v>1.2430381566609042E-2</v>
      </c>
      <c r="W2907" s="48">
        <f t="shared" ca="1" si="337"/>
        <v>0.10539496927098857</v>
      </c>
    </row>
    <row r="2908" spans="17:23" x14ac:dyDescent="0.2">
      <c r="Q2908">
        <f t="shared" si="338"/>
        <v>2892</v>
      </c>
      <c r="R2908" s="48">
        <f t="shared" ca="1" si="339"/>
        <v>0.3</v>
      </c>
      <c r="S2908">
        <f t="shared" ca="1" si="340"/>
        <v>186.1072421963309</v>
      </c>
      <c r="T2908" s="61">
        <f t="shared" ca="1" si="334"/>
        <v>14400</v>
      </c>
      <c r="U2908" s="61">
        <f t="shared" ca="1" si="335"/>
        <v>12220.055629945306</v>
      </c>
      <c r="V2908" s="39">
        <f t="shared" ca="1" si="336"/>
        <v>8.0395102828587542E-2</v>
      </c>
      <c r="W2908" s="48">
        <f t="shared" ca="1" si="337"/>
        <v>0.87237251121598103</v>
      </c>
    </row>
    <row r="2909" spans="17:23" x14ac:dyDescent="0.2">
      <c r="Q2909">
        <f t="shared" si="338"/>
        <v>2893</v>
      </c>
      <c r="R2909" s="48">
        <f t="shared" ca="1" si="339"/>
        <v>0.3</v>
      </c>
      <c r="S2909">
        <f t="shared" ca="1" si="340"/>
        <v>161.07766578107965</v>
      </c>
      <c r="T2909" s="61">
        <f t="shared" ca="1" si="334"/>
        <v>14400</v>
      </c>
      <c r="U2909" s="61">
        <f t="shared" ca="1" si="335"/>
        <v>-1796.5071625953988</v>
      </c>
      <c r="V2909" s="39">
        <f t="shared" ca="1" si="336"/>
        <v>-1.1819126069706571E-2</v>
      </c>
      <c r="W2909" s="48">
        <f t="shared" ca="1" si="337"/>
        <v>-9.1933146836515545E-2</v>
      </c>
    </row>
    <row r="2910" spans="17:23" x14ac:dyDescent="0.2">
      <c r="Q2910">
        <f t="shared" si="338"/>
        <v>2894</v>
      </c>
      <c r="R2910" s="48">
        <f t="shared" ca="1" si="339"/>
        <v>0.4</v>
      </c>
      <c r="S2910">
        <f t="shared" ca="1" si="340"/>
        <v>195.12072719184584</v>
      </c>
      <c r="T2910" s="61">
        <f t="shared" ca="1" si="334"/>
        <v>19200</v>
      </c>
      <c r="U2910" s="61">
        <f t="shared" ca="1" si="335"/>
        <v>21657.949052086005</v>
      </c>
      <c r="V2910" s="39">
        <f t="shared" ca="1" si="336"/>
        <v>0.14248650692161846</v>
      </c>
      <c r="W2910" s="48">
        <f t="shared" ca="1" si="337"/>
        <v>1.9460257249571371</v>
      </c>
    </row>
    <row r="2911" spans="17:23" x14ac:dyDescent="0.2">
      <c r="Q2911">
        <f t="shared" si="338"/>
        <v>2895</v>
      </c>
      <c r="R2911" s="48">
        <f t="shared" ca="1" si="339"/>
        <v>0.217</v>
      </c>
      <c r="S2911">
        <f t="shared" ca="1" si="340"/>
        <v>196.18288505102311</v>
      </c>
      <c r="T2911" s="61">
        <f t="shared" ca="1" si="334"/>
        <v>10416</v>
      </c>
      <c r="U2911" s="61">
        <f t="shared" ca="1" si="335"/>
        <v>14288.959195960873</v>
      </c>
      <c r="V2911" s="39">
        <f t="shared" ca="1" si="336"/>
        <v>9.400631049974259E-2</v>
      </c>
      <c r="W2911" s="48">
        <f t="shared" ca="1" si="337"/>
        <v>1.0724981584830799</v>
      </c>
    </row>
    <row r="2912" spans="17:23" x14ac:dyDescent="0.2">
      <c r="Q2912">
        <f t="shared" si="338"/>
        <v>2896</v>
      </c>
      <c r="R2912" s="48">
        <f t="shared" ca="1" si="339"/>
        <v>0.5</v>
      </c>
      <c r="S2912">
        <f t="shared" ca="1" si="340"/>
        <v>202.79918397890381</v>
      </c>
      <c r="T2912" s="61">
        <f t="shared" ca="1" si="334"/>
        <v>24000</v>
      </c>
      <c r="U2912" s="61">
        <f t="shared" ca="1" si="335"/>
        <v>29119.673591561525</v>
      </c>
      <c r="V2912" s="39">
        <f t="shared" ca="1" si="336"/>
        <v>0.19157679994448371</v>
      </c>
      <c r="W2912" s="48">
        <f t="shared" ca="1" si="337"/>
        <v>3.144139015758034</v>
      </c>
    </row>
    <row r="2913" spans="17:23" x14ac:dyDescent="0.2">
      <c r="Q2913">
        <f t="shared" si="338"/>
        <v>2897</v>
      </c>
      <c r="R2913" s="48">
        <f t="shared" ca="1" si="339"/>
        <v>0.4</v>
      </c>
      <c r="S2913">
        <f t="shared" ca="1" si="340"/>
        <v>196.36988307075347</v>
      </c>
      <c r="T2913" s="61">
        <f t="shared" ca="1" si="334"/>
        <v>19200</v>
      </c>
      <c r="U2913" s="61">
        <f t="shared" ca="1" si="335"/>
        <v>22257.543873961666</v>
      </c>
      <c r="V2913" s="39">
        <f t="shared" ca="1" si="336"/>
        <v>0.14643120969711623</v>
      </c>
      <c r="W2913" s="48">
        <f t="shared" ca="1" si="337"/>
        <v>2.029550709790001</v>
      </c>
    </row>
    <row r="2914" spans="17:23" x14ac:dyDescent="0.2">
      <c r="Q2914">
        <f t="shared" si="338"/>
        <v>2898</v>
      </c>
      <c r="R2914" s="48">
        <f t="shared" ca="1" si="339"/>
        <v>0.45</v>
      </c>
      <c r="S2914">
        <f t="shared" ca="1" si="340"/>
        <v>180.95690210045478</v>
      </c>
      <c r="T2914" s="61">
        <f t="shared" ca="1" si="334"/>
        <v>21600</v>
      </c>
      <c r="U2914" s="61">
        <f t="shared" ca="1" si="335"/>
        <v>17621.036924200103</v>
      </c>
      <c r="V2914" s="39">
        <f t="shared" ca="1" si="336"/>
        <v>0.11592787450131647</v>
      </c>
      <c r="W2914" s="48">
        <f t="shared" ca="1" si="337"/>
        <v>1.4343437805035104</v>
      </c>
    </row>
    <row r="2915" spans="17:23" x14ac:dyDescent="0.2">
      <c r="Q2915">
        <f t="shared" si="338"/>
        <v>2899</v>
      </c>
      <c r="R2915" s="48">
        <f t="shared" ca="1" si="339"/>
        <v>0.45</v>
      </c>
      <c r="S2915">
        <f t="shared" ca="1" si="340"/>
        <v>195.41542951922992</v>
      </c>
      <c r="T2915" s="61">
        <f t="shared" ca="1" si="334"/>
        <v>21600</v>
      </c>
      <c r="U2915" s="61">
        <f t="shared" ca="1" si="335"/>
        <v>23982.788988461165</v>
      </c>
      <c r="V2915" s="39">
        <f t="shared" ca="1" si="336"/>
        <v>0.15778150650303399</v>
      </c>
      <c r="W2915" s="48">
        <f t="shared" ca="1" si="337"/>
        <v>2.2815761660886915</v>
      </c>
    </row>
    <row r="2916" spans="17:23" x14ac:dyDescent="0.2">
      <c r="Q2916">
        <f t="shared" si="338"/>
        <v>2900</v>
      </c>
      <c r="R2916" s="48">
        <f t="shared" ca="1" si="339"/>
        <v>0.45</v>
      </c>
      <c r="S2916">
        <f t="shared" ca="1" si="340"/>
        <v>177.38401545180861</v>
      </c>
      <c r="T2916" s="61">
        <f t="shared" ca="1" si="334"/>
        <v>21600</v>
      </c>
      <c r="U2916" s="61">
        <f t="shared" ca="1" si="335"/>
        <v>16048.966798795787</v>
      </c>
      <c r="V2916" s="39">
        <f t="shared" ca="1" si="336"/>
        <v>0.10558530788681439</v>
      </c>
      <c r="W2916" s="48">
        <f t="shared" ca="1" si="337"/>
        <v>1.2572603559199851</v>
      </c>
    </row>
    <row r="2917" spans="17:23" x14ac:dyDescent="0.2">
      <c r="Q2917">
        <f t="shared" si="338"/>
        <v>2901</v>
      </c>
      <c r="R2917" s="48">
        <f t="shared" ca="1" si="339"/>
        <v>0.15</v>
      </c>
      <c r="S2917">
        <f t="shared" ca="1" si="340"/>
        <v>226.93878441627854</v>
      </c>
      <c r="T2917" s="61">
        <f t="shared" ca="1" si="334"/>
        <v>7200</v>
      </c>
      <c r="U2917" s="61">
        <f t="shared" ca="1" si="335"/>
        <v>32318.373403069407</v>
      </c>
      <c r="V2917" s="39">
        <f t="shared" ca="1" si="336"/>
        <v>0.2126208776517724</v>
      </c>
      <c r="W2917" s="48">
        <f t="shared" ca="1" si="337"/>
        <v>3.7764266402094968</v>
      </c>
    </row>
    <row r="2918" spans="17:23" x14ac:dyDescent="0.2">
      <c r="Q2918">
        <f t="shared" si="338"/>
        <v>2902</v>
      </c>
      <c r="R2918" s="48">
        <f t="shared" ca="1" si="339"/>
        <v>0.35</v>
      </c>
      <c r="S2918">
        <f t="shared" ca="1" si="340"/>
        <v>206.36616605510221</v>
      </c>
      <c r="T2918" s="61">
        <f t="shared" ca="1" si="334"/>
        <v>16800</v>
      </c>
      <c r="U2918" s="61">
        <f t="shared" ca="1" si="335"/>
        <v>25310.406348653152</v>
      </c>
      <c r="V2918" s="39">
        <f t="shared" ca="1" si="336"/>
        <v>0.16651583124113917</v>
      </c>
      <c r="W2918" s="48">
        <f t="shared" ca="1" si="337"/>
        <v>2.4878467153622821</v>
      </c>
    </row>
    <row r="2919" spans="17:23" x14ac:dyDescent="0.2">
      <c r="Q2919">
        <f t="shared" si="338"/>
        <v>2903</v>
      </c>
      <c r="R2919" s="48">
        <f t="shared" ca="1" si="339"/>
        <v>0.3</v>
      </c>
      <c r="S2919">
        <f t="shared" ca="1" si="340"/>
        <v>201.14127601584482</v>
      </c>
      <c r="T2919" s="61">
        <f t="shared" ca="1" si="334"/>
        <v>14400</v>
      </c>
      <c r="U2919" s="61">
        <f t="shared" ca="1" si="335"/>
        <v>20639.114568873101</v>
      </c>
      <c r="V2919" s="39">
        <f t="shared" ca="1" si="336"/>
        <v>0.13578364847942831</v>
      </c>
      <c r="W2919" s="48">
        <f t="shared" ca="1" si="337"/>
        <v>1.8087226262108071</v>
      </c>
    </row>
    <row r="2920" spans="17:23" x14ac:dyDescent="0.2">
      <c r="Q2920">
        <f t="shared" si="338"/>
        <v>2904</v>
      </c>
      <c r="R2920" s="48">
        <f t="shared" ca="1" si="339"/>
        <v>0.3</v>
      </c>
      <c r="S2920">
        <f t="shared" ca="1" si="340"/>
        <v>189.74550819602101</v>
      </c>
      <c r="T2920" s="61">
        <f t="shared" ca="1" si="334"/>
        <v>14400</v>
      </c>
      <c r="U2920" s="61">
        <f t="shared" ca="1" si="335"/>
        <v>14257.484589771764</v>
      </c>
      <c r="V2920" s="39">
        <f t="shared" ca="1" si="336"/>
        <v>9.3799240722182653E-2</v>
      </c>
      <c r="W2920" s="48">
        <f t="shared" ca="1" si="337"/>
        <v>1.0693185098186859</v>
      </c>
    </row>
    <row r="2921" spans="17:23" x14ac:dyDescent="0.2">
      <c r="Q2921">
        <f t="shared" si="338"/>
        <v>2905</v>
      </c>
      <c r="R2921" s="48">
        <f t="shared" ca="1" si="339"/>
        <v>0.4</v>
      </c>
      <c r="S2921">
        <f t="shared" ca="1" si="340"/>
        <v>204.62014852151916</v>
      </c>
      <c r="T2921" s="61">
        <f t="shared" ca="1" si="334"/>
        <v>19200</v>
      </c>
      <c r="U2921" s="61">
        <f t="shared" ca="1" si="335"/>
        <v>26217.671290329195</v>
      </c>
      <c r="V2921" s="39">
        <f t="shared" ca="1" si="336"/>
        <v>0.17248467954163946</v>
      </c>
      <c r="W2921" s="48">
        <f t="shared" ca="1" si="337"/>
        <v>2.6352642736607459</v>
      </c>
    </row>
    <row r="2922" spans="17:23" x14ac:dyDescent="0.2">
      <c r="Q2922">
        <f t="shared" si="338"/>
        <v>2906</v>
      </c>
      <c r="R2922" s="48">
        <f t="shared" ca="1" si="339"/>
        <v>0.35</v>
      </c>
      <c r="S2922">
        <f t="shared" ca="1" si="340"/>
        <v>206.79213972971237</v>
      </c>
      <c r="T2922" s="61">
        <f t="shared" ca="1" si="334"/>
        <v>16800</v>
      </c>
      <c r="U2922" s="61">
        <f t="shared" ca="1" si="335"/>
        <v>25531.912659450434</v>
      </c>
      <c r="V2922" s="39">
        <f t="shared" ca="1" si="336"/>
        <v>0.1679731096016476</v>
      </c>
      <c r="W2922" s="48">
        <f t="shared" ca="1" si="337"/>
        <v>2.5233459748687084</v>
      </c>
    </row>
    <row r="2923" spans="17:23" x14ac:dyDescent="0.2">
      <c r="Q2923">
        <f t="shared" si="338"/>
        <v>2907</v>
      </c>
      <c r="R2923" s="48">
        <f t="shared" ca="1" si="339"/>
        <v>0.4</v>
      </c>
      <c r="S2923">
        <f t="shared" ca="1" si="340"/>
        <v>179.25619212328493</v>
      </c>
      <c r="T2923" s="61">
        <f t="shared" ca="1" si="334"/>
        <v>19200</v>
      </c>
      <c r="U2923" s="61">
        <f t="shared" ca="1" si="335"/>
        <v>14042.972219176769</v>
      </c>
      <c r="V2923" s="39">
        <f t="shared" ca="1" si="336"/>
        <v>9.2387975126162952E-2</v>
      </c>
      <c r="W2923" s="48">
        <f t="shared" ca="1" si="337"/>
        <v>1.0477615674673464</v>
      </c>
    </row>
    <row r="2924" spans="17:23" x14ac:dyDescent="0.2">
      <c r="Q2924">
        <f t="shared" si="338"/>
        <v>2908</v>
      </c>
      <c r="R2924" s="48">
        <f t="shared" ca="1" si="339"/>
        <v>0.3</v>
      </c>
      <c r="S2924">
        <f t="shared" ca="1" si="340"/>
        <v>184.15332404974694</v>
      </c>
      <c r="T2924" s="61">
        <f t="shared" ca="1" si="334"/>
        <v>14400</v>
      </c>
      <c r="U2924" s="61">
        <f t="shared" ca="1" si="335"/>
        <v>11125.861467858287</v>
      </c>
      <c r="V2924" s="39">
        <f t="shared" ca="1" si="336"/>
        <v>7.3196457025383466E-2</v>
      </c>
      <c r="W2924" s="48">
        <f t="shared" ca="1" si="337"/>
        <v>0.77354676876858464</v>
      </c>
    </row>
    <row r="2925" spans="17:23" x14ac:dyDescent="0.2">
      <c r="Q2925">
        <f t="shared" si="338"/>
        <v>2909</v>
      </c>
      <c r="R2925" s="48">
        <f t="shared" ca="1" si="339"/>
        <v>0.3</v>
      </c>
      <c r="S2925">
        <f t="shared" ca="1" si="340"/>
        <v>185.69013380998157</v>
      </c>
      <c r="T2925" s="61">
        <f t="shared" ca="1" si="334"/>
        <v>14400</v>
      </c>
      <c r="U2925" s="61">
        <f t="shared" ca="1" si="335"/>
        <v>11986.474933589681</v>
      </c>
      <c r="V2925" s="39">
        <f t="shared" ca="1" si="336"/>
        <v>7.8858387720984746E-2</v>
      </c>
      <c r="W2925" s="48">
        <f t="shared" ca="1" si="337"/>
        <v>0.85087996754047013</v>
      </c>
    </row>
    <row r="2926" spans="17:23" x14ac:dyDescent="0.2">
      <c r="Q2926">
        <f t="shared" si="338"/>
        <v>2910</v>
      </c>
      <c r="R2926" s="48">
        <f t="shared" ca="1" si="339"/>
        <v>0.45</v>
      </c>
      <c r="S2926">
        <f t="shared" ca="1" si="340"/>
        <v>178.45404608062697</v>
      </c>
      <c r="T2926" s="61">
        <f t="shared" ca="1" si="334"/>
        <v>21600</v>
      </c>
      <c r="U2926" s="61">
        <f t="shared" ca="1" si="335"/>
        <v>16519.780275475867</v>
      </c>
      <c r="V2926" s="39">
        <f t="shared" ca="1" si="336"/>
        <v>0.10868276497023596</v>
      </c>
      <c r="W2926" s="48">
        <f t="shared" ca="1" si="337"/>
        <v>1.3090692538412325</v>
      </c>
    </row>
    <row r="2927" spans="17:23" x14ac:dyDescent="0.2">
      <c r="Q2927">
        <f t="shared" si="338"/>
        <v>2911</v>
      </c>
      <c r="R2927" s="48">
        <f t="shared" ca="1" si="339"/>
        <v>0.4</v>
      </c>
      <c r="S2927">
        <f t="shared" ca="1" si="340"/>
        <v>186.09461133245887</v>
      </c>
      <c r="T2927" s="61">
        <f t="shared" ca="1" si="334"/>
        <v>19200</v>
      </c>
      <c r="U2927" s="61">
        <f t="shared" ca="1" si="335"/>
        <v>17325.413439580258</v>
      </c>
      <c r="V2927" s="39">
        <f t="shared" ca="1" si="336"/>
        <v>0.11398298315513328</v>
      </c>
      <c r="W2927" s="48">
        <f t="shared" ca="1" si="337"/>
        <v>1.4001433583457477</v>
      </c>
    </row>
    <row r="2928" spans="17:23" x14ac:dyDescent="0.2">
      <c r="Q2928">
        <f t="shared" si="338"/>
        <v>2912</v>
      </c>
      <c r="R2928" s="48">
        <f t="shared" ca="1" si="339"/>
        <v>0.5</v>
      </c>
      <c r="S2928">
        <f t="shared" ca="1" si="340"/>
        <v>221.57552098356086</v>
      </c>
      <c r="T2928" s="61">
        <f t="shared" ca="1" si="334"/>
        <v>24000</v>
      </c>
      <c r="U2928" s="61">
        <f t="shared" ca="1" si="335"/>
        <v>36630.208393424342</v>
      </c>
      <c r="V2928" s="39">
        <f t="shared" ca="1" si="336"/>
        <v>0.24098821311463384</v>
      </c>
      <c r="W2928" s="48">
        <f t="shared" ca="1" si="337"/>
        <v>4.7618225810128534</v>
      </c>
    </row>
    <row r="2929" spans="17:23" x14ac:dyDescent="0.2">
      <c r="Q2929">
        <f t="shared" si="338"/>
        <v>2913</v>
      </c>
      <c r="R2929" s="48">
        <f t="shared" ca="1" si="339"/>
        <v>0.35</v>
      </c>
      <c r="S2929">
        <f t="shared" ca="1" si="340"/>
        <v>169.5350934599582</v>
      </c>
      <c r="T2929" s="61">
        <f t="shared" ca="1" si="334"/>
        <v>16800</v>
      </c>
      <c r="U2929" s="61">
        <f t="shared" ca="1" si="335"/>
        <v>6158.2485991782669</v>
      </c>
      <c r="V2929" s="39">
        <f t="shared" ca="1" si="336"/>
        <v>4.051479341564649E-2</v>
      </c>
      <c r="W2929" s="48">
        <f t="shared" ca="1" si="337"/>
        <v>0.38007454735376167</v>
      </c>
    </row>
    <row r="2930" spans="17:23" x14ac:dyDescent="0.2">
      <c r="Q2930">
        <f t="shared" si="338"/>
        <v>2914</v>
      </c>
      <c r="R2930" s="48">
        <f t="shared" ca="1" si="339"/>
        <v>0.3</v>
      </c>
      <c r="S2930">
        <f t="shared" ca="1" si="340"/>
        <v>215.4620204322525</v>
      </c>
      <c r="T2930" s="61">
        <f t="shared" ca="1" si="334"/>
        <v>14400</v>
      </c>
      <c r="U2930" s="61">
        <f t="shared" ca="1" si="335"/>
        <v>28658.731442061398</v>
      </c>
      <c r="V2930" s="39">
        <f t="shared" ca="1" si="336"/>
        <v>0.18854428580303551</v>
      </c>
      <c r="W2930" s="48">
        <f t="shared" ca="1" si="337"/>
        <v>3.0593639282936014</v>
      </c>
    </row>
    <row r="2931" spans="17:23" x14ac:dyDescent="0.2">
      <c r="Q2931">
        <f t="shared" si="338"/>
        <v>2915</v>
      </c>
      <c r="R2931" s="48">
        <f t="shared" ca="1" si="339"/>
        <v>0.35</v>
      </c>
      <c r="S2931">
        <f t="shared" ca="1" si="340"/>
        <v>167.57517895764084</v>
      </c>
      <c r="T2931" s="61">
        <f t="shared" ca="1" si="334"/>
        <v>16800</v>
      </c>
      <c r="U2931" s="61">
        <f t="shared" ca="1" si="335"/>
        <v>5139.0930579732394</v>
      </c>
      <c r="V2931" s="39">
        <f t="shared" ca="1" si="336"/>
        <v>3.3809822749823942E-2</v>
      </c>
      <c r="W2931" s="48">
        <f t="shared" ca="1" si="337"/>
        <v>0.30957311789214126</v>
      </c>
    </row>
    <row r="2932" spans="17:23" x14ac:dyDescent="0.2">
      <c r="Q2932">
        <f t="shared" si="338"/>
        <v>2916</v>
      </c>
      <c r="R2932" s="48">
        <f t="shared" ca="1" si="339"/>
        <v>0.45</v>
      </c>
      <c r="S2932">
        <f t="shared" ca="1" si="340"/>
        <v>198.10941879484668</v>
      </c>
      <c r="T2932" s="61">
        <f t="shared" ca="1" si="334"/>
        <v>21600</v>
      </c>
      <c r="U2932" s="61">
        <f t="shared" ca="1" si="335"/>
        <v>25168.144269732536</v>
      </c>
      <c r="V2932" s="39">
        <f t="shared" ca="1" si="336"/>
        <v>0.16557989651139826</v>
      </c>
      <c r="W2932" s="48">
        <f t="shared" ca="1" si="337"/>
        <v>2.4652130966776884</v>
      </c>
    </row>
    <row r="2933" spans="17:23" x14ac:dyDescent="0.2">
      <c r="Q2933">
        <f t="shared" si="338"/>
        <v>2917</v>
      </c>
      <c r="R2933" s="48">
        <f t="shared" ca="1" si="339"/>
        <v>0.35</v>
      </c>
      <c r="S2933">
        <f t="shared" ca="1" si="340"/>
        <v>180.37265135173982</v>
      </c>
      <c r="T2933" s="61">
        <f t="shared" ca="1" si="334"/>
        <v>16800</v>
      </c>
      <c r="U2933" s="61">
        <f t="shared" ca="1" si="335"/>
        <v>11793.778702904707</v>
      </c>
      <c r="V2933" s="39">
        <f t="shared" ca="1" si="336"/>
        <v>7.759064936121518E-2</v>
      </c>
      <c r="W2933" s="48">
        <f t="shared" ca="1" si="337"/>
        <v>0.83331247213053672</v>
      </c>
    </row>
    <row r="2934" spans="17:23" x14ac:dyDescent="0.2">
      <c r="Q2934">
        <f t="shared" si="338"/>
        <v>2918</v>
      </c>
      <c r="R2934" s="48">
        <f t="shared" ca="1" si="339"/>
        <v>0.4</v>
      </c>
      <c r="S2934">
        <f t="shared" ca="1" si="340"/>
        <v>196.18603952679413</v>
      </c>
      <c r="T2934" s="61">
        <f t="shared" ca="1" si="334"/>
        <v>19200</v>
      </c>
      <c r="U2934" s="61">
        <f t="shared" ca="1" si="335"/>
        <v>22169.298972861183</v>
      </c>
      <c r="V2934" s="39">
        <f t="shared" ca="1" si="336"/>
        <v>0.14585065113724463</v>
      </c>
      <c r="W2934" s="48">
        <f t="shared" ca="1" si="337"/>
        <v>2.0171291898036108</v>
      </c>
    </row>
    <row r="2935" spans="17:23" x14ac:dyDescent="0.2">
      <c r="Q2935">
        <f t="shared" si="338"/>
        <v>2919</v>
      </c>
      <c r="R2935" s="48">
        <f t="shared" ca="1" si="339"/>
        <v>0.45</v>
      </c>
      <c r="S2935">
        <f t="shared" ca="1" si="340"/>
        <v>201.3749469151025</v>
      </c>
      <c r="T2935" s="61">
        <f t="shared" ca="1" si="334"/>
        <v>21600</v>
      </c>
      <c r="U2935" s="61">
        <f t="shared" ca="1" si="335"/>
        <v>26604.976642645099</v>
      </c>
      <c r="V2935" s="39">
        <f t="shared" ca="1" si="336"/>
        <v>0.17503274107003355</v>
      </c>
      <c r="W2935" s="48">
        <f t="shared" ca="1" si="337"/>
        <v>2.6998411070675781</v>
      </c>
    </row>
    <row r="2936" spans="17:23" x14ac:dyDescent="0.2">
      <c r="Q2936">
        <f t="shared" si="338"/>
        <v>2920</v>
      </c>
      <c r="R2936" s="48">
        <f t="shared" ca="1" si="339"/>
        <v>0.35</v>
      </c>
      <c r="S2936">
        <f t="shared" ca="1" si="340"/>
        <v>169.17753967319632</v>
      </c>
      <c r="T2936" s="61">
        <f t="shared" ca="1" si="334"/>
        <v>16800</v>
      </c>
      <c r="U2936" s="61">
        <f t="shared" ca="1" si="335"/>
        <v>5972.3206300620877</v>
      </c>
      <c r="V2936" s="39">
        <f t="shared" ca="1" si="336"/>
        <v>3.9291583092513738E-2</v>
      </c>
      <c r="W2936" s="48">
        <f t="shared" ca="1" si="337"/>
        <v>0.36697002954311086</v>
      </c>
    </row>
    <row r="2937" spans="17:23" x14ac:dyDescent="0.2">
      <c r="Q2937">
        <f t="shared" si="338"/>
        <v>2921</v>
      </c>
      <c r="R2937" s="48">
        <f t="shared" ca="1" si="339"/>
        <v>0.35</v>
      </c>
      <c r="S2937">
        <f t="shared" ca="1" si="340"/>
        <v>209.27564254315723</v>
      </c>
      <c r="T2937" s="61">
        <f t="shared" ref="T2937:T3000" ca="1" si="341">($B$8-$B$7)*($E$6*R2937)</f>
        <v>16800</v>
      </c>
      <c r="U2937" s="61">
        <f t="shared" ref="U2937:U3000" ca="1" si="342">T2937+((S2937-$B$7)*($E$6*(1-R2937)))</f>
        <v>26823.33412244176</v>
      </c>
      <c r="V2937" s="39">
        <f t="shared" ref="V2937:V3000" ca="1" si="343">U2937/$E$4</f>
        <v>0.17646930343711684</v>
      </c>
      <c r="W2937" s="48">
        <f t="shared" ref="W2937:W3000" ca="1" si="344">(1+V2937)^($J$29/$J$30)-1</f>
        <v>2.7366901644880097</v>
      </c>
    </row>
    <row r="2938" spans="17:23" x14ac:dyDescent="0.2">
      <c r="Q2938">
        <f t="shared" si="338"/>
        <v>2922</v>
      </c>
      <c r="R2938" s="48">
        <f t="shared" ca="1" si="339"/>
        <v>0.35</v>
      </c>
      <c r="S2938">
        <f t="shared" ca="1" si="340"/>
        <v>176.10095245618001</v>
      </c>
      <c r="T2938" s="61">
        <f t="shared" ca="1" si="341"/>
        <v>16800</v>
      </c>
      <c r="U2938" s="61">
        <f t="shared" ca="1" si="342"/>
        <v>9572.4952772136057</v>
      </c>
      <c r="V2938" s="39">
        <f t="shared" ca="1" si="343"/>
        <v>6.2976942613247405E-2</v>
      </c>
      <c r="W2938" s="48">
        <f t="shared" ca="1" si="344"/>
        <v>0.64111058782881059</v>
      </c>
    </row>
    <row r="2939" spans="17:23" x14ac:dyDescent="0.2">
      <c r="Q2939">
        <f t="shared" si="338"/>
        <v>2923</v>
      </c>
      <c r="R2939" s="48">
        <f t="shared" ca="1" si="339"/>
        <v>0.45</v>
      </c>
      <c r="S2939">
        <f t="shared" ca="1" si="340"/>
        <v>206.27542302564962</v>
      </c>
      <c r="T2939" s="61">
        <f t="shared" ca="1" si="341"/>
        <v>21600</v>
      </c>
      <c r="U2939" s="61">
        <f t="shared" ca="1" si="342"/>
        <v>28761.186131285831</v>
      </c>
      <c r="V2939" s="39">
        <f t="shared" ca="1" si="343"/>
        <v>0.18921832981109099</v>
      </c>
      <c r="W2939" s="48">
        <f t="shared" ca="1" si="344"/>
        <v>3.0780745005433028</v>
      </c>
    </row>
    <row r="2940" spans="17:23" x14ac:dyDescent="0.2">
      <c r="Q2940">
        <f t="shared" si="338"/>
        <v>2924</v>
      </c>
      <c r="R2940" s="48">
        <f t="shared" ca="1" si="339"/>
        <v>0.35</v>
      </c>
      <c r="S2940">
        <f t="shared" ca="1" si="340"/>
        <v>213.57795010115134</v>
      </c>
      <c r="T2940" s="61">
        <f t="shared" ca="1" si="341"/>
        <v>16800</v>
      </c>
      <c r="U2940" s="61">
        <f t="shared" ca="1" si="342"/>
        <v>29060.534052598698</v>
      </c>
      <c r="V2940" s="39">
        <f t="shared" ca="1" si="343"/>
        <v>0.19118772403025458</v>
      </c>
      <c r="W2940" s="48">
        <f t="shared" ca="1" si="344"/>
        <v>3.1331761823369106</v>
      </c>
    </row>
    <row r="2941" spans="17:23" x14ac:dyDescent="0.2">
      <c r="Q2941">
        <f t="shared" si="338"/>
        <v>2925</v>
      </c>
      <c r="R2941" s="48">
        <f t="shared" ca="1" si="339"/>
        <v>0.5</v>
      </c>
      <c r="S2941">
        <f t="shared" ca="1" si="340"/>
        <v>159.49063728393872</v>
      </c>
      <c r="T2941" s="61">
        <f t="shared" ca="1" si="341"/>
        <v>24000</v>
      </c>
      <c r="U2941" s="61">
        <f t="shared" ca="1" si="342"/>
        <v>11796.254913575489</v>
      </c>
      <c r="V2941" s="39">
        <f t="shared" ca="1" si="343"/>
        <v>7.7606940220891374E-2</v>
      </c>
      <c r="W2941" s="48">
        <f t="shared" ca="1" si="344"/>
        <v>0.83353728976649988</v>
      </c>
    </row>
    <row r="2942" spans="17:23" x14ac:dyDescent="0.2">
      <c r="Q2942">
        <f t="shared" si="338"/>
        <v>2926</v>
      </c>
      <c r="R2942" s="48">
        <f t="shared" ca="1" si="339"/>
        <v>0.4</v>
      </c>
      <c r="S2942">
        <f t="shared" ca="1" si="340"/>
        <v>182.95283160438024</v>
      </c>
      <c r="T2942" s="61">
        <f t="shared" ca="1" si="341"/>
        <v>19200</v>
      </c>
      <c r="U2942" s="61">
        <f t="shared" ca="1" si="342"/>
        <v>15817.359170102514</v>
      </c>
      <c r="V2942" s="39">
        <f t="shared" ca="1" si="343"/>
        <v>0.10406157348751655</v>
      </c>
      <c r="W2942" s="48">
        <f t="shared" ca="1" si="344"/>
        <v>1.2321500734455477</v>
      </c>
    </row>
    <row r="2943" spans="17:23" x14ac:dyDescent="0.2">
      <c r="Q2943">
        <f t="shared" si="338"/>
        <v>2927</v>
      </c>
      <c r="R2943" s="48">
        <f t="shared" ca="1" si="339"/>
        <v>0.217</v>
      </c>
      <c r="S2943">
        <f t="shared" ca="1" si="340"/>
        <v>192.64066029830306</v>
      </c>
      <c r="T2943" s="61">
        <f t="shared" ca="1" si="341"/>
        <v>10416</v>
      </c>
      <c r="U2943" s="61">
        <f t="shared" ca="1" si="342"/>
        <v>12070.109610857038</v>
      </c>
      <c r="V2943" s="39">
        <f t="shared" ca="1" si="343"/>
        <v>7.940861586090156E-2</v>
      </c>
      <c r="W2943" s="48">
        <f t="shared" ca="1" si="344"/>
        <v>0.85855048389493227</v>
      </c>
    </row>
    <row r="2944" spans="17:23" x14ac:dyDescent="0.2">
      <c r="Q2944">
        <f t="shared" si="338"/>
        <v>2928</v>
      </c>
      <c r="R2944" s="48">
        <f t="shared" ca="1" si="339"/>
        <v>0.45</v>
      </c>
      <c r="S2944">
        <f t="shared" ca="1" si="340"/>
        <v>171.40045954928146</v>
      </c>
      <c r="T2944" s="61">
        <f t="shared" ca="1" si="341"/>
        <v>21600</v>
      </c>
      <c r="U2944" s="61">
        <f t="shared" ca="1" si="342"/>
        <v>13416.202201683844</v>
      </c>
      <c r="V2944" s="39">
        <f t="shared" ca="1" si="343"/>
        <v>8.8264488168972657E-2</v>
      </c>
      <c r="W2944" s="48">
        <f t="shared" ca="1" si="344"/>
        <v>0.98589950602128318</v>
      </c>
    </row>
    <row r="2945" spans="17:23" x14ac:dyDescent="0.2">
      <c r="Q2945">
        <f t="shared" si="338"/>
        <v>2929</v>
      </c>
      <c r="R2945" s="48">
        <f t="shared" ca="1" si="339"/>
        <v>0.45</v>
      </c>
      <c r="S2945">
        <f t="shared" ca="1" si="340"/>
        <v>168.66832334315831</v>
      </c>
      <c r="T2945" s="61">
        <f t="shared" ca="1" si="341"/>
        <v>21600</v>
      </c>
      <c r="U2945" s="61">
        <f t="shared" ca="1" si="342"/>
        <v>12214.062270989654</v>
      </c>
      <c r="V2945" s="39">
        <f t="shared" ca="1" si="343"/>
        <v>8.0355672835458247E-2</v>
      </c>
      <c r="W2945" s="48">
        <f t="shared" ca="1" si="344"/>
        <v>0.87181831909545449</v>
      </c>
    </row>
    <row r="2946" spans="17:23" x14ac:dyDescent="0.2">
      <c r="Q2946">
        <f t="shared" si="338"/>
        <v>2930</v>
      </c>
      <c r="R2946" s="48">
        <f t="shared" ca="1" si="339"/>
        <v>0.3</v>
      </c>
      <c r="S2946">
        <f t="shared" ca="1" si="340"/>
        <v>191.3050152003687</v>
      </c>
      <c r="T2946" s="61">
        <f t="shared" ca="1" si="341"/>
        <v>14400</v>
      </c>
      <c r="U2946" s="61">
        <f t="shared" ca="1" si="342"/>
        <v>15130.808512206473</v>
      </c>
      <c r="V2946" s="39">
        <f t="shared" ca="1" si="343"/>
        <v>9.9544792843463639E-2</v>
      </c>
      <c r="W2946" s="48">
        <f t="shared" ca="1" si="344"/>
        <v>1.1591490498705634</v>
      </c>
    </row>
    <row r="2947" spans="17:23" x14ac:dyDescent="0.2">
      <c r="Q2947">
        <f t="shared" si="338"/>
        <v>2931</v>
      </c>
      <c r="R2947" s="48">
        <f t="shared" ca="1" si="339"/>
        <v>0.3</v>
      </c>
      <c r="S2947">
        <f t="shared" ca="1" si="340"/>
        <v>227.62264622469706</v>
      </c>
      <c r="T2947" s="61">
        <f t="shared" ca="1" si="341"/>
        <v>14400</v>
      </c>
      <c r="U2947" s="61">
        <f t="shared" ca="1" si="342"/>
        <v>35468.68188583036</v>
      </c>
      <c r="V2947" s="39">
        <f t="shared" ca="1" si="343"/>
        <v>0.23334659135414709</v>
      </c>
      <c r="W2947" s="48">
        <f t="shared" ca="1" si="344"/>
        <v>4.4802664442818845</v>
      </c>
    </row>
    <row r="2948" spans="17:23" x14ac:dyDescent="0.2">
      <c r="Q2948">
        <f t="shared" si="338"/>
        <v>2932</v>
      </c>
      <c r="R2948" s="48">
        <f t="shared" ca="1" si="339"/>
        <v>0.4</v>
      </c>
      <c r="S2948">
        <f t="shared" ca="1" si="340"/>
        <v>193.90688845630498</v>
      </c>
      <c r="T2948" s="61">
        <f t="shared" ca="1" si="341"/>
        <v>19200</v>
      </c>
      <c r="U2948" s="61">
        <f t="shared" ca="1" si="342"/>
        <v>21075.306459026393</v>
      </c>
      <c r="V2948" s="39">
        <f t="shared" ca="1" si="343"/>
        <v>0.13865333196727891</v>
      </c>
      <c r="W2948" s="48">
        <f t="shared" ca="1" si="344"/>
        <v>1.866803296850752</v>
      </c>
    </row>
    <row r="2949" spans="17:23" x14ac:dyDescent="0.2">
      <c r="Q2949">
        <f t="shared" si="338"/>
        <v>2933</v>
      </c>
      <c r="R2949" s="48">
        <f t="shared" ca="1" si="339"/>
        <v>0.5</v>
      </c>
      <c r="S2949">
        <f t="shared" ca="1" si="340"/>
        <v>214.25562107512843</v>
      </c>
      <c r="T2949" s="61">
        <f t="shared" ca="1" si="341"/>
        <v>24000</v>
      </c>
      <c r="U2949" s="61">
        <f t="shared" ca="1" si="342"/>
        <v>33702.248430051375</v>
      </c>
      <c r="V2949" s="39">
        <f t="shared" ca="1" si="343"/>
        <v>0.22172531861875905</v>
      </c>
      <c r="W2949" s="48">
        <f t="shared" ca="1" si="344"/>
        <v>4.0751902104250135</v>
      </c>
    </row>
    <row r="2950" spans="17:23" x14ac:dyDescent="0.2">
      <c r="Q2950">
        <f t="shared" si="338"/>
        <v>2934</v>
      </c>
      <c r="R2950" s="48">
        <f t="shared" ca="1" si="339"/>
        <v>0.3</v>
      </c>
      <c r="S2950">
        <f t="shared" ca="1" si="340"/>
        <v>208.5423376982763</v>
      </c>
      <c r="T2950" s="61">
        <f t="shared" ca="1" si="341"/>
        <v>14400</v>
      </c>
      <c r="U2950" s="61">
        <f t="shared" ca="1" si="342"/>
        <v>24783.709111034728</v>
      </c>
      <c r="V2950" s="39">
        <f t="shared" ca="1" si="343"/>
        <v>0.16305071783575478</v>
      </c>
      <c r="W2950" s="48">
        <f t="shared" ca="1" si="344"/>
        <v>2.4046930852564015</v>
      </c>
    </row>
    <row r="2951" spans="17:23" x14ac:dyDescent="0.2">
      <c r="Q2951">
        <f t="shared" si="338"/>
        <v>2935</v>
      </c>
      <c r="R2951" s="48">
        <f t="shared" ca="1" si="339"/>
        <v>0.35</v>
      </c>
      <c r="S2951">
        <f t="shared" ca="1" si="340"/>
        <v>183.18295153651391</v>
      </c>
      <c r="T2951" s="61">
        <f t="shared" ca="1" si="341"/>
        <v>16800</v>
      </c>
      <c r="U2951" s="61">
        <f t="shared" ca="1" si="342"/>
        <v>13255.134798987234</v>
      </c>
      <c r="V2951" s="39">
        <f t="shared" ca="1" si="343"/>
        <v>8.7204834203863379E-2</v>
      </c>
      <c r="W2951" s="48">
        <f t="shared" ca="1" si="344"/>
        <v>0.97026932361425922</v>
      </c>
    </row>
    <row r="2952" spans="17:23" x14ac:dyDescent="0.2">
      <c r="Q2952">
        <f t="shared" si="338"/>
        <v>2936</v>
      </c>
      <c r="R2952" s="48">
        <f t="shared" ca="1" si="339"/>
        <v>0.3</v>
      </c>
      <c r="S2952">
        <f t="shared" ca="1" si="340"/>
        <v>179.65436963458288</v>
      </c>
      <c r="T2952" s="61">
        <f t="shared" ca="1" si="341"/>
        <v>14400</v>
      </c>
      <c r="U2952" s="61">
        <f t="shared" ca="1" si="342"/>
        <v>8606.446995366412</v>
      </c>
      <c r="V2952" s="39">
        <f t="shared" ca="1" si="343"/>
        <v>5.6621361811621133E-2</v>
      </c>
      <c r="W2952" s="48">
        <f t="shared" ca="1" si="344"/>
        <v>0.56319372315854488</v>
      </c>
    </row>
    <row r="2953" spans="17:23" x14ac:dyDescent="0.2">
      <c r="Q2953">
        <f t="shared" si="338"/>
        <v>2937</v>
      </c>
      <c r="R2953" s="48">
        <f t="shared" ca="1" si="339"/>
        <v>0.217</v>
      </c>
      <c r="S2953">
        <f t="shared" ca="1" si="340"/>
        <v>190.42993449275158</v>
      </c>
      <c r="T2953" s="61">
        <f t="shared" ca="1" si="341"/>
        <v>10416</v>
      </c>
      <c r="U2953" s="61">
        <f t="shared" ca="1" si="342"/>
        <v>10685.310966259593</v>
      </c>
      <c r="V2953" s="39">
        <f t="shared" ca="1" si="343"/>
        <v>7.0298098462234157E-2</v>
      </c>
      <c r="W2953" s="48">
        <f t="shared" ca="1" si="344"/>
        <v>0.73506734710084842</v>
      </c>
    </row>
    <row r="2954" spans="17:23" x14ac:dyDescent="0.2">
      <c r="Q2954">
        <f t="shared" si="338"/>
        <v>2938</v>
      </c>
      <c r="R2954" s="48">
        <f t="shared" ca="1" si="339"/>
        <v>0.3</v>
      </c>
      <c r="S2954">
        <f t="shared" ca="1" si="340"/>
        <v>163.75791721855717</v>
      </c>
      <c r="T2954" s="61">
        <f t="shared" ca="1" si="341"/>
        <v>14400</v>
      </c>
      <c r="U2954" s="61">
        <f t="shared" ca="1" si="342"/>
        <v>-295.56635760798599</v>
      </c>
      <c r="V2954" s="39">
        <f t="shared" ca="1" si="343"/>
        <v>-1.9445155105788552E-3</v>
      </c>
      <c r="W2954" s="48">
        <f t="shared" ca="1" si="344"/>
        <v>-1.5663566002815599E-2</v>
      </c>
    </row>
    <row r="2955" spans="17:23" x14ac:dyDescent="0.2">
      <c r="Q2955">
        <f t="shared" si="338"/>
        <v>2939</v>
      </c>
      <c r="R2955" s="48">
        <f t="shared" ca="1" si="339"/>
        <v>0.3</v>
      </c>
      <c r="S2955">
        <f t="shared" ca="1" si="340"/>
        <v>203.1072392187032</v>
      </c>
      <c r="T2955" s="61">
        <f t="shared" ca="1" si="341"/>
        <v>14400</v>
      </c>
      <c r="U2955" s="61">
        <f t="shared" ca="1" si="342"/>
        <v>21740.053962473794</v>
      </c>
      <c r="V2955" s="39">
        <f t="shared" ca="1" si="343"/>
        <v>0.14302667080574866</v>
      </c>
      <c r="W2955" s="48">
        <f t="shared" ca="1" si="344"/>
        <v>1.9573424694788941</v>
      </c>
    </row>
    <row r="2956" spans="17:23" x14ac:dyDescent="0.2">
      <c r="Q2956">
        <f t="shared" si="338"/>
        <v>2940</v>
      </c>
      <c r="R2956" s="48">
        <f t="shared" ca="1" si="339"/>
        <v>0.4</v>
      </c>
      <c r="S2956">
        <f t="shared" ca="1" si="340"/>
        <v>204.74599575028191</v>
      </c>
      <c r="T2956" s="61">
        <f t="shared" ca="1" si="341"/>
        <v>19200</v>
      </c>
      <c r="U2956" s="61">
        <f t="shared" ca="1" si="342"/>
        <v>26278.077960135313</v>
      </c>
      <c r="V2956" s="39">
        <f t="shared" ca="1" si="343"/>
        <v>0.17288209184299549</v>
      </c>
      <c r="W2956" s="48">
        <f t="shared" ca="1" si="344"/>
        <v>2.6452705825438212</v>
      </c>
    </row>
    <row r="2957" spans="17:23" x14ac:dyDescent="0.2">
      <c r="Q2957">
        <f t="shared" si="338"/>
        <v>2941</v>
      </c>
      <c r="R2957" s="48">
        <f t="shared" ca="1" si="339"/>
        <v>0.45</v>
      </c>
      <c r="S2957">
        <f t="shared" ca="1" si="340"/>
        <v>198.87044970799892</v>
      </c>
      <c r="T2957" s="61">
        <f t="shared" ca="1" si="341"/>
        <v>21600</v>
      </c>
      <c r="U2957" s="61">
        <f t="shared" ca="1" si="342"/>
        <v>25502.997871519525</v>
      </c>
      <c r="V2957" s="39">
        <f t="shared" ca="1" si="343"/>
        <v>0.16778288073368108</v>
      </c>
      <c r="W2957" s="48">
        <f t="shared" ca="1" si="344"/>
        <v>2.5186941031174621</v>
      </c>
    </row>
    <row r="2958" spans="17:23" x14ac:dyDescent="0.2">
      <c r="Q2958">
        <f t="shared" si="338"/>
        <v>2942</v>
      </c>
      <c r="R2958" s="48">
        <f t="shared" ca="1" si="339"/>
        <v>0.4</v>
      </c>
      <c r="S2958">
        <f t="shared" ca="1" si="340"/>
        <v>192.00300643531457</v>
      </c>
      <c r="T2958" s="61">
        <f t="shared" ca="1" si="341"/>
        <v>19200</v>
      </c>
      <c r="U2958" s="61">
        <f t="shared" ca="1" si="342"/>
        <v>20161.443088950997</v>
      </c>
      <c r="V2958" s="39">
        <f t="shared" ca="1" si="343"/>
        <v>0.13264107295362498</v>
      </c>
      <c r="W2958" s="48">
        <f t="shared" ca="1" si="344"/>
        <v>1.7463046194437282</v>
      </c>
    </row>
    <row r="2959" spans="17:23" x14ac:dyDescent="0.2">
      <c r="Q2959">
        <f t="shared" si="338"/>
        <v>2943</v>
      </c>
      <c r="R2959" s="48">
        <f t="shared" ca="1" si="339"/>
        <v>0.3</v>
      </c>
      <c r="S2959">
        <f t="shared" ca="1" si="340"/>
        <v>186.004430916198</v>
      </c>
      <c r="T2959" s="61">
        <f t="shared" ca="1" si="341"/>
        <v>14400</v>
      </c>
      <c r="U2959" s="61">
        <f t="shared" ca="1" si="342"/>
        <v>12162.481313070883</v>
      </c>
      <c r="V2959" s="39">
        <f t="shared" ca="1" si="343"/>
        <v>8.0016324428097918E-2</v>
      </c>
      <c r="W2959" s="48">
        <f t="shared" ca="1" si="344"/>
        <v>0.8670546881309702</v>
      </c>
    </row>
    <row r="2960" spans="17:23" x14ac:dyDescent="0.2">
      <c r="Q2960">
        <f t="shared" si="338"/>
        <v>2944</v>
      </c>
      <c r="R2960" s="48">
        <f t="shared" ca="1" si="339"/>
        <v>0.217</v>
      </c>
      <c r="S2960">
        <f t="shared" ca="1" si="340"/>
        <v>195.87250228211252</v>
      </c>
      <c r="T2960" s="61">
        <f t="shared" ca="1" si="341"/>
        <v>10416</v>
      </c>
      <c r="U2960" s="61">
        <f t="shared" ca="1" si="342"/>
        <v>14094.535429515283</v>
      </c>
      <c r="V2960" s="39">
        <f t="shared" ca="1" si="343"/>
        <v>9.2727206773126861E-2</v>
      </c>
      <c r="W2960" s="48">
        <f t="shared" ca="1" si="344"/>
        <v>1.0529252407081051</v>
      </c>
    </row>
    <row r="2961" spans="17:23" x14ac:dyDescent="0.2">
      <c r="Q2961">
        <f t="shared" si="338"/>
        <v>2945</v>
      </c>
      <c r="R2961" s="48">
        <f t="shared" ca="1" si="339"/>
        <v>0.35</v>
      </c>
      <c r="S2961">
        <f t="shared" ca="1" si="340"/>
        <v>191.66328327799991</v>
      </c>
      <c r="T2961" s="61">
        <f t="shared" ca="1" si="341"/>
        <v>16800</v>
      </c>
      <c r="U2961" s="61">
        <f t="shared" ca="1" si="342"/>
        <v>17664.907304559954</v>
      </c>
      <c r="V2961" s="39">
        <f t="shared" ca="1" si="343"/>
        <v>0.11621649542473654</v>
      </c>
      <c r="W2961" s="48">
        <f t="shared" ca="1" si="344"/>
        <v>1.4394553391806006</v>
      </c>
    </row>
    <row r="2962" spans="17:23" x14ac:dyDescent="0.2">
      <c r="Q2962">
        <f t="shared" si="338"/>
        <v>2946</v>
      </c>
      <c r="R2962" s="48">
        <f t="shared" ca="1" si="339"/>
        <v>0.5</v>
      </c>
      <c r="S2962">
        <f t="shared" ca="1" si="340"/>
        <v>196.50744066160686</v>
      </c>
      <c r="T2962" s="61">
        <f t="shared" ca="1" si="341"/>
        <v>24000</v>
      </c>
      <c r="U2962" s="61">
        <f t="shared" ca="1" si="342"/>
        <v>26602.976264642744</v>
      </c>
      <c r="V2962" s="39">
        <f t="shared" ca="1" si="343"/>
        <v>0.17501958068843912</v>
      </c>
      <c r="W2962" s="48">
        <f t="shared" ca="1" si="344"/>
        <v>2.6995050100616478</v>
      </c>
    </row>
    <row r="2963" spans="17:23" x14ac:dyDescent="0.2">
      <c r="Q2963">
        <f t="shared" ref="Q2963:Q3026" si="345">Q2962+1</f>
        <v>2947</v>
      </c>
      <c r="R2963" s="48">
        <f t="shared" ref="R2963:R3026" ca="1" si="346">LOOKUP(RAND(),$U$6:$U$12,$S$6:$S$12)</f>
        <v>0.4</v>
      </c>
      <c r="S2963">
        <f t="shared" ref="S2963:S3026" ca="1" si="347">_xlfn.NORM.INV(RAND(),$Q$5,$Q$10)</f>
        <v>203.73161990930581</v>
      </c>
      <c r="T2963" s="61">
        <f t="shared" ca="1" si="341"/>
        <v>19200</v>
      </c>
      <c r="U2963" s="61">
        <f t="shared" ca="1" si="342"/>
        <v>25791.177556466788</v>
      </c>
      <c r="V2963" s="39">
        <f t="shared" ca="1" si="343"/>
        <v>0.16967879971359728</v>
      </c>
      <c r="W2963" s="48">
        <f t="shared" ca="1" si="344"/>
        <v>2.5652985714629484</v>
      </c>
    </row>
    <row r="2964" spans="17:23" x14ac:dyDescent="0.2">
      <c r="Q2964">
        <f t="shared" si="345"/>
        <v>2948</v>
      </c>
      <c r="R2964" s="48">
        <f t="shared" ca="1" si="346"/>
        <v>0.217</v>
      </c>
      <c r="S2964">
        <f t="shared" ca="1" si="347"/>
        <v>182.78530757481553</v>
      </c>
      <c r="T2964" s="61">
        <f t="shared" ca="1" si="341"/>
        <v>10416</v>
      </c>
      <c r="U2964" s="61">
        <f t="shared" ca="1" si="342"/>
        <v>5896.7166648644506</v>
      </c>
      <c r="V2964" s="39">
        <f t="shared" ca="1" si="343"/>
        <v>3.8794188584634542E-2</v>
      </c>
      <c r="W2964" s="48">
        <f t="shared" ca="1" si="344"/>
        <v>0.36167261460033884</v>
      </c>
    </row>
    <row r="2965" spans="17:23" x14ac:dyDescent="0.2">
      <c r="Q2965">
        <f t="shared" si="345"/>
        <v>2949</v>
      </c>
      <c r="R2965" s="48">
        <f t="shared" ca="1" si="346"/>
        <v>0.45</v>
      </c>
      <c r="S2965">
        <f t="shared" ca="1" si="347"/>
        <v>175.36411604358341</v>
      </c>
      <c r="T2965" s="61">
        <f t="shared" ca="1" si="341"/>
        <v>21600</v>
      </c>
      <c r="U2965" s="61">
        <f t="shared" ca="1" si="342"/>
        <v>15160.211059176698</v>
      </c>
      <c r="V2965" s="39">
        <f t="shared" ca="1" si="343"/>
        <v>9.9738230652478277E-2</v>
      </c>
      <c r="W2965" s="48">
        <f t="shared" ca="1" si="344"/>
        <v>1.1622319757358062</v>
      </c>
    </row>
    <row r="2966" spans="17:23" x14ac:dyDescent="0.2">
      <c r="Q2966">
        <f t="shared" si="345"/>
        <v>2950</v>
      </c>
      <c r="R2966" s="48">
        <f t="shared" ca="1" si="346"/>
        <v>0.3</v>
      </c>
      <c r="S2966">
        <f t="shared" ca="1" si="347"/>
        <v>191.84816951014022</v>
      </c>
      <c r="T2966" s="61">
        <f t="shared" ca="1" si="341"/>
        <v>14400</v>
      </c>
      <c r="U2966" s="61">
        <f t="shared" ca="1" si="342"/>
        <v>15434.974925678525</v>
      </c>
      <c r="V2966" s="39">
        <f t="shared" ca="1" si="343"/>
        <v>0.10154588766893767</v>
      </c>
      <c r="W2966" s="48">
        <f t="shared" ca="1" si="344"/>
        <v>1.1912286760666313</v>
      </c>
    </row>
    <row r="2967" spans="17:23" x14ac:dyDescent="0.2">
      <c r="Q2967">
        <f t="shared" si="345"/>
        <v>2951</v>
      </c>
      <c r="R2967" s="48">
        <f t="shared" ca="1" si="346"/>
        <v>0.35</v>
      </c>
      <c r="S2967">
        <f t="shared" ca="1" si="347"/>
        <v>169.28998170121872</v>
      </c>
      <c r="T2967" s="61">
        <f t="shared" ca="1" si="341"/>
        <v>16800</v>
      </c>
      <c r="U2967" s="61">
        <f t="shared" ca="1" si="342"/>
        <v>6030.7904846337351</v>
      </c>
      <c r="V2967" s="39">
        <f t="shared" ca="1" si="343"/>
        <v>3.9676253188379834E-2</v>
      </c>
      <c r="W2967" s="48">
        <f t="shared" ca="1" si="344"/>
        <v>0.37107927372517135</v>
      </c>
    </row>
    <row r="2968" spans="17:23" x14ac:dyDescent="0.2">
      <c r="Q2968">
        <f t="shared" si="345"/>
        <v>2952</v>
      </c>
      <c r="R2968" s="48">
        <f t="shared" ca="1" si="346"/>
        <v>0.45</v>
      </c>
      <c r="S2968">
        <f t="shared" ca="1" si="347"/>
        <v>153.70181547405178</v>
      </c>
      <c r="T2968" s="61">
        <f t="shared" ca="1" si="341"/>
        <v>21600</v>
      </c>
      <c r="U2968" s="61">
        <f t="shared" ca="1" si="342"/>
        <v>5628.7988085827837</v>
      </c>
      <c r="V2968" s="39">
        <f t="shared" ca="1" si="343"/>
        <v>3.7031571109097258E-2</v>
      </c>
      <c r="W2968" s="48">
        <f t="shared" ca="1" si="344"/>
        <v>0.34304476790603333</v>
      </c>
    </row>
    <row r="2969" spans="17:23" x14ac:dyDescent="0.2">
      <c r="Q2969">
        <f t="shared" si="345"/>
        <v>2953</v>
      </c>
      <c r="R2969" s="48">
        <f t="shared" ca="1" si="346"/>
        <v>0.45</v>
      </c>
      <c r="S2969">
        <f t="shared" ca="1" si="347"/>
        <v>185.0255961018332</v>
      </c>
      <c r="T2969" s="61">
        <f t="shared" ca="1" si="341"/>
        <v>21600</v>
      </c>
      <c r="U2969" s="61">
        <f t="shared" ca="1" si="342"/>
        <v>19411.262284806609</v>
      </c>
      <c r="V2969" s="39">
        <f t="shared" ca="1" si="343"/>
        <v>0.12770567292635926</v>
      </c>
      <c r="W2969" s="48">
        <f t="shared" ca="1" si="344"/>
        <v>1.6507309608791227</v>
      </c>
    </row>
    <row r="2970" spans="17:23" x14ac:dyDescent="0.2">
      <c r="Q2970">
        <f t="shared" si="345"/>
        <v>2954</v>
      </c>
      <c r="R2970" s="48">
        <f t="shared" ca="1" si="346"/>
        <v>0.35</v>
      </c>
      <c r="S2970">
        <f t="shared" ca="1" si="347"/>
        <v>208.43880371991392</v>
      </c>
      <c r="T2970" s="61">
        <f t="shared" ca="1" si="341"/>
        <v>16800</v>
      </c>
      <c r="U2970" s="61">
        <f t="shared" ca="1" si="342"/>
        <v>26388.177934355241</v>
      </c>
      <c r="V2970" s="39">
        <f t="shared" ca="1" si="343"/>
        <v>0.1736064337786529</v>
      </c>
      <c r="W2970" s="48">
        <f t="shared" ca="1" si="344"/>
        <v>2.6635706706474109</v>
      </c>
    </row>
    <row r="2971" spans="17:23" x14ac:dyDescent="0.2">
      <c r="Q2971">
        <f t="shared" si="345"/>
        <v>2955</v>
      </c>
      <c r="R2971" s="48">
        <f t="shared" ca="1" si="346"/>
        <v>0.45</v>
      </c>
      <c r="S2971">
        <f t="shared" ca="1" si="347"/>
        <v>226.05190029780977</v>
      </c>
      <c r="T2971" s="61">
        <f t="shared" ca="1" si="341"/>
        <v>21600</v>
      </c>
      <c r="U2971" s="61">
        <f t="shared" ca="1" si="342"/>
        <v>37462.836131036296</v>
      </c>
      <c r="V2971" s="39">
        <f t="shared" ca="1" si="343"/>
        <v>0.24646602717787036</v>
      </c>
      <c r="W2971" s="48">
        <f t="shared" ca="1" si="344"/>
        <v>4.9713802863932308</v>
      </c>
    </row>
    <row r="2972" spans="17:23" x14ac:dyDescent="0.2">
      <c r="Q2972">
        <f t="shared" si="345"/>
        <v>2956</v>
      </c>
      <c r="R2972" s="48">
        <f t="shared" ca="1" si="346"/>
        <v>0.35</v>
      </c>
      <c r="S2972">
        <f t="shared" ca="1" si="347"/>
        <v>198.82402231705112</v>
      </c>
      <c r="T2972" s="61">
        <f t="shared" ca="1" si="341"/>
        <v>16800</v>
      </c>
      <c r="U2972" s="61">
        <f t="shared" ca="1" si="342"/>
        <v>21388.49160486658</v>
      </c>
      <c r="V2972" s="39">
        <f t="shared" ca="1" si="343"/>
        <v>0.14071376055833276</v>
      </c>
      <c r="W2972" s="48">
        <f t="shared" ca="1" si="344"/>
        <v>1.9091519693781436</v>
      </c>
    </row>
    <row r="2973" spans="17:23" x14ac:dyDescent="0.2">
      <c r="Q2973">
        <f t="shared" si="345"/>
        <v>2957</v>
      </c>
      <c r="R2973" s="48">
        <f t="shared" ca="1" si="346"/>
        <v>0.45</v>
      </c>
      <c r="S2973">
        <f t="shared" ca="1" si="347"/>
        <v>199.28169010239432</v>
      </c>
      <c r="T2973" s="61">
        <f t="shared" ca="1" si="341"/>
        <v>21600</v>
      </c>
      <c r="U2973" s="61">
        <f t="shared" ca="1" si="342"/>
        <v>25683.943645053503</v>
      </c>
      <c r="V2973" s="39">
        <f t="shared" ca="1" si="343"/>
        <v>0.16897331345429936</v>
      </c>
      <c r="W2973" s="48">
        <f t="shared" ca="1" si="344"/>
        <v>2.5478938534674351</v>
      </c>
    </row>
    <row r="2974" spans="17:23" x14ac:dyDescent="0.2">
      <c r="Q2974">
        <f t="shared" si="345"/>
        <v>2958</v>
      </c>
      <c r="R2974" s="48">
        <f t="shared" ca="1" si="346"/>
        <v>0.3</v>
      </c>
      <c r="S2974">
        <f t="shared" ca="1" si="347"/>
        <v>197.5714813962357</v>
      </c>
      <c r="T2974" s="61">
        <f t="shared" ca="1" si="341"/>
        <v>14400</v>
      </c>
      <c r="U2974" s="61">
        <f t="shared" ca="1" si="342"/>
        <v>18640.029581891991</v>
      </c>
      <c r="V2974" s="39">
        <f t="shared" ca="1" si="343"/>
        <v>0.12263177356507889</v>
      </c>
      <c r="W2974" s="48">
        <f t="shared" ca="1" si="344"/>
        <v>1.5555275297718745</v>
      </c>
    </row>
    <row r="2975" spans="17:23" x14ac:dyDescent="0.2">
      <c r="Q2975">
        <f t="shared" si="345"/>
        <v>2959</v>
      </c>
      <c r="R2975" s="48">
        <f t="shared" ca="1" si="346"/>
        <v>0.35</v>
      </c>
      <c r="S2975">
        <f t="shared" ca="1" si="347"/>
        <v>144.36875939958853</v>
      </c>
      <c r="T2975" s="61">
        <f t="shared" ca="1" si="341"/>
        <v>16800</v>
      </c>
      <c r="U2975" s="61">
        <f t="shared" ca="1" si="342"/>
        <v>-6928.2451122139646</v>
      </c>
      <c r="V2975" s="39">
        <f t="shared" ca="1" si="343"/>
        <v>-4.5580559948776085E-2</v>
      </c>
      <c r="W2975" s="48">
        <f t="shared" ca="1" si="344"/>
        <v>-0.31504345194003591</v>
      </c>
    </row>
    <row r="2976" spans="17:23" x14ac:dyDescent="0.2">
      <c r="Q2976">
        <f t="shared" si="345"/>
        <v>2960</v>
      </c>
      <c r="R2976" s="48">
        <f t="shared" ca="1" si="346"/>
        <v>0.4</v>
      </c>
      <c r="S2976">
        <f t="shared" ca="1" si="347"/>
        <v>211.20509366920314</v>
      </c>
      <c r="T2976" s="61">
        <f t="shared" ca="1" si="341"/>
        <v>19200</v>
      </c>
      <c r="U2976" s="61">
        <f t="shared" ca="1" si="342"/>
        <v>29378.444961217505</v>
      </c>
      <c r="V2976" s="39">
        <f t="shared" ca="1" si="343"/>
        <v>0.19327924316590464</v>
      </c>
      <c r="W2976" s="48">
        <f t="shared" ca="1" si="344"/>
        <v>3.1924084564271658</v>
      </c>
    </row>
    <row r="2977" spans="17:23" x14ac:dyDescent="0.2">
      <c r="Q2977">
        <f t="shared" si="345"/>
        <v>2961</v>
      </c>
      <c r="R2977" s="48">
        <f t="shared" ca="1" si="346"/>
        <v>0.4</v>
      </c>
      <c r="S2977">
        <f t="shared" ca="1" si="347"/>
        <v>167.20465265538036</v>
      </c>
      <c r="T2977" s="61">
        <f t="shared" ca="1" si="341"/>
        <v>19200</v>
      </c>
      <c r="U2977" s="61">
        <f t="shared" ca="1" si="342"/>
        <v>8258.2332745825715</v>
      </c>
      <c r="V2977" s="39">
        <f t="shared" ca="1" si="343"/>
        <v>5.4330482069622182E-2</v>
      </c>
      <c r="W2977" s="48">
        <f t="shared" ca="1" si="344"/>
        <v>0.53591462365337117</v>
      </c>
    </row>
    <row r="2978" spans="17:23" x14ac:dyDescent="0.2">
      <c r="Q2978">
        <f t="shared" si="345"/>
        <v>2962</v>
      </c>
      <c r="R2978" s="48">
        <f t="shared" ca="1" si="346"/>
        <v>0.4</v>
      </c>
      <c r="S2978">
        <f t="shared" ca="1" si="347"/>
        <v>149.64211233339671</v>
      </c>
      <c r="T2978" s="61">
        <f t="shared" ca="1" si="341"/>
        <v>19200</v>
      </c>
      <c r="U2978" s="61">
        <f t="shared" ca="1" si="342"/>
        <v>-171.78607996957726</v>
      </c>
      <c r="V2978" s="39">
        <f t="shared" ca="1" si="343"/>
        <v>-1.1301715787472189E-3</v>
      </c>
      <c r="W2978" s="48">
        <f t="shared" ca="1" si="344"/>
        <v>-9.1301955828605452E-3</v>
      </c>
    </row>
    <row r="2979" spans="17:23" x14ac:dyDescent="0.2">
      <c r="Q2979">
        <f t="shared" si="345"/>
        <v>2963</v>
      </c>
      <c r="R2979" s="48">
        <f t="shared" ca="1" si="346"/>
        <v>0.35</v>
      </c>
      <c r="S2979">
        <f t="shared" ca="1" si="347"/>
        <v>156.45817860669808</v>
      </c>
      <c r="T2979" s="61">
        <f t="shared" ca="1" si="341"/>
        <v>16800</v>
      </c>
      <c r="U2979" s="61">
        <f t="shared" ca="1" si="342"/>
        <v>-641.74712451699452</v>
      </c>
      <c r="V2979" s="39">
        <f t="shared" ca="1" si="343"/>
        <v>-4.2220205560328586E-3</v>
      </c>
      <c r="W2979" s="48">
        <f t="shared" ca="1" si="344"/>
        <v>-3.3735597957798569E-2</v>
      </c>
    </row>
    <row r="2980" spans="17:23" x14ac:dyDescent="0.2">
      <c r="Q2980">
        <f t="shared" si="345"/>
        <v>2964</v>
      </c>
      <c r="R2980" s="48">
        <f t="shared" ca="1" si="346"/>
        <v>0.15</v>
      </c>
      <c r="S2980">
        <f t="shared" ca="1" si="347"/>
        <v>185.23857511823212</v>
      </c>
      <c r="T2980" s="61">
        <f t="shared" ca="1" si="341"/>
        <v>7200</v>
      </c>
      <c r="U2980" s="61">
        <f t="shared" ca="1" si="342"/>
        <v>3962.2310803978417</v>
      </c>
      <c r="V2980" s="39">
        <f t="shared" ca="1" si="343"/>
        <v>2.6067309739459484E-2</v>
      </c>
      <c r="W2980" s="48">
        <f t="shared" ca="1" si="344"/>
        <v>0.2321074164768262</v>
      </c>
    </row>
    <row r="2981" spans="17:23" x14ac:dyDescent="0.2">
      <c r="Q2981">
        <f t="shared" si="345"/>
        <v>2965</v>
      </c>
      <c r="R2981" s="48">
        <f t="shared" ca="1" si="346"/>
        <v>0.35</v>
      </c>
      <c r="S2981">
        <f t="shared" ca="1" si="347"/>
        <v>191.75533041219649</v>
      </c>
      <c r="T2981" s="61">
        <f t="shared" ca="1" si="341"/>
        <v>16800</v>
      </c>
      <c r="U2981" s="61">
        <f t="shared" ca="1" si="342"/>
        <v>17712.771814342173</v>
      </c>
      <c r="V2981" s="39">
        <f t="shared" ca="1" si="343"/>
        <v>0.11653139351540903</v>
      </c>
      <c r="W2981" s="48">
        <f t="shared" ca="1" si="344"/>
        <v>1.4450430055970886</v>
      </c>
    </row>
    <row r="2982" spans="17:23" x14ac:dyDescent="0.2">
      <c r="Q2982">
        <f t="shared" si="345"/>
        <v>2966</v>
      </c>
      <c r="R2982" s="48">
        <f t="shared" ca="1" si="346"/>
        <v>0.4</v>
      </c>
      <c r="S2982">
        <f t="shared" ca="1" si="347"/>
        <v>154.02387745565002</v>
      </c>
      <c r="T2982" s="61">
        <f t="shared" ca="1" si="341"/>
        <v>19200</v>
      </c>
      <c r="U2982" s="61">
        <f t="shared" ca="1" si="342"/>
        <v>1931.461178712012</v>
      </c>
      <c r="V2982" s="39">
        <f t="shared" ca="1" si="343"/>
        <v>1.2706981438894815E-2</v>
      </c>
      <c r="W2982" s="48">
        <f t="shared" ca="1" si="344"/>
        <v>0.10784689064922892</v>
      </c>
    </row>
    <row r="2983" spans="17:23" x14ac:dyDescent="0.2">
      <c r="Q2983">
        <f t="shared" si="345"/>
        <v>2967</v>
      </c>
      <c r="R2983" s="48">
        <f t="shared" ca="1" si="346"/>
        <v>0.4</v>
      </c>
      <c r="S2983">
        <f t="shared" ca="1" si="347"/>
        <v>194.72237640666532</v>
      </c>
      <c r="T2983" s="61">
        <f t="shared" ca="1" si="341"/>
        <v>19200</v>
      </c>
      <c r="U2983" s="61">
        <f t="shared" ca="1" si="342"/>
        <v>21466.740675199355</v>
      </c>
      <c r="V2983" s="39">
        <f t="shared" ca="1" si="343"/>
        <v>0.14122855707367996</v>
      </c>
      <c r="W2983" s="48">
        <f t="shared" ca="1" si="344"/>
        <v>1.9198179951103689</v>
      </c>
    </row>
    <row r="2984" spans="17:23" x14ac:dyDescent="0.2">
      <c r="Q2984">
        <f t="shared" si="345"/>
        <v>2968</v>
      </c>
      <c r="R2984" s="48">
        <f t="shared" ca="1" si="346"/>
        <v>0.35</v>
      </c>
      <c r="S2984">
        <f t="shared" ca="1" si="347"/>
        <v>187.87255666349392</v>
      </c>
      <c r="T2984" s="61">
        <f t="shared" ca="1" si="341"/>
        <v>16800</v>
      </c>
      <c r="U2984" s="61">
        <f t="shared" ca="1" si="342"/>
        <v>15693.729465016841</v>
      </c>
      <c r="V2984" s="39">
        <f t="shared" ca="1" si="343"/>
        <v>0.10324822016458447</v>
      </c>
      <c r="W2984" s="48">
        <f t="shared" ca="1" si="344"/>
        <v>1.2188469892443226</v>
      </c>
    </row>
    <row r="2985" spans="17:23" x14ac:dyDescent="0.2">
      <c r="Q2985">
        <f t="shared" si="345"/>
        <v>2969</v>
      </c>
      <c r="R2985" s="48">
        <f t="shared" ca="1" si="346"/>
        <v>0.5</v>
      </c>
      <c r="S2985">
        <f t="shared" ca="1" si="347"/>
        <v>174.00217807288408</v>
      </c>
      <c r="T2985" s="61">
        <f t="shared" ca="1" si="341"/>
        <v>24000</v>
      </c>
      <c r="U2985" s="61">
        <f t="shared" ca="1" si="342"/>
        <v>17600.871229153632</v>
      </c>
      <c r="V2985" s="39">
        <f t="shared" ca="1" si="343"/>
        <v>0.11579520545495811</v>
      </c>
      <c r="W2985" s="48">
        <f t="shared" ca="1" si="344"/>
        <v>1.4319973258392453</v>
      </c>
    </row>
    <row r="2986" spans="17:23" x14ac:dyDescent="0.2">
      <c r="Q2986">
        <f t="shared" si="345"/>
        <v>2970</v>
      </c>
      <c r="R2986" s="48">
        <f t="shared" ca="1" si="346"/>
        <v>0.3</v>
      </c>
      <c r="S2986">
        <f t="shared" ca="1" si="347"/>
        <v>161.12705701728657</v>
      </c>
      <c r="T2986" s="61">
        <f t="shared" ca="1" si="341"/>
        <v>14400</v>
      </c>
      <c r="U2986" s="61">
        <f t="shared" ca="1" si="342"/>
        <v>-1768.8480703195182</v>
      </c>
      <c r="V2986" s="39">
        <f t="shared" ca="1" si="343"/>
        <v>-1.1637158357365252E-2</v>
      </c>
      <c r="W2986" s="48">
        <f t="shared" ca="1" si="344"/>
        <v>-9.057595753877612E-2</v>
      </c>
    </row>
    <row r="2987" spans="17:23" x14ac:dyDescent="0.2">
      <c r="Q2987">
        <f t="shared" si="345"/>
        <v>2971</v>
      </c>
      <c r="R2987" s="48">
        <f t="shared" ca="1" si="346"/>
        <v>0.3</v>
      </c>
      <c r="S2987">
        <f t="shared" ca="1" si="347"/>
        <v>201.57991091470396</v>
      </c>
      <c r="T2987" s="61">
        <f t="shared" ca="1" si="341"/>
        <v>14400</v>
      </c>
      <c r="U2987" s="61">
        <f t="shared" ca="1" si="342"/>
        <v>20884.750112234215</v>
      </c>
      <c r="V2987" s="39">
        <f t="shared" ca="1" si="343"/>
        <v>0.13739967179101456</v>
      </c>
      <c r="W2987" s="48">
        <f t="shared" ca="1" si="344"/>
        <v>1.8413017268200944</v>
      </c>
    </row>
    <row r="2988" spans="17:23" x14ac:dyDescent="0.2">
      <c r="Q2988">
        <f t="shared" si="345"/>
        <v>2972</v>
      </c>
      <c r="R2988" s="48">
        <f t="shared" ca="1" si="346"/>
        <v>0.4</v>
      </c>
      <c r="S2988">
        <f t="shared" ca="1" si="347"/>
        <v>178.98088375559226</v>
      </c>
      <c r="T2988" s="61">
        <f t="shared" ca="1" si="341"/>
        <v>19200</v>
      </c>
      <c r="U2988" s="61">
        <f t="shared" ca="1" si="342"/>
        <v>13910.824202684285</v>
      </c>
      <c r="V2988" s="39">
        <f t="shared" ca="1" si="343"/>
        <v>9.1518580280817663E-2</v>
      </c>
      <c r="W2988" s="48">
        <f t="shared" ca="1" si="344"/>
        <v>1.0345798742775538</v>
      </c>
    </row>
    <row r="2989" spans="17:23" x14ac:dyDescent="0.2">
      <c r="Q2989">
        <f t="shared" si="345"/>
        <v>2973</v>
      </c>
      <c r="R2989" s="48">
        <f t="shared" ca="1" si="346"/>
        <v>0.45</v>
      </c>
      <c r="S2989">
        <f t="shared" ca="1" si="347"/>
        <v>169.96260139787398</v>
      </c>
      <c r="T2989" s="61">
        <f t="shared" ca="1" si="341"/>
        <v>21600</v>
      </c>
      <c r="U2989" s="61">
        <f t="shared" ca="1" si="342"/>
        <v>12783.544615064551</v>
      </c>
      <c r="V2989" s="39">
        <f t="shared" ca="1" si="343"/>
        <v>8.4102267204372042E-2</v>
      </c>
      <c r="W2989" s="48">
        <f t="shared" ca="1" si="344"/>
        <v>0.92512403470801785</v>
      </c>
    </row>
    <row r="2990" spans="17:23" x14ac:dyDescent="0.2">
      <c r="Q2990">
        <f t="shared" si="345"/>
        <v>2974</v>
      </c>
      <c r="R2990" s="48">
        <f t="shared" ca="1" si="346"/>
        <v>0.3</v>
      </c>
      <c r="S2990">
        <f t="shared" ca="1" si="347"/>
        <v>188.49823868543837</v>
      </c>
      <c r="T2990" s="61">
        <f t="shared" ca="1" si="341"/>
        <v>14400</v>
      </c>
      <c r="U2990" s="61">
        <f t="shared" ca="1" si="342"/>
        <v>13559.013663845486</v>
      </c>
      <c r="V2990" s="39">
        <f t="shared" ca="1" si="343"/>
        <v>8.920403726214135E-2</v>
      </c>
      <c r="W2990" s="48">
        <f t="shared" ca="1" si="344"/>
        <v>0.99984892374498546</v>
      </c>
    </row>
    <row r="2991" spans="17:23" x14ac:dyDescent="0.2">
      <c r="Q2991">
        <f t="shared" si="345"/>
        <v>2975</v>
      </c>
      <c r="R2991" s="48">
        <f t="shared" ca="1" si="346"/>
        <v>0.35</v>
      </c>
      <c r="S2991">
        <f t="shared" ca="1" si="347"/>
        <v>168.26139690173227</v>
      </c>
      <c r="T2991" s="61">
        <f t="shared" ca="1" si="341"/>
        <v>16800</v>
      </c>
      <c r="U2991" s="61">
        <f t="shared" ca="1" si="342"/>
        <v>5495.9263889007798</v>
      </c>
      <c r="V2991" s="39">
        <f t="shared" ca="1" si="343"/>
        <v>3.6157410453294604E-2</v>
      </c>
      <c r="W2991" s="48">
        <f t="shared" ca="1" si="344"/>
        <v>0.33388954838631735</v>
      </c>
    </row>
    <row r="2992" spans="17:23" x14ac:dyDescent="0.2">
      <c r="Q2992">
        <f t="shared" si="345"/>
        <v>2976</v>
      </c>
      <c r="R2992" s="48">
        <f t="shared" ca="1" si="346"/>
        <v>0.4</v>
      </c>
      <c r="S2992">
        <f t="shared" ca="1" si="347"/>
        <v>188.61085816539742</v>
      </c>
      <c r="T2992" s="61">
        <f t="shared" ca="1" si="341"/>
        <v>19200</v>
      </c>
      <c r="U2992" s="61">
        <f t="shared" ca="1" si="342"/>
        <v>18533.21191939076</v>
      </c>
      <c r="V2992" s="39">
        <f t="shared" ca="1" si="343"/>
        <v>0.12192902578546552</v>
      </c>
      <c r="W2992" s="48">
        <f t="shared" ca="1" si="344"/>
        <v>1.5425809036052893</v>
      </c>
    </row>
    <row r="2993" spans="17:23" x14ac:dyDescent="0.2">
      <c r="Q2993">
        <f t="shared" si="345"/>
        <v>2977</v>
      </c>
      <c r="R2993" s="48">
        <f t="shared" ca="1" si="346"/>
        <v>0.4</v>
      </c>
      <c r="S2993">
        <f t="shared" ca="1" si="347"/>
        <v>156.41042583175192</v>
      </c>
      <c r="T2993" s="61">
        <f t="shared" ca="1" si="341"/>
        <v>19200</v>
      </c>
      <c r="U2993" s="61">
        <f t="shared" ca="1" si="342"/>
        <v>3077.0043992409228</v>
      </c>
      <c r="V2993" s="39">
        <f t="shared" ca="1" si="343"/>
        <v>2.0243449995006071E-2</v>
      </c>
      <c r="W2993" s="48">
        <f t="shared" ca="1" si="344"/>
        <v>0.17651539042061648</v>
      </c>
    </row>
    <row r="2994" spans="17:23" x14ac:dyDescent="0.2">
      <c r="Q2994">
        <f t="shared" si="345"/>
        <v>2978</v>
      </c>
      <c r="R2994" s="48">
        <f t="shared" ca="1" si="346"/>
        <v>0.3</v>
      </c>
      <c r="S2994">
        <f t="shared" ca="1" si="347"/>
        <v>215.28932153754482</v>
      </c>
      <c r="T2994" s="61">
        <f t="shared" ca="1" si="341"/>
        <v>14400</v>
      </c>
      <c r="U2994" s="61">
        <f t="shared" ca="1" si="342"/>
        <v>28562.020061025101</v>
      </c>
      <c r="V2994" s="39">
        <f t="shared" ca="1" si="343"/>
        <v>0.18790802671727042</v>
      </c>
      <c r="W2994" s="48">
        <f t="shared" ca="1" si="344"/>
        <v>3.0417713110553555</v>
      </c>
    </row>
    <row r="2995" spans="17:23" x14ac:dyDescent="0.2">
      <c r="Q2995">
        <f t="shared" si="345"/>
        <v>2979</v>
      </c>
      <c r="R2995" s="48">
        <f t="shared" ca="1" si="346"/>
        <v>0.35</v>
      </c>
      <c r="S2995">
        <f t="shared" ca="1" si="347"/>
        <v>192.75060107208702</v>
      </c>
      <c r="T2995" s="61">
        <f t="shared" ca="1" si="341"/>
        <v>16800</v>
      </c>
      <c r="U2995" s="61">
        <f t="shared" ca="1" si="342"/>
        <v>18230.312557485253</v>
      </c>
      <c r="V2995" s="39">
        <f t="shared" ca="1" si="343"/>
        <v>0.11993626682556087</v>
      </c>
      <c r="W2995" s="48">
        <f t="shared" ca="1" si="344"/>
        <v>1.5061807625413364</v>
      </c>
    </row>
    <row r="2996" spans="17:23" x14ac:dyDescent="0.2">
      <c r="Q2996">
        <f t="shared" si="345"/>
        <v>2980</v>
      </c>
      <c r="R2996" s="48">
        <f t="shared" ca="1" si="346"/>
        <v>0.4</v>
      </c>
      <c r="S2996">
        <f t="shared" ca="1" si="347"/>
        <v>181.81603761219765</v>
      </c>
      <c r="T2996" s="61">
        <f t="shared" ca="1" si="341"/>
        <v>19200</v>
      </c>
      <c r="U2996" s="61">
        <f t="shared" ca="1" si="342"/>
        <v>15271.698053854871</v>
      </c>
      <c r="V2996" s="39">
        <f t="shared" ca="1" si="343"/>
        <v>0.10047169772272942</v>
      </c>
      <c r="W2996" s="48">
        <f t="shared" ca="1" si="344"/>
        <v>1.1739567363204149</v>
      </c>
    </row>
    <row r="2997" spans="17:23" x14ac:dyDescent="0.2">
      <c r="Q2997">
        <f t="shared" si="345"/>
        <v>2981</v>
      </c>
      <c r="R2997" s="48">
        <f t="shared" ca="1" si="346"/>
        <v>0.3</v>
      </c>
      <c r="S2997">
        <f t="shared" ca="1" si="347"/>
        <v>171.5551301715102</v>
      </c>
      <c r="T2997" s="61">
        <f t="shared" ca="1" si="341"/>
        <v>14400</v>
      </c>
      <c r="U2997" s="61">
        <f t="shared" ca="1" si="342"/>
        <v>4070.872896045712</v>
      </c>
      <c r="V2997" s="39">
        <f t="shared" ca="1" si="343"/>
        <v>2.6782058526616526E-2</v>
      </c>
      <c r="W2997" s="48">
        <f t="shared" ca="1" si="344"/>
        <v>0.23908624195981365</v>
      </c>
    </row>
    <row r="2998" spans="17:23" x14ac:dyDescent="0.2">
      <c r="Q2998">
        <f t="shared" si="345"/>
        <v>2982</v>
      </c>
      <c r="R2998" s="48">
        <f t="shared" ca="1" si="346"/>
        <v>0.217</v>
      </c>
      <c r="S2998">
        <f t="shared" ca="1" si="347"/>
        <v>182.76422943556116</v>
      </c>
      <c r="T2998" s="61">
        <f t="shared" ca="1" si="341"/>
        <v>10416</v>
      </c>
      <c r="U2998" s="61">
        <f t="shared" ca="1" si="342"/>
        <v>5883.5133184355127</v>
      </c>
      <c r="V2998" s="39">
        <f t="shared" ca="1" si="343"/>
        <v>3.8707324463391528E-2</v>
      </c>
      <c r="W2998" s="48">
        <f t="shared" ca="1" si="344"/>
        <v>0.3607493315707373</v>
      </c>
    </row>
    <row r="2999" spans="17:23" x14ac:dyDescent="0.2">
      <c r="Q2999">
        <f t="shared" si="345"/>
        <v>2983</v>
      </c>
      <c r="R2999" s="48">
        <f t="shared" ca="1" si="346"/>
        <v>0.4</v>
      </c>
      <c r="S2999">
        <f t="shared" ca="1" si="347"/>
        <v>212.69187470863594</v>
      </c>
      <c r="T2999" s="61">
        <f t="shared" ca="1" si="341"/>
        <v>19200</v>
      </c>
      <c r="U2999" s="61">
        <f t="shared" ca="1" si="342"/>
        <v>30092.099860145248</v>
      </c>
      <c r="V2999" s="39">
        <f t="shared" ca="1" si="343"/>
        <v>0.1979743411851661</v>
      </c>
      <c r="W2999" s="48">
        <f t="shared" ca="1" si="344"/>
        <v>3.3280923652513099</v>
      </c>
    </row>
    <row r="3000" spans="17:23" x14ac:dyDescent="0.2">
      <c r="Q3000">
        <f t="shared" si="345"/>
        <v>2984</v>
      </c>
      <c r="R3000" s="48">
        <f t="shared" ca="1" si="346"/>
        <v>0.15</v>
      </c>
      <c r="S3000">
        <f t="shared" ca="1" si="347"/>
        <v>201.10426209105762</v>
      </c>
      <c r="T3000" s="61">
        <f t="shared" ca="1" si="341"/>
        <v>7200</v>
      </c>
      <c r="U3000" s="61">
        <f t="shared" ca="1" si="342"/>
        <v>14750.898221919182</v>
      </c>
      <c r="V3000" s="39">
        <f t="shared" ca="1" si="343"/>
        <v>9.7045383038941987E-2</v>
      </c>
      <c r="W3000" s="48">
        <f t="shared" ca="1" si="344"/>
        <v>1.1196597422651648</v>
      </c>
    </row>
    <row r="3001" spans="17:23" x14ac:dyDescent="0.2">
      <c r="Q3001">
        <f t="shared" si="345"/>
        <v>2985</v>
      </c>
      <c r="R3001" s="48">
        <f t="shared" ca="1" si="346"/>
        <v>0.217</v>
      </c>
      <c r="S3001">
        <f t="shared" ca="1" si="347"/>
        <v>170.20576171743846</v>
      </c>
      <c r="T3001" s="61">
        <f t="shared" ref="T3001:T3064" ca="1" si="348">($B$8-$B$7)*($E$6*R3001)</f>
        <v>10416</v>
      </c>
      <c r="U3001" s="61">
        <f t="shared" ref="U3001:U3064" ca="1" si="349">T3001+((S3001-$B$7)*($E$6*(1-R3001)))</f>
        <v>-1983.1108601965461</v>
      </c>
      <c r="V3001" s="39">
        <f t="shared" ref="V3001:V3064" ca="1" si="350">U3001/$E$4</f>
        <v>-1.3046781974977276E-2</v>
      </c>
      <c r="W3001" s="48">
        <f t="shared" ref="W3001:W3064" ca="1" si="351">(1+V3001)^($J$29/$J$30)-1</f>
        <v>-0.1010431942619967</v>
      </c>
    </row>
    <row r="3002" spans="17:23" x14ac:dyDescent="0.2">
      <c r="Q3002">
        <f t="shared" si="345"/>
        <v>2986</v>
      </c>
      <c r="R3002" s="48">
        <f t="shared" ca="1" si="346"/>
        <v>0.45</v>
      </c>
      <c r="S3002">
        <f t="shared" ca="1" si="347"/>
        <v>209.21340398972097</v>
      </c>
      <c r="T3002" s="61">
        <f t="shared" ca="1" si="348"/>
        <v>21600</v>
      </c>
      <c r="U3002" s="61">
        <f t="shared" ca="1" si="349"/>
        <v>30053.897755477228</v>
      </c>
      <c r="V3002" s="39">
        <f t="shared" ca="1" si="350"/>
        <v>0.19772301154919228</v>
      </c>
      <c r="W3002" s="48">
        <f t="shared" ca="1" si="351"/>
        <v>3.3207328515651859</v>
      </c>
    </row>
    <row r="3003" spans="17:23" x14ac:dyDescent="0.2">
      <c r="Q3003">
        <f t="shared" si="345"/>
        <v>2987</v>
      </c>
      <c r="R3003" s="48">
        <f t="shared" ca="1" si="346"/>
        <v>0.217</v>
      </c>
      <c r="S3003">
        <f t="shared" ca="1" si="347"/>
        <v>153.31364566842348</v>
      </c>
      <c r="T3003" s="61">
        <f t="shared" ca="1" si="348"/>
        <v>10416</v>
      </c>
      <c r="U3003" s="61">
        <f t="shared" ca="1" si="349"/>
        <v>-12564.332353299535</v>
      </c>
      <c r="V3003" s="39">
        <f t="shared" ca="1" si="350"/>
        <v>-8.2660081271707458E-2</v>
      </c>
      <c r="W3003" s="48">
        <f t="shared" ca="1" si="351"/>
        <v>-0.5033172926884667</v>
      </c>
    </row>
    <row r="3004" spans="17:23" x14ac:dyDescent="0.2">
      <c r="Q3004">
        <f t="shared" si="345"/>
        <v>2988</v>
      </c>
      <c r="R3004" s="48">
        <f t="shared" ca="1" si="346"/>
        <v>0.3</v>
      </c>
      <c r="S3004">
        <f t="shared" ca="1" si="347"/>
        <v>187.36811202830583</v>
      </c>
      <c r="T3004" s="61">
        <f t="shared" ca="1" si="348"/>
        <v>14400</v>
      </c>
      <c r="U3004" s="61">
        <f t="shared" ca="1" si="349"/>
        <v>12926.142735851265</v>
      </c>
      <c r="V3004" s="39">
        <f t="shared" ca="1" si="350"/>
        <v>8.5040412735863588E-2</v>
      </c>
      <c r="W3004" s="48">
        <f t="shared" ca="1" si="351"/>
        <v>0.93867828778205076</v>
      </c>
    </row>
    <row r="3005" spans="17:23" x14ac:dyDescent="0.2">
      <c r="Q3005">
        <f t="shared" si="345"/>
        <v>2989</v>
      </c>
      <c r="R3005" s="48">
        <f t="shared" ca="1" si="346"/>
        <v>0.4</v>
      </c>
      <c r="S3005">
        <f t="shared" ca="1" si="347"/>
        <v>176.08683049825385</v>
      </c>
      <c r="T3005" s="61">
        <f t="shared" ca="1" si="348"/>
        <v>19200</v>
      </c>
      <c r="U3005" s="61">
        <f t="shared" ca="1" si="349"/>
        <v>12521.678639161846</v>
      </c>
      <c r="V3005" s="39">
        <f t="shared" ca="1" si="350"/>
        <v>8.2379464731327942E-2</v>
      </c>
      <c r="W3005" s="48">
        <f t="shared" ca="1" si="351"/>
        <v>0.90044936128181141</v>
      </c>
    </row>
    <row r="3006" spans="17:23" x14ac:dyDescent="0.2">
      <c r="Q3006">
        <f t="shared" si="345"/>
        <v>2990</v>
      </c>
      <c r="R3006" s="48">
        <f t="shared" ca="1" si="346"/>
        <v>0.4</v>
      </c>
      <c r="S3006">
        <f t="shared" ca="1" si="347"/>
        <v>207.61846239852011</v>
      </c>
      <c r="T3006" s="61">
        <f t="shared" ca="1" si="348"/>
        <v>19200</v>
      </c>
      <c r="U3006" s="61">
        <f t="shared" ca="1" si="349"/>
        <v>27656.861951289651</v>
      </c>
      <c r="V3006" s="39">
        <f t="shared" ca="1" si="350"/>
        <v>0.18195303915322139</v>
      </c>
      <c r="W3006" s="48">
        <f t="shared" ca="1" si="351"/>
        <v>2.8803282430481532</v>
      </c>
    </row>
    <row r="3007" spans="17:23" x14ac:dyDescent="0.2">
      <c r="Q3007">
        <f t="shared" si="345"/>
        <v>2991</v>
      </c>
      <c r="R3007" s="48">
        <f t="shared" ca="1" si="346"/>
        <v>0.45</v>
      </c>
      <c r="S3007">
        <f t="shared" ca="1" si="347"/>
        <v>213.83157109664248</v>
      </c>
      <c r="T3007" s="61">
        <f t="shared" ca="1" si="348"/>
        <v>21600</v>
      </c>
      <c r="U3007" s="61">
        <f t="shared" ca="1" si="349"/>
        <v>32085.891282522691</v>
      </c>
      <c r="V3007" s="39">
        <f t="shared" ca="1" si="350"/>
        <v>0.21109139001659666</v>
      </c>
      <c r="W3007" s="48">
        <f t="shared" ca="1" si="351"/>
        <v>3.7277794935918624</v>
      </c>
    </row>
    <row r="3008" spans="17:23" x14ac:dyDescent="0.2">
      <c r="Q3008">
        <f t="shared" si="345"/>
        <v>2992</v>
      </c>
      <c r="R3008" s="48">
        <f t="shared" ca="1" si="346"/>
        <v>0.5</v>
      </c>
      <c r="S3008">
        <f t="shared" ca="1" si="347"/>
        <v>145.9070468189048</v>
      </c>
      <c r="T3008" s="61">
        <f t="shared" ca="1" si="348"/>
        <v>24000</v>
      </c>
      <c r="U3008" s="61">
        <f t="shared" ca="1" si="349"/>
        <v>6362.8187275619202</v>
      </c>
      <c r="V3008" s="39">
        <f t="shared" ca="1" si="350"/>
        <v>4.1860649523433685E-2</v>
      </c>
      <c r="W3008" s="48">
        <f t="shared" ca="1" si="351"/>
        <v>0.39462013362974435</v>
      </c>
    </row>
    <row r="3009" spans="17:23" x14ac:dyDescent="0.2">
      <c r="Q3009">
        <f t="shared" si="345"/>
        <v>2993</v>
      </c>
      <c r="R3009" s="48">
        <f t="shared" ca="1" si="346"/>
        <v>0.45</v>
      </c>
      <c r="S3009">
        <f t="shared" ca="1" si="347"/>
        <v>182.26449369672213</v>
      </c>
      <c r="T3009" s="61">
        <f t="shared" ca="1" si="348"/>
        <v>21600</v>
      </c>
      <c r="U3009" s="61">
        <f t="shared" ca="1" si="349"/>
        <v>18196.377226557735</v>
      </c>
      <c r="V3009" s="39">
        <f t="shared" ca="1" si="350"/>
        <v>0.11971300806945878</v>
      </c>
      <c r="W3009" s="48">
        <f t="shared" ca="1" si="351"/>
        <v>1.5021312744742561</v>
      </c>
    </row>
    <row r="3010" spans="17:23" x14ac:dyDescent="0.2">
      <c r="Q3010">
        <f t="shared" si="345"/>
        <v>2994</v>
      </c>
      <c r="R3010" s="48">
        <f t="shared" ca="1" si="346"/>
        <v>0.45</v>
      </c>
      <c r="S3010">
        <f t="shared" ca="1" si="347"/>
        <v>171.8908868414706</v>
      </c>
      <c r="T3010" s="61">
        <f t="shared" ca="1" si="348"/>
        <v>21600</v>
      </c>
      <c r="U3010" s="61">
        <f t="shared" ca="1" si="349"/>
        <v>13631.990210247064</v>
      </c>
      <c r="V3010" s="39">
        <f t="shared" ca="1" si="350"/>
        <v>8.9684146120046479E-2</v>
      </c>
      <c r="W3010" s="48">
        <f t="shared" ca="1" si="351"/>
        <v>1.0070101721873357</v>
      </c>
    </row>
    <row r="3011" spans="17:23" x14ac:dyDescent="0.2">
      <c r="Q3011">
        <f t="shared" si="345"/>
        <v>2995</v>
      </c>
      <c r="R3011" s="48">
        <f t="shared" ca="1" si="346"/>
        <v>0.4</v>
      </c>
      <c r="S3011">
        <f t="shared" ca="1" si="347"/>
        <v>188.24730018771891</v>
      </c>
      <c r="T3011" s="61">
        <f t="shared" ca="1" si="348"/>
        <v>19200</v>
      </c>
      <c r="U3011" s="61">
        <f t="shared" ca="1" si="349"/>
        <v>18358.704090105075</v>
      </c>
      <c r="V3011" s="39">
        <f t="shared" ca="1" si="350"/>
        <v>0.12078094796121761</v>
      </c>
      <c r="W3011" s="48">
        <f t="shared" ca="1" si="351"/>
        <v>1.5215537083244213</v>
      </c>
    </row>
    <row r="3012" spans="17:23" x14ac:dyDescent="0.2">
      <c r="Q3012">
        <f t="shared" si="345"/>
        <v>2996</v>
      </c>
      <c r="R3012" s="48">
        <f t="shared" ca="1" si="346"/>
        <v>0.35</v>
      </c>
      <c r="S3012">
        <f t="shared" ca="1" si="347"/>
        <v>193.06710360630927</v>
      </c>
      <c r="T3012" s="61">
        <f t="shared" ca="1" si="348"/>
        <v>16800</v>
      </c>
      <c r="U3012" s="61">
        <f t="shared" ca="1" si="349"/>
        <v>18394.893875280824</v>
      </c>
      <c r="V3012" s="39">
        <f t="shared" ca="1" si="350"/>
        <v>0.12101903865316332</v>
      </c>
      <c r="W3012" s="48">
        <f t="shared" ca="1" si="351"/>
        <v>1.5259017960627652</v>
      </c>
    </row>
    <row r="3013" spans="17:23" x14ac:dyDescent="0.2">
      <c r="Q3013">
        <f t="shared" si="345"/>
        <v>2997</v>
      </c>
      <c r="R3013" s="48">
        <f t="shared" ca="1" si="346"/>
        <v>0.3</v>
      </c>
      <c r="S3013">
        <f t="shared" ca="1" si="347"/>
        <v>228.77669638077757</v>
      </c>
      <c r="T3013" s="61">
        <f t="shared" ca="1" si="348"/>
        <v>14400</v>
      </c>
      <c r="U3013" s="61">
        <f t="shared" ca="1" si="349"/>
        <v>36114.949973235438</v>
      </c>
      <c r="V3013" s="39">
        <f t="shared" ca="1" si="350"/>
        <v>0.23759835508707525</v>
      </c>
      <c r="W3013" s="48">
        <f t="shared" ca="1" si="351"/>
        <v>4.635395795827848</v>
      </c>
    </row>
    <row r="3014" spans="17:23" x14ac:dyDescent="0.2">
      <c r="Q3014">
        <f t="shared" si="345"/>
        <v>2998</v>
      </c>
      <c r="R3014" s="48">
        <f t="shared" ca="1" si="346"/>
        <v>0.5</v>
      </c>
      <c r="S3014">
        <f t="shared" ca="1" si="347"/>
        <v>168.94693205343603</v>
      </c>
      <c r="T3014" s="61">
        <f t="shared" ca="1" si="348"/>
        <v>24000</v>
      </c>
      <c r="U3014" s="61">
        <f t="shared" ca="1" si="349"/>
        <v>15578.772821374412</v>
      </c>
      <c r="V3014" s="39">
        <f t="shared" ca="1" si="350"/>
        <v>0.1024919264564106</v>
      </c>
      <c r="W3014" s="48">
        <f t="shared" ca="1" si="351"/>
        <v>1.2065395811561648</v>
      </c>
    </row>
    <row r="3015" spans="17:23" x14ac:dyDescent="0.2">
      <c r="Q3015">
        <f t="shared" si="345"/>
        <v>2999</v>
      </c>
      <c r="R3015" s="48">
        <f t="shared" ca="1" si="346"/>
        <v>0.35</v>
      </c>
      <c r="S3015">
        <f t="shared" ca="1" si="347"/>
        <v>152.77248120610966</v>
      </c>
      <c r="T3015" s="61">
        <f t="shared" ca="1" si="348"/>
        <v>16800</v>
      </c>
      <c r="U3015" s="61">
        <f t="shared" ca="1" si="349"/>
        <v>-2558.3097728229768</v>
      </c>
      <c r="V3015" s="39">
        <f t="shared" ca="1" si="350"/>
        <v>-1.6830985347519586E-2</v>
      </c>
      <c r="W3015" s="48">
        <f t="shared" ca="1" si="351"/>
        <v>-0.12862243748561841</v>
      </c>
    </row>
    <row r="3016" spans="17:23" x14ac:dyDescent="0.2">
      <c r="Q3016">
        <f t="shared" si="345"/>
        <v>3000</v>
      </c>
      <c r="R3016" s="48">
        <f t="shared" ca="1" si="346"/>
        <v>0.4</v>
      </c>
      <c r="S3016">
        <f t="shared" ca="1" si="347"/>
        <v>158.48270399953608</v>
      </c>
      <c r="T3016" s="61">
        <f t="shared" ca="1" si="348"/>
        <v>19200</v>
      </c>
      <c r="U3016" s="61">
        <f t="shared" ca="1" si="349"/>
        <v>4071.6979197773217</v>
      </c>
      <c r="V3016" s="39">
        <f t="shared" ca="1" si="350"/>
        <v>2.6787486314324486E-2</v>
      </c>
      <c r="W3016" s="48">
        <f t="shared" ca="1" si="351"/>
        <v>0.23913937132539798</v>
      </c>
    </row>
    <row r="3017" spans="17:23" x14ac:dyDescent="0.2">
      <c r="Q3017">
        <f t="shared" si="345"/>
        <v>3001</v>
      </c>
      <c r="R3017" s="48">
        <f t="shared" ca="1" si="346"/>
        <v>0.35</v>
      </c>
      <c r="S3017">
        <f t="shared" ca="1" si="347"/>
        <v>162.33527659537697</v>
      </c>
      <c r="T3017" s="61">
        <f t="shared" ca="1" si="348"/>
        <v>16800</v>
      </c>
      <c r="U3017" s="61">
        <f t="shared" ca="1" si="349"/>
        <v>2414.3438295960223</v>
      </c>
      <c r="V3017" s="39">
        <f t="shared" ca="1" si="350"/>
        <v>1.5883840984184355E-2</v>
      </c>
      <c r="W3017" s="48">
        <f t="shared" ca="1" si="351"/>
        <v>0.13635196933559213</v>
      </c>
    </row>
    <row r="3018" spans="17:23" x14ac:dyDescent="0.2">
      <c r="Q3018">
        <f t="shared" si="345"/>
        <v>3002</v>
      </c>
      <c r="R3018" s="48">
        <f t="shared" ca="1" si="346"/>
        <v>0.4</v>
      </c>
      <c r="S3018">
        <f t="shared" ca="1" si="347"/>
        <v>203.69387355997517</v>
      </c>
      <c r="T3018" s="61">
        <f t="shared" ca="1" si="348"/>
        <v>19200</v>
      </c>
      <c r="U3018" s="61">
        <f t="shared" ca="1" si="349"/>
        <v>25773.059308788084</v>
      </c>
      <c r="V3018" s="39">
        <f t="shared" ca="1" si="350"/>
        <v>0.16955960071571108</v>
      </c>
      <c r="W3018" s="48">
        <f t="shared" ca="1" si="351"/>
        <v>2.5623526247659631</v>
      </c>
    </row>
    <row r="3019" spans="17:23" x14ac:dyDescent="0.2">
      <c r="Q3019">
        <f t="shared" si="345"/>
        <v>3003</v>
      </c>
      <c r="R3019" s="48">
        <f t="shared" ca="1" si="346"/>
        <v>0.217</v>
      </c>
      <c r="S3019">
        <f t="shared" ca="1" si="347"/>
        <v>181.15901675248929</v>
      </c>
      <c r="T3019" s="61">
        <f t="shared" ca="1" si="348"/>
        <v>10416</v>
      </c>
      <c r="U3019" s="61">
        <f t="shared" ca="1" si="349"/>
        <v>4878.0080937592938</v>
      </c>
      <c r="V3019" s="39">
        <f t="shared" ca="1" si="350"/>
        <v>3.2092158511574299E-2</v>
      </c>
      <c r="W3019" s="48">
        <f t="shared" ca="1" si="351"/>
        <v>0.2920285277488186</v>
      </c>
    </row>
    <row r="3020" spans="17:23" x14ac:dyDescent="0.2">
      <c r="Q3020">
        <f t="shared" si="345"/>
        <v>3004</v>
      </c>
      <c r="R3020" s="48">
        <f t="shared" ca="1" si="346"/>
        <v>0.45</v>
      </c>
      <c r="S3020">
        <f t="shared" ca="1" si="347"/>
        <v>207.1103879304809</v>
      </c>
      <c r="T3020" s="61">
        <f t="shared" ca="1" si="348"/>
        <v>21600</v>
      </c>
      <c r="U3020" s="61">
        <f t="shared" ca="1" si="349"/>
        <v>29128.570689411594</v>
      </c>
      <c r="V3020" s="39">
        <f t="shared" ca="1" si="350"/>
        <v>0.19163533348297102</v>
      </c>
      <c r="W3020" s="48">
        <f t="shared" ca="1" si="351"/>
        <v>3.1457904955371951</v>
      </c>
    </row>
    <row r="3021" spans="17:23" x14ac:dyDescent="0.2">
      <c r="Q3021">
        <f t="shared" si="345"/>
        <v>3005</v>
      </c>
      <c r="R3021" s="48">
        <f t="shared" ca="1" si="346"/>
        <v>0.3</v>
      </c>
      <c r="S3021">
        <f t="shared" ca="1" si="347"/>
        <v>192.00131671739365</v>
      </c>
      <c r="T3021" s="61">
        <f t="shared" ca="1" si="348"/>
        <v>14400</v>
      </c>
      <c r="U3021" s="61">
        <f t="shared" ca="1" si="349"/>
        <v>15520.737361740445</v>
      </c>
      <c r="V3021" s="39">
        <f t="shared" ca="1" si="350"/>
        <v>0.10211011422197661</v>
      </c>
      <c r="W3021" s="48">
        <f t="shared" ca="1" si="351"/>
        <v>1.2003489949652044</v>
      </c>
    </row>
    <row r="3022" spans="17:23" x14ac:dyDescent="0.2">
      <c r="Q3022">
        <f t="shared" si="345"/>
        <v>3006</v>
      </c>
      <c r="R3022" s="48">
        <f t="shared" ca="1" si="346"/>
        <v>0.3</v>
      </c>
      <c r="S3022">
        <f t="shared" ca="1" si="347"/>
        <v>204.64298305054621</v>
      </c>
      <c r="T3022" s="61">
        <f t="shared" ca="1" si="348"/>
        <v>14400</v>
      </c>
      <c r="U3022" s="61">
        <f t="shared" ca="1" si="349"/>
        <v>22600.070508305875</v>
      </c>
      <c r="V3022" s="39">
        <f t="shared" ca="1" si="350"/>
        <v>0.14868467439674918</v>
      </c>
      <c r="W3022" s="48">
        <f t="shared" ca="1" si="351"/>
        <v>2.0781912206994173</v>
      </c>
    </row>
    <row r="3023" spans="17:23" x14ac:dyDescent="0.2">
      <c r="Q3023">
        <f t="shared" si="345"/>
        <v>3007</v>
      </c>
      <c r="R3023" s="48">
        <f t="shared" ca="1" si="346"/>
        <v>0.5</v>
      </c>
      <c r="S3023">
        <f t="shared" ca="1" si="347"/>
        <v>170.68346855517271</v>
      </c>
      <c r="T3023" s="61">
        <f t="shared" ca="1" si="348"/>
        <v>24000</v>
      </c>
      <c r="U3023" s="61">
        <f t="shared" ca="1" si="349"/>
        <v>16273.387422069083</v>
      </c>
      <c r="V3023" s="39">
        <f t="shared" ca="1" si="350"/>
        <v>0.10706175935571766</v>
      </c>
      <c r="W3023" s="48">
        <f t="shared" ca="1" si="351"/>
        <v>1.2818273362084098</v>
      </c>
    </row>
    <row r="3024" spans="17:23" x14ac:dyDescent="0.2">
      <c r="Q3024">
        <f t="shared" si="345"/>
        <v>3008</v>
      </c>
      <c r="R3024" s="48">
        <f t="shared" ca="1" si="346"/>
        <v>0.4</v>
      </c>
      <c r="S3024">
        <f t="shared" ca="1" si="347"/>
        <v>162.82899135023681</v>
      </c>
      <c r="T3024" s="61">
        <f t="shared" ca="1" si="348"/>
        <v>19200</v>
      </c>
      <c r="U3024" s="61">
        <f t="shared" ca="1" si="349"/>
        <v>6157.9158481136656</v>
      </c>
      <c r="V3024" s="39">
        <f t="shared" ca="1" si="350"/>
        <v>4.0512604263905697E-2</v>
      </c>
      <c r="W3024" s="48">
        <f t="shared" ca="1" si="351"/>
        <v>0.38005099646751672</v>
      </c>
    </row>
    <row r="3025" spans="17:23" x14ac:dyDescent="0.2">
      <c r="Q3025">
        <f t="shared" si="345"/>
        <v>3009</v>
      </c>
      <c r="R3025" s="48">
        <f t="shared" ca="1" si="346"/>
        <v>0.3</v>
      </c>
      <c r="S3025">
        <f t="shared" ca="1" si="347"/>
        <v>190.86339341338186</v>
      </c>
      <c r="T3025" s="61">
        <f t="shared" ca="1" si="348"/>
        <v>14400</v>
      </c>
      <c r="U3025" s="61">
        <f t="shared" ca="1" si="349"/>
        <v>14883.500311493841</v>
      </c>
      <c r="V3025" s="39">
        <f t="shared" ca="1" si="350"/>
        <v>9.7917765207196319E-2</v>
      </c>
      <c r="W3025" s="48">
        <f t="shared" ca="1" si="351"/>
        <v>1.1333703552472834</v>
      </c>
    </row>
    <row r="3026" spans="17:23" x14ac:dyDescent="0.2">
      <c r="Q3026">
        <f t="shared" si="345"/>
        <v>3010</v>
      </c>
      <c r="R3026" s="48">
        <f t="shared" ca="1" si="346"/>
        <v>0.3</v>
      </c>
      <c r="S3026">
        <f t="shared" ca="1" si="347"/>
        <v>191.50399526730112</v>
      </c>
      <c r="T3026" s="61">
        <f t="shared" ca="1" si="348"/>
        <v>14400</v>
      </c>
      <c r="U3026" s="61">
        <f t="shared" ca="1" si="349"/>
        <v>15242.237349688628</v>
      </c>
      <c r="V3026" s="39">
        <f t="shared" ca="1" si="350"/>
        <v>0.10027787730058309</v>
      </c>
      <c r="W3026" s="48">
        <f t="shared" ca="1" si="351"/>
        <v>1.1708530347720139</v>
      </c>
    </row>
    <row r="3027" spans="17:23" x14ac:dyDescent="0.2">
      <c r="Q3027">
        <f t="shared" ref="Q3027:Q3090" si="352">Q3026+1</f>
        <v>3011</v>
      </c>
      <c r="R3027" s="48">
        <f t="shared" ref="R3027:R3090" ca="1" si="353">LOOKUP(RAND(),$U$6:$U$12,$S$6:$S$12)</f>
        <v>0.3</v>
      </c>
      <c r="S3027">
        <f t="shared" ref="S3027:S3090" ca="1" si="354">_xlfn.NORM.INV(RAND(),$Q$5,$Q$10)</f>
        <v>168.10486282747775</v>
      </c>
      <c r="T3027" s="61">
        <f t="shared" ca="1" si="348"/>
        <v>14400</v>
      </c>
      <c r="U3027" s="61">
        <f t="shared" ca="1" si="349"/>
        <v>2138.7231833875376</v>
      </c>
      <c r="V3027" s="39">
        <f t="shared" ca="1" si="350"/>
        <v>1.4070547259128537E-2</v>
      </c>
      <c r="W3027" s="48">
        <f t="shared" ca="1" si="351"/>
        <v>0.12000405428003713</v>
      </c>
    </row>
    <row r="3028" spans="17:23" x14ac:dyDescent="0.2">
      <c r="Q3028">
        <f t="shared" si="352"/>
        <v>3012</v>
      </c>
      <c r="R3028" s="48">
        <f t="shared" ca="1" si="353"/>
        <v>0.3</v>
      </c>
      <c r="S3028">
        <f t="shared" ca="1" si="354"/>
        <v>169.55439880444388</v>
      </c>
      <c r="T3028" s="61">
        <f t="shared" ca="1" si="348"/>
        <v>14400</v>
      </c>
      <c r="U3028" s="61">
        <f t="shared" ca="1" si="349"/>
        <v>2950.463330488572</v>
      </c>
      <c r="V3028" s="39">
        <f t="shared" ca="1" si="350"/>
        <v>1.9410942963740605E-2</v>
      </c>
      <c r="W3028" s="48">
        <f t="shared" ca="1" si="351"/>
        <v>0.16875109037947289</v>
      </c>
    </row>
    <row r="3029" spans="17:23" x14ac:dyDescent="0.2">
      <c r="Q3029">
        <f t="shared" si="352"/>
        <v>3013</v>
      </c>
      <c r="R3029" s="48">
        <f t="shared" ca="1" si="353"/>
        <v>0.45</v>
      </c>
      <c r="S3029">
        <f t="shared" ca="1" si="354"/>
        <v>203.43336533482838</v>
      </c>
      <c r="T3029" s="61">
        <f t="shared" ca="1" si="348"/>
        <v>21600</v>
      </c>
      <c r="U3029" s="61">
        <f t="shared" ca="1" si="349"/>
        <v>27510.680747324488</v>
      </c>
      <c r="V3029" s="39">
        <f t="shared" ca="1" si="350"/>
        <v>0.18099132070608215</v>
      </c>
      <c r="W3029" s="48">
        <f t="shared" ca="1" si="351"/>
        <v>2.8547929778730197</v>
      </c>
    </row>
    <row r="3030" spans="17:23" x14ac:dyDescent="0.2">
      <c r="Q3030">
        <f t="shared" si="352"/>
        <v>3014</v>
      </c>
      <c r="R3030" s="48">
        <f t="shared" ca="1" si="353"/>
        <v>0.35</v>
      </c>
      <c r="S3030">
        <f t="shared" ca="1" si="354"/>
        <v>201.66157280635232</v>
      </c>
      <c r="T3030" s="61">
        <f t="shared" ca="1" si="348"/>
        <v>16800</v>
      </c>
      <c r="U3030" s="61">
        <f t="shared" ca="1" si="349"/>
        <v>22864.017859303211</v>
      </c>
      <c r="V3030" s="39">
        <f t="shared" ca="1" si="350"/>
        <v>0.1504211701269948</v>
      </c>
      <c r="W3030" s="48">
        <f t="shared" ca="1" si="351"/>
        <v>2.1161388015115636</v>
      </c>
    </row>
    <row r="3031" spans="17:23" x14ac:dyDescent="0.2">
      <c r="Q3031">
        <f t="shared" si="352"/>
        <v>3015</v>
      </c>
      <c r="R3031" s="48">
        <f t="shared" ca="1" si="353"/>
        <v>0.35</v>
      </c>
      <c r="S3031">
        <f t="shared" ca="1" si="354"/>
        <v>190.97692543694893</v>
      </c>
      <c r="T3031" s="61">
        <f t="shared" ca="1" si="348"/>
        <v>16800</v>
      </c>
      <c r="U3031" s="61">
        <f t="shared" ca="1" si="349"/>
        <v>17308.001227213445</v>
      </c>
      <c r="V3031" s="39">
        <f t="shared" ca="1" si="350"/>
        <v>0.11386842912640424</v>
      </c>
      <c r="W3031" s="48">
        <f t="shared" ca="1" si="351"/>
        <v>1.3981421580521958</v>
      </c>
    </row>
    <row r="3032" spans="17:23" x14ac:dyDescent="0.2">
      <c r="Q3032">
        <f t="shared" si="352"/>
        <v>3016</v>
      </c>
      <c r="R3032" s="48">
        <f t="shared" ca="1" si="353"/>
        <v>0.3</v>
      </c>
      <c r="S3032">
        <f t="shared" ca="1" si="354"/>
        <v>215.35024487816605</v>
      </c>
      <c r="T3032" s="61">
        <f t="shared" ca="1" si="348"/>
        <v>14400</v>
      </c>
      <c r="U3032" s="61">
        <f t="shared" ca="1" si="349"/>
        <v>28596.13713177299</v>
      </c>
      <c r="V3032" s="39">
        <f t="shared" ca="1" si="350"/>
        <v>0.18813248113008546</v>
      </c>
      <c r="W3032" s="48">
        <f t="shared" ca="1" si="351"/>
        <v>3.0479698480958497</v>
      </c>
    </row>
    <row r="3033" spans="17:23" x14ac:dyDescent="0.2">
      <c r="Q3033">
        <f t="shared" si="352"/>
        <v>3017</v>
      </c>
      <c r="R3033" s="48">
        <f t="shared" ca="1" si="353"/>
        <v>0.45</v>
      </c>
      <c r="S3033">
        <f t="shared" ca="1" si="354"/>
        <v>190.84501314710224</v>
      </c>
      <c r="T3033" s="61">
        <f t="shared" ca="1" si="348"/>
        <v>21600</v>
      </c>
      <c r="U3033" s="61">
        <f t="shared" ca="1" si="349"/>
        <v>21971.805784724984</v>
      </c>
      <c r="V3033" s="39">
        <f t="shared" ca="1" si="350"/>
        <v>0.1445513538468749</v>
      </c>
      <c r="W3033" s="48">
        <f t="shared" ca="1" si="351"/>
        <v>1.9894913340642848</v>
      </c>
    </row>
    <row r="3034" spans="17:23" x14ac:dyDescent="0.2">
      <c r="Q3034">
        <f t="shared" si="352"/>
        <v>3018</v>
      </c>
      <c r="R3034" s="48">
        <f t="shared" ca="1" si="353"/>
        <v>0.45</v>
      </c>
      <c r="S3034">
        <f t="shared" ca="1" si="354"/>
        <v>185.02282170356327</v>
      </c>
      <c r="T3034" s="61">
        <f t="shared" ca="1" si="348"/>
        <v>21600</v>
      </c>
      <c r="U3034" s="61">
        <f t="shared" ca="1" si="349"/>
        <v>19410.041549567839</v>
      </c>
      <c r="V3034" s="39">
        <f t="shared" ca="1" si="350"/>
        <v>0.12769764177347262</v>
      </c>
      <c r="W3034" s="48">
        <f t="shared" ca="1" si="351"/>
        <v>1.6505778460927352</v>
      </c>
    </row>
    <row r="3035" spans="17:23" x14ac:dyDescent="0.2">
      <c r="Q3035">
        <f t="shared" si="352"/>
        <v>3019</v>
      </c>
      <c r="R3035" s="48">
        <f t="shared" ca="1" si="353"/>
        <v>0.45</v>
      </c>
      <c r="S3035">
        <f t="shared" ca="1" si="354"/>
        <v>193.05325193089269</v>
      </c>
      <c r="T3035" s="61">
        <f t="shared" ca="1" si="348"/>
        <v>21600</v>
      </c>
      <c r="U3035" s="61">
        <f t="shared" ca="1" si="349"/>
        <v>22943.430849592783</v>
      </c>
      <c r="V3035" s="39">
        <f t="shared" ca="1" si="350"/>
        <v>0.15094362401047884</v>
      </c>
      <c r="W3035" s="48">
        <f t="shared" ca="1" si="351"/>
        <v>2.1276359354323739</v>
      </c>
    </row>
    <row r="3036" spans="17:23" x14ac:dyDescent="0.2">
      <c r="Q3036">
        <f t="shared" si="352"/>
        <v>3020</v>
      </c>
      <c r="R3036" s="48">
        <f t="shared" ca="1" si="353"/>
        <v>0.4</v>
      </c>
      <c r="S3036">
        <f t="shared" ca="1" si="354"/>
        <v>147.48829004829278</v>
      </c>
      <c r="T3036" s="61">
        <f t="shared" ca="1" si="348"/>
        <v>19200</v>
      </c>
      <c r="U3036" s="61">
        <f t="shared" ca="1" si="349"/>
        <v>-1205.6207768194654</v>
      </c>
      <c r="V3036" s="39">
        <f t="shared" ca="1" si="350"/>
        <v>-7.9317156369701665E-3</v>
      </c>
      <c r="W3036" s="48">
        <f t="shared" ca="1" si="351"/>
        <v>-6.2549692269889157E-2</v>
      </c>
    </row>
    <row r="3037" spans="17:23" x14ac:dyDescent="0.2">
      <c r="Q3037">
        <f t="shared" si="352"/>
        <v>3021</v>
      </c>
      <c r="R3037" s="48">
        <f t="shared" ca="1" si="353"/>
        <v>0.3</v>
      </c>
      <c r="S3037">
        <f t="shared" ca="1" si="354"/>
        <v>183.29269445192122</v>
      </c>
      <c r="T3037" s="61">
        <f t="shared" ca="1" si="348"/>
        <v>14400</v>
      </c>
      <c r="U3037" s="61">
        <f t="shared" ca="1" si="349"/>
        <v>10643.908893075884</v>
      </c>
      <c r="V3037" s="39">
        <f t="shared" ca="1" si="350"/>
        <v>7.0025716401815027E-2</v>
      </c>
      <c r="W3037" s="48">
        <f t="shared" ca="1" si="351"/>
        <v>0.73148904103458245</v>
      </c>
    </row>
    <row r="3038" spans="17:23" x14ac:dyDescent="0.2">
      <c r="Q3038">
        <f t="shared" si="352"/>
        <v>3022</v>
      </c>
      <c r="R3038" s="48">
        <f t="shared" ca="1" si="353"/>
        <v>0.5</v>
      </c>
      <c r="S3038">
        <f t="shared" ca="1" si="354"/>
        <v>186.04756596652547</v>
      </c>
      <c r="T3038" s="61">
        <f t="shared" ca="1" si="348"/>
        <v>24000</v>
      </c>
      <c r="U3038" s="61">
        <f t="shared" ca="1" si="349"/>
        <v>22419.026386610189</v>
      </c>
      <c r="V3038" s="39">
        <f t="shared" ca="1" si="350"/>
        <v>0.14749359464875125</v>
      </c>
      <c r="W3038" s="48">
        <f t="shared" ca="1" si="351"/>
        <v>2.0523974258450859</v>
      </c>
    </row>
    <row r="3039" spans="17:23" x14ac:dyDescent="0.2">
      <c r="Q3039">
        <f t="shared" si="352"/>
        <v>3023</v>
      </c>
      <c r="R3039" s="48">
        <f t="shared" ca="1" si="353"/>
        <v>0.3</v>
      </c>
      <c r="S3039">
        <f t="shared" ca="1" si="354"/>
        <v>210.31710697120323</v>
      </c>
      <c r="T3039" s="61">
        <f t="shared" ca="1" si="348"/>
        <v>14400</v>
      </c>
      <c r="U3039" s="61">
        <f t="shared" ca="1" si="349"/>
        <v>25777.579903873811</v>
      </c>
      <c r="V3039" s="39">
        <f t="shared" ca="1" si="350"/>
        <v>0.16958934147285401</v>
      </c>
      <c r="W3039" s="48">
        <f t="shared" ca="1" si="351"/>
        <v>2.5630874535947656</v>
      </c>
    </row>
    <row r="3040" spans="17:23" x14ac:dyDescent="0.2">
      <c r="Q3040">
        <f t="shared" si="352"/>
        <v>3024</v>
      </c>
      <c r="R3040" s="48">
        <f t="shared" ca="1" si="353"/>
        <v>0.3</v>
      </c>
      <c r="S3040">
        <f t="shared" ca="1" si="354"/>
        <v>181.09642397131458</v>
      </c>
      <c r="T3040" s="61">
        <f t="shared" ca="1" si="348"/>
        <v>14400</v>
      </c>
      <c r="U3040" s="61">
        <f t="shared" ca="1" si="349"/>
        <v>9413.9974239361636</v>
      </c>
      <c r="V3040" s="39">
        <f t="shared" ca="1" si="350"/>
        <v>6.1934193578527391E-2</v>
      </c>
      <c r="W3040" s="48">
        <f t="shared" ca="1" si="351"/>
        <v>0.62809811718906139</v>
      </c>
    </row>
    <row r="3041" spans="17:23" x14ac:dyDescent="0.2">
      <c r="Q3041">
        <f t="shared" si="352"/>
        <v>3025</v>
      </c>
      <c r="R3041" s="48">
        <f t="shared" ca="1" si="353"/>
        <v>0.3</v>
      </c>
      <c r="S3041">
        <f t="shared" ca="1" si="354"/>
        <v>172.92305509735124</v>
      </c>
      <c r="T3041" s="61">
        <f t="shared" ca="1" si="348"/>
        <v>14400</v>
      </c>
      <c r="U3041" s="61">
        <f t="shared" ca="1" si="349"/>
        <v>4836.9108545166928</v>
      </c>
      <c r="V3041" s="39">
        <f t="shared" ca="1" si="350"/>
        <v>3.1821781937609823E-2</v>
      </c>
      <c r="W3041" s="48">
        <f t="shared" ca="1" si="351"/>
        <v>0.28928569995854447</v>
      </c>
    </row>
    <row r="3042" spans="17:23" x14ac:dyDescent="0.2">
      <c r="Q3042">
        <f t="shared" si="352"/>
        <v>3026</v>
      </c>
      <c r="R3042" s="48">
        <f t="shared" ca="1" si="353"/>
        <v>0.35</v>
      </c>
      <c r="S3042">
        <f t="shared" ca="1" si="354"/>
        <v>201.00425691532277</v>
      </c>
      <c r="T3042" s="61">
        <f t="shared" ca="1" si="348"/>
        <v>16800</v>
      </c>
      <c r="U3042" s="61">
        <f t="shared" ca="1" si="349"/>
        <v>22522.213595967842</v>
      </c>
      <c r="V3042" s="39">
        <f t="shared" ca="1" si="350"/>
        <v>0.14817245786820948</v>
      </c>
      <c r="W3042" s="48">
        <f t="shared" ca="1" si="351"/>
        <v>2.0670754335313535</v>
      </c>
    </row>
    <row r="3043" spans="17:23" x14ac:dyDescent="0.2">
      <c r="Q3043">
        <f t="shared" si="352"/>
        <v>3027</v>
      </c>
      <c r="R3043" s="48">
        <f t="shared" ca="1" si="353"/>
        <v>0.3</v>
      </c>
      <c r="S3043">
        <f t="shared" ca="1" si="354"/>
        <v>173.17968684927126</v>
      </c>
      <c r="T3043" s="61">
        <f t="shared" ca="1" si="348"/>
        <v>14400</v>
      </c>
      <c r="U3043" s="61">
        <f t="shared" ca="1" si="349"/>
        <v>4980.6246355919066</v>
      </c>
      <c r="V3043" s="39">
        <f t="shared" ca="1" si="350"/>
        <v>3.2767267339420439E-2</v>
      </c>
      <c r="W3043" s="48">
        <f t="shared" ca="1" si="351"/>
        <v>0.2988994968101355</v>
      </c>
    </row>
    <row r="3044" spans="17:23" x14ac:dyDescent="0.2">
      <c r="Q3044">
        <f t="shared" si="352"/>
        <v>3028</v>
      </c>
      <c r="R3044" s="48">
        <f t="shared" ca="1" si="353"/>
        <v>0.3</v>
      </c>
      <c r="S3044">
        <f t="shared" ca="1" si="354"/>
        <v>162.62227612769911</v>
      </c>
      <c r="T3044" s="61">
        <f t="shared" ca="1" si="348"/>
        <v>14400</v>
      </c>
      <c r="U3044" s="61">
        <f t="shared" ca="1" si="349"/>
        <v>-931.52536848849923</v>
      </c>
      <c r="V3044" s="39">
        <f t="shared" ca="1" si="350"/>
        <v>-6.1284563716348635E-3</v>
      </c>
      <c r="W3044" s="48">
        <f t="shared" ca="1" si="351"/>
        <v>-4.8638853662214876E-2</v>
      </c>
    </row>
    <row r="3045" spans="17:23" x14ac:dyDescent="0.2">
      <c r="Q3045">
        <f t="shared" si="352"/>
        <v>3029</v>
      </c>
      <c r="R3045" s="48">
        <f t="shared" ca="1" si="353"/>
        <v>0.4</v>
      </c>
      <c r="S3045">
        <f t="shared" ca="1" si="354"/>
        <v>218.10804453070449</v>
      </c>
      <c r="T3045" s="61">
        <f t="shared" ca="1" si="348"/>
        <v>19200</v>
      </c>
      <c r="U3045" s="61">
        <f t="shared" ca="1" si="349"/>
        <v>32691.861374738153</v>
      </c>
      <c r="V3045" s="39">
        <f t="shared" ca="1" si="350"/>
        <v>0.21507803536011944</v>
      </c>
      <c r="W3045" s="48">
        <f t="shared" ca="1" si="351"/>
        <v>3.8554985175055858</v>
      </c>
    </row>
    <row r="3046" spans="17:23" x14ac:dyDescent="0.2">
      <c r="Q3046">
        <f t="shared" si="352"/>
        <v>3030</v>
      </c>
      <c r="R3046" s="48">
        <f t="shared" ca="1" si="353"/>
        <v>0.35</v>
      </c>
      <c r="S3046">
        <f t="shared" ca="1" si="354"/>
        <v>227.13063182089951</v>
      </c>
      <c r="T3046" s="61">
        <f t="shared" ca="1" si="348"/>
        <v>16800</v>
      </c>
      <c r="U3046" s="61">
        <f t="shared" ca="1" si="349"/>
        <v>36107.928546867741</v>
      </c>
      <c r="V3046" s="39">
        <f t="shared" ca="1" si="350"/>
        <v>0.23755216149255093</v>
      </c>
      <c r="W3046" s="48">
        <f t="shared" ca="1" si="351"/>
        <v>4.6336899130946456</v>
      </c>
    </row>
    <row r="3047" spans="17:23" x14ac:dyDescent="0.2">
      <c r="Q3047">
        <f t="shared" si="352"/>
        <v>3031</v>
      </c>
      <c r="R3047" s="48">
        <f t="shared" ca="1" si="353"/>
        <v>0.3</v>
      </c>
      <c r="S3047">
        <f t="shared" ca="1" si="354"/>
        <v>189.50179491407653</v>
      </c>
      <c r="T3047" s="61">
        <f t="shared" ca="1" si="348"/>
        <v>14400</v>
      </c>
      <c r="U3047" s="61">
        <f t="shared" ca="1" si="349"/>
        <v>14121.005151882855</v>
      </c>
      <c r="V3047" s="39">
        <f t="shared" ca="1" si="350"/>
        <v>9.2901349683439841E-2</v>
      </c>
      <c r="W3047" s="48">
        <f t="shared" ca="1" si="351"/>
        <v>1.0555804185953392</v>
      </c>
    </row>
    <row r="3048" spans="17:23" x14ac:dyDescent="0.2">
      <c r="Q3048">
        <f t="shared" si="352"/>
        <v>3032</v>
      </c>
      <c r="R3048" s="48">
        <f t="shared" ca="1" si="353"/>
        <v>0.4</v>
      </c>
      <c r="S3048">
        <f t="shared" ca="1" si="354"/>
        <v>203.41562779801006</v>
      </c>
      <c r="T3048" s="61">
        <f t="shared" ca="1" si="348"/>
        <v>19200</v>
      </c>
      <c r="U3048" s="61">
        <f t="shared" ca="1" si="349"/>
        <v>25639.501343044831</v>
      </c>
      <c r="V3048" s="39">
        <f t="shared" ca="1" si="350"/>
        <v>0.16868092988845285</v>
      </c>
      <c r="W3048" s="48">
        <f t="shared" ca="1" si="351"/>
        <v>2.5407024586856854</v>
      </c>
    </row>
    <row r="3049" spans="17:23" x14ac:dyDescent="0.2">
      <c r="Q3049">
        <f t="shared" si="352"/>
        <v>3033</v>
      </c>
      <c r="R3049" s="48">
        <f t="shared" ca="1" si="353"/>
        <v>0.4</v>
      </c>
      <c r="S3049">
        <f t="shared" ca="1" si="354"/>
        <v>232.01904519950028</v>
      </c>
      <c r="T3049" s="61">
        <f t="shared" ca="1" si="348"/>
        <v>19200</v>
      </c>
      <c r="U3049" s="61">
        <f t="shared" ca="1" si="349"/>
        <v>39369.141695760132</v>
      </c>
      <c r="V3049" s="39">
        <f t="shared" ca="1" si="350"/>
        <v>0.25900751115631665</v>
      </c>
      <c r="W3049" s="48">
        <f t="shared" ca="1" si="351"/>
        <v>5.4765068112405233</v>
      </c>
    </row>
    <row r="3050" spans="17:23" x14ac:dyDescent="0.2">
      <c r="Q3050">
        <f t="shared" si="352"/>
        <v>3034</v>
      </c>
      <c r="R3050" s="48">
        <f t="shared" ca="1" si="353"/>
        <v>0.4</v>
      </c>
      <c r="S3050">
        <f t="shared" ca="1" si="354"/>
        <v>157.97813345679955</v>
      </c>
      <c r="T3050" s="61">
        <f t="shared" ca="1" si="348"/>
        <v>19200</v>
      </c>
      <c r="U3050" s="61">
        <f t="shared" ca="1" si="349"/>
        <v>3829.5040592637852</v>
      </c>
      <c r="V3050" s="39">
        <f t="shared" ca="1" si="350"/>
        <v>2.5194105653051219E-2</v>
      </c>
      <c r="W3050" s="48">
        <f t="shared" ca="1" si="351"/>
        <v>0.22362821390239818</v>
      </c>
    </row>
    <row r="3051" spans="17:23" x14ac:dyDescent="0.2">
      <c r="Q3051">
        <f t="shared" si="352"/>
        <v>3035</v>
      </c>
      <c r="R3051" s="48">
        <f t="shared" ca="1" si="353"/>
        <v>0.35</v>
      </c>
      <c r="S3051">
        <f t="shared" ca="1" si="354"/>
        <v>198.40166534001509</v>
      </c>
      <c r="T3051" s="61">
        <f t="shared" ca="1" si="348"/>
        <v>16800</v>
      </c>
      <c r="U3051" s="61">
        <f t="shared" ca="1" si="349"/>
        <v>21168.865976807843</v>
      </c>
      <c r="V3051" s="39">
        <f t="shared" ca="1" si="350"/>
        <v>0.1392688551105779</v>
      </c>
      <c r="W3051" s="48">
        <f t="shared" ca="1" si="351"/>
        <v>1.8793973625808156</v>
      </c>
    </row>
    <row r="3052" spans="17:23" x14ac:dyDescent="0.2">
      <c r="Q3052">
        <f t="shared" si="352"/>
        <v>3036</v>
      </c>
      <c r="R3052" s="48">
        <f t="shared" ca="1" si="353"/>
        <v>0.3</v>
      </c>
      <c r="S3052">
        <f t="shared" ca="1" si="354"/>
        <v>196.48441571724857</v>
      </c>
      <c r="T3052" s="61">
        <f t="shared" ca="1" si="348"/>
        <v>14400</v>
      </c>
      <c r="U3052" s="61">
        <f t="shared" ca="1" si="349"/>
        <v>18031.272801659197</v>
      </c>
      <c r="V3052" s="39">
        <f t="shared" ca="1" si="350"/>
        <v>0.11862679474775788</v>
      </c>
      <c r="W3052" s="48">
        <f t="shared" ca="1" si="351"/>
        <v>1.4825111724833295</v>
      </c>
    </row>
    <row r="3053" spans="17:23" x14ac:dyDescent="0.2">
      <c r="Q3053">
        <f t="shared" si="352"/>
        <v>3037</v>
      </c>
      <c r="R3053" s="48">
        <f t="shared" ca="1" si="353"/>
        <v>0.5</v>
      </c>
      <c r="S3053">
        <f t="shared" ca="1" si="354"/>
        <v>175.83514511001673</v>
      </c>
      <c r="T3053" s="61">
        <f t="shared" ca="1" si="348"/>
        <v>24000</v>
      </c>
      <c r="U3053" s="61">
        <f t="shared" ca="1" si="349"/>
        <v>18334.058044006691</v>
      </c>
      <c r="V3053" s="39">
        <f t="shared" ca="1" si="350"/>
        <v>0.12061880292109665</v>
      </c>
      <c r="W3053" s="48">
        <f t="shared" ca="1" si="351"/>
        <v>1.5185963216270153</v>
      </c>
    </row>
    <row r="3054" spans="17:23" x14ac:dyDescent="0.2">
      <c r="Q3054">
        <f t="shared" si="352"/>
        <v>3038</v>
      </c>
      <c r="R3054" s="48">
        <f t="shared" ca="1" si="353"/>
        <v>0.4</v>
      </c>
      <c r="S3054">
        <f t="shared" ca="1" si="354"/>
        <v>174.44126694318885</v>
      </c>
      <c r="T3054" s="61">
        <f t="shared" ca="1" si="348"/>
        <v>19200</v>
      </c>
      <c r="U3054" s="61">
        <f t="shared" ca="1" si="349"/>
        <v>11731.808132730648</v>
      </c>
      <c r="V3054" s="39">
        <f t="shared" ca="1" si="350"/>
        <v>7.7182948241649008E-2</v>
      </c>
      <c r="W3054" s="48">
        <f t="shared" ca="1" si="351"/>
        <v>0.82769396720142963</v>
      </c>
    </row>
    <row r="3055" spans="17:23" x14ac:dyDescent="0.2">
      <c r="Q3055">
        <f t="shared" si="352"/>
        <v>3039</v>
      </c>
      <c r="R3055" s="48">
        <f t="shared" ca="1" si="353"/>
        <v>0.3</v>
      </c>
      <c r="S3055">
        <f t="shared" ca="1" si="354"/>
        <v>227.30006931586991</v>
      </c>
      <c r="T3055" s="61">
        <f t="shared" ca="1" si="348"/>
        <v>14400</v>
      </c>
      <c r="U3055" s="61">
        <f t="shared" ca="1" si="349"/>
        <v>35288.038816887143</v>
      </c>
      <c r="V3055" s="39">
        <f t="shared" ca="1" si="350"/>
        <v>0.23215815011109964</v>
      </c>
      <c r="W3055" s="48">
        <f t="shared" ca="1" si="351"/>
        <v>4.4375802892297642</v>
      </c>
    </row>
    <row r="3056" spans="17:23" x14ac:dyDescent="0.2">
      <c r="Q3056">
        <f t="shared" si="352"/>
        <v>3040</v>
      </c>
      <c r="R3056" s="48">
        <f t="shared" ca="1" si="353"/>
        <v>0.217</v>
      </c>
      <c r="S3056">
        <f t="shared" ca="1" si="354"/>
        <v>189.72811661596427</v>
      </c>
      <c r="T3056" s="61">
        <f t="shared" ca="1" si="348"/>
        <v>10416</v>
      </c>
      <c r="U3056" s="61">
        <f t="shared" ca="1" si="349"/>
        <v>10245.692248240017</v>
      </c>
      <c r="V3056" s="39">
        <f t="shared" ca="1" si="350"/>
        <v>6.7405870054210643E-2</v>
      </c>
      <c r="W3056" s="48">
        <f t="shared" ca="1" si="351"/>
        <v>0.69740089334976885</v>
      </c>
    </row>
    <row r="3057" spans="17:23" x14ac:dyDescent="0.2">
      <c r="Q3057">
        <f t="shared" si="352"/>
        <v>3041</v>
      </c>
      <c r="R3057" s="48">
        <f t="shared" ca="1" si="353"/>
        <v>0.3</v>
      </c>
      <c r="S3057">
        <f t="shared" ca="1" si="354"/>
        <v>201.96513652957299</v>
      </c>
      <c r="T3057" s="61">
        <f t="shared" ca="1" si="348"/>
        <v>14400</v>
      </c>
      <c r="U3057" s="61">
        <f t="shared" ca="1" si="349"/>
        <v>21100.476456560871</v>
      </c>
      <c r="V3057" s="39">
        <f t="shared" ca="1" si="350"/>
        <v>0.13881892405632151</v>
      </c>
      <c r="W3057" s="48">
        <f t="shared" ca="1" si="351"/>
        <v>1.8701866776626037</v>
      </c>
    </row>
    <row r="3058" spans="17:23" x14ac:dyDescent="0.2">
      <c r="Q3058">
        <f t="shared" si="352"/>
        <v>3042</v>
      </c>
      <c r="R3058" s="48">
        <f t="shared" ca="1" si="353"/>
        <v>0.3</v>
      </c>
      <c r="S3058">
        <f t="shared" ca="1" si="354"/>
        <v>175.60288749802686</v>
      </c>
      <c r="T3058" s="61">
        <f t="shared" ca="1" si="348"/>
        <v>14400</v>
      </c>
      <c r="U3058" s="61">
        <f t="shared" ca="1" si="349"/>
        <v>6337.6169988950414</v>
      </c>
      <c r="V3058" s="39">
        <f t="shared" ca="1" si="350"/>
        <v>4.1694848676941065E-2</v>
      </c>
      <c r="W3058" s="48">
        <f t="shared" ca="1" si="351"/>
        <v>0.39282098242635577</v>
      </c>
    </row>
    <row r="3059" spans="17:23" x14ac:dyDescent="0.2">
      <c r="Q3059">
        <f t="shared" si="352"/>
        <v>3043</v>
      </c>
      <c r="R3059" s="48">
        <f t="shared" ca="1" si="353"/>
        <v>0.4</v>
      </c>
      <c r="S3059">
        <f t="shared" ca="1" si="354"/>
        <v>206.54357340769829</v>
      </c>
      <c r="T3059" s="61">
        <f t="shared" ca="1" si="348"/>
        <v>19200</v>
      </c>
      <c r="U3059" s="61">
        <f t="shared" ca="1" si="349"/>
        <v>27140.915235695178</v>
      </c>
      <c r="V3059" s="39">
        <f t="shared" ca="1" si="350"/>
        <v>0.17855865286641565</v>
      </c>
      <c r="W3059" s="48">
        <f t="shared" ca="1" si="351"/>
        <v>2.790858005169242</v>
      </c>
    </row>
    <row r="3060" spans="17:23" x14ac:dyDescent="0.2">
      <c r="Q3060">
        <f t="shared" si="352"/>
        <v>3044</v>
      </c>
      <c r="R3060" s="48">
        <f t="shared" ca="1" si="353"/>
        <v>0.3</v>
      </c>
      <c r="S3060">
        <f t="shared" ca="1" si="354"/>
        <v>201.44392719348073</v>
      </c>
      <c r="T3060" s="61">
        <f t="shared" ca="1" si="348"/>
        <v>14400</v>
      </c>
      <c r="U3060" s="61">
        <f t="shared" ca="1" si="349"/>
        <v>20808.599228349209</v>
      </c>
      <c r="V3060" s="39">
        <f t="shared" ca="1" si="350"/>
        <v>0.13689867913387638</v>
      </c>
      <c r="W3060" s="48">
        <f t="shared" ca="1" si="351"/>
        <v>1.8311664436411372</v>
      </c>
    </row>
    <row r="3061" spans="17:23" x14ac:dyDescent="0.2">
      <c r="Q3061">
        <f t="shared" si="352"/>
        <v>3045</v>
      </c>
      <c r="R3061" s="48">
        <f t="shared" ca="1" si="353"/>
        <v>0.35</v>
      </c>
      <c r="S3061">
        <f t="shared" ca="1" si="354"/>
        <v>153.24206444315962</v>
      </c>
      <c r="T3061" s="61">
        <f t="shared" ca="1" si="348"/>
        <v>16800</v>
      </c>
      <c r="U3061" s="61">
        <f t="shared" ca="1" si="349"/>
        <v>-2314.1264895569984</v>
      </c>
      <c r="V3061" s="39">
        <f t="shared" ca="1" si="350"/>
        <v>-1.5224516378664463E-2</v>
      </c>
      <c r="W3061" s="48">
        <f t="shared" ca="1" si="351"/>
        <v>-0.11700647886859405</v>
      </c>
    </row>
    <row r="3062" spans="17:23" x14ac:dyDescent="0.2">
      <c r="Q3062">
        <f t="shared" si="352"/>
        <v>3046</v>
      </c>
      <c r="R3062" s="48">
        <f t="shared" ca="1" si="353"/>
        <v>0.3</v>
      </c>
      <c r="S3062">
        <f t="shared" ca="1" si="354"/>
        <v>172.91978927325522</v>
      </c>
      <c r="T3062" s="61">
        <f t="shared" ca="1" si="348"/>
        <v>14400</v>
      </c>
      <c r="U3062" s="61">
        <f t="shared" ca="1" si="349"/>
        <v>4835.0819930229227</v>
      </c>
      <c r="V3062" s="39">
        <f t="shared" ca="1" si="350"/>
        <v>3.1809749954098174E-2</v>
      </c>
      <c r="W3062" s="48">
        <f t="shared" ca="1" si="351"/>
        <v>0.28916376056054838</v>
      </c>
    </row>
    <row r="3063" spans="17:23" x14ac:dyDescent="0.2">
      <c r="Q3063">
        <f t="shared" si="352"/>
        <v>3047</v>
      </c>
      <c r="R3063" s="48">
        <f t="shared" ca="1" si="353"/>
        <v>0.3</v>
      </c>
      <c r="S3063">
        <f t="shared" ca="1" si="354"/>
        <v>170.24765992839019</v>
      </c>
      <c r="T3063" s="61">
        <f t="shared" ca="1" si="348"/>
        <v>14400</v>
      </c>
      <c r="U3063" s="61">
        <f t="shared" ca="1" si="349"/>
        <v>3338.6895598985066</v>
      </c>
      <c r="V3063" s="39">
        <f t="shared" ca="1" si="350"/>
        <v>2.1965062894069121E-2</v>
      </c>
      <c r="W3063" s="48">
        <f t="shared" ca="1" si="351"/>
        <v>0.19271544535377672</v>
      </c>
    </row>
    <row r="3064" spans="17:23" x14ac:dyDescent="0.2">
      <c r="Q3064">
        <f t="shared" si="352"/>
        <v>3048</v>
      </c>
      <c r="R3064" s="48">
        <f t="shared" ca="1" si="353"/>
        <v>0.4</v>
      </c>
      <c r="S3064">
        <f t="shared" ca="1" si="354"/>
        <v>187.9217193085035</v>
      </c>
      <c r="T3064" s="61">
        <f t="shared" ca="1" si="348"/>
        <v>19200</v>
      </c>
      <c r="U3064" s="61">
        <f t="shared" ca="1" si="349"/>
        <v>18202.425268081679</v>
      </c>
      <c r="V3064" s="39">
        <f t="shared" ca="1" si="350"/>
        <v>0.11975279781632683</v>
      </c>
      <c r="W3064" s="48">
        <f t="shared" ca="1" si="351"/>
        <v>1.5028525642362163</v>
      </c>
    </row>
    <row r="3065" spans="17:23" x14ac:dyDescent="0.2">
      <c r="Q3065">
        <f t="shared" si="352"/>
        <v>3049</v>
      </c>
      <c r="R3065" s="48">
        <f t="shared" ca="1" si="353"/>
        <v>0.4</v>
      </c>
      <c r="S3065">
        <f t="shared" ca="1" si="354"/>
        <v>176.52866018807055</v>
      </c>
      <c r="T3065" s="61">
        <f t="shared" ref="T3065:T3128" ca="1" si="355">($B$8-$B$7)*($E$6*R3065)</f>
        <v>19200</v>
      </c>
      <c r="U3065" s="61">
        <f t="shared" ref="U3065:U3128" ca="1" si="356">T3065+((S3065-$B$7)*($E$6*(1-R3065)))</f>
        <v>12733.756890273862</v>
      </c>
      <c r="V3065" s="39">
        <f t="shared" ref="V3065:V3128" ca="1" si="357">U3065/$E$4</f>
        <v>8.3774716383380674E-2</v>
      </c>
      <c r="W3065" s="48">
        <f t="shared" ref="W3065:W3128" ca="1" si="358">(1+V3065)^($J$29/$J$30)-1</f>
        <v>0.92041121320997399</v>
      </c>
    </row>
    <row r="3066" spans="17:23" x14ac:dyDescent="0.2">
      <c r="Q3066">
        <f t="shared" si="352"/>
        <v>3050</v>
      </c>
      <c r="R3066" s="48">
        <f t="shared" ca="1" si="353"/>
        <v>0.3</v>
      </c>
      <c r="S3066">
        <f t="shared" ca="1" si="354"/>
        <v>206.9864406884985</v>
      </c>
      <c r="T3066" s="61">
        <f t="shared" ca="1" si="355"/>
        <v>14400</v>
      </c>
      <c r="U3066" s="61">
        <f t="shared" ca="1" si="356"/>
        <v>23912.406785559164</v>
      </c>
      <c r="V3066" s="39">
        <f t="shared" ca="1" si="357"/>
        <v>0.1573184656944682</v>
      </c>
      <c r="W3066" s="48">
        <f t="shared" ca="1" si="358"/>
        <v>2.2709460502872636</v>
      </c>
    </row>
    <row r="3067" spans="17:23" x14ac:dyDescent="0.2">
      <c r="Q3067">
        <f t="shared" si="352"/>
        <v>3051</v>
      </c>
      <c r="R3067" s="48">
        <f t="shared" ca="1" si="353"/>
        <v>0.4</v>
      </c>
      <c r="S3067">
        <f t="shared" ca="1" si="354"/>
        <v>182.49807995318432</v>
      </c>
      <c r="T3067" s="61">
        <f t="shared" ca="1" si="355"/>
        <v>19200</v>
      </c>
      <c r="U3067" s="61">
        <f t="shared" ca="1" si="356"/>
        <v>15599.078377528473</v>
      </c>
      <c r="V3067" s="39">
        <f t="shared" ca="1" si="357"/>
        <v>0.10262551564163469</v>
      </c>
      <c r="W3067" s="48">
        <f t="shared" ca="1" si="358"/>
        <v>1.2087091581554228</v>
      </c>
    </row>
    <row r="3068" spans="17:23" x14ac:dyDescent="0.2">
      <c r="Q3068">
        <f t="shared" si="352"/>
        <v>3052</v>
      </c>
      <c r="R3068" s="48">
        <f t="shared" ca="1" si="353"/>
        <v>0.4</v>
      </c>
      <c r="S3068">
        <f t="shared" ca="1" si="354"/>
        <v>181.55922122116186</v>
      </c>
      <c r="T3068" s="61">
        <f t="shared" ca="1" si="355"/>
        <v>19200</v>
      </c>
      <c r="U3068" s="61">
        <f t="shared" ca="1" si="356"/>
        <v>15148.426186157694</v>
      </c>
      <c r="V3068" s="39">
        <f t="shared" ca="1" si="357"/>
        <v>9.9660698593142721E-2</v>
      </c>
      <c r="W3068" s="48">
        <f t="shared" ca="1" si="358"/>
        <v>1.1609958411124377</v>
      </c>
    </row>
    <row r="3069" spans="17:23" x14ac:dyDescent="0.2">
      <c r="Q3069">
        <f t="shared" si="352"/>
        <v>3053</v>
      </c>
      <c r="R3069" s="48">
        <f t="shared" ca="1" si="353"/>
        <v>0.3</v>
      </c>
      <c r="S3069">
        <f t="shared" ca="1" si="354"/>
        <v>149.93661516851594</v>
      </c>
      <c r="T3069" s="61">
        <f t="shared" ca="1" si="355"/>
        <v>14400</v>
      </c>
      <c r="U3069" s="61">
        <f t="shared" ca="1" si="356"/>
        <v>-8035.4955056310719</v>
      </c>
      <c r="V3069" s="39">
        <f t="shared" ca="1" si="357"/>
        <v>-5.2865102010730733E-2</v>
      </c>
      <c r="W3069" s="48">
        <f t="shared" ca="1" si="358"/>
        <v>-0.35631438445478969</v>
      </c>
    </row>
    <row r="3070" spans="17:23" x14ac:dyDescent="0.2">
      <c r="Q3070">
        <f t="shared" si="352"/>
        <v>3054</v>
      </c>
      <c r="R3070" s="48">
        <f t="shared" ca="1" si="353"/>
        <v>0.3</v>
      </c>
      <c r="S3070">
        <f t="shared" ca="1" si="354"/>
        <v>183.52799255907755</v>
      </c>
      <c r="T3070" s="61">
        <f t="shared" ca="1" si="355"/>
        <v>14400</v>
      </c>
      <c r="U3070" s="61">
        <f t="shared" ca="1" si="356"/>
        <v>10775.675833083425</v>
      </c>
      <c r="V3070" s="39">
        <f t="shared" ca="1" si="357"/>
        <v>7.0892604165022535E-2</v>
      </c>
      <c r="W3070" s="48">
        <f t="shared" ca="1" si="358"/>
        <v>0.74289994437197282</v>
      </c>
    </row>
    <row r="3071" spans="17:23" x14ac:dyDescent="0.2">
      <c r="Q3071">
        <f t="shared" si="352"/>
        <v>3055</v>
      </c>
      <c r="R3071" s="48">
        <f t="shared" ca="1" si="353"/>
        <v>0.35</v>
      </c>
      <c r="S3071">
        <f t="shared" ca="1" si="354"/>
        <v>188.71935927171157</v>
      </c>
      <c r="T3071" s="61">
        <f t="shared" ca="1" si="355"/>
        <v>16800</v>
      </c>
      <c r="U3071" s="61">
        <f t="shared" ca="1" si="356"/>
        <v>16134.066821290015</v>
      </c>
      <c r="V3071" s="39">
        <f t="shared" ca="1" si="357"/>
        <v>0.10614517645585536</v>
      </c>
      <c r="W3071" s="48">
        <f t="shared" ca="1" si="358"/>
        <v>1.2665486914964896</v>
      </c>
    </row>
    <row r="3072" spans="17:23" x14ac:dyDescent="0.2">
      <c r="Q3072">
        <f t="shared" si="352"/>
        <v>3056</v>
      </c>
      <c r="R3072" s="48">
        <f t="shared" ca="1" si="353"/>
        <v>0.3</v>
      </c>
      <c r="S3072">
        <f t="shared" ca="1" si="354"/>
        <v>199.19583250202137</v>
      </c>
      <c r="T3072" s="61">
        <f t="shared" ca="1" si="355"/>
        <v>14400</v>
      </c>
      <c r="U3072" s="61">
        <f t="shared" ca="1" si="356"/>
        <v>19549.666201131971</v>
      </c>
      <c r="V3072" s="39">
        <f t="shared" ca="1" si="357"/>
        <v>0.12861622500744718</v>
      </c>
      <c r="W3072" s="48">
        <f t="shared" ca="1" si="358"/>
        <v>1.668141094316931</v>
      </c>
    </row>
    <row r="3073" spans="17:23" x14ac:dyDescent="0.2">
      <c r="Q3073">
        <f t="shared" si="352"/>
        <v>3057</v>
      </c>
      <c r="R3073" s="48">
        <f t="shared" ca="1" si="353"/>
        <v>0.3</v>
      </c>
      <c r="S3073">
        <f t="shared" ca="1" si="354"/>
        <v>213.79982702274123</v>
      </c>
      <c r="T3073" s="61">
        <f t="shared" ca="1" si="355"/>
        <v>14400</v>
      </c>
      <c r="U3073" s="61">
        <f t="shared" ca="1" si="356"/>
        <v>27727.903132735086</v>
      </c>
      <c r="V3073" s="39">
        <f t="shared" ca="1" si="357"/>
        <v>0.18242041534694137</v>
      </c>
      <c r="W3073" s="48">
        <f t="shared" ca="1" si="358"/>
        <v>2.8927913363316549</v>
      </c>
    </row>
    <row r="3074" spans="17:23" x14ac:dyDescent="0.2">
      <c r="Q3074">
        <f t="shared" si="352"/>
        <v>3058</v>
      </c>
      <c r="R3074" s="48">
        <f t="shared" ca="1" si="353"/>
        <v>0.45</v>
      </c>
      <c r="S3074">
        <f t="shared" ca="1" si="354"/>
        <v>191.82386550440114</v>
      </c>
      <c r="T3074" s="61">
        <f t="shared" ca="1" si="355"/>
        <v>21600</v>
      </c>
      <c r="U3074" s="61">
        <f t="shared" ca="1" si="356"/>
        <v>22402.500821936501</v>
      </c>
      <c r="V3074" s="39">
        <f t="shared" ca="1" si="357"/>
        <v>0.14738487382852961</v>
      </c>
      <c r="W3074" s="48">
        <f t="shared" ca="1" si="358"/>
        <v>2.0500524542858507</v>
      </c>
    </row>
    <row r="3075" spans="17:23" x14ac:dyDescent="0.2">
      <c r="Q3075">
        <f t="shared" si="352"/>
        <v>3059</v>
      </c>
      <c r="R3075" s="48">
        <f t="shared" ca="1" si="353"/>
        <v>0.4</v>
      </c>
      <c r="S3075">
        <f t="shared" ca="1" si="354"/>
        <v>187.15611266086387</v>
      </c>
      <c r="T3075" s="61">
        <f t="shared" ca="1" si="355"/>
        <v>19200</v>
      </c>
      <c r="U3075" s="61">
        <f t="shared" ca="1" si="356"/>
        <v>17834.934077214657</v>
      </c>
      <c r="V3075" s="39">
        <f t="shared" ca="1" si="357"/>
        <v>0.11733509261325432</v>
      </c>
      <c r="W3075" s="48">
        <f t="shared" ca="1" si="358"/>
        <v>1.4593550315393538</v>
      </c>
    </row>
    <row r="3076" spans="17:23" x14ac:dyDescent="0.2">
      <c r="Q3076">
        <f t="shared" si="352"/>
        <v>3060</v>
      </c>
      <c r="R3076" s="48">
        <f t="shared" ca="1" si="353"/>
        <v>0.35</v>
      </c>
      <c r="S3076">
        <f t="shared" ca="1" si="354"/>
        <v>230.70233505135246</v>
      </c>
      <c r="T3076" s="61">
        <f t="shared" ca="1" si="355"/>
        <v>16800</v>
      </c>
      <c r="U3076" s="61">
        <f t="shared" ca="1" si="356"/>
        <v>37965.214226703276</v>
      </c>
      <c r="V3076" s="39">
        <f t="shared" ca="1" si="357"/>
        <v>0.24977114622831104</v>
      </c>
      <c r="W3076" s="48">
        <f t="shared" ca="1" si="358"/>
        <v>5.1010262564123634</v>
      </c>
    </row>
    <row r="3077" spans="17:23" x14ac:dyDescent="0.2">
      <c r="Q3077">
        <f t="shared" si="352"/>
        <v>3061</v>
      </c>
      <c r="R3077" s="48">
        <f t="shared" ca="1" si="353"/>
        <v>0.15</v>
      </c>
      <c r="S3077">
        <f t="shared" ca="1" si="354"/>
        <v>160.48202040060889</v>
      </c>
      <c r="T3077" s="61">
        <f t="shared" ca="1" si="355"/>
        <v>7200</v>
      </c>
      <c r="U3077" s="61">
        <f t="shared" ca="1" si="356"/>
        <v>-12872.226127585956</v>
      </c>
      <c r="V3077" s="39">
        <f t="shared" ca="1" si="357"/>
        <v>-8.4685698207802348E-2</v>
      </c>
      <c r="W3077" s="48">
        <f t="shared" ca="1" si="358"/>
        <v>-0.51214359209752469</v>
      </c>
    </row>
    <row r="3078" spans="17:23" x14ac:dyDescent="0.2">
      <c r="Q3078">
        <f t="shared" si="352"/>
        <v>3062</v>
      </c>
      <c r="R3078" s="48">
        <f t="shared" ca="1" si="353"/>
        <v>0.35</v>
      </c>
      <c r="S3078">
        <f t="shared" ca="1" si="354"/>
        <v>155.72052309169288</v>
      </c>
      <c r="T3078" s="61">
        <f t="shared" ca="1" si="355"/>
        <v>16800</v>
      </c>
      <c r="U3078" s="61">
        <f t="shared" ca="1" si="356"/>
        <v>-1025.3279923197006</v>
      </c>
      <c r="V3078" s="39">
        <f t="shared" ca="1" si="357"/>
        <v>-6.7455788968401355E-3</v>
      </c>
      <c r="W3078" s="48">
        <f t="shared" ca="1" si="358"/>
        <v>-5.3419738116664006E-2</v>
      </c>
    </row>
    <row r="3079" spans="17:23" x14ac:dyDescent="0.2">
      <c r="Q3079">
        <f t="shared" si="352"/>
        <v>3063</v>
      </c>
      <c r="R3079" s="48">
        <f t="shared" ca="1" si="353"/>
        <v>0.15</v>
      </c>
      <c r="S3079">
        <f t="shared" ca="1" si="354"/>
        <v>195.17210847406503</v>
      </c>
      <c r="T3079" s="61">
        <f t="shared" ca="1" si="355"/>
        <v>7200</v>
      </c>
      <c r="U3079" s="61">
        <f t="shared" ca="1" si="356"/>
        <v>10717.033762364219</v>
      </c>
      <c r="V3079" s="39">
        <f t="shared" ca="1" si="357"/>
        <v>7.0506801068185646E-2</v>
      </c>
      <c r="W3079" s="48">
        <f t="shared" ca="1" si="358"/>
        <v>0.73781347603175029</v>
      </c>
    </row>
    <row r="3080" spans="17:23" x14ac:dyDescent="0.2">
      <c r="Q3080">
        <f t="shared" si="352"/>
        <v>3064</v>
      </c>
      <c r="R3080" s="48">
        <f t="shared" ca="1" si="353"/>
        <v>0.5</v>
      </c>
      <c r="S3080">
        <f t="shared" ca="1" si="354"/>
        <v>173.43980979564316</v>
      </c>
      <c r="T3080" s="61">
        <f t="shared" ca="1" si="355"/>
        <v>24000</v>
      </c>
      <c r="U3080" s="61">
        <f t="shared" ca="1" si="356"/>
        <v>17375.923918257264</v>
      </c>
      <c r="V3080" s="39">
        <f t="shared" ca="1" si="357"/>
        <v>0.11431528893590305</v>
      </c>
      <c r="W3080" s="48">
        <f t="shared" ca="1" si="358"/>
        <v>1.4059568564766711</v>
      </c>
    </row>
    <row r="3081" spans="17:23" x14ac:dyDescent="0.2">
      <c r="Q3081">
        <f t="shared" si="352"/>
        <v>3065</v>
      </c>
      <c r="R3081" s="48">
        <f t="shared" ca="1" si="353"/>
        <v>0.35</v>
      </c>
      <c r="S3081">
        <f t="shared" ca="1" si="354"/>
        <v>240.55140859867208</v>
      </c>
      <c r="T3081" s="61">
        <f t="shared" ca="1" si="355"/>
        <v>16800</v>
      </c>
      <c r="U3081" s="61">
        <f t="shared" ca="1" si="356"/>
        <v>43086.732471309486</v>
      </c>
      <c r="V3081" s="39">
        <f t="shared" ca="1" si="357"/>
        <v>0.28346534520598343</v>
      </c>
      <c r="W3081" s="48">
        <f t="shared" ca="1" si="358"/>
        <v>6.5703482335987777</v>
      </c>
    </row>
    <row r="3082" spans="17:23" x14ac:dyDescent="0.2">
      <c r="Q3082">
        <f t="shared" si="352"/>
        <v>3066</v>
      </c>
      <c r="R3082" s="48">
        <f t="shared" ca="1" si="353"/>
        <v>0.45</v>
      </c>
      <c r="S3082">
        <f t="shared" ca="1" si="354"/>
        <v>189.34876761503395</v>
      </c>
      <c r="T3082" s="61">
        <f t="shared" ca="1" si="355"/>
        <v>21600</v>
      </c>
      <c r="U3082" s="61">
        <f t="shared" ca="1" si="356"/>
        <v>21313.457750614936</v>
      </c>
      <c r="V3082" s="39">
        <f t="shared" ca="1" si="357"/>
        <v>0.14022011678036142</v>
      </c>
      <c r="W3082" s="48">
        <f t="shared" ca="1" si="358"/>
        <v>1.8989563036833306</v>
      </c>
    </row>
    <row r="3083" spans="17:23" x14ac:dyDescent="0.2">
      <c r="Q3083">
        <f t="shared" si="352"/>
        <v>3067</v>
      </c>
      <c r="R3083" s="48">
        <f t="shared" ca="1" si="353"/>
        <v>0.35</v>
      </c>
      <c r="S3083">
        <f t="shared" ca="1" si="354"/>
        <v>194.12020960243549</v>
      </c>
      <c r="T3083" s="61">
        <f t="shared" ca="1" si="355"/>
        <v>16800</v>
      </c>
      <c r="U3083" s="61">
        <f t="shared" ca="1" si="356"/>
        <v>18942.508993266456</v>
      </c>
      <c r="V3083" s="39">
        <f t="shared" ca="1" si="357"/>
        <v>0.12462176969254248</v>
      </c>
      <c r="W3083" s="48">
        <f t="shared" ca="1" si="358"/>
        <v>1.5925030481409421</v>
      </c>
    </row>
    <row r="3084" spans="17:23" x14ac:dyDescent="0.2">
      <c r="Q3084">
        <f t="shared" si="352"/>
        <v>3068</v>
      </c>
      <c r="R3084" s="48">
        <f t="shared" ca="1" si="353"/>
        <v>0.4</v>
      </c>
      <c r="S3084">
        <f t="shared" ca="1" si="354"/>
        <v>192.75941285883897</v>
      </c>
      <c r="T3084" s="61">
        <f t="shared" ca="1" si="355"/>
        <v>19200</v>
      </c>
      <c r="U3084" s="61">
        <f t="shared" ca="1" si="356"/>
        <v>20524.518172242708</v>
      </c>
      <c r="V3084" s="39">
        <f t="shared" ca="1" si="357"/>
        <v>0.13502972481738623</v>
      </c>
      <c r="W3084" s="48">
        <f t="shared" ca="1" si="358"/>
        <v>1.7936358606123961</v>
      </c>
    </row>
    <row r="3085" spans="17:23" x14ac:dyDescent="0.2">
      <c r="Q3085">
        <f t="shared" si="352"/>
        <v>3069</v>
      </c>
      <c r="R3085" s="48">
        <f t="shared" ca="1" si="353"/>
        <v>0.35</v>
      </c>
      <c r="S3085">
        <f t="shared" ca="1" si="354"/>
        <v>181.21123505086462</v>
      </c>
      <c r="T3085" s="61">
        <f t="shared" ca="1" si="355"/>
        <v>16800</v>
      </c>
      <c r="U3085" s="61">
        <f t="shared" ca="1" si="356"/>
        <v>12229.8422264496</v>
      </c>
      <c r="V3085" s="39">
        <f t="shared" ca="1" si="357"/>
        <v>8.0459488331905263E-2</v>
      </c>
      <c r="W3085" s="48">
        <f t="shared" ca="1" si="358"/>
        <v>0.87327776452265726</v>
      </c>
    </row>
    <row r="3086" spans="17:23" x14ac:dyDescent="0.2">
      <c r="Q3086">
        <f t="shared" si="352"/>
        <v>3070</v>
      </c>
      <c r="R3086" s="48">
        <f t="shared" ca="1" si="353"/>
        <v>0.3</v>
      </c>
      <c r="S3086">
        <f t="shared" ca="1" si="354"/>
        <v>225.06354147960349</v>
      </c>
      <c r="T3086" s="61">
        <f t="shared" ca="1" si="355"/>
        <v>14400</v>
      </c>
      <c r="U3086" s="61">
        <f t="shared" ca="1" si="356"/>
        <v>34035.583228577954</v>
      </c>
      <c r="V3086" s="39">
        <f t="shared" ca="1" si="357"/>
        <v>0.22391831071432863</v>
      </c>
      <c r="W3086" s="48">
        <f t="shared" ca="1" si="358"/>
        <v>4.1495553179602904</v>
      </c>
    </row>
    <row r="3087" spans="17:23" x14ac:dyDescent="0.2">
      <c r="Q3087">
        <f t="shared" si="352"/>
        <v>3071</v>
      </c>
      <c r="R3087" s="48">
        <f t="shared" ca="1" si="353"/>
        <v>0.45</v>
      </c>
      <c r="S3087">
        <f t="shared" ca="1" si="354"/>
        <v>173.92904211091167</v>
      </c>
      <c r="T3087" s="61">
        <f t="shared" ca="1" si="355"/>
        <v>21600</v>
      </c>
      <c r="U3087" s="61">
        <f t="shared" ca="1" si="356"/>
        <v>14528.778528801133</v>
      </c>
      <c r="V3087" s="39">
        <f t="shared" ca="1" si="357"/>
        <v>9.5584069268428509E-2</v>
      </c>
      <c r="W3087" s="48">
        <f t="shared" ca="1" si="358"/>
        <v>1.0968663371822021</v>
      </c>
    </row>
    <row r="3088" spans="17:23" x14ac:dyDescent="0.2">
      <c r="Q3088">
        <f t="shared" si="352"/>
        <v>3072</v>
      </c>
      <c r="R3088" s="48">
        <f t="shared" ca="1" si="353"/>
        <v>0.35</v>
      </c>
      <c r="S3088">
        <f t="shared" ca="1" si="354"/>
        <v>171.16620662602162</v>
      </c>
      <c r="T3088" s="61">
        <f t="shared" ca="1" si="355"/>
        <v>16800</v>
      </c>
      <c r="U3088" s="61">
        <f t="shared" ca="1" si="356"/>
        <v>7006.4274455312425</v>
      </c>
      <c r="V3088" s="39">
        <f t="shared" ca="1" si="357"/>
        <v>4.6094917404810809E-2</v>
      </c>
      <c r="W3088" s="48">
        <f t="shared" ca="1" si="358"/>
        <v>0.44126321356921583</v>
      </c>
    </row>
    <row r="3089" spans="17:23" x14ac:dyDescent="0.2">
      <c r="Q3089">
        <f t="shared" si="352"/>
        <v>3073</v>
      </c>
      <c r="R3089" s="48">
        <f t="shared" ca="1" si="353"/>
        <v>0.35</v>
      </c>
      <c r="S3089">
        <f t="shared" ca="1" si="354"/>
        <v>158.60731984432937</v>
      </c>
      <c r="T3089" s="61">
        <f t="shared" ca="1" si="355"/>
        <v>16800</v>
      </c>
      <c r="U3089" s="61">
        <f t="shared" ca="1" si="356"/>
        <v>475.8063190512712</v>
      </c>
      <c r="V3089" s="39">
        <f t="shared" ca="1" si="357"/>
        <v>3.1303047306004686E-3</v>
      </c>
      <c r="W3089" s="48">
        <f t="shared" ca="1" si="358"/>
        <v>2.5674651449039354E-2</v>
      </c>
    </row>
    <row r="3090" spans="17:23" x14ac:dyDescent="0.2">
      <c r="Q3090">
        <f t="shared" si="352"/>
        <v>3074</v>
      </c>
      <c r="R3090" s="48">
        <f t="shared" ca="1" si="353"/>
        <v>0.45</v>
      </c>
      <c r="S3090">
        <f t="shared" ca="1" si="354"/>
        <v>180.09178012230922</v>
      </c>
      <c r="T3090" s="61">
        <f t="shared" ca="1" si="355"/>
        <v>21600</v>
      </c>
      <c r="U3090" s="61">
        <f t="shared" ca="1" si="356"/>
        <v>17240.383253816057</v>
      </c>
      <c r="V3090" s="39">
        <f t="shared" ca="1" si="357"/>
        <v>0.11342357403826353</v>
      </c>
      <c r="W3090" s="48">
        <f t="shared" ca="1" si="358"/>
        <v>1.3903846309344563</v>
      </c>
    </row>
    <row r="3091" spans="17:23" x14ac:dyDescent="0.2">
      <c r="Q3091">
        <f t="shared" ref="Q3091:Q3154" si="359">Q3090+1</f>
        <v>3075</v>
      </c>
      <c r="R3091" s="48">
        <f t="shared" ref="R3091:R3154" ca="1" si="360">LOOKUP(RAND(),$U$6:$U$12,$S$6:$S$12)</f>
        <v>0.5</v>
      </c>
      <c r="S3091">
        <f t="shared" ref="S3091:S3154" ca="1" si="361">_xlfn.NORM.INV(RAND(),$Q$5,$Q$10)</f>
        <v>198.88439007667992</v>
      </c>
      <c r="T3091" s="61">
        <f t="shared" ca="1" si="355"/>
        <v>24000</v>
      </c>
      <c r="U3091" s="61">
        <f t="shared" ca="1" si="356"/>
        <v>27553.756030671968</v>
      </c>
      <c r="V3091" s="39">
        <f t="shared" ca="1" si="357"/>
        <v>0.18127471072810505</v>
      </c>
      <c r="W3091" s="48">
        <f t="shared" ca="1" si="358"/>
        <v>2.8623021112317271</v>
      </c>
    </row>
    <row r="3092" spans="17:23" x14ac:dyDescent="0.2">
      <c r="Q3092">
        <f t="shared" si="359"/>
        <v>3076</v>
      </c>
      <c r="R3092" s="48">
        <f t="shared" ca="1" si="360"/>
        <v>0.4</v>
      </c>
      <c r="S3092">
        <f t="shared" ca="1" si="361"/>
        <v>194.71423913575308</v>
      </c>
      <c r="T3092" s="61">
        <f t="shared" ca="1" si="355"/>
        <v>19200</v>
      </c>
      <c r="U3092" s="61">
        <f t="shared" ca="1" si="356"/>
        <v>21462.834785161474</v>
      </c>
      <c r="V3092" s="39">
        <f t="shared" ca="1" si="357"/>
        <v>0.1412028604286939</v>
      </c>
      <c r="W3092" s="48">
        <f t="shared" ca="1" si="358"/>
        <v>1.9192847766746661</v>
      </c>
    </row>
    <row r="3093" spans="17:23" x14ac:dyDescent="0.2">
      <c r="Q3093">
        <f t="shared" si="359"/>
        <v>3077</v>
      </c>
      <c r="R3093" s="48">
        <f t="shared" ca="1" si="360"/>
        <v>0.35</v>
      </c>
      <c r="S3093">
        <f t="shared" ca="1" si="361"/>
        <v>202.04539167288831</v>
      </c>
      <c r="T3093" s="61">
        <f t="shared" ca="1" si="355"/>
        <v>16800</v>
      </c>
      <c r="U3093" s="61">
        <f t="shared" ca="1" si="356"/>
        <v>23063.603669901924</v>
      </c>
      <c r="V3093" s="39">
        <f t="shared" ca="1" si="357"/>
        <v>0.15173423467040739</v>
      </c>
      <c r="W3093" s="48">
        <f t="shared" ca="1" si="358"/>
        <v>2.1451048558850943</v>
      </c>
    </row>
    <row r="3094" spans="17:23" x14ac:dyDescent="0.2">
      <c r="Q3094">
        <f t="shared" si="359"/>
        <v>3078</v>
      </c>
      <c r="R3094" s="48">
        <f t="shared" ca="1" si="360"/>
        <v>0.45</v>
      </c>
      <c r="S3094">
        <f t="shared" ca="1" si="361"/>
        <v>173.36001155513404</v>
      </c>
      <c r="T3094" s="61">
        <f t="shared" ca="1" si="355"/>
        <v>21600</v>
      </c>
      <c r="U3094" s="61">
        <f t="shared" ca="1" si="356"/>
        <v>14278.405084258975</v>
      </c>
      <c r="V3094" s="39">
        <f t="shared" ca="1" si="357"/>
        <v>9.3936875554335358E-2</v>
      </c>
      <c r="W3094" s="48">
        <f t="shared" ca="1" si="358"/>
        <v>1.0714314769621947</v>
      </c>
    </row>
    <row r="3095" spans="17:23" x14ac:dyDescent="0.2">
      <c r="Q3095">
        <f t="shared" si="359"/>
        <v>3079</v>
      </c>
      <c r="R3095" s="48">
        <f t="shared" ca="1" si="360"/>
        <v>0.3</v>
      </c>
      <c r="S3095">
        <f t="shared" ca="1" si="361"/>
        <v>195.95133609749291</v>
      </c>
      <c r="T3095" s="61">
        <f t="shared" ca="1" si="355"/>
        <v>14400</v>
      </c>
      <c r="U3095" s="61">
        <f t="shared" ca="1" si="356"/>
        <v>17732.748214596031</v>
      </c>
      <c r="V3095" s="39">
        <f t="shared" ca="1" si="357"/>
        <v>0.11666281720128968</v>
      </c>
      <c r="W3095" s="48">
        <f t="shared" ca="1" si="358"/>
        <v>1.4473783520680978</v>
      </c>
    </row>
    <row r="3096" spans="17:23" x14ac:dyDescent="0.2">
      <c r="Q3096">
        <f t="shared" si="359"/>
        <v>3080</v>
      </c>
      <c r="R3096" s="48">
        <f t="shared" ca="1" si="360"/>
        <v>0.45</v>
      </c>
      <c r="S3096">
        <f t="shared" ca="1" si="361"/>
        <v>150.06874930722969</v>
      </c>
      <c r="T3096" s="61">
        <f t="shared" ca="1" si="355"/>
        <v>21600</v>
      </c>
      <c r="U3096" s="61">
        <f t="shared" ca="1" si="356"/>
        <v>4030.2496951810645</v>
      </c>
      <c r="V3096" s="39">
        <f t="shared" ca="1" si="357"/>
        <v>2.6514800626191215E-2</v>
      </c>
      <c r="W3096" s="48">
        <f t="shared" ca="1" si="358"/>
        <v>0.23647268319533499</v>
      </c>
    </row>
    <row r="3097" spans="17:23" x14ac:dyDescent="0.2">
      <c r="Q3097">
        <f t="shared" si="359"/>
        <v>3081</v>
      </c>
      <c r="R3097" s="48">
        <f t="shared" ca="1" si="360"/>
        <v>0.45</v>
      </c>
      <c r="S3097">
        <f t="shared" ca="1" si="361"/>
        <v>190.47406282760596</v>
      </c>
      <c r="T3097" s="61">
        <f t="shared" ca="1" si="355"/>
        <v>21600</v>
      </c>
      <c r="U3097" s="61">
        <f t="shared" ca="1" si="356"/>
        <v>21808.587644146624</v>
      </c>
      <c r="V3097" s="39">
        <f t="shared" ca="1" si="357"/>
        <v>0.14347755029043832</v>
      </c>
      <c r="W3097" s="48">
        <f t="shared" ca="1" si="358"/>
        <v>1.9668178193332024</v>
      </c>
    </row>
    <row r="3098" spans="17:23" x14ac:dyDescent="0.2">
      <c r="Q3098">
        <f t="shared" si="359"/>
        <v>3082</v>
      </c>
      <c r="R3098" s="48">
        <f t="shared" ca="1" si="360"/>
        <v>0.3</v>
      </c>
      <c r="S3098">
        <f t="shared" ca="1" si="361"/>
        <v>205.11864967472232</v>
      </c>
      <c r="T3098" s="61">
        <f t="shared" ca="1" si="355"/>
        <v>14400</v>
      </c>
      <c r="U3098" s="61">
        <f t="shared" ca="1" si="356"/>
        <v>22866.443817844498</v>
      </c>
      <c r="V3098" s="39">
        <f t="shared" ca="1" si="357"/>
        <v>0.15043713038055589</v>
      </c>
      <c r="W3098" s="48">
        <f t="shared" ca="1" si="358"/>
        <v>2.1164894738337403</v>
      </c>
    </row>
    <row r="3099" spans="17:23" x14ac:dyDescent="0.2">
      <c r="Q3099">
        <f t="shared" si="359"/>
        <v>3083</v>
      </c>
      <c r="R3099" s="48">
        <f t="shared" ca="1" si="360"/>
        <v>0.217</v>
      </c>
      <c r="S3099">
        <f t="shared" ca="1" si="361"/>
        <v>186.06140936816504</v>
      </c>
      <c r="T3099" s="61">
        <f t="shared" ca="1" si="355"/>
        <v>10416</v>
      </c>
      <c r="U3099" s="61">
        <f t="shared" ca="1" si="356"/>
        <v>7948.8668282185845</v>
      </c>
      <c r="V3099" s="39">
        <f t="shared" ca="1" si="357"/>
        <v>5.2295176501438057E-2</v>
      </c>
      <c r="W3099" s="48">
        <f t="shared" ca="1" si="358"/>
        <v>0.51202986266550043</v>
      </c>
    </row>
    <row r="3100" spans="17:23" x14ac:dyDescent="0.2">
      <c r="Q3100">
        <f t="shared" si="359"/>
        <v>3084</v>
      </c>
      <c r="R3100" s="48">
        <f t="shared" ca="1" si="360"/>
        <v>0.3</v>
      </c>
      <c r="S3100">
        <f t="shared" ca="1" si="361"/>
        <v>192.12568643258572</v>
      </c>
      <c r="T3100" s="61">
        <f t="shared" ca="1" si="355"/>
        <v>14400</v>
      </c>
      <c r="U3100" s="61">
        <f t="shared" ca="1" si="356"/>
        <v>15590.384402248004</v>
      </c>
      <c r="V3100" s="39">
        <f t="shared" ca="1" si="357"/>
        <v>0.10256831843584213</v>
      </c>
      <c r="W3100" s="48">
        <f t="shared" ca="1" si="358"/>
        <v>1.2077800087411044</v>
      </c>
    </row>
    <row r="3101" spans="17:23" x14ac:dyDescent="0.2">
      <c r="Q3101">
        <f t="shared" si="359"/>
        <v>3085</v>
      </c>
      <c r="R3101" s="48">
        <f t="shared" ca="1" si="360"/>
        <v>0.35</v>
      </c>
      <c r="S3101">
        <f t="shared" ca="1" si="361"/>
        <v>201.77710606984277</v>
      </c>
      <c r="T3101" s="61">
        <f t="shared" ca="1" si="355"/>
        <v>16800</v>
      </c>
      <c r="U3101" s="61">
        <f t="shared" ca="1" si="356"/>
        <v>22924.095156318243</v>
      </c>
      <c r="V3101" s="39">
        <f t="shared" ca="1" si="357"/>
        <v>0.15081641550209371</v>
      </c>
      <c r="W3101" s="48">
        <f t="shared" ca="1" si="358"/>
        <v>2.1248331620131466</v>
      </c>
    </row>
    <row r="3102" spans="17:23" x14ac:dyDescent="0.2">
      <c r="Q3102">
        <f t="shared" si="359"/>
        <v>3086</v>
      </c>
      <c r="R3102" s="48">
        <f t="shared" ca="1" si="360"/>
        <v>0.45</v>
      </c>
      <c r="S3102">
        <f t="shared" ca="1" si="361"/>
        <v>199.95040613417476</v>
      </c>
      <c r="T3102" s="61">
        <f t="shared" ca="1" si="355"/>
        <v>21600</v>
      </c>
      <c r="U3102" s="61">
        <f t="shared" ca="1" si="356"/>
        <v>25978.178699036893</v>
      </c>
      <c r="V3102" s="39">
        <f t="shared" ca="1" si="357"/>
        <v>0.17090907038840061</v>
      </c>
      <c r="W3102" s="48">
        <f t="shared" ca="1" si="358"/>
        <v>2.5958291406150718</v>
      </c>
    </row>
    <row r="3103" spans="17:23" x14ac:dyDescent="0.2">
      <c r="Q3103">
        <f t="shared" si="359"/>
        <v>3087</v>
      </c>
      <c r="R3103" s="48">
        <f t="shared" ca="1" si="360"/>
        <v>0.4</v>
      </c>
      <c r="S3103">
        <f t="shared" ca="1" si="361"/>
        <v>187.61940173199255</v>
      </c>
      <c r="T3103" s="61">
        <f t="shared" ca="1" si="355"/>
        <v>19200</v>
      </c>
      <c r="U3103" s="61">
        <f t="shared" ca="1" si="356"/>
        <v>18057.312831356427</v>
      </c>
      <c r="V3103" s="39">
        <f t="shared" ca="1" si="357"/>
        <v>0.11879811073260807</v>
      </c>
      <c r="W3103" s="48">
        <f t="shared" ca="1" si="358"/>
        <v>1.4855966382096986</v>
      </c>
    </row>
    <row r="3104" spans="17:23" x14ac:dyDescent="0.2">
      <c r="Q3104">
        <f t="shared" si="359"/>
        <v>3088</v>
      </c>
      <c r="R3104" s="48">
        <f t="shared" ca="1" si="360"/>
        <v>0.217</v>
      </c>
      <c r="S3104">
        <f t="shared" ca="1" si="361"/>
        <v>206.58892214439945</v>
      </c>
      <c r="T3104" s="61">
        <f t="shared" ca="1" si="355"/>
        <v>10416</v>
      </c>
      <c r="U3104" s="61">
        <f t="shared" ca="1" si="356"/>
        <v>20807.300831251814</v>
      </c>
      <c r="V3104" s="39">
        <f t="shared" ca="1" si="357"/>
        <v>0.1368901370477093</v>
      </c>
      <c r="W3104" s="48">
        <f t="shared" ca="1" si="358"/>
        <v>1.8309939089872618</v>
      </c>
    </row>
    <row r="3105" spans="17:23" x14ac:dyDescent="0.2">
      <c r="Q3105">
        <f t="shared" si="359"/>
        <v>3089</v>
      </c>
      <c r="R3105" s="48">
        <f t="shared" ca="1" si="360"/>
        <v>0.3</v>
      </c>
      <c r="S3105">
        <f t="shared" ca="1" si="361"/>
        <v>178.3620905997532</v>
      </c>
      <c r="T3105" s="61">
        <f t="shared" ca="1" si="355"/>
        <v>14400</v>
      </c>
      <c r="U3105" s="61">
        <f t="shared" ca="1" si="356"/>
        <v>7882.7707358617936</v>
      </c>
      <c r="V3105" s="39">
        <f t="shared" ca="1" si="357"/>
        <v>5.1860333788564431E-2</v>
      </c>
      <c r="W3105" s="48">
        <f t="shared" ca="1" si="358"/>
        <v>0.50696931746889895</v>
      </c>
    </row>
    <row r="3106" spans="17:23" x14ac:dyDescent="0.2">
      <c r="Q3106">
        <f t="shared" si="359"/>
        <v>3090</v>
      </c>
      <c r="R3106" s="48">
        <f t="shared" ca="1" si="360"/>
        <v>0.3</v>
      </c>
      <c r="S3106">
        <f t="shared" ca="1" si="361"/>
        <v>197.86414991190418</v>
      </c>
      <c r="T3106" s="61">
        <f t="shared" ca="1" si="355"/>
        <v>14400</v>
      </c>
      <c r="U3106" s="61">
        <f t="shared" ca="1" si="356"/>
        <v>18803.92395066634</v>
      </c>
      <c r="V3106" s="39">
        <f t="shared" ca="1" si="357"/>
        <v>0.12371002599122592</v>
      </c>
      <c r="W3106" s="48">
        <f t="shared" ca="1" si="358"/>
        <v>1.5755044029568803</v>
      </c>
    </row>
    <row r="3107" spans="17:23" x14ac:dyDescent="0.2">
      <c r="Q3107">
        <f t="shared" si="359"/>
        <v>3091</v>
      </c>
      <c r="R3107" s="48">
        <f t="shared" ca="1" si="360"/>
        <v>0.3</v>
      </c>
      <c r="S3107">
        <f t="shared" ca="1" si="361"/>
        <v>168.88348589396111</v>
      </c>
      <c r="T3107" s="61">
        <f t="shared" ca="1" si="355"/>
        <v>14400</v>
      </c>
      <c r="U3107" s="61">
        <f t="shared" ca="1" si="356"/>
        <v>2574.7521006182214</v>
      </c>
      <c r="V3107" s="39">
        <f t="shared" ca="1" si="357"/>
        <v>1.6939158556698825E-2</v>
      </c>
      <c r="W3107" s="48">
        <f t="shared" ca="1" si="358"/>
        <v>0.14596226759490039</v>
      </c>
    </row>
    <row r="3108" spans="17:23" x14ac:dyDescent="0.2">
      <c r="Q3108">
        <f t="shared" si="359"/>
        <v>3092</v>
      </c>
      <c r="R3108" s="48">
        <f t="shared" ca="1" si="360"/>
        <v>0.35</v>
      </c>
      <c r="S3108">
        <f t="shared" ca="1" si="361"/>
        <v>199.42004160679642</v>
      </c>
      <c r="T3108" s="61">
        <f t="shared" ca="1" si="355"/>
        <v>16800</v>
      </c>
      <c r="U3108" s="61">
        <f t="shared" ca="1" si="356"/>
        <v>21698.421635534138</v>
      </c>
      <c r="V3108" s="39">
        <f t="shared" ca="1" si="357"/>
        <v>0.14275277391798774</v>
      </c>
      <c r="W3108" s="48">
        <f t="shared" ca="1" si="358"/>
        <v>1.9515994179968792</v>
      </c>
    </row>
    <row r="3109" spans="17:23" x14ac:dyDescent="0.2">
      <c r="Q3109">
        <f t="shared" si="359"/>
        <v>3093</v>
      </c>
      <c r="R3109" s="48">
        <f t="shared" ca="1" si="360"/>
        <v>0.5</v>
      </c>
      <c r="S3109">
        <f t="shared" ca="1" si="361"/>
        <v>191.32631889938497</v>
      </c>
      <c r="T3109" s="61">
        <f t="shared" ca="1" si="355"/>
        <v>24000</v>
      </c>
      <c r="U3109" s="61">
        <f t="shared" ca="1" si="356"/>
        <v>24530.527559753988</v>
      </c>
      <c r="V3109" s="39">
        <f t="shared" ca="1" si="357"/>
        <v>0.16138504973522361</v>
      </c>
      <c r="W3109" s="48">
        <f t="shared" ca="1" si="358"/>
        <v>2.365343742341754</v>
      </c>
    </row>
    <row r="3110" spans="17:23" x14ac:dyDescent="0.2">
      <c r="Q3110">
        <f t="shared" si="359"/>
        <v>3094</v>
      </c>
      <c r="R3110" s="48">
        <f t="shared" ca="1" si="360"/>
        <v>0.3</v>
      </c>
      <c r="S3110">
        <f t="shared" ca="1" si="361"/>
        <v>158.17452087484062</v>
      </c>
      <c r="T3110" s="61">
        <f t="shared" ca="1" si="355"/>
        <v>14400</v>
      </c>
      <c r="U3110" s="61">
        <f t="shared" ca="1" si="356"/>
        <v>-3422.26831008925</v>
      </c>
      <c r="V3110" s="39">
        <f t="shared" ca="1" si="357"/>
        <v>-2.2514923092692433E-2</v>
      </c>
      <c r="W3110" s="48">
        <f t="shared" ca="1" si="358"/>
        <v>-0.16865323192583093</v>
      </c>
    </row>
    <row r="3111" spans="17:23" x14ac:dyDescent="0.2">
      <c r="Q3111">
        <f t="shared" si="359"/>
        <v>3095</v>
      </c>
      <c r="R3111" s="48">
        <f t="shared" ca="1" si="360"/>
        <v>0.3</v>
      </c>
      <c r="S3111">
        <f t="shared" ca="1" si="361"/>
        <v>202.30548125014735</v>
      </c>
      <c r="T3111" s="61">
        <f t="shared" ca="1" si="355"/>
        <v>14400</v>
      </c>
      <c r="U3111" s="61">
        <f t="shared" ca="1" si="356"/>
        <v>21291.069500082518</v>
      </c>
      <c r="V3111" s="39">
        <f t="shared" ca="1" si="357"/>
        <v>0.14007282565843762</v>
      </c>
      <c r="W3111" s="48">
        <f t="shared" ca="1" si="358"/>
        <v>1.895920243145794</v>
      </c>
    </row>
    <row r="3112" spans="17:23" x14ac:dyDescent="0.2">
      <c r="Q3112">
        <f t="shared" si="359"/>
        <v>3096</v>
      </c>
      <c r="R3112" s="48">
        <f t="shared" ca="1" si="360"/>
        <v>0.5</v>
      </c>
      <c r="S3112">
        <f t="shared" ca="1" si="361"/>
        <v>213.12700087922482</v>
      </c>
      <c r="T3112" s="61">
        <f t="shared" ca="1" si="355"/>
        <v>24000</v>
      </c>
      <c r="U3112" s="61">
        <f t="shared" ca="1" si="356"/>
        <v>33250.800351689933</v>
      </c>
      <c r="V3112" s="39">
        <f t="shared" ca="1" si="357"/>
        <v>0.21875526547164431</v>
      </c>
      <c r="W3112" s="48">
        <f t="shared" ca="1" si="358"/>
        <v>3.9759764755850329</v>
      </c>
    </row>
    <row r="3113" spans="17:23" x14ac:dyDescent="0.2">
      <c r="Q3113">
        <f t="shared" si="359"/>
        <v>3097</v>
      </c>
      <c r="R3113" s="48">
        <f t="shared" ca="1" si="360"/>
        <v>0.3</v>
      </c>
      <c r="S3113">
        <f t="shared" ca="1" si="361"/>
        <v>183.80767528946365</v>
      </c>
      <c r="T3113" s="61">
        <f t="shared" ca="1" si="355"/>
        <v>14400</v>
      </c>
      <c r="U3113" s="61">
        <f t="shared" ca="1" si="356"/>
        <v>10932.298162099642</v>
      </c>
      <c r="V3113" s="39">
        <f t="shared" ca="1" si="357"/>
        <v>7.1923014224339749E-2</v>
      </c>
      <c r="W3113" s="48">
        <f t="shared" ca="1" si="358"/>
        <v>0.75654901661001683</v>
      </c>
    </row>
    <row r="3114" spans="17:23" x14ac:dyDescent="0.2">
      <c r="Q3114">
        <f t="shared" si="359"/>
        <v>3098</v>
      </c>
      <c r="R3114" s="48">
        <f t="shared" ca="1" si="360"/>
        <v>0.217</v>
      </c>
      <c r="S3114">
        <f t="shared" ca="1" si="361"/>
        <v>194.08569107276327</v>
      </c>
      <c r="T3114" s="61">
        <f t="shared" ca="1" si="355"/>
        <v>10416</v>
      </c>
      <c r="U3114" s="61">
        <f t="shared" ca="1" si="356"/>
        <v>12975.276887978911</v>
      </c>
      <c r="V3114" s="39">
        <f t="shared" ca="1" si="357"/>
        <v>8.5363663736703357E-2</v>
      </c>
      <c r="W3114" s="48">
        <f t="shared" ca="1" si="358"/>
        <v>0.94336793448857836</v>
      </c>
    </row>
    <row r="3115" spans="17:23" x14ac:dyDescent="0.2">
      <c r="Q3115">
        <f t="shared" si="359"/>
        <v>3099</v>
      </c>
      <c r="R3115" s="48">
        <f t="shared" ca="1" si="360"/>
        <v>0.4</v>
      </c>
      <c r="S3115">
        <f t="shared" ca="1" si="361"/>
        <v>185.02586315306098</v>
      </c>
      <c r="T3115" s="61">
        <f t="shared" ca="1" si="355"/>
        <v>19200</v>
      </c>
      <c r="U3115" s="61">
        <f t="shared" ca="1" si="356"/>
        <v>16812.414313469271</v>
      </c>
      <c r="V3115" s="39">
        <f t="shared" ca="1" si="357"/>
        <v>0.1106079889044031</v>
      </c>
      <c r="W3115" s="48">
        <f t="shared" ca="1" si="358"/>
        <v>1.3417938197486925</v>
      </c>
    </row>
    <row r="3116" spans="17:23" x14ac:dyDescent="0.2">
      <c r="Q3116">
        <f t="shared" si="359"/>
        <v>3100</v>
      </c>
      <c r="R3116" s="48">
        <f t="shared" ca="1" si="360"/>
        <v>0.3</v>
      </c>
      <c r="S3116">
        <f t="shared" ca="1" si="361"/>
        <v>179.55368848795621</v>
      </c>
      <c r="T3116" s="61">
        <f t="shared" ca="1" si="355"/>
        <v>14400</v>
      </c>
      <c r="U3116" s="61">
        <f t="shared" ca="1" si="356"/>
        <v>8550.0655532554774</v>
      </c>
      <c r="V3116" s="39">
        <f t="shared" ca="1" si="357"/>
        <v>5.6250431271417614E-2</v>
      </c>
      <c r="W3116" s="48">
        <f t="shared" ca="1" si="358"/>
        <v>0.55874818516815505</v>
      </c>
    </row>
    <row r="3117" spans="17:23" x14ac:dyDescent="0.2">
      <c r="Q3117">
        <f t="shared" si="359"/>
        <v>3101</v>
      </c>
      <c r="R3117" s="48">
        <f t="shared" ca="1" si="360"/>
        <v>0.45</v>
      </c>
      <c r="S3117">
        <f t="shared" ca="1" si="361"/>
        <v>192.31553255321813</v>
      </c>
      <c r="T3117" s="61">
        <f t="shared" ca="1" si="355"/>
        <v>21600</v>
      </c>
      <c r="U3117" s="61">
        <f t="shared" ca="1" si="356"/>
        <v>22618.83432341598</v>
      </c>
      <c r="V3117" s="39">
        <f t="shared" ca="1" si="357"/>
        <v>0.14880812054878934</v>
      </c>
      <c r="W3117" s="48">
        <f t="shared" ca="1" si="358"/>
        <v>2.0808754439097816</v>
      </c>
    </row>
    <row r="3118" spans="17:23" x14ac:dyDescent="0.2">
      <c r="Q3118">
        <f t="shared" si="359"/>
        <v>3102</v>
      </c>
      <c r="R3118" s="48">
        <f t="shared" ca="1" si="360"/>
        <v>0.15</v>
      </c>
      <c r="S3118">
        <f t="shared" ca="1" si="361"/>
        <v>211.03111942891931</v>
      </c>
      <c r="T3118" s="61">
        <f t="shared" ca="1" si="355"/>
        <v>7200</v>
      </c>
      <c r="U3118" s="61">
        <f t="shared" ca="1" si="356"/>
        <v>21501.16121166513</v>
      </c>
      <c r="V3118" s="39">
        <f t="shared" ca="1" si="357"/>
        <v>0.14145500797148111</v>
      </c>
      <c r="W3118" s="48">
        <f t="shared" ca="1" si="358"/>
        <v>1.9245206592916064</v>
      </c>
    </row>
    <row r="3119" spans="17:23" x14ac:dyDescent="0.2">
      <c r="Q3119">
        <f t="shared" si="359"/>
        <v>3103</v>
      </c>
      <c r="R3119" s="48">
        <f t="shared" ca="1" si="360"/>
        <v>0.4</v>
      </c>
      <c r="S3119">
        <f t="shared" ca="1" si="361"/>
        <v>194.99578532367642</v>
      </c>
      <c r="T3119" s="61">
        <f t="shared" ca="1" si="355"/>
        <v>19200</v>
      </c>
      <c r="U3119" s="61">
        <f t="shared" ca="1" si="356"/>
        <v>21597.97695536468</v>
      </c>
      <c r="V3119" s="39">
        <f t="shared" ca="1" si="357"/>
        <v>0.14209195365371499</v>
      </c>
      <c r="W3119" s="48">
        <f t="shared" ca="1" si="358"/>
        <v>1.9377836183151036</v>
      </c>
    </row>
    <row r="3120" spans="17:23" x14ac:dyDescent="0.2">
      <c r="Q3120">
        <f t="shared" si="359"/>
        <v>3104</v>
      </c>
      <c r="R3120" s="48">
        <f t="shared" ca="1" si="360"/>
        <v>0.5</v>
      </c>
      <c r="S3120">
        <f t="shared" ca="1" si="361"/>
        <v>208.20224431231819</v>
      </c>
      <c r="T3120" s="61">
        <f t="shared" ca="1" si="355"/>
        <v>24000</v>
      </c>
      <c r="U3120" s="61">
        <f t="shared" ca="1" si="356"/>
        <v>31280.897724927272</v>
      </c>
      <c r="V3120" s="39">
        <f t="shared" ca="1" si="357"/>
        <v>0.20579537976925838</v>
      </c>
      <c r="W3120" s="48">
        <f t="shared" ca="1" si="358"/>
        <v>3.5626727970769982</v>
      </c>
    </row>
    <row r="3121" spans="17:23" x14ac:dyDescent="0.2">
      <c r="Q3121">
        <f t="shared" si="359"/>
        <v>3105</v>
      </c>
      <c r="R3121" s="48">
        <f t="shared" ca="1" si="360"/>
        <v>0.15</v>
      </c>
      <c r="S3121">
        <f t="shared" ca="1" si="361"/>
        <v>173.94332349365396</v>
      </c>
      <c r="T3121" s="61">
        <f t="shared" ca="1" si="355"/>
        <v>7200</v>
      </c>
      <c r="U3121" s="61">
        <f t="shared" ca="1" si="356"/>
        <v>-3718.5400243153053</v>
      </c>
      <c r="V3121" s="39">
        <f t="shared" ca="1" si="357"/>
        <v>-2.4464079107337534E-2</v>
      </c>
      <c r="W3121" s="48">
        <f t="shared" ca="1" si="358"/>
        <v>-0.1820044686270933</v>
      </c>
    </row>
    <row r="3122" spans="17:23" x14ac:dyDescent="0.2">
      <c r="Q3122">
        <f t="shared" si="359"/>
        <v>3106</v>
      </c>
      <c r="R3122" s="48">
        <f t="shared" ca="1" si="360"/>
        <v>0.35</v>
      </c>
      <c r="S3122">
        <f t="shared" ca="1" si="361"/>
        <v>194.04293833079052</v>
      </c>
      <c r="T3122" s="61">
        <f t="shared" ca="1" si="355"/>
        <v>16800</v>
      </c>
      <c r="U3122" s="61">
        <f t="shared" ca="1" si="356"/>
        <v>18902.327932011071</v>
      </c>
      <c r="V3122" s="39">
        <f t="shared" ca="1" si="357"/>
        <v>0.12435742060533599</v>
      </c>
      <c r="W3122" s="48">
        <f t="shared" ca="1" si="358"/>
        <v>1.587564400813712</v>
      </c>
    </row>
    <row r="3123" spans="17:23" x14ac:dyDescent="0.2">
      <c r="Q3123">
        <f t="shared" si="359"/>
        <v>3107</v>
      </c>
      <c r="R3123" s="48">
        <f t="shared" ca="1" si="360"/>
        <v>0.45</v>
      </c>
      <c r="S3123">
        <f t="shared" ca="1" si="361"/>
        <v>201.51623547948404</v>
      </c>
      <c r="T3123" s="61">
        <f t="shared" ca="1" si="355"/>
        <v>21600</v>
      </c>
      <c r="U3123" s="61">
        <f t="shared" ca="1" si="356"/>
        <v>26667.143610972977</v>
      </c>
      <c r="V3123" s="39">
        <f t="shared" ca="1" si="357"/>
        <v>0.17544173428271695</v>
      </c>
      <c r="W3123" s="48">
        <f t="shared" ca="1" si="358"/>
        <v>2.710299551179463</v>
      </c>
    </row>
    <row r="3124" spans="17:23" x14ac:dyDescent="0.2">
      <c r="Q3124">
        <f t="shared" si="359"/>
        <v>3108</v>
      </c>
      <c r="R3124" s="48">
        <f t="shared" ca="1" si="360"/>
        <v>0.217</v>
      </c>
      <c r="S3124">
        <f t="shared" ca="1" si="361"/>
        <v>207.94672761647007</v>
      </c>
      <c r="T3124" s="61">
        <f t="shared" ca="1" si="355"/>
        <v>10416</v>
      </c>
      <c r="U3124" s="61">
        <f t="shared" ca="1" si="356"/>
        <v>21657.83017895685</v>
      </c>
      <c r="V3124" s="39">
        <f t="shared" ca="1" si="357"/>
        <v>0.14248572486155822</v>
      </c>
      <c r="W3124" s="48">
        <f t="shared" ca="1" si="358"/>
        <v>1.9460093679118606</v>
      </c>
    </row>
    <row r="3125" spans="17:23" x14ac:dyDescent="0.2">
      <c r="Q3125">
        <f t="shared" si="359"/>
        <v>3109</v>
      </c>
      <c r="R3125" s="48">
        <f t="shared" ca="1" si="360"/>
        <v>0.4</v>
      </c>
      <c r="S3125">
        <f t="shared" ca="1" si="361"/>
        <v>204.69707808255922</v>
      </c>
      <c r="T3125" s="61">
        <f t="shared" ca="1" si="355"/>
        <v>19200</v>
      </c>
      <c r="U3125" s="61">
        <f t="shared" ca="1" si="356"/>
        <v>26254.597479628424</v>
      </c>
      <c r="V3125" s="39">
        <f t="shared" ca="1" si="357"/>
        <v>0.17272761499755543</v>
      </c>
      <c r="W3125" s="48">
        <f t="shared" ca="1" si="358"/>
        <v>2.6413781975569464</v>
      </c>
    </row>
    <row r="3126" spans="17:23" x14ac:dyDescent="0.2">
      <c r="Q3126">
        <f t="shared" si="359"/>
        <v>3110</v>
      </c>
      <c r="R3126" s="48">
        <f t="shared" ca="1" si="360"/>
        <v>0.35</v>
      </c>
      <c r="S3126">
        <f t="shared" ca="1" si="361"/>
        <v>191.07131826364943</v>
      </c>
      <c r="T3126" s="61">
        <f t="shared" ca="1" si="355"/>
        <v>16800</v>
      </c>
      <c r="U3126" s="61">
        <f t="shared" ca="1" si="356"/>
        <v>17357.085497097705</v>
      </c>
      <c r="V3126" s="39">
        <f t="shared" ca="1" si="357"/>
        <v>0.11419135195459017</v>
      </c>
      <c r="W3126" s="48">
        <f t="shared" ca="1" si="358"/>
        <v>1.4037872085261331</v>
      </c>
    </row>
    <row r="3127" spans="17:23" x14ac:dyDescent="0.2">
      <c r="Q3127">
        <f t="shared" si="359"/>
        <v>3111</v>
      </c>
      <c r="R3127" s="48">
        <f t="shared" ca="1" si="360"/>
        <v>0.45</v>
      </c>
      <c r="S3127">
        <f t="shared" ca="1" si="361"/>
        <v>190.1251940599619</v>
      </c>
      <c r="T3127" s="61">
        <f t="shared" ca="1" si="355"/>
        <v>21600</v>
      </c>
      <c r="U3127" s="61">
        <f t="shared" ca="1" si="356"/>
        <v>21655.085386383234</v>
      </c>
      <c r="V3127" s="39">
        <f t="shared" ca="1" si="357"/>
        <v>0.14246766701567917</v>
      </c>
      <c r="W3127" s="48">
        <f t="shared" ca="1" si="358"/>
        <v>1.9456317042259612</v>
      </c>
    </row>
    <row r="3128" spans="17:23" x14ac:dyDescent="0.2">
      <c r="Q3128">
        <f t="shared" si="359"/>
        <v>3112</v>
      </c>
      <c r="R3128" s="48">
        <f t="shared" ca="1" si="360"/>
        <v>0.4</v>
      </c>
      <c r="S3128">
        <f t="shared" ca="1" si="361"/>
        <v>182.895061174586</v>
      </c>
      <c r="T3128" s="61">
        <f t="shared" ca="1" si="355"/>
        <v>19200</v>
      </c>
      <c r="U3128" s="61">
        <f t="shared" ca="1" si="356"/>
        <v>15789.629363801283</v>
      </c>
      <c r="V3128" s="39">
        <f t="shared" ca="1" si="357"/>
        <v>0.10387914055132423</v>
      </c>
      <c r="W3128" s="48">
        <f t="shared" ca="1" si="358"/>
        <v>1.2291601604463129</v>
      </c>
    </row>
    <row r="3129" spans="17:23" x14ac:dyDescent="0.2">
      <c r="Q3129">
        <f t="shared" si="359"/>
        <v>3113</v>
      </c>
      <c r="R3129" s="48">
        <f t="shared" ca="1" si="360"/>
        <v>0.4</v>
      </c>
      <c r="S3129">
        <f t="shared" ca="1" si="361"/>
        <v>182.60044655373437</v>
      </c>
      <c r="T3129" s="61">
        <f t="shared" ref="T3129:T3192" ca="1" si="362">($B$8-$B$7)*($E$6*R3129)</f>
        <v>19200</v>
      </c>
      <c r="U3129" s="61">
        <f t="shared" ref="U3129:U3192" ca="1" si="363">T3129+((S3129-$B$7)*($E$6*(1-R3129)))</f>
        <v>15648.214345792498</v>
      </c>
      <c r="V3129" s="39">
        <f t="shared" ref="V3129:V3192" ca="1" si="364">U3129/$E$4</f>
        <v>0.10294877859074011</v>
      </c>
      <c r="W3129" s="48">
        <f t="shared" ref="W3129:W3192" ca="1" si="365">(1+V3129)^($J$29/$J$30)-1</f>
        <v>1.2139669031553053</v>
      </c>
    </row>
    <row r="3130" spans="17:23" x14ac:dyDescent="0.2">
      <c r="Q3130">
        <f t="shared" si="359"/>
        <v>3114</v>
      </c>
      <c r="R3130" s="48">
        <f t="shared" ca="1" si="360"/>
        <v>0.4</v>
      </c>
      <c r="S3130">
        <f t="shared" ca="1" si="361"/>
        <v>184.27888106098331</v>
      </c>
      <c r="T3130" s="61">
        <f t="shared" ca="1" si="362"/>
        <v>19200</v>
      </c>
      <c r="U3130" s="61">
        <f t="shared" ca="1" si="363"/>
        <v>16453.862909271989</v>
      </c>
      <c r="V3130" s="39">
        <f t="shared" ca="1" si="364"/>
        <v>0.10824909808731573</v>
      </c>
      <c r="W3130" s="48">
        <f t="shared" ca="1" si="365"/>
        <v>1.3017534453652346</v>
      </c>
    </row>
    <row r="3131" spans="17:23" x14ac:dyDescent="0.2">
      <c r="Q3131">
        <f t="shared" si="359"/>
        <v>3115</v>
      </c>
      <c r="R3131" s="48">
        <f t="shared" ca="1" si="360"/>
        <v>0.5</v>
      </c>
      <c r="S3131">
        <f t="shared" ca="1" si="361"/>
        <v>224.35813008069471</v>
      </c>
      <c r="T3131" s="61">
        <f t="shared" ca="1" si="362"/>
        <v>24000</v>
      </c>
      <c r="U3131" s="61">
        <f t="shared" ca="1" si="363"/>
        <v>37743.252032277887</v>
      </c>
      <c r="V3131" s="39">
        <f t="shared" ca="1" si="364"/>
        <v>0.24831086863340715</v>
      </c>
      <c r="W3131" s="48">
        <f t="shared" ca="1" si="365"/>
        <v>5.043444558017276</v>
      </c>
    </row>
    <row r="3132" spans="17:23" x14ac:dyDescent="0.2">
      <c r="Q3132">
        <f t="shared" si="359"/>
        <v>3116</v>
      </c>
      <c r="R3132" s="48">
        <f t="shared" ca="1" si="360"/>
        <v>0.45</v>
      </c>
      <c r="S3132">
        <f t="shared" ca="1" si="361"/>
        <v>195.78602700313888</v>
      </c>
      <c r="T3132" s="61">
        <f t="shared" ca="1" si="362"/>
        <v>21600</v>
      </c>
      <c r="U3132" s="61">
        <f t="shared" ca="1" si="363"/>
        <v>24145.85188138111</v>
      </c>
      <c r="V3132" s="39">
        <f t="shared" ca="1" si="364"/>
        <v>0.15885428869329676</v>
      </c>
      <c r="W3132" s="48">
        <f t="shared" ca="1" si="365"/>
        <v>2.306320679734942</v>
      </c>
    </row>
    <row r="3133" spans="17:23" x14ac:dyDescent="0.2">
      <c r="Q3133">
        <f t="shared" si="359"/>
        <v>3117</v>
      </c>
      <c r="R3133" s="48">
        <f t="shared" ca="1" si="360"/>
        <v>0.35</v>
      </c>
      <c r="S3133">
        <f t="shared" ca="1" si="361"/>
        <v>179.21779455710532</v>
      </c>
      <c r="T3133" s="61">
        <f t="shared" ca="1" si="362"/>
        <v>16800</v>
      </c>
      <c r="U3133" s="61">
        <f t="shared" ca="1" si="363"/>
        <v>11193.253169694766</v>
      </c>
      <c r="V3133" s="39">
        <f t="shared" ca="1" si="364"/>
        <v>7.3639823484833986E-2</v>
      </c>
      <c r="W3133" s="48">
        <f t="shared" ca="1" si="365"/>
        <v>0.77949851770933209</v>
      </c>
    </row>
    <row r="3134" spans="17:23" x14ac:dyDescent="0.2">
      <c r="Q3134">
        <f t="shared" si="359"/>
        <v>3118</v>
      </c>
      <c r="R3134" s="48">
        <f t="shared" ca="1" si="360"/>
        <v>0.5</v>
      </c>
      <c r="S3134">
        <f t="shared" ca="1" si="361"/>
        <v>146.89776915289841</v>
      </c>
      <c r="T3134" s="61">
        <f t="shared" ca="1" si="362"/>
        <v>24000</v>
      </c>
      <c r="U3134" s="61">
        <f t="shared" ca="1" si="363"/>
        <v>6759.1076611593635</v>
      </c>
      <c r="V3134" s="39">
        <f t="shared" ca="1" si="364"/>
        <v>4.4467813560258973E-2</v>
      </c>
      <c r="W3134" s="48">
        <f t="shared" ca="1" si="365"/>
        <v>0.4231803582414202</v>
      </c>
    </row>
    <row r="3135" spans="17:23" x14ac:dyDescent="0.2">
      <c r="Q3135">
        <f t="shared" si="359"/>
        <v>3119</v>
      </c>
      <c r="R3135" s="48">
        <f t="shared" ca="1" si="360"/>
        <v>0.4</v>
      </c>
      <c r="S3135">
        <f t="shared" ca="1" si="361"/>
        <v>189.44561059042914</v>
      </c>
      <c r="T3135" s="61">
        <f t="shared" ca="1" si="362"/>
        <v>19200</v>
      </c>
      <c r="U3135" s="61">
        <f t="shared" ca="1" si="363"/>
        <v>18933.893083405987</v>
      </c>
      <c r="V3135" s="39">
        <f t="shared" ca="1" si="364"/>
        <v>0.12456508607503938</v>
      </c>
      <c r="W3135" s="48">
        <f t="shared" ca="1" si="365"/>
        <v>1.5914433726960011</v>
      </c>
    </row>
    <row r="3136" spans="17:23" x14ac:dyDescent="0.2">
      <c r="Q3136">
        <f t="shared" si="359"/>
        <v>3120</v>
      </c>
      <c r="R3136" s="48">
        <f t="shared" ca="1" si="360"/>
        <v>0.5</v>
      </c>
      <c r="S3136">
        <f t="shared" ca="1" si="361"/>
        <v>200.2430011713885</v>
      </c>
      <c r="T3136" s="61">
        <f t="shared" ca="1" si="362"/>
        <v>24000</v>
      </c>
      <c r="U3136" s="61">
        <f t="shared" ca="1" si="363"/>
        <v>28097.200468555398</v>
      </c>
      <c r="V3136" s="39">
        <f t="shared" ca="1" si="364"/>
        <v>0.1848500030826013</v>
      </c>
      <c r="W3136" s="48">
        <f t="shared" ca="1" si="365"/>
        <v>2.9581460172434491</v>
      </c>
    </row>
    <row r="3137" spans="17:23" x14ac:dyDescent="0.2">
      <c r="Q3137">
        <f t="shared" si="359"/>
        <v>3121</v>
      </c>
      <c r="R3137" s="48">
        <f t="shared" ca="1" si="360"/>
        <v>0.15</v>
      </c>
      <c r="S3137">
        <f t="shared" ca="1" si="361"/>
        <v>193.60131789523282</v>
      </c>
      <c r="T3137" s="61">
        <f t="shared" ca="1" si="362"/>
        <v>7200</v>
      </c>
      <c r="U3137" s="61">
        <f t="shared" ca="1" si="363"/>
        <v>9648.8961687583214</v>
      </c>
      <c r="V3137" s="39">
        <f t="shared" ca="1" si="364"/>
        <v>6.3479580057620541E-2</v>
      </c>
      <c r="W3137" s="48">
        <f t="shared" ca="1" si="365"/>
        <v>0.64741550593366526</v>
      </c>
    </row>
    <row r="3138" spans="17:23" x14ac:dyDescent="0.2">
      <c r="Q3138">
        <f t="shared" si="359"/>
        <v>3122</v>
      </c>
      <c r="R3138" s="48">
        <f t="shared" ca="1" si="360"/>
        <v>0.45</v>
      </c>
      <c r="S3138">
        <f t="shared" ca="1" si="361"/>
        <v>225.22918700633468</v>
      </c>
      <c r="T3138" s="61">
        <f t="shared" ca="1" si="362"/>
        <v>21600</v>
      </c>
      <c r="U3138" s="61">
        <f t="shared" ca="1" si="363"/>
        <v>37100.842282787264</v>
      </c>
      <c r="V3138" s="39">
        <f t="shared" ca="1" si="364"/>
        <v>0.24408448870254779</v>
      </c>
      <c r="W3138" s="48">
        <f t="shared" ca="1" si="365"/>
        <v>4.8794659228985626</v>
      </c>
    </row>
    <row r="3139" spans="17:23" x14ac:dyDescent="0.2">
      <c r="Q3139">
        <f t="shared" si="359"/>
        <v>3123</v>
      </c>
      <c r="R3139" s="48">
        <f t="shared" ca="1" si="360"/>
        <v>0.4</v>
      </c>
      <c r="S3139">
        <f t="shared" ca="1" si="361"/>
        <v>196.03534750906562</v>
      </c>
      <c r="T3139" s="61">
        <f t="shared" ca="1" si="362"/>
        <v>19200</v>
      </c>
      <c r="U3139" s="61">
        <f t="shared" ca="1" si="363"/>
        <v>22096.966804351498</v>
      </c>
      <c r="V3139" s="39">
        <f t="shared" ca="1" si="364"/>
        <v>0.14537478160757564</v>
      </c>
      <c r="W3139" s="48">
        <f t="shared" ca="1" si="365"/>
        <v>2.0069808985700148</v>
      </c>
    </row>
    <row r="3140" spans="17:23" x14ac:dyDescent="0.2">
      <c r="Q3140">
        <f t="shared" si="359"/>
        <v>3124</v>
      </c>
      <c r="R3140" s="48">
        <f t="shared" ca="1" si="360"/>
        <v>0.3</v>
      </c>
      <c r="S3140">
        <f t="shared" ca="1" si="361"/>
        <v>186.91236677919414</v>
      </c>
      <c r="T3140" s="61">
        <f t="shared" ca="1" si="362"/>
        <v>14400</v>
      </c>
      <c r="U3140" s="61">
        <f t="shared" ca="1" si="363"/>
        <v>12670.925396348721</v>
      </c>
      <c r="V3140" s="39">
        <f t="shared" ca="1" si="364"/>
        <v>8.3361351291767902E-2</v>
      </c>
      <c r="W3140" s="48">
        <f t="shared" ca="1" si="365"/>
        <v>0.91447812966196973</v>
      </c>
    </row>
    <row r="3141" spans="17:23" x14ac:dyDescent="0.2">
      <c r="Q3141">
        <f t="shared" si="359"/>
        <v>3125</v>
      </c>
      <c r="R3141" s="48">
        <f t="shared" ca="1" si="360"/>
        <v>0.217</v>
      </c>
      <c r="S3141">
        <f t="shared" ca="1" si="361"/>
        <v>182.14034420751344</v>
      </c>
      <c r="T3141" s="61">
        <f t="shared" ca="1" si="362"/>
        <v>10416</v>
      </c>
      <c r="U3141" s="61">
        <f t="shared" ca="1" si="363"/>
        <v>5492.7116115864164</v>
      </c>
      <c r="V3141" s="39">
        <f t="shared" ca="1" si="364"/>
        <v>3.6136260602542214E-2</v>
      </c>
      <c r="W3141" s="48">
        <f t="shared" ca="1" si="365"/>
        <v>0.33366872235308631</v>
      </c>
    </row>
    <row r="3142" spans="17:23" x14ac:dyDescent="0.2">
      <c r="Q3142">
        <f t="shared" si="359"/>
        <v>3126</v>
      </c>
      <c r="R3142" s="48">
        <f t="shared" ca="1" si="360"/>
        <v>0.4</v>
      </c>
      <c r="S3142">
        <f t="shared" ca="1" si="361"/>
        <v>172.23171853955506</v>
      </c>
      <c r="T3142" s="61">
        <f t="shared" ca="1" si="362"/>
        <v>19200</v>
      </c>
      <c r="U3142" s="61">
        <f t="shared" ca="1" si="363"/>
        <v>10671.224898986429</v>
      </c>
      <c r="V3142" s="39">
        <f t="shared" ca="1" si="364"/>
        <v>7.0205426967015983E-2</v>
      </c>
      <c r="W3142" s="48">
        <f t="shared" ca="1" si="365"/>
        <v>0.73384918690023881</v>
      </c>
    </row>
    <row r="3143" spans="17:23" x14ac:dyDescent="0.2">
      <c r="Q3143">
        <f t="shared" si="359"/>
        <v>3127</v>
      </c>
      <c r="R3143" s="48">
        <f t="shared" ca="1" si="360"/>
        <v>0.5</v>
      </c>
      <c r="S3143">
        <f t="shared" ca="1" si="361"/>
        <v>196.18823143108563</v>
      </c>
      <c r="T3143" s="61">
        <f t="shared" ca="1" si="362"/>
        <v>24000</v>
      </c>
      <c r="U3143" s="61">
        <f t="shared" ca="1" si="363"/>
        <v>26475.292572434249</v>
      </c>
      <c r="V3143" s="39">
        <f t="shared" ca="1" si="364"/>
        <v>0.17417955639759375</v>
      </c>
      <c r="W3143" s="48">
        <f t="shared" ca="1" si="365"/>
        <v>2.6781073150124404</v>
      </c>
    </row>
    <row r="3144" spans="17:23" x14ac:dyDescent="0.2">
      <c r="Q3144">
        <f t="shared" si="359"/>
        <v>3128</v>
      </c>
      <c r="R3144" s="48">
        <f t="shared" ca="1" si="360"/>
        <v>0.3</v>
      </c>
      <c r="S3144">
        <f t="shared" ca="1" si="361"/>
        <v>177.21893865165589</v>
      </c>
      <c r="T3144" s="61">
        <f t="shared" ca="1" si="362"/>
        <v>14400</v>
      </c>
      <c r="U3144" s="61">
        <f t="shared" ca="1" si="363"/>
        <v>7242.6056449272983</v>
      </c>
      <c r="V3144" s="39">
        <f t="shared" ca="1" si="364"/>
        <v>4.7648721348205907E-2</v>
      </c>
      <c r="W3144" s="48">
        <f t="shared" ca="1" si="365"/>
        <v>0.45871915423011411</v>
      </c>
    </row>
    <row r="3145" spans="17:23" x14ac:dyDescent="0.2">
      <c r="Q3145">
        <f t="shared" si="359"/>
        <v>3129</v>
      </c>
      <c r="R3145" s="48">
        <f t="shared" ca="1" si="360"/>
        <v>0.217</v>
      </c>
      <c r="S3145">
        <f t="shared" ca="1" si="361"/>
        <v>183.32536607925567</v>
      </c>
      <c r="T3145" s="61">
        <f t="shared" ca="1" si="362"/>
        <v>10416</v>
      </c>
      <c r="U3145" s="61">
        <f t="shared" ca="1" si="363"/>
        <v>6235.0093120457541</v>
      </c>
      <c r="V3145" s="39">
        <f t="shared" ca="1" si="364"/>
        <v>4.1019798105564172E-2</v>
      </c>
      <c r="W3145" s="48">
        <f t="shared" ca="1" si="365"/>
        <v>0.38551681112508507</v>
      </c>
    </row>
    <row r="3146" spans="17:23" x14ac:dyDescent="0.2">
      <c r="Q3146">
        <f t="shared" si="359"/>
        <v>3130</v>
      </c>
      <c r="R3146" s="48">
        <f t="shared" ca="1" si="360"/>
        <v>0.5</v>
      </c>
      <c r="S3146">
        <f t="shared" ca="1" si="361"/>
        <v>174.45851579801828</v>
      </c>
      <c r="T3146" s="61">
        <f t="shared" ca="1" si="362"/>
        <v>24000</v>
      </c>
      <c r="U3146" s="61">
        <f t="shared" ca="1" si="363"/>
        <v>17783.406319207315</v>
      </c>
      <c r="V3146" s="39">
        <f t="shared" ca="1" si="364"/>
        <v>0.11699609420531129</v>
      </c>
      <c r="W3146" s="48">
        <f t="shared" ca="1" si="365"/>
        <v>1.4533093211539403</v>
      </c>
    </row>
    <row r="3147" spans="17:23" x14ac:dyDescent="0.2">
      <c r="Q3147">
        <f t="shared" si="359"/>
        <v>3131</v>
      </c>
      <c r="R3147" s="48">
        <f t="shared" ca="1" si="360"/>
        <v>0.3</v>
      </c>
      <c r="S3147">
        <f t="shared" ca="1" si="361"/>
        <v>201.1258075971266</v>
      </c>
      <c r="T3147" s="61">
        <f t="shared" ca="1" si="362"/>
        <v>14400</v>
      </c>
      <c r="U3147" s="61">
        <f t="shared" ca="1" si="363"/>
        <v>20630.452254390893</v>
      </c>
      <c r="V3147" s="39">
        <f t="shared" ca="1" si="364"/>
        <v>0.13572665956836114</v>
      </c>
      <c r="W3147" s="48">
        <f t="shared" ca="1" si="365"/>
        <v>1.8075797308451111</v>
      </c>
    </row>
    <row r="3148" spans="17:23" x14ac:dyDescent="0.2">
      <c r="Q3148">
        <f t="shared" si="359"/>
        <v>3132</v>
      </c>
      <c r="R3148" s="48">
        <f t="shared" ca="1" si="360"/>
        <v>0.3</v>
      </c>
      <c r="S3148">
        <f t="shared" ca="1" si="361"/>
        <v>181.93942743265421</v>
      </c>
      <c r="T3148" s="61">
        <f t="shared" ca="1" si="362"/>
        <v>14400</v>
      </c>
      <c r="U3148" s="61">
        <f t="shared" ca="1" si="363"/>
        <v>9886.0793622863603</v>
      </c>
      <c r="V3148" s="39">
        <f t="shared" ca="1" si="364"/>
        <v>6.5039995804515527E-2</v>
      </c>
      <c r="W3148" s="48">
        <f t="shared" ca="1" si="365"/>
        <v>0.66712435354841904</v>
      </c>
    </row>
    <row r="3149" spans="17:23" x14ac:dyDescent="0.2">
      <c r="Q3149">
        <f t="shared" si="359"/>
        <v>3133</v>
      </c>
      <c r="R3149" s="48">
        <f t="shared" ca="1" si="360"/>
        <v>0.3</v>
      </c>
      <c r="S3149">
        <f t="shared" ca="1" si="361"/>
        <v>185.5230995599762</v>
      </c>
      <c r="T3149" s="61">
        <f t="shared" ca="1" si="362"/>
        <v>14400</v>
      </c>
      <c r="U3149" s="61">
        <f t="shared" ca="1" si="363"/>
        <v>11892.935753586673</v>
      </c>
      <c r="V3149" s="39">
        <f t="shared" ca="1" si="364"/>
        <v>7.8242998378859688E-2</v>
      </c>
      <c r="W3149" s="48">
        <f t="shared" ca="1" si="365"/>
        <v>0.84233395621317864</v>
      </c>
    </row>
    <row r="3150" spans="17:23" x14ac:dyDescent="0.2">
      <c r="Q3150">
        <f t="shared" si="359"/>
        <v>3134</v>
      </c>
      <c r="R3150" s="48">
        <f t="shared" ca="1" si="360"/>
        <v>0.3</v>
      </c>
      <c r="S3150">
        <f t="shared" ca="1" si="361"/>
        <v>191.03545078883002</v>
      </c>
      <c r="T3150" s="61">
        <f t="shared" ca="1" si="362"/>
        <v>14400</v>
      </c>
      <c r="U3150" s="61">
        <f t="shared" ca="1" si="363"/>
        <v>14979.85244174481</v>
      </c>
      <c r="V3150" s="39">
        <f t="shared" ca="1" si="364"/>
        <v>9.8551660800952692E-2</v>
      </c>
      <c r="W3150" s="48">
        <f t="shared" ca="1" si="365"/>
        <v>1.1433815566442562</v>
      </c>
    </row>
    <row r="3151" spans="17:23" x14ac:dyDescent="0.2">
      <c r="Q3151">
        <f t="shared" si="359"/>
        <v>3135</v>
      </c>
      <c r="R3151" s="48">
        <f t="shared" ca="1" si="360"/>
        <v>0.4</v>
      </c>
      <c r="S3151">
        <f t="shared" ca="1" si="361"/>
        <v>209.34244729113834</v>
      </c>
      <c r="T3151" s="61">
        <f t="shared" ca="1" si="362"/>
        <v>19200</v>
      </c>
      <c r="U3151" s="61">
        <f t="shared" ca="1" si="363"/>
        <v>28484.374699746404</v>
      </c>
      <c r="V3151" s="39">
        <f t="shared" ca="1" si="364"/>
        <v>0.18739720197201581</v>
      </c>
      <c r="W3151" s="48">
        <f t="shared" ca="1" si="365"/>
        <v>3.0276953760679097</v>
      </c>
    </row>
    <row r="3152" spans="17:23" x14ac:dyDescent="0.2">
      <c r="Q3152">
        <f t="shared" si="359"/>
        <v>3136</v>
      </c>
      <c r="R3152" s="48">
        <f t="shared" ca="1" si="360"/>
        <v>0.3</v>
      </c>
      <c r="S3152">
        <f t="shared" ca="1" si="361"/>
        <v>180.38457140078597</v>
      </c>
      <c r="T3152" s="61">
        <f t="shared" ca="1" si="362"/>
        <v>14400</v>
      </c>
      <c r="U3152" s="61">
        <f t="shared" ca="1" si="363"/>
        <v>9015.3599844401451</v>
      </c>
      <c r="V3152" s="39">
        <f t="shared" ca="1" si="364"/>
        <v>5.9311578845000955E-2</v>
      </c>
      <c r="W3152" s="48">
        <f t="shared" ca="1" si="365"/>
        <v>0.59576953006040179</v>
      </c>
    </row>
    <row r="3153" spans="17:23" x14ac:dyDescent="0.2">
      <c r="Q3153">
        <f t="shared" si="359"/>
        <v>3137</v>
      </c>
      <c r="R3153" s="48">
        <f t="shared" ca="1" si="360"/>
        <v>0.3</v>
      </c>
      <c r="S3153">
        <f t="shared" ca="1" si="361"/>
        <v>182.14175328865983</v>
      </c>
      <c r="T3153" s="61">
        <f t="shared" ca="1" si="362"/>
        <v>14400</v>
      </c>
      <c r="U3153" s="61">
        <f t="shared" ca="1" si="363"/>
        <v>9999.3818416495033</v>
      </c>
      <c r="V3153" s="39">
        <f t="shared" ca="1" si="364"/>
        <v>6.5785406852957265E-2</v>
      </c>
      <c r="W3153" s="48">
        <f t="shared" ca="1" si="365"/>
        <v>0.67661201527081349</v>
      </c>
    </row>
    <row r="3154" spans="17:23" x14ac:dyDescent="0.2">
      <c r="Q3154">
        <f t="shared" si="359"/>
        <v>3138</v>
      </c>
      <c r="R3154" s="48">
        <f t="shared" ca="1" si="360"/>
        <v>0.35</v>
      </c>
      <c r="S3154">
        <f t="shared" ca="1" si="361"/>
        <v>207.31592945759212</v>
      </c>
      <c r="T3154" s="61">
        <f t="shared" ca="1" si="362"/>
        <v>16800</v>
      </c>
      <c r="U3154" s="61">
        <f t="shared" ca="1" si="363"/>
        <v>25804.283317947902</v>
      </c>
      <c r="V3154" s="39">
        <f t="shared" ca="1" si="364"/>
        <v>0.16976502182860462</v>
      </c>
      <c r="W3154" s="48">
        <f t="shared" ca="1" si="365"/>
        <v>2.5674308411749016</v>
      </c>
    </row>
    <row r="3155" spans="17:23" x14ac:dyDescent="0.2">
      <c r="Q3155">
        <f t="shared" ref="Q3155:Q3218" si="366">Q3154+1</f>
        <v>3139</v>
      </c>
      <c r="R3155" s="48">
        <f t="shared" ref="R3155:R3218" ca="1" si="367">LOOKUP(RAND(),$U$6:$U$12,$S$6:$S$12)</f>
        <v>0.35</v>
      </c>
      <c r="S3155">
        <f t="shared" ref="S3155:S3218" ca="1" si="368">_xlfn.NORM.INV(RAND(),$Q$5,$Q$10)</f>
        <v>201.37500704785683</v>
      </c>
      <c r="T3155" s="61">
        <f t="shared" ca="1" si="362"/>
        <v>16800</v>
      </c>
      <c r="U3155" s="61">
        <f t="shared" ca="1" si="363"/>
        <v>22715.003664885549</v>
      </c>
      <c r="V3155" s="39">
        <f t="shared" ca="1" si="364"/>
        <v>0.14944081358477335</v>
      </c>
      <c r="W3155" s="48">
        <f t="shared" ca="1" si="365"/>
        <v>2.0946650099058517</v>
      </c>
    </row>
    <row r="3156" spans="17:23" x14ac:dyDescent="0.2">
      <c r="Q3156">
        <f t="shared" si="366"/>
        <v>3140</v>
      </c>
      <c r="R3156" s="48">
        <f t="shared" ca="1" si="367"/>
        <v>0.3</v>
      </c>
      <c r="S3156">
        <f t="shared" ca="1" si="368"/>
        <v>162.67197780385672</v>
      </c>
      <c r="T3156" s="61">
        <f t="shared" ca="1" si="362"/>
        <v>14400</v>
      </c>
      <c r="U3156" s="61">
        <f t="shared" ca="1" si="363"/>
        <v>-903.69242984023731</v>
      </c>
      <c r="V3156" s="39">
        <f t="shared" ca="1" si="364"/>
        <v>-5.9453449331594559E-3</v>
      </c>
      <c r="W3156" s="48">
        <f t="shared" ca="1" si="365"/>
        <v>-4.7216212108266986E-2</v>
      </c>
    </row>
    <row r="3157" spans="17:23" x14ac:dyDescent="0.2">
      <c r="Q3157">
        <f t="shared" si="366"/>
        <v>3141</v>
      </c>
      <c r="R3157" s="48">
        <f t="shared" ca="1" si="367"/>
        <v>0.5</v>
      </c>
      <c r="S3157">
        <f t="shared" ca="1" si="368"/>
        <v>164.47374461807391</v>
      </c>
      <c r="T3157" s="61">
        <f t="shared" ca="1" si="362"/>
        <v>24000</v>
      </c>
      <c r="U3157" s="61">
        <f t="shared" ca="1" si="363"/>
        <v>13789.497847229562</v>
      </c>
      <c r="V3157" s="39">
        <f t="shared" ca="1" si="364"/>
        <v>9.0720380573878698E-2</v>
      </c>
      <c r="W3157" s="48">
        <f t="shared" ca="1" si="365"/>
        <v>1.0225431992078451</v>
      </c>
    </row>
    <row r="3158" spans="17:23" x14ac:dyDescent="0.2">
      <c r="Q3158">
        <f t="shared" si="366"/>
        <v>3142</v>
      </c>
      <c r="R3158" s="48">
        <f t="shared" ca="1" si="367"/>
        <v>0.3</v>
      </c>
      <c r="S3158">
        <f t="shared" ca="1" si="368"/>
        <v>212.16856575494305</v>
      </c>
      <c r="T3158" s="61">
        <f t="shared" ca="1" si="362"/>
        <v>14400</v>
      </c>
      <c r="U3158" s="61">
        <f t="shared" ca="1" si="363"/>
        <v>26814.396822768103</v>
      </c>
      <c r="V3158" s="39">
        <f t="shared" ca="1" si="364"/>
        <v>0.17641050541294806</v>
      </c>
      <c r="W3158" s="48">
        <f t="shared" ca="1" si="365"/>
        <v>2.7351756536048555</v>
      </c>
    </row>
    <row r="3159" spans="17:23" x14ac:dyDescent="0.2">
      <c r="Q3159">
        <f t="shared" si="366"/>
        <v>3143</v>
      </c>
      <c r="R3159" s="48">
        <f t="shared" ca="1" si="367"/>
        <v>0.4</v>
      </c>
      <c r="S3159">
        <f t="shared" ca="1" si="368"/>
        <v>160.44083499154084</v>
      </c>
      <c r="T3159" s="61">
        <f t="shared" ca="1" si="362"/>
        <v>19200</v>
      </c>
      <c r="U3159" s="61">
        <f t="shared" ca="1" si="363"/>
        <v>5011.6007959396029</v>
      </c>
      <c r="V3159" s="39">
        <f t="shared" ca="1" si="364"/>
        <v>3.2971057868023707E-2</v>
      </c>
      <c r="W3159" s="48">
        <f t="shared" ca="1" si="365"/>
        <v>0.30097987430178508</v>
      </c>
    </row>
    <row r="3160" spans="17:23" x14ac:dyDescent="0.2">
      <c r="Q3160">
        <f t="shared" si="366"/>
        <v>3144</v>
      </c>
      <c r="R3160" s="48">
        <f t="shared" ca="1" si="367"/>
        <v>0.35</v>
      </c>
      <c r="S3160">
        <f t="shared" ca="1" si="368"/>
        <v>179.04945080881947</v>
      </c>
      <c r="T3160" s="61">
        <f t="shared" ca="1" si="362"/>
        <v>16800</v>
      </c>
      <c r="U3160" s="61">
        <f t="shared" ca="1" si="363"/>
        <v>11105.714420586126</v>
      </c>
      <c r="V3160" s="39">
        <f t="shared" ca="1" si="364"/>
        <v>7.306391066175083E-2</v>
      </c>
      <c r="W3160" s="48">
        <f t="shared" ca="1" si="365"/>
        <v>0.77177085908068621</v>
      </c>
    </row>
    <row r="3161" spans="17:23" x14ac:dyDescent="0.2">
      <c r="Q3161">
        <f t="shared" si="366"/>
        <v>3145</v>
      </c>
      <c r="R3161" s="48">
        <f t="shared" ca="1" si="367"/>
        <v>0.217</v>
      </c>
      <c r="S3161">
        <f t="shared" ca="1" si="368"/>
        <v>186.3951406993329</v>
      </c>
      <c r="T3161" s="61">
        <f t="shared" ca="1" si="362"/>
        <v>10416</v>
      </c>
      <c r="U3161" s="61">
        <f t="shared" ca="1" si="363"/>
        <v>8157.9161340621276</v>
      </c>
      <c r="V3161" s="39">
        <f t="shared" ca="1" si="364"/>
        <v>5.367050088198768E-2</v>
      </c>
      <c r="W3161" s="48">
        <f t="shared" ca="1" si="365"/>
        <v>0.52813361716822382</v>
      </c>
    </row>
    <row r="3162" spans="17:23" x14ac:dyDescent="0.2">
      <c r="Q3162">
        <f t="shared" si="366"/>
        <v>3146</v>
      </c>
      <c r="R3162" s="48">
        <f t="shared" ca="1" si="367"/>
        <v>0.45</v>
      </c>
      <c r="S3162">
        <f t="shared" ca="1" si="368"/>
        <v>189.05999946612917</v>
      </c>
      <c r="T3162" s="61">
        <f t="shared" ca="1" si="362"/>
        <v>21600</v>
      </c>
      <c r="U3162" s="61">
        <f t="shared" ca="1" si="363"/>
        <v>21186.399765096834</v>
      </c>
      <c r="V3162" s="39">
        <f t="shared" ca="1" si="364"/>
        <v>0.13938420898090023</v>
      </c>
      <c r="W3162" s="48">
        <f t="shared" ca="1" si="365"/>
        <v>1.8817629786015448</v>
      </c>
    </row>
    <row r="3163" spans="17:23" x14ac:dyDescent="0.2">
      <c r="Q3163">
        <f t="shared" si="366"/>
        <v>3147</v>
      </c>
      <c r="R3163" s="48">
        <f t="shared" ca="1" si="367"/>
        <v>0.3</v>
      </c>
      <c r="S3163">
        <f t="shared" ca="1" si="368"/>
        <v>192.94840351146701</v>
      </c>
      <c r="T3163" s="61">
        <f t="shared" ca="1" si="362"/>
        <v>14400</v>
      </c>
      <c r="U3163" s="61">
        <f t="shared" ca="1" si="363"/>
        <v>16051.105966421524</v>
      </c>
      <c r="V3163" s="39">
        <f t="shared" ca="1" si="364"/>
        <v>0.10559938135803634</v>
      </c>
      <c r="W3163" s="48">
        <f t="shared" ca="1" si="365"/>
        <v>1.2574934282038517</v>
      </c>
    </row>
    <row r="3164" spans="17:23" x14ac:dyDescent="0.2">
      <c r="Q3164">
        <f t="shared" si="366"/>
        <v>3148</v>
      </c>
      <c r="R3164" s="48">
        <f t="shared" ca="1" si="367"/>
        <v>0.45</v>
      </c>
      <c r="S3164">
        <f t="shared" ca="1" si="368"/>
        <v>224.42607269793615</v>
      </c>
      <c r="T3164" s="61">
        <f t="shared" ca="1" si="362"/>
        <v>21600</v>
      </c>
      <c r="U3164" s="61">
        <f t="shared" ca="1" si="363"/>
        <v>36747.471987091907</v>
      </c>
      <c r="V3164" s="39">
        <f t="shared" ca="1" si="364"/>
        <v>0.24175968412560464</v>
      </c>
      <c r="W3164" s="48">
        <f t="shared" ca="1" si="365"/>
        <v>4.7909399600980631</v>
      </c>
    </row>
    <row r="3165" spans="17:23" x14ac:dyDescent="0.2">
      <c r="Q3165">
        <f t="shared" si="366"/>
        <v>3149</v>
      </c>
      <c r="R3165" s="48">
        <f t="shared" ca="1" si="367"/>
        <v>0.4</v>
      </c>
      <c r="S3165">
        <f t="shared" ca="1" si="368"/>
        <v>222.49035523614029</v>
      </c>
      <c r="T3165" s="61">
        <f t="shared" ca="1" si="362"/>
        <v>19200</v>
      </c>
      <c r="U3165" s="61">
        <f t="shared" ca="1" si="363"/>
        <v>34795.370513347341</v>
      </c>
      <c r="V3165" s="39">
        <f t="shared" ca="1" si="364"/>
        <v>0.22891691127202199</v>
      </c>
      <c r="W3165" s="48">
        <f t="shared" ca="1" si="365"/>
        <v>4.3226402266896953</v>
      </c>
    </row>
    <row r="3166" spans="17:23" x14ac:dyDescent="0.2">
      <c r="Q3166">
        <f t="shared" si="366"/>
        <v>3150</v>
      </c>
      <c r="R3166" s="48">
        <f t="shared" ca="1" si="367"/>
        <v>0.3</v>
      </c>
      <c r="S3166">
        <f t="shared" ca="1" si="368"/>
        <v>189.56206502644608</v>
      </c>
      <c r="T3166" s="61">
        <f t="shared" ca="1" si="362"/>
        <v>14400</v>
      </c>
      <c r="U3166" s="61">
        <f t="shared" ca="1" si="363"/>
        <v>14154.756414809803</v>
      </c>
      <c r="V3166" s="39">
        <f t="shared" ca="1" si="364"/>
        <v>9.3123397465853963E-2</v>
      </c>
      <c r="W3166" s="48">
        <f t="shared" ca="1" si="365"/>
        <v>1.0589703744912904</v>
      </c>
    </row>
    <row r="3167" spans="17:23" x14ac:dyDescent="0.2">
      <c r="Q3167">
        <f t="shared" si="366"/>
        <v>3151</v>
      </c>
      <c r="R3167" s="48">
        <f t="shared" ca="1" si="367"/>
        <v>0.3</v>
      </c>
      <c r="S3167">
        <f t="shared" ca="1" si="368"/>
        <v>154.83010000029441</v>
      </c>
      <c r="T3167" s="61">
        <f t="shared" ca="1" si="362"/>
        <v>14400</v>
      </c>
      <c r="U3167" s="61">
        <f t="shared" ca="1" si="363"/>
        <v>-5295.1439998351307</v>
      </c>
      <c r="V3167" s="39">
        <f t="shared" ca="1" si="364"/>
        <v>-3.4836473683125861E-2</v>
      </c>
      <c r="W3167" s="48">
        <f t="shared" ca="1" si="365"/>
        <v>-0.24993966251465416</v>
      </c>
    </row>
    <row r="3168" spans="17:23" x14ac:dyDescent="0.2">
      <c r="Q3168">
        <f t="shared" si="366"/>
        <v>3152</v>
      </c>
      <c r="R3168" s="48">
        <f t="shared" ca="1" si="367"/>
        <v>0.3</v>
      </c>
      <c r="S3168">
        <f t="shared" ca="1" si="368"/>
        <v>201.47425084407558</v>
      </c>
      <c r="T3168" s="61">
        <f t="shared" ca="1" si="362"/>
        <v>14400</v>
      </c>
      <c r="U3168" s="61">
        <f t="shared" ca="1" si="363"/>
        <v>20825.580472682326</v>
      </c>
      <c r="V3168" s="39">
        <f t="shared" ca="1" si="364"/>
        <v>0.13701039784659425</v>
      </c>
      <c r="W3168" s="48">
        <f t="shared" ca="1" si="365"/>
        <v>1.8334238079610259</v>
      </c>
    </row>
    <row r="3169" spans="17:23" x14ac:dyDescent="0.2">
      <c r="Q3169">
        <f t="shared" si="366"/>
        <v>3153</v>
      </c>
      <c r="R3169" s="48">
        <f t="shared" ca="1" si="367"/>
        <v>0.4</v>
      </c>
      <c r="S3169">
        <f t="shared" ca="1" si="368"/>
        <v>194.13670672142166</v>
      </c>
      <c r="T3169" s="61">
        <f t="shared" ca="1" si="362"/>
        <v>19200</v>
      </c>
      <c r="U3169" s="61">
        <f t="shared" ca="1" si="363"/>
        <v>21185.619226282397</v>
      </c>
      <c r="V3169" s="39">
        <f t="shared" ca="1" si="364"/>
        <v>0.13937907385712103</v>
      </c>
      <c r="W3169" s="48">
        <f t="shared" ca="1" si="365"/>
        <v>1.881657633979485</v>
      </c>
    </row>
    <row r="3170" spans="17:23" x14ac:dyDescent="0.2">
      <c r="Q3170">
        <f t="shared" si="366"/>
        <v>3154</v>
      </c>
      <c r="R3170" s="48">
        <f t="shared" ca="1" si="367"/>
        <v>0.4</v>
      </c>
      <c r="S3170">
        <f t="shared" ca="1" si="368"/>
        <v>215.87002565701226</v>
      </c>
      <c r="T3170" s="61">
        <f t="shared" ca="1" si="362"/>
        <v>19200</v>
      </c>
      <c r="U3170" s="61">
        <f t="shared" ca="1" si="363"/>
        <v>31617.612315365885</v>
      </c>
      <c r="V3170" s="39">
        <f t="shared" ca="1" si="364"/>
        <v>0.20801060733793345</v>
      </c>
      <c r="W3170" s="48">
        <f t="shared" ca="1" si="365"/>
        <v>3.6311084801137294</v>
      </c>
    </row>
    <row r="3171" spans="17:23" x14ac:dyDescent="0.2">
      <c r="Q3171">
        <f t="shared" si="366"/>
        <v>3155</v>
      </c>
      <c r="R3171" s="48">
        <f t="shared" ca="1" si="367"/>
        <v>0.3</v>
      </c>
      <c r="S3171">
        <f t="shared" ca="1" si="368"/>
        <v>189.75168687186189</v>
      </c>
      <c r="T3171" s="61">
        <f t="shared" ca="1" si="362"/>
        <v>14400</v>
      </c>
      <c r="U3171" s="61">
        <f t="shared" ca="1" si="363"/>
        <v>14260.944648242659</v>
      </c>
      <c r="V3171" s="39">
        <f t="shared" ca="1" si="364"/>
        <v>9.3822004264754344E-2</v>
      </c>
      <c r="W3171" s="48">
        <f t="shared" ca="1" si="365"/>
        <v>1.0696678447880958</v>
      </c>
    </row>
    <row r="3172" spans="17:23" x14ac:dyDescent="0.2">
      <c r="Q3172">
        <f t="shared" si="366"/>
        <v>3156</v>
      </c>
      <c r="R3172" s="48">
        <f t="shared" ca="1" si="367"/>
        <v>0.45</v>
      </c>
      <c r="S3172">
        <f t="shared" ca="1" si="368"/>
        <v>153.13150939002836</v>
      </c>
      <c r="T3172" s="61">
        <f t="shared" ca="1" si="362"/>
        <v>21600</v>
      </c>
      <c r="U3172" s="61">
        <f t="shared" ca="1" si="363"/>
        <v>5377.864131612474</v>
      </c>
      <c r="V3172" s="39">
        <f t="shared" ca="1" si="364"/>
        <v>3.5380685076397855E-2</v>
      </c>
      <c r="W3172" s="48">
        <f t="shared" ca="1" si="365"/>
        <v>0.32580073773375928</v>
      </c>
    </row>
    <row r="3173" spans="17:23" x14ac:dyDescent="0.2">
      <c r="Q3173">
        <f t="shared" si="366"/>
        <v>3157</v>
      </c>
      <c r="R3173" s="48">
        <f t="shared" ca="1" si="367"/>
        <v>0.35</v>
      </c>
      <c r="S3173">
        <f t="shared" ca="1" si="368"/>
        <v>211.76942045157446</v>
      </c>
      <c r="T3173" s="61">
        <f t="shared" ca="1" si="362"/>
        <v>16800</v>
      </c>
      <c r="U3173" s="61">
        <f t="shared" ca="1" si="363"/>
        <v>28120.098634818722</v>
      </c>
      <c r="V3173" s="39">
        <f t="shared" ca="1" si="364"/>
        <v>0.18500064891328105</v>
      </c>
      <c r="W3173" s="48">
        <f t="shared" ca="1" si="365"/>
        <v>2.9622297963282773</v>
      </c>
    </row>
    <row r="3174" spans="17:23" x14ac:dyDescent="0.2">
      <c r="Q3174">
        <f t="shared" si="366"/>
        <v>3158</v>
      </c>
      <c r="R3174" s="48">
        <f t="shared" ca="1" si="367"/>
        <v>0.3</v>
      </c>
      <c r="S3174">
        <f t="shared" ca="1" si="368"/>
        <v>240.26607656000647</v>
      </c>
      <c r="T3174" s="61">
        <f t="shared" ca="1" si="362"/>
        <v>14400</v>
      </c>
      <c r="U3174" s="61">
        <f t="shared" ca="1" si="363"/>
        <v>42549.002873603618</v>
      </c>
      <c r="V3174" s="39">
        <f t="shared" ca="1" si="364"/>
        <v>0.27992765048423435</v>
      </c>
      <c r="W3174" s="48">
        <f t="shared" ca="1" si="365"/>
        <v>6.4027462277947409</v>
      </c>
    </row>
    <row r="3175" spans="17:23" x14ac:dyDescent="0.2">
      <c r="Q3175">
        <f t="shared" si="366"/>
        <v>3159</v>
      </c>
      <c r="R3175" s="48">
        <f t="shared" ca="1" si="367"/>
        <v>0.15</v>
      </c>
      <c r="S3175">
        <f t="shared" ca="1" si="368"/>
        <v>181.7994358956033</v>
      </c>
      <c r="T3175" s="61">
        <f t="shared" ca="1" si="362"/>
        <v>7200</v>
      </c>
      <c r="U3175" s="61">
        <f t="shared" ca="1" si="363"/>
        <v>1623.6164090102411</v>
      </c>
      <c r="V3175" s="39">
        <f t="shared" ca="1" si="364"/>
        <v>1.0681686901383165E-2</v>
      </c>
      <c r="W3175" s="48">
        <f t="shared" ca="1" si="365"/>
        <v>9.000347659230501E-2</v>
      </c>
    </row>
    <row r="3176" spans="17:23" x14ac:dyDescent="0.2">
      <c r="Q3176">
        <f t="shared" si="366"/>
        <v>3160</v>
      </c>
      <c r="R3176" s="48">
        <f t="shared" ca="1" si="367"/>
        <v>0.217</v>
      </c>
      <c r="S3176">
        <f t="shared" ca="1" si="368"/>
        <v>182.39526957244234</v>
      </c>
      <c r="T3176" s="61">
        <f t="shared" ca="1" si="362"/>
        <v>10416</v>
      </c>
      <c r="U3176" s="61">
        <f t="shared" ca="1" si="363"/>
        <v>5652.3968601778852</v>
      </c>
      <c r="V3176" s="39">
        <f t="shared" ca="1" si="364"/>
        <v>3.7186821448538715E-2</v>
      </c>
      <c r="W3176" s="48">
        <f t="shared" ca="1" si="365"/>
        <v>0.3446764764954624</v>
      </c>
    </row>
    <row r="3177" spans="17:23" x14ac:dyDescent="0.2">
      <c r="Q3177">
        <f t="shared" si="366"/>
        <v>3161</v>
      </c>
      <c r="R3177" s="48">
        <f t="shared" ca="1" si="367"/>
        <v>0.15</v>
      </c>
      <c r="S3177">
        <f t="shared" ca="1" si="368"/>
        <v>182.2412669085281</v>
      </c>
      <c r="T3177" s="61">
        <f t="shared" ca="1" si="362"/>
        <v>7200</v>
      </c>
      <c r="U3177" s="61">
        <f t="shared" ca="1" si="363"/>
        <v>1924.0614977991108</v>
      </c>
      <c r="V3177" s="39">
        <f t="shared" ca="1" si="364"/>
        <v>1.265829932762573E-2</v>
      </c>
      <c r="W3177" s="48">
        <f t="shared" ca="1" si="365"/>
        <v>0.10741500232260948</v>
      </c>
    </row>
    <row r="3178" spans="17:23" x14ac:dyDescent="0.2">
      <c r="Q3178">
        <f t="shared" si="366"/>
        <v>3162</v>
      </c>
      <c r="R3178" s="48">
        <f t="shared" ca="1" si="367"/>
        <v>0.35</v>
      </c>
      <c r="S3178">
        <f t="shared" ca="1" si="368"/>
        <v>215.26542043707539</v>
      </c>
      <c r="T3178" s="61">
        <f t="shared" ca="1" si="362"/>
        <v>16800</v>
      </c>
      <c r="U3178" s="61">
        <f t="shared" ca="1" si="363"/>
        <v>29938.018627279205</v>
      </c>
      <c r="V3178" s="39">
        <f t="shared" ca="1" si="364"/>
        <v>0.19696064886367898</v>
      </c>
      <c r="W3178" s="48">
        <f t="shared" ca="1" si="365"/>
        <v>3.2984761760846855</v>
      </c>
    </row>
    <row r="3179" spans="17:23" x14ac:dyDescent="0.2">
      <c r="Q3179">
        <f t="shared" si="366"/>
        <v>3163</v>
      </c>
      <c r="R3179" s="48">
        <f t="shared" ca="1" si="367"/>
        <v>0.45</v>
      </c>
      <c r="S3179">
        <f t="shared" ca="1" si="368"/>
        <v>217.63077530608942</v>
      </c>
      <c r="T3179" s="61">
        <f t="shared" ca="1" si="362"/>
        <v>21600</v>
      </c>
      <c r="U3179" s="61">
        <f t="shared" ca="1" si="363"/>
        <v>33757.541134679348</v>
      </c>
      <c r="V3179" s="39">
        <f t="shared" ca="1" si="364"/>
        <v>0.22208908641236413</v>
      </c>
      <c r="W3179" s="48">
        <f t="shared" ca="1" si="365"/>
        <v>4.087460170609007</v>
      </c>
    </row>
    <row r="3180" spans="17:23" x14ac:dyDescent="0.2">
      <c r="Q3180">
        <f t="shared" si="366"/>
        <v>3164</v>
      </c>
      <c r="R3180" s="48">
        <f t="shared" ca="1" si="367"/>
        <v>0.45</v>
      </c>
      <c r="S3180">
        <f t="shared" ca="1" si="368"/>
        <v>189.84317534872147</v>
      </c>
      <c r="T3180" s="61">
        <f t="shared" ca="1" si="362"/>
        <v>21600</v>
      </c>
      <c r="U3180" s="61">
        <f t="shared" ca="1" si="363"/>
        <v>21530.997153437449</v>
      </c>
      <c r="V3180" s="39">
        <f t="shared" ca="1" si="364"/>
        <v>0.14165129706208848</v>
      </c>
      <c r="W3180" s="48">
        <f t="shared" ca="1" si="365"/>
        <v>1.9286023299623936</v>
      </c>
    </row>
    <row r="3181" spans="17:23" x14ac:dyDescent="0.2">
      <c r="Q3181">
        <f t="shared" si="366"/>
        <v>3165</v>
      </c>
      <c r="R3181" s="48">
        <f t="shared" ca="1" si="367"/>
        <v>0.217</v>
      </c>
      <c r="S3181">
        <f t="shared" ca="1" si="368"/>
        <v>190.77607475645652</v>
      </c>
      <c r="T3181" s="61">
        <f t="shared" ca="1" si="362"/>
        <v>10416</v>
      </c>
      <c r="U3181" s="61">
        <f t="shared" ca="1" si="363"/>
        <v>10902.133227444367</v>
      </c>
      <c r="V3181" s="39">
        <f t="shared" ca="1" si="364"/>
        <v>7.1724560706870832E-2</v>
      </c>
      <c r="W3181" s="48">
        <f t="shared" ca="1" si="365"/>
        <v>0.75391298896119041</v>
      </c>
    </row>
    <row r="3182" spans="17:23" x14ac:dyDescent="0.2">
      <c r="Q3182">
        <f t="shared" si="366"/>
        <v>3166</v>
      </c>
      <c r="R3182" s="48">
        <f t="shared" ca="1" si="367"/>
        <v>0.217</v>
      </c>
      <c r="S3182">
        <f t="shared" ca="1" si="368"/>
        <v>189.71718515948061</v>
      </c>
      <c r="T3182" s="61">
        <f t="shared" ca="1" si="362"/>
        <v>10416</v>
      </c>
      <c r="U3182" s="61">
        <f t="shared" ca="1" si="363"/>
        <v>10238.844783898652</v>
      </c>
      <c r="V3182" s="39">
        <f t="shared" ca="1" si="364"/>
        <v>6.7360820946701663E-2</v>
      </c>
      <c r="W3182" s="48">
        <f t="shared" ca="1" si="365"/>
        <v>0.69681991999834914</v>
      </c>
    </row>
    <row r="3183" spans="17:23" x14ac:dyDescent="0.2">
      <c r="Q3183">
        <f t="shared" si="366"/>
        <v>3167</v>
      </c>
      <c r="R3183" s="48">
        <f t="shared" ca="1" si="367"/>
        <v>0.35</v>
      </c>
      <c r="S3183">
        <f t="shared" ca="1" si="368"/>
        <v>191.29885546713919</v>
      </c>
      <c r="T3183" s="61">
        <f t="shared" ca="1" si="362"/>
        <v>16800</v>
      </c>
      <c r="U3183" s="61">
        <f t="shared" ca="1" si="363"/>
        <v>17475.40484291238</v>
      </c>
      <c r="V3183" s="39">
        <f t="shared" ca="1" si="364"/>
        <v>0.11496976870337092</v>
      </c>
      <c r="W3183" s="48">
        <f t="shared" ca="1" si="365"/>
        <v>1.4174427134212779</v>
      </c>
    </row>
    <row r="3184" spans="17:23" x14ac:dyDescent="0.2">
      <c r="Q3184">
        <f t="shared" si="366"/>
        <v>3168</v>
      </c>
      <c r="R3184" s="48">
        <f t="shared" ca="1" si="367"/>
        <v>0.3</v>
      </c>
      <c r="S3184">
        <f t="shared" ca="1" si="368"/>
        <v>164.54432767492108</v>
      </c>
      <c r="T3184" s="61">
        <f t="shared" ca="1" si="362"/>
        <v>14400</v>
      </c>
      <c r="U3184" s="61">
        <f t="shared" ca="1" si="363"/>
        <v>144.82349795580376</v>
      </c>
      <c r="V3184" s="39">
        <f t="shared" ca="1" si="364"/>
        <v>9.5278617076186684E-4</v>
      </c>
      <c r="W3184" s="48">
        <f t="shared" ca="1" si="365"/>
        <v>7.7543859174784568E-3</v>
      </c>
    </row>
    <row r="3185" spans="17:23" x14ac:dyDescent="0.2">
      <c r="Q3185">
        <f t="shared" si="366"/>
        <v>3169</v>
      </c>
      <c r="R3185" s="48">
        <f t="shared" ca="1" si="367"/>
        <v>0.3</v>
      </c>
      <c r="S3185">
        <f t="shared" ca="1" si="368"/>
        <v>200.43317445263992</v>
      </c>
      <c r="T3185" s="61">
        <f t="shared" ca="1" si="362"/>
        <v>14400</v>
      </c>
      <c r="U3185" s="61">
        <f t="shared" ca="1" si="363"/>
        <v>20242.577693478353</v>
      </c>
      <c r="V3185" s="39">
        <f t="shared" ca="1" si="364"/>
        <v>0.13317485324656811</v>
      </c>
      <c r="W3185" s="48">
        <f t="shared" ca="1" si="365"/>
        <v>1.7568200507921983</v>
      </c>
    </row>
    <row r="3186" spans="17:23" x14ac:dyDescent="0.2">
      <c r="Q3186">
        <f t="shared" si="366"/>
        <v>3170</v>
      </c>
      <c r="R3186" s="48">
        <f t="shared" ca="1" si="367"/>
        <v>0.4</v>
      </c>
      <c r="S3186">
        <f t="shared" ca="1" si="368"/>
        <v>156.98236807617437</v>
      </c>
      <c r="T3186" s="61">
        <f t="shared" ca="1" si="362"/>
        <v>19200</v>
      </c>
      <c r="U3186" s="61">
        <f t="shared" ca="1" si="363"/>
        <v>3351.5366765636973</v>
      </c>
      <c r="V3186" s="39">
        <f t="shared" ca="1" si="364"/>
        <v>2.2049583398445375E-2</v>
      </c>
      <c r="W3186" s="48">
        <f t="shared" ca="1" si="365"/>
        <v>0.19351577874267956</v>
      </c>
    </row>
    <row r="3187" spans="17:23" x14ac:dyDescent="0.2">
      <c r="Q3187">
        <f t="shared" si="366"/>
        <v>3171</v>
      </c>
      <c r="R3187" s="48">
        <f t="shared" ca="1" si="367"/>
        <v>0.35</v>
      </c>
      <c r="S3187">
        <f t="shared" ca="1" si="368"/>
        <v>190.42881252546519</v>
      </c>
      <c r="T3187" s="61">
        <f t="shared" ca="1" si="362"/>
        <v>16800</v>
      </c>
      <c r="U3187" s="61">
        <f t="shared" ca="1" si="363"/>
        <v>17022.982513241899</v>
      </c>
      <c r="V3187" s="39">
        <f t="shared" ca="1" si="364"/>
        <v>0.1119933060081704</v>
      </c>
      <c r="W3187" s="48">
        <f t="shared" ca="1" si="365"/>
        <v>1.3655920212222106</v>
      </c>
    </row>
    <row r="3188" spans="17:23" x14ac:dyDescent="0.2">
      <c r="Q3188">
        <f t="shared" si="366"/>
        <v>3172</v>
      </c>
      <c r="R3188" s="48">
        <f t="shared" ca="1" si="367"/>
        <v>0.3</v>
      </c>
      <c r="S3188">
        <f t="shared" ca="1" si="368"/>
        <v>180.92966656521259</v>
      </c>
      <c r="T3188" s="61">
        <f t="shared" ca="1" si="362"/>
        <v>14400</v>
      </c>
      <c r="U3188" s="61">
        <f t="shared" ca="1" si="363"/>
        <v>9320.6132765190487</v>
      </c>
      <c r="V3188" s="39">
        <f t="shared" ca="1" si="364"/>
        <v>6.131982418762532E-2</v>
      </c>
      <c r="W3188" s="48">
        <f t="shared" ca="1" si="365"/>
        <v>0.62047382257621742</v>
      </c>
    </row>
    <row r="3189" spans="17:23" x14ac:dyDescent="0.2">
      <c r="Q3189">
        <f t="shared" si="366"/>
        <v>3173</v>
      </c>
      <c r="R3189" s="48">
        <f t="shared" ca="1" si="367"/>
        <v>0.3</v>
      </c>
      <c r="S3189">
        <f t="shared" ca="1" si="368"/>
        <v>193.99293227743505</v>
      </c>
      <c r="T3189" s="61">
        <f t="shared" ca="1" si="362"/>
        <v>14400</v>
      </c>
      <c r="U3189" s="61">
        <f t="shared" ca="1" si="363"/>
        <v>16636.042075363624</v>
      </c>
      <c r="V3189" s="39">
        <f t="shared" ca="1" si="364"/>
        <v>0.10944764523265542</v>
      </c>
      <c r="W3189" s="48">
        <f t="shared" ca="1" si="365"/>
        <v>1.3220222122848964</v>
      </c>
    </row>
    <row r="3190" spans="17:23" x14ac:dyDescent="0.2">
      <c r="Q3190">
        <f t="shared" si="366"/>
        <v>3174</v>
      </c>
      <c r="R3190" s="48">
        <f t="shared" ca="1" si="367"/>
        <v>0.45</v>
      </c>
      <c r="S3190">
        <f t="shared" ca="1" si="368"/>
        <v>189.69559851198437</v>
      </c>
      <c r="T3190" s="61">
        <f t="shared" ca="1" si="362"/>
        <v>21600</v>
      </c>
      <c r="U3190" s="61">
        <f t="shared" ca="1" si="363"/>
        <v>21466.063345273124</v>
      </c>
      <c r="V3190" s="39">
        <f t="shared" ca="1" si="364"/>
        <v>0.14122410095574423</v>
      </c>
      <c r="W3190" s="48">
        <f t="shared" ca="1" si="365"/>
        <v>1.9197255222805492</v>
      </c>
    </row>
    <row r="3191" spans="17:23" x14ac:dyDescent="0.2">
      <c r="Q3191">
        <f t="shared" si="366"/>
        <v>3175</v>
      </c>
      <c r="R3191" s="48">
        <f t="shared" ca="1" si="367"/>
        <v>0.35</v>
      </c>
      <c r="S3191">
        <f t="shared" ca="1" si="368"/>
        <v>159.20259547900153</v>
      </c>
      <c r="T3191" s="61">
        <f t="shared" ca="1" si="362"/>
        <v>16800</v>
      </c>
      <c r="U3191" s="61">
        <f t="shared" ca="1" si="363"/>
        <v>785.34964908079564</v>
      </c>
      <c r="V3191" s="39">
        <f t="shared" ca="1" si="364"/>
        <v>5.1667740071104978E-3</v>
      </c>
      <c r="W3191" s="48">
        <f t="shared" ca="1" si="365"/>
        <v>4.2686321352399359E-2</v>
      </c>
    </row>
    <row r="3192" spans="17:23" x14ac:dyDescent="0.2">
      <c r="Q3192">
        <f t="shared" si="366"/>
        <v>3176</v>
      </c>
      <c r="R3192" s="48">
        <f t="shared" ca="1" si="367"/>
        <v>0.4</v>
      </c>
      <c r="S3192">
        <f t="shared" ca="1" si="368"/>
        <v>211.23915625503736</v>
      </c>
      <c r="T3192" s="61">
        <f t="shared" ca="1" si="362"/>
        <v>19200</v>
      </c>
      <c r="U3192" s="61">
        <f t="shared" ca="1" si="363"/>
        <v>29394.79500241793</v>
      </c>
      <c r="V3192" s="39">
        <f t="shared" ca="1" si="364"/>
        <v>0.19338680922643375</v>
      </c>
      <c r="W3192" s="48">
        <f t="shared" ca="1" si="365"/>
        <v>3.1954747682312803</v>
      </c>
    </row>
    <row r="3193" spans="17:23" x14ac:dyDescent="0.2">
      <c r="Q3193">
        <f t="shared" si="366"/>
        <v>3177</v>
      </c>
      <c r="R3193" s="48">
        <f t="shared" ca="1" si="367"/>
        <v>0.4</v>
      </c>
      <c r="S3193">
        <f t="shared" ca="1" si="368"/>
        <v>159.21990991760407</v>
      </c>
      <c r="T3193" s="61">
        <f t="shared" ref="T3193:T3256" ca="1" si="369">($B$8-$B$7)*($E$6*R3193)</f>
        <v>19200</v>
      </c>
      <c r="U3193" s="61">
        <f t="shared" ref="U3193:U3256" ca="1" si="370">T3193+((S3193-$B$7)*($E$6*(1-R3193)))</f>
        <v>4425.5567604499538</v>
      </c>
      <c r="V3193" s="39">
        <f t="shared" ref="V3193:V3256" ca="1" si="371">U3193/$E$4</f>
        <v>2.9115505002960222E-2</v>
      </c>
      <c r="W3193" s="48">
        <f t="shared" ref="W3193:W3256" ca="1" si="372">(1+V3193)^($J$29/$J$30)-1</f>
        <v>0.26211193675368327</v>
      </c>
    </row>
    <row r="3194" spans="17:23" x14ac:dyDescent="0.2">
      <c r="Q3194">
        <f t="shared" si="366"/>
        <v>3178</v>
      </c>
      <c r="R3194" s="48">
        <f t="shared" ca="1" si="367"/>
        <v>0.217</v>
      </c>
      <c r="S3194">
        <f t="shared" ca="1" si="368"/>
        <v>178.10489153147705</v>
      </c>
      <c r="T3194" s="61">
        <f t="shared" ca="1" si="369"/>
        <v>10416</v>
      </c>
      <c r="U3194" s="61">
        <f t="shared" ca="1" si="370"/>
        <v>2964.9040553172254</v>
      </c>
      <c r="V3194" s="39">
        <f t="shared" ca="1" si="371"/>
        <v>1.9505947732350166E-2</v>
      </c>
      <c r="W3194" s="48">
        <f t="shared" ca="1" si="372"/>
        <v>0.16963486679029294</v>
      </c>
    </row>
    <row r="3195" spans="17:23" x14ac:dyDescent="0.2">
      <c r="Q3195">
        <f t="shared" si="366"/>
        <v>3179</v>
      </c>
      <c r="R3195" s="48">
        <f t="shared" ca="1" si="367"/>
        <v>0.3</v>
      </c>
      <c r="S3195">
        <f t="shared" ca="1" si="368"/>
        <v>193.07924903421508</v>
      </c>
      <c r="T3195" s="61">
        <f t="shared" ca="1" si="369"/>
        <v>14400</v>
      </c>
      <c r="U3195" s="61">
        <f t="shared" ca="1" si="370"/>
        <v>16124.379459160446</v>
      </c>
      <c r="V3195" s="39">
        <f t="shared" ca="1" si="371"/>
        <v>0.10608144381026609</v>
      </c>
      <c r="W3195" s="48">
        <f t="shared" ca="1" si="372"/>
        <v>1.2654896663986035</v>
      </c>
    </row>
    <row r="3196" spans="17:23" x14ac:dyDescent="0.2">
      <c r="Q3196">
        <f t="shared" si="366"/>
        <v>3180</v>
      </c>
      <c r="R3196" s="48">
        <f t="shared" ca="1" si="367"/>
        <v>0.35</v>
      </c>
      <c r="S3196">
        <f t="shared" ca="1" si="368"/>
        <v>228.81876517982937</v>
      </c>
      <c r="T3196" s="61">
        <f t="shared" ca="1" si="369"/>
        <v>16800</v>
      </c>
      <c r="U3196" s="61">
        <f t="shared" ca="1" si="370"/>
        <v>36985.757893511269</v>
      </c>
      <c r="V3196" s="39">
        <f t="shared" ca="1" si="371"/>
        <v>0.24332735456257415</v>
      </c>
      <c r="W3196" s="48">
        <f t="shared" ca="1" si="372"/>
        <v>4.8505057216454874</v>
      </c>
    </row>
    <row r="3197" spans="17:23" x14ac:dyDescent="0.2">
      <c r="Q3197">
        <f t="shared" si="366"/>
        <v>3181</v>
      </c>
      <c r="R3197" s="48">
        <f t="shared" ca="1" si="367"/>
        <v>0.3</v>
      </c>
      <c r="S3197">
        <f t="shared" ca="1" si="368"/>
        <v>155.97253142811451</v>
      </c>
      <c r="T3197" s="61">
        <f t="shared" ca="1" si="369"/>
        <v>14400</v>
      </c>
      <c r="U3197" s="61">
        <f t="shared" ca="1" si="370"/>
        <v>-4655.3824002558758</v>
      </c>
      <c r="V3197" s="39">
        <f t="shared" ca="1" si="371"/>
        <v>-3.0627515791157078E-2</v>
      </c>
      <c r="W3197" s="48">
        <f t="shared" ca="1" si="372"/>
        <v>-0.22299382595684658</v>
      </c>
    </row>
    <row r="3198" spans="17:23" x14ac:dyDescent="0.2">
      <c r="Q3198">
        <f t="shared" si="366"/>
        <v>3182</v>
      </c>
      <c r="R3198" s="48">
        <f t="shared" ca="1" si="367"/>
        <v>0.4</v>
      </c>
      <c r="S3198">
        <f t="shared" ca="1" si="368"/>
        <v>223.16522784123998</v>
      </c>
      <c r="T3198" s="61">
        <f t="shared" ca="1" si="369"/>
        <v>19200</v>
      </c>
      <c r="U3198" s="61">
        <f t="shared" ca="1" si="370"/>
        <v>35119.30936379519</v>
      </c>
      <c r="V3198" s="39">
        <f t="shared" ca="1" si="371"/>
        <v>0.23104808791970519</v>
      </c>
      <c r="W3198" s="48">
        <f t="shared" ca="1" si="372"/>
        <v>4.3979729133577328</v>
      </c>
    </row>
    <row r="3199" spans="17:23" x14ac:dyDescent="0.2">
      <c r="Q3199">
        <f t="shared" si="366"/>
        <v>3183</v>
      </c>
      <c r="R3199" s="48">
        <f t="shared" ca="1" si="367"/>
        <v>0.45</v>
      </c>
      <c r="S3199">
        <f t="shared" ca="1" si="368"/>
        <v>154.10439348483351</v>
      </c>
      <c r="T3199" s="61">
        <f t="shared" ca="1" si="369"/>
        <v>21600</v>
      </c>
      <c r="U3199" s="61">
        <f t="shared" ca="1" si="370"/>
        <v>5805.9331333267419</v>
      </c>
      <c r="V3199" s="39">
        <f t="shared" ca="1" si="371"/>
        <v>3.8196928508728564E-2</v>
      </c>
      <c r="W3199" s="48">
        <f t="shared" ca="1" si="372"/>
        <v>0.35533538651246754</v>
      </c>
    </row>
    <row r="3200" spans="17:23" x14ac:dyDescent="0.2">
      <c r="Q3200">
        <f t="shared" si="366"/>
        <v>3184</v>
      </c>
      <c r="R3200" s="48">
        <f t="shared" ca="1" si="367"/>
        <v>0.4</v>
      </c>
      <c r="S3200">
        <f t="shared" ca="1" si="368"/>
        <v>186.49459256720382</v>
      </c>
      <c r="T3200" s="61">
        <f t="shared" ca="1" si="369"/>
        <v>19200</v>
      </c>
      <c r="U3200" s="61">
        <f t="shared" ca="1" si="370"/>
        <v>17517.404432257834</v>
      </c>
      <c r="V3200" s="39">
        <f t="shared" ca="1" si="371"/>
        <v>0.11524608179116996</v>
      </c>
      <c r="W3200" s="48">
        <f t="shared" ca="1" si="372"/>
        <v>1.4223063106874116</v>
      </c>
    </row>
    <row r="3201" spans="17:23" x14ac:dyDescent="0.2">
      <c r="Q3201">
        <f t="shared" si="366"/>
        <v>3185</v>
      </c>
      <c r="R3201" s="48">
        <f t="shared" ca="1" si="367"/>
        <v>0.3</v>
      </c>
      <c r="S3201">
        <f t="shared" ca="1" si="368"/>
        <v>174.71257970199889</v>
      </c>
      <c r="T3201" s="61">
        <f t="shared" ca="1" si="369"/>
        <v>14400</v>
      </c>
      <c r="U3201" s="61">
        <f t="shared" ca="1" si="370"/>
        <v>5839.044633119378</v>
      </c>
      <c r="V3201" s="39">
        <f t="shared" ca="1" si="371"/>
        <v>3.8414767323153805E-2</v>
      </c>
      <c r="W3201" s="48">
        <f t="shared" ca="1" si="372"/>
        <v>0.35764376316195312</v>
      </c>
    </row>
    <row r="3202" spans="17:23" x14ac:dyDescent="0.2">
      <c r="Q3202">
        <f t="shared" si="366"/>
        <v>3186</v>
      </c>
      <c r="R3202" s="48">
        <f t="shared" ca="1" si="367"/>
        <v>0.35</v>
      </c>
      <c r="S3202">
        <f t="shared" ca="1" si="368"/>
        <v>198.82509223195834</v>
      </c>
      <c r="T3202" s="61">
        <f t="shared" ca="1" si="369"/>
        <v>16800</v>
      </c>
      <c r="U3202" s="61">
        <f t="shared" ca="1" si="370"/>
        <v>21389.047960618336</v>
      </c>
      <c r="V3202" s="39">
        <f t="shared" ca="1" si="371"/>
        <v>0.14071742079354169</v>
      </c>
      <c r="W3202" s="48">
        <f t="shared" ca="1" si="372"/>
        <v>1.9092276847444767</v>
      </c>
    </row>
    <row r="3203" spans="17:23" x14ac:dyDescent="0.2">
      <c r="Q3203">
        <f t="shared" si="366"/>
        <v>3187</v>
      </c>
      <c r="R3203" s="48">
        <f t="shared" ca="1" si="367"/>
        <v>0.3</v>
      </c>
      <c r="S3203">
        <f t="shared" ca="1" si="368"/>
        <v>204.25375687487764</v>
      </c>
      <c r="T3203" s="61">
        <f t="shared" ca="1" si="369"/>
        <v>14400</v>
      </c>
      <c r="U3203" s="61">
        <f t="shared" ca="1" si="370"/>
        <v>22382.103849931478</v>
      </c>
      <c r="V3203" s="39">
        <f t="shared" ca="1" si="371"/>
        <v>0.1472506832232334</v>
      </c>
      <c r="W3203" s="48">
        <f t="shared" ca="1" si="372"/>
        <v>2.0471603092945729</v>
      </c>
    </row>
    <row r="3204" spans="17:23" x14ac:dyDescent="0.2">
      <c r="Q3204">
        <f t="shared" si="366"/>
        <v>3188</v>
      </c>
      <c r="R3204" s="48">
        <f t="shared" ca="1" si="367"/>
        <v>0.5</v>
      </c>
      <c r="S3204">
        <f t="shared" ca="1" si="368"/>
        <v>180.32674325341679</v>
      </c>
      <c r="T3204" s="61">
        <f t="shared" ca="1" si="369"/>
        <v>24000</v>
      </c>
      <c r="U3204" s="61">
        <f t="shared" ca="1" si="370"/>
        <v>20130.697301366716</v>
      </c>
      <c r="V3204" s="39">
        <f t="shared" ca="1" si="371"/>
        <v>0.13243879803530734</v>
      </c>
      <c r="W3204" s="48">
        <f t="shared" ca="1" si="372"/>
        <v>1.7423290162351086</v>
      </c>
    </row>
    <row r="3205" spans="17:23" x14ac:dyDescent="0.2">
      <c r="Q3205">
        <f t="shared" si="366"/>
        <v>3189</v>
      </c>
      <c r="R3205" s="48">
        <f t="shared" ca="1" si="367"/>
        <v>0.15</v>
      </c>
      <c r="S3205">
        <f t="shared" ca="1" si="368"/>
        <v>184.38278805101112</v>
      </c>
      <c r="T3205" s="61">
        <f t="shared" ca="1" si="369"/>
        <v>7200</v>
      </c>
      <c r="U3205" s="61">
        <f t="shared" ca="1" si="370"/>
        <v>3380.2958746875606</v>
      </c>
      <c r="V3205" s="39">
        <f t="shared" ca="1" si="371"/>
        <v>2.2238788649260266E-2</v>
      </c>
      <c r="W3205" s="48">
        <f t="shared" ca="1" si="372"/>
        <v>0.19530908972560046</v>
      </c>
    </row>
    <row r="3206" spans="17:23" x14ac:dyDescent="0.2">
      <c r="Q3206">
        <f t="shared" si="366"/>
        <v>3190</v>
      </c>
      <c r="R3206" s="48">
        <f t="shared" ca="1" si="367"/>
        <v>0.217</v>
      </c>
      <c r="S3206">
        <f t="shared" ca="1" si="368"/>
        <v>193.46311021408923</v>
      </c>
      <c r="T3206" s="61">
        <f t="shared" ca="1" si="369"/>
        <v>10416</v>
      </c>
      <c r="U3206" s="61">
        <f t="shared" ca="1" si="370"/>
        <v>12585.292238105492</v>
      </c>
      <c r="V3206" s="39">
        <f t="shared" ca="1" si="371"/>
        <v>8.2797975250694031E-2</v>
      </c>
      <c r="W3206" s="48">
        <f t="shared" ca="1" si="372"/>
        <v>0.90641779819751345</v>
      </c>
    </row>
    <row r="3207" spans="17:23" x14ac:dyDescent="0.2">
      <c r="Q3207">
        <f t="shared" si="366"/>
        <v>3191</v>
      </c>
      <c r="R3207" s="48">
        <f t="shared" ca="1" si="367"/>
        <v>0.35</v>
      </c>
      <c r="S3207">
        <f t="shared" ca="1" si="368"/>
        <v>195.59310621092109</v>
      </c>
      <c r="T3207" s="61">
        <f t="shared" ca="1" si="369"/>
        <v>16800</v>
      </c>
      <c r="U3207" s="61">
        <f t="shared" ca="1" si="370"/>
        <v>19708.415229678969</v>
      </c>
      <c r="V3207" s="39">
        <f t="shared" ca="1" si="371"/>
        <v>0.12966062651104585</v>
      </c>
      <c r="W3207" s="48">
        <f t="shared" ca="1" si="372"/>
        <v>1.6882338554119878</v>
      </c>
    </row>
    <row r="3208" spans="17:23" x14ac:dyDescent="0.2">
      <c r="Q3208">
        <f t="shared" si="366"/>
        <v>3192</v>
      </c>
      <c r="R3208" s="48">
        <f t="shared" ca="1" si="367"/>
        <v>0.35</v>
      </c>
      <c r="S3208">
        <f t="shared" ca="1" si="368"/>
        <v>178.16736229598791</v>
      </c>
      <c r="T3208" s="61">
        <f t="shared" ca="1" si="369"/>
        <v>16800</v>
      </c>
      <c r="U3208" s="61">
        <f t="shared" ca="1" si="370"/>
        <v>10647.028393913715</v>
      </c>
      <c r="V3208" s="39">
        <f t="shared" ca="1" si="371"/>
        <v>7.0046239433642868E-2</v>
      </c>
      <c r="W3208" s="48">
        <f t="shared" ca="1" si="372"/>
        <v>0.7317584282729428</v>
      </c>
    </row>
    <row r="3209" spans="17:23" x14ac:dyDescent="0.2">
      <c r="Q3209">
        <f t="shared" si="366"/>
        <v>3193</v>
      </c>
      <c r="R3209" s="48">
        <f t="shared" ca="1" si="367"/>
        <v>0.3</v>
      </c>
      <c r="S3209">
        <f t="shared" ca="1" si="368"/>
        <v>178.18572196403235</v>
      </c>
      <c r="T3209" s="61">
        <f t="shared" ca="1" si="369"/>
        <v>14400</v>
      </c>
      <c r="U3209" s="61">
        <f t="shared" ca="1" si="370"/>
        <v>7784.0042998581175</v>
      </c>
      <c r="V3209" s="39">
        <f t="shared" ca="1" si="371"/>
        <v>5.1210554604329724E-2</v>
      </c>
      <c r="W3209" s="48">
        <f t="shared" ca="1" si="372"/>
        <v>0.49943508983457496</v>
      </c>
    </row>
    <row r="3210" spans="17:23" x14ac:dyDescent="0.2">
      <c r="Q3210">
        <f t="shared" si="366"/>
        <v>3194</v>
      </c>
      <c r="R3210" s="48">
        <f t="shared" ca="1" si="367"/>
        <v>0.45</v>
      </c>
      <c r="S3210">
        <f t="shared" ca="1" si="368"/>
        <v>228.66201771562856</v>
      </c>
      <c r="T3210" s="61">
        <f t="shared" ca="1" si="369"/>
        <v>21600</v>
      </c>
      <c r="U3210" s="61">
        <f t="shared" ca="1" si="370"/>
        <v>38611.287794876567</v>
      </c>
      <c r="V3210" s="39">
        <f t="shared" ca="1" si="371"/>
        <v>0.25402163022945112</v>
      </c>
      <c r="W3210" s="48">
        <f t="shared" ca="1" si="372"/>
        <v>5.2713783356249282</v>
      </c>
    </row>
    <row r="3211" spans="17:23" x14ac:dyDescent="0.2">
      <c r="Q3211">
        <f t="shared" si="366"/>
        <v>3195</v>
      </c>
      <c r="R3211" s="48">
        <f t="shared" ca="1" si="367"/>
        <v>0.35</v>
      </c>
      <c r="S3211">
        <f t="shared" ca="1" si="368"/>
        <v>205.66923965711248</v>
      </c>
      <c r="T3211" s="61">
        <f t="shared" ca="1" si="369"/>
        <v>16800</v>
      </c>
      <c r="U3211" s="61">
        <f t="shared" ca="1" si="370"/>
        <v>24948.004621698492</v>
      </c>
      <c r="V3211" s="39">
        <f t="shared" ca="1" si="371"/>
        <v>0.16413160935327956</v>
      </c>
      <c r="W3211" s="48">
        <f t="shared" ca="1" si="372"/>
        <v>2.430443083082773</v>
      </c>
    </row>
    <row r="3212" spans="17:23" x14ac:dyDescent="0.2">
      <c r="Q3212">
        <f t="shared" si="366"/>
        <v>3196</v>
      </c>
      <c r="R3212" s="48">
        <f t="shared" ca="1" si="367"/>
        <v>0.45</v>
      </c>
      <c r="S3212">
        <f t="shared" ca="1" si="368"/>
        <v>219.81151039262539</v>
      </c>
      <c r="T3212" s="61">
        <f t="shared" ca="1" si="369"/>
        <v>21600</v>
      </c>
      <c r="U3212" s="61">
        <f t="shared" ca="1" si="370"/>
        <v>34717.064572755175</v>
      </c>
      <c r="V3212" s="39">
        <f t="shared" ca="1" si="371"/>
        <v>0.22840174061023141</v>
      </c>
      <c r="W3212" s="48">
        <f t="shared" ca="1" si="372"/>
        <v>4.3045689509367246</v>
      </c>
    </row>
    <row r="3213" spans="17:23" x14ac:dyDescent="0.2">
      <c r="Q3213">
        <f t="shared" si="366"/>
        <v>3197</v>
      </c>
      <c r="R3213" s="48">
        <f t="shared" ca="1" si="367"/>
        <v>0.3</v>
      </c>
      <c r="S3213">
        <f t="shared" ca="1" si="368"/>
        <v>188.19121421150302</v>
      </c>
      <c r="T3213" s="61">
        <f t="shared" ca="1" si="369"/>
        <v>14400</v>
      </c>
      <c r="U3213" s="61">
        <f t="shared" ca="1" si="370"/>
        <v>13387.079958441693</v>
      </c>
      <c r="V3213" s="39">
        <f t="shared" ca="1" si="371"/>
        <v>8.8072894463432194E-2</v>
      </c>
      <c r="W3213" s="48">
        <f t="shared" ca="1" si="372"/>
        <v>0.98306542309010347</v>
      </c>
    </row>
    <row r="3214" spans="17:23" x14ac:dyDescent="0.2">
      <c r="Q3214">
        <f t="shared" si="366"/>
        <v>3198</v>
      </c>
      <c r="R3214" s="48">
        <f t="shared" ca="1" si="367"/>
        <v>0.35</v>
      </c>
      <c r="S3214">
        <f t="shared" ca="1" si="368"/>
        <v>184.68012007421299</v>
      </c>
      <c r="T3214" s="61">
        <f t="shared" ca="1" si="369"/>
        <v>16800</v>
      </c>
      <c r="U3214" s="61">
        <f t="shared" ca="1" si="370"/>
        <v>14033.662438590756</v>
      </c>
      <c r="V3214" s="39">
        <f t="shared" ca="1" si="371"/>
        <v>9.2326726569676026E-2</v>
      </c>
      <c r="W3214" s="48">
        <f t="shared" ca="1" si="372"/>
        <v>1.0468304765118268</v>
      </c>
    </row>
    <row r="3215" spans="17:23" x14ac:dyDescent="0.2">
      <c r="Q3215">
        <f t="shared" si="366"/>
        <v>3199</v>
      </c>
      <c r="R3215" s="48">
        <f t="shared" ca="1" si="367"/>
        <v>0.35</v>
      </c>
      <c r="S3215">
        <f t="shared" ca="1" si="368"/>
        <v>208.35152021919603</v>
      </c>
      <c r="T3215" s="61">
        <f t="shared" ca="1" si="369"/>
        <v>16800</v>
      </c>
      <c r="U3215" s="61">
        <f t="shared" ca="1" si="370"/>
        <v>26342.790513981938</v>
      </c>
      <c r="V3215" s="39">
        <f t="shared" ca="1" si="371"/>
        <v>0.17330783232882854</v>
      </c>
      <c r="W3215" s="48">
        <f t="shared" ca="1" si="372"/>
        <v>2.6560169399169884</v>
      </c>
    </row>
    <row r="3216" spans="17:23" x14ac:dyDescent="0.2">
      <c r="Q3216">
        <f t="shared" si="366"/>
        <v>3200</v>
      </c>
      <c r="R3216" s="48">
        <f t="shared" ca="1" si="367"/>
        <v>0.45</v>
      </c>
      <c r="S3216">
        <f t="shared" ca="1" si="368"/>
        <v>244.17367922509712</v>
      </c>
      <c r="T3216" s="61">
        <f t="shared" ca="1" si="369"/>
        <v>21600</v>
      </c>
      <c r="U3216" s="61">
        <f t="shared" ca="1" si="370"/>
        <v>45436.418859042737</v>
      </c>
      <c r="V3216" s="39">
        <f t="shared" ca="1" si="371"/>
        <v>0.29892380828317588</v>
      </c>
      <c r="W3216" s="48">
        <f t="shared" ca="1" si="372"/>
        <v>7.3423772635320486</v>
      </c>
    </row>
    <row r="3217" spans="17:23" x14ac:dyDescent="0.2">
      <c r="Q3217">
        <f t="shared" si="366"/>
        <v>3201</v>
      </c>
      <c r="R3217" s="48">
        <f t="shared" ca="1" si="367"/>
        <v>0.45</v>
      </c>
      <c r="S3217">
        <f t="shared" ca="1" si="368"/>
        <v>189.18647472791983</v>
      </c>
      <c r="T3217" s="61">
        <f t="shared" ca="1" si="369"/>
        <v>21600</v>
      </c>
      <c r="U3217" s="61">
        <f t="shared" ca="1" si="370"/>
        <v>21242.048880284725</v>
      </c>
      <c r="V3217" s="39">
        <f t="shared" ca="1" si="371"/>
        <v>0.13975032158082057</v>
      </c>
      <c r="W3217" s="48">
        <f t="shared" ca="1" si="372"/>
        <v>1.8892823113833281</v>
      </c>
    </row>
    <row r="3218" spans="17:23" x14ac:dyDescent="0.2">
      <c r="Q3218">
        <f t="shared" si="366"/>
        <v>3202</v>
      </c>
      <c r="R3218" s="48">
        <f t="shared" ca="1" si="367"/>
        <v>0.4</v>
      </c>
      <c r="S3218">
        <f t="shared" ca="1" si="368"/>
        <v>190.01908679206576</v>
      </c>
      <c r="T3218" s="61">
        <f t="shared" ca="1" si="369"/>
        <v>19200</v>
      </c>
      <c r="U3218" s="61">
        <f t="shared" ca="1" si="370"/>
        <v>19209.161660191567</v>
      </c>
      <c r="V3218" s="39">
        <f t="shared" ca="1" si="371"/>
        <v>0.12637606355389189</v>
      </c>
      <c r="W3218" s="48">
        <f t="shared" ca="1" si="372"/>
        <v>1.6254871894942853</v>
      </c>
    </row>
    <row r="3219" spans="17:23" x14ac:dyDescent="0.2">
      <c r="Q3219">
        <f t="shared" ref="Q3219:Q3282" si="373">Q3218+1</f>
        <v>3203</v>
      </c>
      <c r="R3219" s="48">
        <f t="shared" ref="R3219:R3282" ca="1" si="374">LOOKUP(RAND(),$U$6:$U$12,$S$6:$S$12)</f>
        <v>0.35</v>
      </c>
      <c r="S3219">
        <f t="shared" ref="S3219:S3282" ca="1" si="375">_xlfn.NORM.INV(RAND(),$Q$5,$Q$10)</f>
        <v>182.12163120187611</v>
      </c>
      <c r="T3219" s="61">
        <f t="shared" ca="1" si="369"/>
        <v>16800</v>
      </c>
      <c r="U3219" s="61">
        <f t="shared" ca="1" si="370"/>
        <v>12703.248224975578</v>
      </c>
      <c r="V3219" s="39">
        <f t="shared" ca="1" si="371"/>
        <v>8.3574001480102481E-2</v>
      </c>
      <c r="W3219" s="48">
        <f t="shared" ca="1" si="372"/>
        <v>0.9175283155532965</v>
      </c>
    </row>
    <row r="3220" spans="17:23" x14ac:dyDescent="0.2">
      <c r="Q3220">
        <f t="shared" si="373"/>
        <v>3204</v>
      </c>
      <c r="R3220" s="48">
        <f t="shared" ca="1" si="374"/>
        <v>0.3</v>
      </c>
      <c r="S3220">
        <f t="shared" ca="1" si="375"/>
        <v>152.59130791803011</v>
      </c>
      <c r="T3220" s="61">
        <f t="shared" ca="1" si="369"/>
        <v>14400</v>
      </c>
      <c r="U3220" s="61">
        <f t="shared" ca="1" si="370"/>
        <v>-6548.867565903136</v>
      </c>
      <c r="V3220" s="39">
        <f t="shared" ca="1" si="371"/>
        <v>-4.308465503883642E-2</v>
      </c>
      <c r="W3220" s="48">
        <f t="shared" ca="1" si="372"/>
        <v>-0.30037875847049533</v>
      </c>
    </row>
    <row r="3221" spans="17:23" x14ac:dyDescent="0.2">
      <c r="Q3221">
        <f t="shared" si="373"/>
        <v>3205</v>
      </c>
      <c r="R3221" s="48">
        <f t="shared" ca="1" si="374"/>
        <v>0.45</v>
      </c>
      <c r="S3221">
        <f t="shared" ca="1" si="375"/>
        <v>159.84927157698988</v>
      </c>
      <c r="T3221" s="61">
        <f t="shared" ca="1" si="369"/>
        <v>21600</v>
      </c>
      <c r="U3221" s="61">
        <f t="shared" ca="1" si="370"/>
        <v>8333.6794938755447</v>
      </c>
      <c r="V3221" s="39">
        <f t="shared" ca="1" si="371"/>
        <v>5.4826838775497003E-2</v>
      </c>
      <c r="W3221" s="48">
        <f t="shared" ca="1" si="372"/>
        <v>0.54178940358963401</v>
      </c>
    </row>
    <row r="3222" spans="17:23" x14ac:dyDescent="0.2">
      <c r="Q3222">
        <f t="shared" si="373"/>
        <v>3206</v>
      </c>
      <c r="R3222" s="48">
        <f t="shared" ca="1" si="374"/>
        <v>0.35</v>
      </c>
      <c r="S3222">
        <f t="shared" ca="1" si="375"/>
        <v>178.40971003935817</v>
      </c>
      <c r="T3222" s="61">
        <f t="shared" ca="1" si="369"/>
        <v>16800</v>
      </c>
      <c r="U3222" s="61">
        <f t="shared" ca="1" si="370"/>
        <v>10773.049220466251</v>
      </c>
      <c r="V3222" s="39">
        <f t="shared" ca="1" si="371"/>
        <v>7.0875323818856917E-2</v>
      </c>
      <c r="W3222" s="48">
        <f t="shared" ca="1" si="372"/>
        <v>0.74267183958017013</v>
      </c>
    </row>
    <row r="3223" spans="17:23" x14ac:dyDescent="0.2">
      <c r="Q3223">
        <f t="shared" si="373"/>
        <v>3207</v>
      </c>
      <c r="R3223" s="48">
        <f t="shared" ca="1" si="374"/>
        <v>0.4</v>
      </c>
      <c r="S3223">
        <f t="shared" ca="1" si="375"/>
        <v>224.57198279456935</v>
      </c>
      <c r="T3223" s="61">
        <f t="shared" ca="1" si="369"/>
        <v>19200</v>
      </c>
      <c r="U3223" s="61">
        <f t="shared" ca="1" si="370"/>
        <v>35794.55174139329</v>
      </c>
      <c r="V3223" s="39">
        <f t="shared" ca="1" si="371"/>
        <v>0.23549047198285059</v>
      </c>
      <c r="W3223" s="48">
        <f t="shared" ca="1" si="372"/>
        <v>4.5580133021185443</v>
      </c>
    </row>
    <row r="3224" spans="17:23" x14ac:dyDescent="0.2">
      <c r="Q3224">
        <f t="shared" si="373"/>
        <v>3208</v>
      </c>
      <c r="R3224" s="48">
        <f t="shared" ca="1" si="374"/>
        <v>0.45</v>
      </c>
      <c r="S3224">
        <f t="shared" ca="1" si="375"/>
        <v>226.94492060116141</v>
      </c>
      <c r="T3224" s="61">
        <f t="shared" ca="1" si="369"/>
        <v>21600</v>
      </c>
      <c r="U3224" s="61">
        <f t="shared" ca="1" si="370"/>
        <v>37855.765064511026</v>
      </c>
      <c r="V3224" s="39">
        <f t="shared" ca="1" si="371"/>
        <v>0.24905108595073044</v>
      </c>
      <c r="W3224" s="48">
        <f t="shared" ca="1" si="372"/>
        <v>5.0725729942720434</v>
      </c>
    </row>
    <row r="3225" spans="17:23" x14ac:dyDescent="0.2">
      <c r="Q3225">
        <f t="shared" si="373"/>
        <v>3209</v>
      </c>
      <c r="R3225" s="48">
        <f t="shared" ca="1" si="374"/>
        <v>0.15</v>
      </c>
      <c r="S3225">
        <f t="shared" ca="1" si="375"/>
        <v>192.48175673430256</v>
      </c>
      <c r="T3225" s="61">
        <f t="shared" ca="1" si="369"/>
        <v>7200</v>
      </c>
      <c r="U3225" s="61">
        <f t="shared" ca="1" si="370"/>
        <v>8887.5945793257433</v>
      </c>
      <c r="V3225" s="39">
        <f t="shared" ca="1" si="371"/>
        <v>5.8471016969248314E-2</v>
      </c>
      <c r="W3225" s="48">
        <f t="shared" ca="1" si="372"/>
        <v>0.58552784413205705</v>
      </c>
    </row>
    <row r="3226" spans="17:23" x14ac:dyDescent="0.2">
      <c r="Q3226">
        <f t="shared" si="373"/>
        <v>3210</v>
      </c>
      <c r="R3226" s="48">
        <f t="shared" ca="1" si="374"/>
        <v>0.35</v>
      </c>
      <c r="S3226">
        <f t="shared" ca="1" si="375"/>
        <v>212.69930932921031</v>
      </c>
      <c r="T3226" s="61">
        <f t="shared" ca="1" si="369"/>
        <v>16800</v>
      </c>
      <c r="U3226" s="61">
        <f t="shared" ca="1" si="370"/>
        <v>28603.640851189361</v>
      </c>
      <c r="V3226" s="39">
        <f t="shared" ca="1" si="371"/>
        <v>0.18818184770519317</v>
      </c>
      <c r="W3226" s="48">
        <f t="shared" ca="1" si="372"/>
        <v>3.049334273852792</v>
      </c>
    </row>
    <row r="3227" spans="17:23" x14ac:dyDescent="0.2">
      <c r="Q3227">
        <f t="shared" si="373"/>
        <v>3211</v>
      </c>
      <c r="R3227" s="48">
        <f t="shared" ca="1" si="374"/>
        <v>0.35</v>
      </c>
      <c r="S3227">
        <f t="shared" ca="1" si="375"/>
        <v>174.51674855401964</v>
      </c>
      <c r="T3227" s="61">
        <f t="shared" ca="1" si="369"/>
        <v>16800</v>
      </c>
      <c r="U3227" s="61">
        <f t="shared" ca="1" si="370"/>
        <v>8748.7092480902138</v>
      </c>
      <c r="V3227" s="39">
        <f t="shared" ca="1" si="371"/>
        <v>5.755729768480404E-2</v>
      </c>
      <c r="W3227" s="48">
        <f t="shared" ca="1" si="372"/>
        <v>0.57446019565415241</v>
      </c>
    </row>
    <row r="3228" spans="17:23" x14ac:dyDescent="0.2">
      <c r="Q3228">
        <f t="shared" si="373"/>
        <v>3212</v>
      </c>
      <c r="R3228" s="48">
        <f t="shared" ca="1" si="374"/>
        <v>0.3</v>
      </c>
      <c r="S3228">
        <f t="shared" ca="1" si="375"/>
        <v>201.68730724755844</v>
      </c>
      <c r="T3228" s="61">
        <f t="shared" ca="1" si="369"/>
        <v>14400</v>
      </c>
      <c r="U3228" s="61">
        <f t="shared" ca="1" si="370"/>
        <v>20944.892058632722</v>
      </c>
      <c r="V3228" s="39">
        <f t="shared" ca="1" si="371"/>
        <v>0.13779534249100475</v>
      </c>
      <c r="W3228" s="48">
        <f t="shared" ca="1" si="372"/>
        <v>1.8493287721978464</v>
      </c>
    </row>
    <row r="3229" spans="17:23" x14ac:dyDescent="0.2">
      <c r="Q3229">
        <f t="shared" si="373"/>
        <v>3213</v>
      </c>
      <c r="R3229" s="48">
        <f t="shared" ca="1" si="374"/>
        <v>0.4</v>
      </c>
      <c r="S3229">
        <f t="shared" ca="1" si="375"/>
        <v>200.45009117216853</v>
      </c>
      <c r="T3229" s="61">
        <f t="shared" ca="1" si="369"/>
        <v>19200</v>
      </c>
      <c r="U3229" s="61">
        <f t="shared" ca="1" si="370"/>
        <v>24216.043762640893</v>
      </c>
      <c r="V3229" s="39">
        <f t="shared" ca="1" si="371"/>
        <v>0.15931607738579534</v>
      </c>
      <c r="W3229" s="48">
        <f t="shared" ca="1" si="372"/>
        <v>2.3170224389953256</v>
      </c>
    </row>
    <row r="3230" spans="17:23" x14ac:dyDescent="0.2">
      <c r="Q3230">
        <f t="shared" si="373"/>
        <v>3214</v>
      </c>
      <c r="R3230" s="48">
        <f t="shared" ca="1" si="374"/>
        <v>0.3</v>
      </c>
      <c r="S3230">
        <f t="shared" ca="1" si="375"/>
        <v>212.78960976429778</v>
      </c>
      <c r="T3230" s="61">
        <f t="shared" ca="1" si="369"/>
        <v>14400</v>
      </c>
      <c r="U3230" s="61">
        <f t="shared" ca="1" si="370"/>
        <v>27162.181468006755</v>
      </c>
      <c r="V3230" s="39">
        <f t="shared" ca="1" si="371"/>
        <v>0.17869856228951811</v>
      </c>
      <c r="W3230" s="48">
        <f t="shared" ca="1" si="372"/>
        <v>2.7945097207900096</v>
      </c>
    </row>
    <row r="3231" spans="17:23" x14ac:dyDescent="0.2">
      <c r="Q3231">
        <f t="shared" si="373"/>
        <v>3215</v>
      </c>
      <c r="R3231" s="48">
        <f t="shared" ca="1" si="374"/>
        <v>0.15</v>
      </c>
      <c r="S3231">
        <f t="shared" ca="1" si="375"/>
        <v>188.93933415678089</v>
      </c>
      <c r="T3231" s="61">
        <f t="shared" ca="1" si="369"/>
        <v>7200</v>
      </c>
      <c r="U3231" s="61">
        <f t="shared" ca="1" si="370"/>
        <v>6478.7472266110035</v>
      </c>
      <c r="V3231" s="39">
        <f t="shared" ca="1" si="371"/>
        <v>4.2623337017177652E-2</v>
      </c>
      <c r="W3231" s="48">
        <f t="shared" ca="1" si="372"/>
        <v>0.4029225378975454</v>
      </c>
    </row>
    <row r="3232" spans="17:23" x14ac:dyDescent="0.2">
      <c r="Q3232">
        <f t="shared" si="373"/>
        <v>3216</v>
      </c>
      <c r="R3232" s="48">
        <f t="shared" ca="1" si="374"/>
        <v>0.4</v>
      </c>
      <c r="S3232">
        <f t="shared" ca="1" si="375"/>
        <v>187.6510460382716</v>
      </c>
      <c r="T3232" s="61">
        <f t="shared" ca="1" si="369"/>
        <v>19200</v>
      </c>
      <c r="U3232" s="61">
        <f t="shared" ca="1" si="370"/>
        <v>18072.502098370369</v>
      </c>
      <c r="V3232" s="39">
        <f t="shared" ca="1" si="371"/>
        <v>0.1188980401208577</v>
      </c>
      <c r="W3232" s="48">
        <f t="shared" ca="1" si="372"/>
        <v>1.4873979563932846</v>
      </c>
    </row>
    <row r="3233" spans="17:23" x14ac:dyDescent="0.2">
      <c r="Q3233">
        <f t="shared" si="373"/>
        <v>3217</v>
      </c>
      <c r="R3233" s="48">
        <f t="shared" ca="1" si="374"/>
        <v>0.4</v>
      </c>
      <c r="S3233">
        <f t="shared" ca="1" si="375"/>
        <v>210.82934893448061</v>
      </c>
      <c r="T3233" s="61">
        <f t="shared" ca="1" si="369"/>
        <v>19200</v>
      </c>
      <c r="U3233" s="61">
        <f t="shared" ca="1" si="370"/>
        <v>29198.087488550693</v>
      </c>
      <c r="V3233" s="39">
        <f t="shared" ca="1" si="371"/>
        <v>0.19209268084572825</v>
      </c>
      <c r="W3233" s="48">
        <f t="shared" ca="1" si="372"/>
        <v>3.1587140867730135</v>
      </c>
    </row>
    <row r="3234" spans="17:23" x14ac:dyDescent="0.2">
      <c r="Q3234">
        <f t="shared" si="373"/>
        <v>3218</v>
      </c>
      <c r="R3234" s="48">
        <f t="shared" ca="1" si="374"/>
        <v>0.35</v>
      </c>
      <c r="S3234">
        <f t="shared" ca="1" si="375"/>
        <v>171.62448655370099</v>
      </c>
      <c r="T3234" s="61">
        <f t="shared" ca="1" si="369"/>
        <v>16800</v>
      </c>
      <c r="U3234" s="61">
        <f t="shared" ca="1" si="370"/>
        <v>7244.7330079245148</v>
      </c>
      <c r="V3234" s="39">
        <f t="shared" ca="1" si="371"/>
        <v>4.7662717157398123E-2</v>
      </c>
      <c r="W3234" s="48">
        <f t="shared" ca="1" si="372"/>
        <v>0.45887722624567062</v>
      </c>
    </row>
    <row r="3235" spans="17:23" x14ac:dyDescent="0.2">
      <c r="Q3235">
        <f t="shared" si="373"/>
        <v>3219</v>
      </c>
      <c r="R3235" s="48">
        <f t="shared" ca="1" si="374"/>
        <v>0.15</v>
      </c>
      <c r="S3235">
        <f t="shared" ca="1" si="375"/>
        <v>216.93569028238764</v>
      </c>
      <c r="T3235" s="61">
        <f t="shared" ca="1" si="369"/>
        <v>7200</v>
      </c>
      <c r="U3235" s="61">
        <f t="shared" ca="1" si="370"/>
        <v>25516.269392023594</v>
      </c>
      <c r="V3235" s="39">
        <f t="shared" ca="1" si="371"/>
        <v>0.16787019336857628</v>
      </c>
      <c r="W3235" s="48">
        <f t="shared" ca="1" si="372"/>
        <v>2.5208285841974583</v>
      </c>
    </row>
    <row r="3236" spans="17:23" x14ac:dyDescent="0.2">
      <c r="Q3236">
        <f t="shared" si="373"/>
        <v>3220</v>
      </c>
      <c r="R3236" s="48">
        <f t="shared" ca="1" si="374"/>
        <v>0.3</v>
      </c>
      <c r="S3236">
        <f t="shared" ca="1" si="375"/>
        <v>120.26508645589004</v>
      </c>
      <c r="T3236" s="61">
        <f t="shared" ca="1" si="369"/>
        <v>14400</v>
      </c>
      <c r="U3236" s="61">
        <f t="shared" ca="1" si="370"/>
        <v>-24651.551584701578</v>
      </c>
      <c r="V3236" s="39">
        <f t="shared" ca="1" si="371"/>
        <v>-0.16218126042566827</v>
      </c>
      <c r="W3236" s="48">
        <f t="shared" ca="1" si="372"/>
        <v>-0.76195356643100298</v>
      </c>
    </row>
    <row r="3237" spans="17:23" x14ac:dyDescent="0.2">
      <c r="Q3237">
        <f t="shared" si="373"/>
        <v>3221</v>
      </c>
      <c r="R3237" s="48">
        <f t="shared" ca="1" si="374"/>
        <v>0.35</v>
      </c>
      <c r="S3237">
        <f t="shared" ca="1" si="375"/>
        <v>192.86241244146984</v>
      </c>
      <c r="T3237" s="61">
        <f t="shared" ca="1" si="369"/>
        <v>16800</v>
      </c>
      <c r="U3237" s="61">
        <f t="shared" ca="1" si="370"/>
        <v>18288.45446956432</v>
      </c>
      <c r="V3237" s="39">
        <f t="shared" ca="1" si="371"/>
        <v>0.12031877940502841</v>
      </c>
      <c r="W3237" s="48">
        <f t="shared" ca="1" si="372"/>
        <v>1.5131321677955238</v>
      </c>
    </row>
    <row r="3238" spans="17:23" x14ac:dyDescent="0.2">
      <c r="Q3238">
        <f t="shared" si="373"/>
        <v>3222</v>
      </c>
      <c r="R3238" s="48">
        <f t="shared" ca="1" si="374"/>
        <v>0.45</v>
      </c>
      <c r="S3238">
        <f t="shared" ca="1" si="375"/>
        <v>170.32694843719958</v>
      </c>
      <c r="T3238" s="61">
        <f t="shared" ca="1" si="369"/>
        <v>21600</v>
      </c>
      <c r="U3238" s="61">
        <f t="shared" ca="1" si="370"/>
        <v>12943.857312367812</v>
      </c>
      <c r="V3238" s="39">
        <f t="shared" ca="1" si="371"/>
        <v>8.515695600241982E-2</v>
      </c>
      <c r="W3238" s="48">
        <f t="shared" ca="1" si="372"/>
        <v>0.94036792408148062</v>
      </c>
    </row>
    <row r="3239" spans="17:23" x14ac:dyDescent="0.2">
      <c r="Q3239">
        <f t="shared" si="373"/>
        <v>3223</v>
      </c>
      <c r="R3239" s="48">
        <f t="shared" ca="1" si="374"/>
        <v>0.4</v>
      </c>
      <c r="S3239">
        <f t="shared" ca="1" si="375"/>
        <v>184.43147339956812</v>
      </c>
      <c r="T3239" s="61">
        <f t="shared" ca="1" si="369"/>
        <v>19200</v>
      </c>
      <c r="U3239" s="61">
        <f t="shared" ca="1" si="370"/>
        <v>16527.107231792696</v>
      </c>
      <c r="V3239" s="39">
        <f t="shared" ca="1" si="371"/>
        <v>0.1087309686302151</v>
      </c>
      <c r="W3239" s="48">
        <f t="shared" ca="1" si="372"/>
        <v>1.3098836902222608</v>
      </c>
    </row>
    <row r="3240" spans="17:23" x14ac:dyDescent="0.2">
      <c r="Q3240">
        <f t="shared" si="373"/>
        <v>3224</v>
      </c>
      <c r="R3240" s="48">
        <f t="shared" ca="1" si="374"/>
        <v>0.3</v>
      </c>
      <c r="S3240">
        <f t="shared" ca="1" si="375"/>
        <v>181.52744549344072</v>
      </c>
      <c r="T3240" s="61">
        <f t="shared" ca="1" si="369"/>
        <v>14400</v>
      </c>
      <c r="U3240" s="61">
        <f t="shared" ca="1" si="370"/>
        <v>9655.3694763268049</v>
      </c>
      <c r="V3240" s="39">
        <f t="shared" ca="1" si="371"/>
        <v>6.3522167607413194E-2</v>
      </c>
      <c r="W3240" s="48">
        <f t="shared" ca="1" si="372"/>
        <v>0.64795068465327743</v>
      </c>
    </row>
    <row r="3241" spans="17:23" x14ac:dyDescent="0.2">
      <c r="Q3241">
        <f t="shared" si="373"/>
        <v>3225</v>
      </c>
      <c r="R3241" s="48">
        <f t="shared" ca="1" si="374"/>
        <v>0.4</v>
      </c>
      <c r="S3241">
        <f t="shared" ca="1" si="375"/>
        <v>166.15849068264126</v>
      </c>
      <c r="T3241" s="61">
        <f t="shared" ca="1" si="369"/>
        <v>19200</v>
      </c>
      <c r="U3241" s="61">
        <f t="shared" ca="1" si="370"/>
        <v>7756.0755276678028</v>
      </c>
      <c r="V3241" s="39">
        <f t="shared" ca="1" si="371"/>
        <v>5.1026812682025018E-2</v>
      </c>
      <c r="W3241" s="48">
        <f t="shared" ca="1" si="372"/>
        <v>0.49731059014875068</v>
      </c>
    </row>
    <row r="3242" spans="17:23" x14ac:dyDescent="0.2">
      <c r="Q3242">
        <f t="shared" si="373"/>
        <v>3226</v>
      </c>
      <c r="R3242" s="48">
        <f t="shared" ca="1" si="374"/>
        <v>0.217</v>
      </c>
      <c r="S3242">
        <f t="shared" ca="1" si="375"/>
        <v>180.11509929522003</v>
      </c>
      <c r="T3242" s="61">
        <f t="shared" ca="1" si="369"/>
        <v>10416</v>
      </c>
      <c r="U3242" s="61">
        <f t="shared" ca="1" si="370"/>
        <v>4224.0981985258295</v>
      </c>
      <c r="V3242" s="39">
        <f t="shared" ca="1" si="371"/>
        <v>2.7790119727143615E-2</v>
      </c>
      <c r="W3242" s="48">
        <f t="shared" ca="1" si="372"/>
        <v>0.24898787673043854</v>
      </c>
    </row>
    <row r="3243" spans="17:23" x14ac:dyDescent="0.2">
      <c r="Q3243">
        <f t="shared" si="373"/>
        <v>3227</v>
      </c>
      <c r="R3243" s="48">
        <f t="shared" ca="1" si="374"/>
        <v>0.3</v>
      </c>
      <c r="S3243">
        <f t="shared" ca="1" si="375"/>
        <v>180.3679912391319</v>
      </c>
      <c r="T3243" s="61">
        <f t="shared" ca="1" si="369"/>
        <v>14400</v>
      </c>
      <c r="U3243" s="61">
        <f t="shared" ca="1" si="370"/>
        <v>9006.0750939138616</v>
      </c>
      <c r="V3243" s="39">
        <f t="shared" ca="1" si="371"/>
        <v>5.9250494038906983E-2</v>
      </c>
      <c r="W3243" s="48">
        <f t="shared" ca="1" si="372"/>
        <v>0.59502330306280404</v>
      </c>
    </row>
    <row r="3244" spans="17:23" x14ac:dyDescent="0.2">
      <c r="Q3244">
        <f t="shared" si="373"/>
        <v>3228</v>
      </c>
      <c r="R3244" s="48">
        <f t="shared" ca="1" si="374"/>
        <v>0.217</v>
      </c>
      <c r="S3244">
        <f t="shared" ca="1" si="375"/>
        <v>190.30051234000064</v>
      </c>
      <c r="T3244" s="61">
        <f t="shared" ca="1" si="369"/>
        <v>10416</v>
      </c>
      <c r="U3244" s="61">
        <f t="shared" ca="1" si="370"/>
        <v>10604.240929776399</v>
      </c>
      <c r="V3244" s="39">
        <f t="shared" ca="1" si="371"/>
        <v>6.9764742959055256E-2</v>
      </c>
      <c r="W3244" s="48">
        <f t="shared" ca="1" si="372"/>
        <v>0.72806668168068844</v>
      </c>
    </row>
    <row r="3245" spans="17:23" x14ac:dyDescent="0.2">
      <c r="Q3245">
        <f t="shared" si="373"/>
        <v>3229</v>
      </c>
      <c r="R3245" s="48">
        <f t="shared" ca="1" si="374"/>
        <v>0.217</v>
      </c>
      <c r="S3245">
        <f t="shared" ca="1" si="375"/>
        <v>196.6378564069386</v>
      </c>
      <c r="T3245" s="61">
        <f t="shared" ca="1" si="369"/>
        <v>10416</v>
      </c>
      <c r="U3245" s="61">
        <f t="shared" ca="1" si="370"/>
        <v>14573.953253306336</v>
      </c>
      <c r="V3245" s="39">
        <f t="shared" ca="1" si="371"/>
        <v>9.588127140333115E-2</v>
      </c>
      <c r="W3245" s="48">
        <f t="shared" ca="1" si="372"/>
        <v>1.1014845743482629</v>
      </c>
    </row>
    <row r="3246" spans="17:23" x14ac:dyDescent="0.2">
      <c r="Q3246">
        <f t="shared" si="373"/>
        <v>3230</v>
      </c>
      <c r="R3246" s="48">
        <f t="shared" ca="1" si="374"/>
        <v>0.35</v>
      </c>
      <c r="S3246">
        <f t="shared" ca="1" si="375"/>
        <v>195.97553155417668</v>
      </c>
      <c r="T3246" s="61">
        <f t="shared" ca="1" si="369"/>
        <v>16800</v>
      </c>
      <c r="U3246" s="61">
        <f t="shared" ca="1" si="370"/>
        <v>19907.276408171874</v>
      </c>
      <c r="V3246" s="39">
        <f t="shared" ca="1" si="371"/>
        <v>0.13096892373797286</v>
      </c>
      <c r="W3246" s="48">
        <f t="shared" ca="1" si="372"/>
        <v>1.7135906704196842</v>
      </c>
    </row>
    <row r="3247" spans="17:23" x14ac:dyDescent="0.2">
      <c r="Q3247">
        <f t="shared" si="373"/>
        <v>3231</v>
      </c>
      <c r="R3247" s="48">
        <f t="shared" ca="1" si="374"/>
        <v>0.3</v>
      </c>
      <c r="S3247">
        <f t="shared" ca="1" si="375"/>
        <v>170.5782020156833</v>
      </c>
      <c r="T3247" s="61">
        <f t="shared" ca="1" si="369"/>
        <v>14400</v>
      </c>
      <c r="U3247" s="61">
        <f t="shared" ca="1" si="370"/>
        <v>3523.7931287826505</v>
      </c>
      <c r="V3247" s="39">
        <f t="shared" ca="1" si="371"/>
        <v>2.3182849531464805E-2</v>
      </c>
      <c r="W3247" s="48">
        <f t="shared" ca="1" si="372"/>
        <v>0.20429236329703637</v>
      </c>
    </row>
    <row r="3248" spans="17:23" x14ac:dyDescent="0.2">
      <c r="Q3248">
        <f t="shared" si="373"/>
        <v>3232</v>
      </c>
      <c r="R3248" s="48">
        <f t="shared" ca="1" si="374"/>
        <v>0.4</v>
      </c>
      <c r="S3248">
        <f t="shared" ca="1" si="375"/>
        <v>176.10343365481646</v>
      </c>
      <c r="T3248" s="61">
        <f t="shared" ca="1" si="369"/>
        <v>19200</v>
      </c>
      <c r="U3248" s="61">
        <f t="shared" ca="1" si="370"/>
        <v>12529.648154311899</v>
      </c>
      <c r="V3248" s="39">
        <f t="shared" ca="1" si="371"/>
        <v>8.2431895752051967E-2</v>
      </c>
      <c r="W3248" s="48">
        <f t="shared" ca="1" si="372"/>
        <v>0.90119618864536699</v>
      </c>
    </row>
    <row r="3249" spans="17:23" x14ac:dyDescent="0.2">
      <c r="Q3249">
        <f t="shared" si="373"/>
        <v>3233</v>
      </c>
      <c r="R3249" s="48">
        <f t="shared" ca="1" si="374"/>
        <v>0.3</v>
      </c>
      <c r="S3249">
        <f t="shared" ca="1" si="375"/>
        <v>196.74660441174848</v>
      </c>
      <c r="T3249" s="61">
        <f t="shared" ca="1" si="369"/>
        <v>14400</v>
      </c>
      <c r="U3249" s="61">
        <f t="shared" ca="1" si="370"/>
        <v>18178.098470579149</v>
      </c>
      <c r="V3249" s="39">
        <f t="shared" ca="1" si="371"/>
        <v>0.11959275309591545</v>
      </c>
      <c r="W3249" s="48">
        <f t="shared" ca="1" si="372"/>
        <v>1.4999524565944422</v>
      </c>
    </row>
    <row r="3250" spans="17:23" x14ac:dyDescent="0.2">
      <c r="Q3250">
        <f t="shared" si="373"/>
        <v>3234</v>
      </c>
      <c r="R3250" s="48">
        <f t="shared" ca="1" si="374"/>
        <v>0.217</v>
      </c>
      <c r="S3250">
        <f t="shared" ca="1" si="375"/>
        <v>199.32476932669402</v>
      </c>
      <c r="T3250" s="61">
        <f t="shared" ca="1" si="369"/>
        <v>10416</v>
      </c>
      <c r="U3250" s="61">
        <f t="shared" ca="1" si="370"/>
        <v>16257.035506241136</v>
      </c>
      <c r="V3250" s="39">
        <f t="shared" ca="1" si="371"/>
        <v>0.10695418096211273</v>
      </c>
      <c r="W3250" s="48">
        <f t="shared" ca="1" si="372"/>
        <v>1.280029433090522</v>
      </c>
    </row>
    <row r="3251" spans="17:23" x14ac:dyDescent="0.2">
      <c r="Q3251">
        <f t="shared" si="373"/>
        <v>3235</v>
      </c>
      <c r="R3251" s="48">
        <f t="shared" ca="1" si="374"/>
        <v>0.5</v>
      </c>
      <c r="S3251">
        <f t="shared" ca="1" si="375"/>
        <v>215.0842036181806</v>
      </c>
      <c r="T3251" s="61">
        <f t="shared" ca="1" si="369"/>
        <v>24000</v>
      </c>
      <c r="U3251" s="61">
        <f t="shared" ca="1" si="370"/>
        <v>34033.68144727224</v>
      </c>
      <c r="V3251" s="39">
        <f t="shared" ca="1" si="371"/>
        <v>0.2239057989952121</v>
      </c>
      <c r="W3251" s="48">
        <f t="shared" ca="1" si="372"/>
        <v>4.1491283464998094</v>
      </c>
    </row>
    <row r="3252" spans="17:23" x14ac:dyDescent="0.2">
      <c r="Q3252">
        <f t="shared" si="373"/>
        <v>3236</v>
      </c>
      <c r="R3252" s="48">
        <f t="shared" ca="1" si="374"/>
        <v>0.15</v>
      </c>
      <c r="S3252">
        <f t="shared" ca="1" si="375"/>
        <v>178.01862254550724</v>
      </c>
      <c r="T3252" s="61">
        <f t="shared" ca="1" si="369"/>
        <v>7200</v>
      </c>
      <c r="U3252" s="61">
        <f t="shared" ca="1" si="370"/>
        <v>-947.33666905507562</v>
      </c>
      <c r="V3252" s="39">
        <f t="shared" ca="1" si="371"/>
        <v>-6.2324780858886552E-3</v>
      </c>
      <c r="W3252" s="48">
        <f t="shared" ca="1" si="372"/>
        <v>-4.944619631975955E-2</v>
      </c>
    </row>
    <row r="3253" spans="17:23" x14ac:dyDescent="0.2">
      <c r="Q3253">
        <f t="shared" si="373"/>
        <v>3237</v>
      </c>
      <c r="R3253" s="48">
        <f t="shared" ca="1" si="374"/>
        <v>0.3</v>
      </c>
      <c r="S3253">
        <f t="shared" ca="1" si="375"/>
        <v>213.06982806934437</v>
      </c>
      <c r="T3253" s="61">
        <f t="shared" ca="1" si="369"/>
        <v>14400</v>
      </c>
      <c r="U3253" s="61">
        <f t="shared" ca="1" si="370"/>
        <v>27319.103718832848</v>
      </c>
      <c r="V3253" s="39">
        <f t="shared" ca="1" si="371"/>
        <v>0.17973094551863716</v>
      </c>
      <c r="W3253" s="48">
        <f t="shared" ca="1" si="372"/>
        <v>2.821550984995282</v>
      </c>
    </row>
    <row r="3254" spans="17:23" x14ac:dyDescent="0.2">
      <c r="Q3254">
        <f t="shared" si="373"/>
        <v>3238</v>
      </c>
      <c r="R3254" s="48">
        <f t="shared" ca="1" si="374"/>
        <v>0.3</v>
      </c>
      <c r="S3254">
        <f t="shared" ca="1" si="375"/>
        <v>167.74165517333881</v>
      </c>
      <c r="T3254" s="61">
        <f t="shared" ca="1" si="369"/>
        <v>14400</v>
      </c>
      <c r="U3254" s="61">
        <f t="shared" ca="1" si="370"/>
        <v>1935.3268970697354</v>
      </c>
      <c r="V3254" s="39">
        <f t="shared" ca="1" si="371"/>
        <v>1.2732413796511417E-2</v>
      </c>
      <c r="W3254" s="48">
        <f t="shared" ca="1" si="372"/>
        <v>0.10807257512736279</v>
      </c>
    </row>
    <row r="3255" spans="17:23" x14ac:dyDescent="0.2">
      <c r="Q3255">
        <f t="shared" si="373"/>
        <v>3239</v>
      </c>
      <c r="R3255" s="48">
        <f t="shared" ca="1" si="374"/>
        <v>0.217</v>
      </c>
      <c r="S3255">
        <f t="shared" ca="1" si="375"/>
        <v>204.38250910944382</v>
      </c>
      <c r="T3255" s="61">
        <f t="shared" ca="1" si="369"/>
        <v>10416</v>
      </c>
      <c r="U3255" s="61">
        <f t="shared" ca="1" si="370"/>
        <v>19425.203706155604</v>
      </c>
      <c r="V3255" s="39">
        <f t="shared" ca="1" si="371"/>
        <v>0.12779739280365529</v>
      </c>
      <c r="W3255" s="48">
        <f t="shared" ca="1" si="372"/>
        <v>1.6524801601805614</v>
      </c>
    </row>
    <row r="3256" spans="17:23" x14ac:dyDescent="0.2">
      <c r="Q3256">
        <f t="shared" si="373"/>
        <v>3240</v>
      </c>
      <c r="R3256" s="48">
        <f t="shared" ca="1" si="374"/>
        <v>0.4</v>
      </c>
      <c r="S3256">
        <f t="shared" ca="1" si="375"/>
        <v>218.77308809583113</v>
      </c>
      <c r="T3256" s="61">
        <f t="shared" ca="1" si="369"/>
        <v>19200</v>
      </c>
      <c r="U3256" s="61">
        <f t="shared" ca="1" si="370"/>
        <v>33011.082285998942</v>
      </c>
      <c r="V3256" s="39">
        <f t="shared" ca="1" si="371"/>
        <v>0.21717817293420358</v>
      </c>
      <c r="W3256" s="48">
        <f t="shared" ca="1" si="372"/>
        <v>3.9239886273320339</v>
      </c>
    </row>
    <row r="3257" spans="17:23" x14ac:dyDescent="0.2">
      <c r="Q3257">
        <f t="shared" si="373"/>
        <v>3241</v>
      </c>
      <c r="R3257" s="48">
        <f t="shared" ca="1" si="374"/>
        <v>0.3</v>
      </c>
      <c r="S3257">
        <f t="shared" ca="1" si="375"/>
        <v>183.383829846932</v>
      </c>
      <c r="T3257" s="61">
        <f t="shared" ref="T3257:T3320" ca="1" si="376">($B$8-$B$7)*($E$6*R3257)</f>
        <v>14400</v>
      </c>
      <c r="U3257" s="61">
        <f t="shared" ref="U3257:U3320" ca="1" si="377">T3257+((S3257-$B$7)*($E$6*(1-R3257)))</f>
        <v>10694.944714281921</v>
      </c>
      <c r="V3257" s="39">
        <f t="shared" ref="V3257:V3320" ca="1" si="378">U3257/$E$4</f>
        <v>7.0361478383433693E-2</v>
      </c>
      <c r="W3257" s="48">
        <f t="shared" ref="W3257:W3320" ca="1" si="379">(1+V3257)^($J$29/$J$30)-1</f>
        <v>0.73590090365445882</v>
      </c>
    </row>
    <row r="3258" spans="17:23" x14ac:dyDescent="0.2">
      <c r="Q3258">
        <f t="shared" si="373"/>
        <v>3242</v>
      </c>
      <c r="R3258" s="48">
        <f t="shared" ca="1" si="374"/>
        <v>0.3</v>
      </c>
      <c r="S3258">
        <f t="shared" ca="1" si="375"/>
        <v>192.55675643064041</v>
      </c>
      <c r="T3258" s="61">
        <f t="shared" ca="1" si="376"/>
        <v>14400</v>
      </c>
      <c r="U3258" s="61">
        <f t="shared" ca="1" si="377"/>
        <v>15831.783601158626</v>
      </c>
      <c r="V3258" s="39">
        <f t="shared" ca="1" si="378"/>
        <v>0.10415647106025412</v>
      </c>
      <c r="W3258" s="48">
        <f t="shared" ca="1" si="379"/>
        <v>1.2337067496205951</v>
      </c>
    </row>
    <row r="3259" spans="17:23" x14ac:dyDescent="0.2">
      <c r="Q3259">
        <f t="shared" si="373"/>
        <v>3243</v>
      </c>
      <c r="R3259" s="48">
        <f t="shared" ca="1" si="374"/>
        <v>0.5</v>
      </c>
      <c r="S3259">
        <f t="shared" ca="1" si="375"/>
        <v>213.19205360762527</v>
      </c>
      <c r="T3259" s="61">
        <f t="shared" ca="1" si="376"/>
        <v>24000</v>
      </c>
      <c r="U3259" s="61">
        <f t="shared" ca="1" si="377"/>
        <v>33276.82144305011</v>
      </c>
      <c r="V3259" s="39">
        <f t="shared" ca="1" si="378"/>
        <v>0.21892645686217177</v>
      </c>
      <c r="W3259" s="48">
        <f t="shared" ca="1" si="379"/>
        <v>3.9816485378604796</v>
      </c>
    </row>
    <row r="3260" spans="17:23" x14ac:dyDescent="0.2">
      <c r="Q3260">
        <f t="shared" si="373"/>
        <v>3244</v>
      </c>
      <c r="R3260" s="48">
        <f t="shared" ca="1" si="374"/>
        <v>0.3</v>
      </c>
      <c r="S3260">
        <f t="shared" ca="1" si="375"/>
        <v>203.3365617223094</v>
      </c>
      <c r="T3260" s="61">
        <f t="shared" ca="1" si="376"/>
        <v>14400</v>
      </c>
      <c r="U3260" s="61">
        <f t="shared" ca="1" si="377"/>
        <v>21868.474564493263</v>
      </c>
      <c r="V3260" s="39">
        <f t="shared" ca="1" si="378"/>
        <v>0.14387154318745568</v>
      </c>
      <c r="W3260" s="48">
        <f t="shared" ca="1" si="379"/>
        <v>1.9751194627844018</v>
      </c>
    </row>
    <row r="3261" spans="17:23" x14ac:dyDescent="0.2">
      <c r="Q3261">
        <f t="shared" si="373"/>
        <v>3245</v>
      </c>
      <c r="R3261" s="48">
        <f t="shared" ca="1" si="374"/>
        <v>0.3</v>
      </c>
      <c r="S3261">
        <f t="shared" ca="1" si="375"/>
        <v>187.9709610292272</v>
      </c>
      <c r="T3261" s="61">
        <f t="shared" ca="1" si="376"/>
        <v>14400</v>
      </c>
      <c r="U3261" s="61">
        <f t="shared" ca="1" si="377"/>
        <v>13263.738176367231</v>
      </c>
      <c r="V3261" s="39">
        <f t="shared" ca="1" si="378"/>
        <v>8.726143537083704E-2</v>
      </c>
      <c r="W3261" s="48">
        <f t="shared" ca="1" si="379"/>
        <v>0.97110147118287449</v>
      </c>
    </row>
    <row r="3262" spans="17:23" x14ac:dyDescent="0.2">
      <c r="Q3262">
        <f t="shared" si="373"/>
        <v>3246</v>
      </c>
      <c r="R3262" s="48">
        <f t="shared" ca="1" si="374"/>
        <v>0.35</v>
      </c>
      <c r="S3262">
        <f t="shared" ca="1" si="375"/>
        <v>186.98755715392858</v>
      </c>
      <c r="T3262" s="61">
        <f t="shared" ca="1" si="376"/>
        <v>16800</v>
      </c>
      <c r="U3262" s="61">
        <f t="shared" ca="1" si="377"/>
        <v>15233.529720042859</v>
      </c>
      <c r="V3262" s="39">
        <f t="shared" ca="1" si="378"/>
        <v>0.10022059026343987</v>
      </c>
      <c r="W3262" s="48">
        <f t="shared" ca="1" si="379"/>
        <v>1.1699364252656328</v>
      </c>
    </row>
    <row r="3263" spans="17:23" x14ac:dyDescent="0.2">
      <c r="Q3263">
        <f t="shared" si="373"/>
        <v>3247</v>
      </c>
      <c r="R3263" s="48">
        <f t="shared" ca="1" si="374"/>
        <v>0.35</v>
      </c>
      <c r="S3263">
        <f t="shared" ca="1" si="375"/>
        <v>177.23366923231609</v>
      </c>
      <c r="T3263" s="61">
        <f t="shared" ca="1" si="376"/>
        <v>16800</v>
      </c>
      <c r="U3263" s="61">
        <f t="shared" ca="1" si="377"/>
        <v>10161.508000804366</v>
      </c>
      <c r="V3263" s="39">
        <f t="shared" ca="1" si="378"/>
        <v>6.6852026321081351E-2</v>
      </c>
      <c r="W3263" s="48">
        <f t="shared" ca="1" si="379"/>
        <v>0.69027037128014035</v>
      </c>
    </row>
    <row r="3264" spans="17:23" x14ac:dyDescent="0.2">
      <c r="Q3264">
        <f t="shared" si="373"/>
        <v>3248</v>
      </c>
      <c r="R3264" s="48">
        <f t="shared" ca="1" si="374"/>
        <v>0.4</v>
      </c>
      <c r="S3264">
        <f t="shared" ca="1" si="375"/>
        <v>153.03627993362065</v>
      </c>
      <c r="T3264" s="61">
        <f t="shared" ca="1" si="376"/>
        <v>19200</v>
      </c>
      <c r="U3264" s="61">
        <f t="shared" ca="1" si="377"/>
        <v>1457.4143681379101</v>
      </c>
      <c r="V3264" s="39">
        <f t="shared" ca="1" si="378"/>
        <v>9.5882524219599342E-3</v>
      </c>
      <c r="W3264" s="48">
        <f t="shared" ca="1" si="379"/>
        <v>8.0475153389748311E-2</v>
      </c>
    </row>
    <row r="3265" spans="17:23" x14ac:dyDescent="0.2">
      <c r="Q3265">
        <f t="shared" si="373"/>
        <v>3249</v>
      </c>
      <c r="R3265" s="48">
        <f t="shared" ca="1" si="374"/>
        <v>0.3</v>
      </c>
      <c r="S3265">
        <f t="shared" ca="1" si="375"/>
        <v>191.59980038747068</v>
      </c>
      <c r="T3265" s="61">
        <f t="shared" ca="1" si="376"/>
        <v>14400</v>
      </c>
      <c r="U3265" s="61">
        <f t="shared" ca="1" si="377"/>
        <v>15295.888216983582</v>
      </c>
      <c r="V3265" s="39">
        <f t="shared" ca="1" si="378"/>
        <v>0.10063084353278672</v>
      </c>
      <c r="W3265" s="48">
        <f t="shared" ca="1" si="379"/>
        <v>1.1765080913563914</v>
      </c>
    </row>
    <row r="3266" spans="17:23" x14ac:dyDescent="0.2">
      <c r="Q3266">
        <f t="shared" si="373"/>
        <v>3250</v>
      </c>
      <c r="R3266" s="48">
        <f t="shared" ca="1" si="374"/>
        <v>0.3</v>
      </c>
      <c r="S3266">
        <f t="shared" ca="1" si="375"/>
        <v>169.97231338367192</v>
      </c>
      <c r="T3266" s="61">
        <f t="shared" ca="1" si="376"/>
        <v>14400</v>
      </c>
      <c r="U3266" s="61">
        <f t="shared" ca="1" si="377"/>
        <v>3184.4954948562736</v>
      </c>
      <c r="V3266" s="39">
        <f t="shared" ca="1" si="378"/>
        <v>2.0950628255633378E-2</v>
      </c>
      <c r="W3266" s="48">
        <f t="shared" ca="1" si="379"/>
        <v>0.18314630708367075</v>
      </c>
    </row>
    <row r="3267" spans="17:23" x14ac:dyDescent="0.2">
      <c r="Q3267">
        <f t="shared" si="373"/>
        <v>3251</v>
      </c>
      <c r="R3267" s="48">
        <f t="shared" ca="1" si="374"/>
        <v>0.35</v>
      </c>
      <c r="S3267">
        <f t="shared" ca="1" si="375"/>
        <v>197.50319506875545</v>
      </c>
      <c r="T3267" s="61">
        <f t="shared" ca="1" si="376"/>
        <v>16800</v>
      </c>
      <c r="U3267" s="61">
        <f t="shared" ca="1" si="377"/>
        <v>20701.661435752831</v>
      </c>
      <c r="V3267" s="39">
        <f t="shared" ca="1" si="378"/>
        <v>0.13619514102468969</v>
      </c>
      <c r="W3267" s="48">
        <f t="shared" ca="1" si="379"/>
        <v>1.8169870972432669</v>
      </c>
    </row>
    <row r="3268" spans="17:23" x14ac:dyDescent="0.2">
      <c r="Q3268">
        <f t="shared" si="373"/>
        <v>3252</v>
      </c>
      <c r="R3268" s="48">
        <f t="shared" ca="1" si="374"/>
        <v>0.4</v>
      </c>
      <c r="S3268">
        <f t="shared" ca="1" si="375"/>
        <v>181.3071429498363</v>
      </c>
      <c r="T3268" s="61">
        <f t="shared" ca="1" si="376"/>
        <v>19200</v>
      </c>
      <c r="U3268" s="61">
        <f t="shared" ca="1" si="377"/>
        <v>15027.428615921426</v>
      </c>
      <c r="V3268" s="39">
        <f t="shared" ca="1" si="378"/>
        <v>9.8864661946851493E-2</v>
      </c>
      <c r="W3268" s="48">
        <f t="shared" ca="1" si="379"/>
        <v>1.1483399991189551</v>
      </c>
    </row>
    <row r="3269" spans="17:23" x14ac:dyDescent="0.2">
      <c r="Q3269">
        <f t="shared" si="373"/>
        <v>3253</v>
      </c>
      <c r="R3269" s="48">
        <f t="shared" ca="1" si="374"/>
        <v>0.35</v>
      </c>
      <c r="S3269">
        <f t="shared" ca="1" si="375"/>
        <v>186.80344563951684</v>
      </c>
      <c r="T3269" s="61">
        <f t="shared" ca="1" si="376"/>
        <v>16800</v>
      </c>
      <c r="U3269" s="61">
        <f t="shared" ca="1" si="377"/>
        <v>15137.791732548756</v>
      </c>
      <c r="V3269" s="39">
        <f t="shared" ca="1" si="378"/>
        <v>9.9590735082557599E-2</v>
      </c>
      <c r="W3269" s="48">
        <f t="shared" ca="1" si="379"/>
        <v>1.159880907704292</v>
      </c>
    </row>
    <row r="3270" spans="17:23" x14ac:dyDescent="0.2">
      <c r="Q3270">
        <f t="shared" si="373"/>
        <v>3254</v>
      </c>
      <c r="R3270" s="48">
        <f t="shared" ca="1" si="374"/>
        <v>0.4</v>
      </c>
      <c r="S3270">
        <f t="shared" ca="1" si="375"/>
        <v>194.43236958126488</v>
      </c>
      <c r="T3270" s="61">
        <f t="shared" ca="1" si="376"/>
        <v>19200</v>
      </c>
      <c r="U3270" s="61">
        <f t="shared" ca="1" si="377"/>
        <v>21327.537399007142</v>
      </c>
      <c r="V3270" s="39">
        <f t="shared" ca="1" si="378"/>
        <v>0.14031274604609961</v>
      </c>
      <c r="W3270" s="48">
        <f t="shared" ca="1" si="379"/>
        <v>1.9008670674156969</v>
      </c>
    </row>
    <row r="3271" spans="17:23" x14ac:dyDescent="0.2">
      <c r="Q3271">
        <f t="shared" si="373"/>
        <v>3255</v>
      </c>
      <c r="R3271" s="48">
        <f t="shared" ca="1" si="374"/>
        <v>0.3</v>
      </c>
      <c r="S3271">
        <f t="shared" ca="1" si="375"/>
        <v>225.32077390151863</v>
      </c>
      <c r="T3271" s="61">
        <f t="shared" ca="1" si="376"/>
        <v>14400</v>
      </c>
      <c r="U3271" s="61">
        <f t="shared" ca="1" si="377"/>
        <v>34179.633384850436</v>
      </c>
      <c r="V3271" s="39">
        <f t="shared" ca="1" si="378"/>
        <v>0.22486600911085813</v>
      </c>
      <c r="W3271" s="48">
        <f t="shared" ca="1" si="379"/>
        <v>4.1819865686129045</v>
      </c>
    </row>
    <row r="3272" spans="17:23" x14ac:dyDescent="0.2">
      <c r="Q3272">
        <f t="shared" si="373"/>
        <v>3256</v>
      </c>
      <c r="R3272" s="48">
        <f t="shared" ca="1" si="374"/>
        <v>0.217</v>
      </c>
      <c r="S3272">
        <f t="shared" ca="1" si="375"/>
        <v>213.36884529778018</v>
      </c>
      <c r="T3272" s="61">
        <f t="shared" ca="1" si="376"/>
        <v>10416</v>
      </c>
      <c r="U3272" s="61">
        <f t="shared" ca="1" si="377"/>
        <v>25054.244694529509</v>
      </c>
      <c r="V3272" s="39">
        <f t="shared" ca="1" si="378"/>
        <v>0.16483055720085202</v>
      </c>
      <c r="W3272" s="48">
        <f t="shared" ca="1" si="379"/>
        <v>2.4471848202619046</v>
      </c>
    </row>
    <row r="3273" spans="17:23" x14ac:dyDescent="0.2">
      <c r="Q3273">
        <f t="shared" si="373"/>
        <v>3257</v>
      </c>
      <c r="R3273" s="48">
        <f t="shared" ca="1" si="374"/>
        <v>0.4</v>
      </c>
      <c r="S3273">
        <f t="shared" ca="1" si="375"/>
        <v>192.57335538460802</v>
      </c>
      <c r="T3273" s="61">
        <f t="shared" ca="1" si="376"/>
        <v>19200</v>
      </c>
      <c r="U3273" s="61">
        <f t="shared" ca="1" si="377"/>
        <v>20435.21058461185</v>
      </c>
      <c r="V3273" s="39">
        <f t="shared" ca="1" si="378"/>
        <v>0.13444217489876217</v>
      </c>
      <c r="W3273" s="48">
        <f t="shared" ca="1" si="379"/>
        <v>1.7819277058548693</v>
      </c>
    </row>
    <row r="3274" spans="17:23" x14ac:dyDescent="0.2">
      <c r="Q3274">
        <f t="shared" si="373"/>
        <v>3258</v>
      </c>
      <c r="R3274" s="48">
        <f t="shared" ca="1" si="374"/>
        <v>0.3</v>
      </c>
      <c r="S3274">
        <f t="shared" ca="1" si="375"/>
        <v>181.85247193065848</v>
      </c>
      <c r="T3274" s="61">
        <f t="shared" ca="1" si="376"/>
        <v>14400</v>
      </c>
      <c r="U3274" s="61">
        <f t="shared" ca="1" si="377"/>
        <v>9837.38428116875</v>
      </c>
      <c r="V3274" s="39">
        <f t="shared" ca="1" si="378"/>
        <v>6.4719633428741777E-2</v>
      </c>
      <c r="W3274" s="48">
        <f t="shared" ca="1" si="379"/>
        <v>0.66306123502875147</v>
      </c>
    </row>
    <row r="3275" spans="17:23" x14ac:dyDescent="0.2">
      <c r="Q3275">
        <f t="shared" si="373"/>
        <v>3259</v>
      </c>
      <c r="R3275" s="48">
        <f t="shared" ca="1" si="374"/>
        <v>0.217</v>
      </c>
      <c r="S3275">
        <f t="shared" ca="1" si="375"/>
        <v>187.32156546912549</v>
      </c>
      <c r="T3275" s="61">
        <f t="shared" ca="1" si="376"/>
        <v>10416</v>
      </c>
      <c r="U3275" s="61">
        <f t="shared" ca="1" si="377"/>
        <v>8738.2286098602053</v>
      </c>
      <c r="V3275" s="39">
        <f t="shared" ca="1" si="378"/>
        <v>5.7488346117501352E-2</v>
      </c>
      <c r="W3275" s="48">
        <f t="shared" ca="1" si="379"/>
        <v>0.57362775823040746</v>
      </c>
    </row>
    <row r="3276" spans="17:23" x14ac:dyDescent="0.2">
      <c r="Q3276">
        <f t="shared" si="373"/>
        <v>3260</v>
      </c>
      <c r="R3276" s="48">
        <f t="shared" ca="1" si="374"/>
        <v>0.3</v>
      </c>
      <c r="S3276">
        <f t="shared" ca="1" si="375"/>
        <v>182.90948690504487</v>
      </c>
      <c r="T3276" s="61">
        <f t="shared" ca="1" si="376"/>
        <v>14400</v>
      </c>
      <c r="U3276" s="61">
        <f t="shared" ca="1" si="377"/>
        <v>10429.312666825128</v>
      </c>
      <c r="V3276" s="39">
        <f t="shared" ca="1" si="378"/>
        <v>6.861389912384952E-2</v>
      </c>
      <c r="W3276" s="48">
        <f t="shared" ca="1" si="379"/>
        <v>0.71304535695735005</v>
      </c>
    </row>
    <row r="3277" spans="17:23" x14ac:dyDescent="0.2">
      <c r="Q3277">
        <f t="shared" si="373"/>
        <v>3261</v>
      </c>
      <c r="R3277" s="48">
        <f t="shared" ca="1" si="374"/>
        <v>0.4</v>
      </c>
      <c r="S3277">
        <f t="shared" ca="1" si="375"/>
        <v>216.96174044821646</v>
      </c>
      <c r="T3277" s="61">
        <f t="shared" ca="1" si="376"/>
        <v>19200</v>
      </c>
      <c r="U3277" s="61">
        <f t="shared" ca="1" si="377"/>
        <v>32141.635415143901</v>
      </c>
      <c r="V3277" s="39">
        <f t="shared" ca="1" si="378"/>
        <v>0.21145812773120987</v>
      </c>
      <c r="W3277" s="48">
        <f t="shared" ca="1" si="379"/>
        <v>3.7394042497872588</v>
      </c>
    </row>
    <row r="3278" spans="17:23" x14ac:dyDescent="0.2">
      <c r="Q3278">
        <f t="shared" si="373"/>
        <v>3262</v>
      </c>
      <c r="R3278" s="48">
        <f t="shared" ca="1" si="374"/>
        <v>0.3</v>
      </c>
      <c r="S3278">
        <f t="shared" ca="1" si="375"/>
        <v>186.04637793236373</v>
      </c>
      <c r="T3278" s="61">
        <f t="shared" ca="1" si="376"/>
        <v>14400</v>
      </c>
      <c r="U3278" s="61">
        <f t="shared" ca="1" si="377"/>
        <v>12185.971642123686</v>
      </c>
      <c r="V3278" s="39">
        <f t="shared" ca="1" si="378"/>
        <v>8.0170866066603202E-2</v>
      </c>
      <c r="W3278" s="48">
        <f t="shared" ca="1" si="379"/>
        <v>0.8692227593645685</v>
      </c>
    </row>
    <row r="3279" spans="17:23" x14ac:dyDescent="0.2">
      <c r="Q3279">
        <f t="shared" si="373"/>
        <v>3263</v>
      </c>
      <c r="R3279" s="48">
        <f t="shared" ca="1" si="374"/>
        <v>0.4</v>
      </c>
      <c r="S3279">
        <f t="shared" ca="1" si="375"/>
        <v>159.19688587611964</v>
      </c>
      <c r="T3279" s="61">
        <f t="shared" ca="1" si="376"/>
        <v>19200</v>
      </c>
      <c r="U3279" s="61">
        <f t="shared" ca="1" si="377"/>
        <v>4414.5052205374268</v>
      </c>
      <c r="V3279" s="39">
        <f t="shared" ca="1" si="378"/>
        <v>2.9042797503535701E-2</v>
      </c>
      <c r="W3279" s="48">
        <f t="shared" ca="1" si="379"/>
        <v>0.26138886030155106</v>
      </c>
    </row>
    <row r="3280" spans="17:23" x14ac:dyDescent="0.2">
      <c r="Q3280">
        <f t="shared" si="373"/>
        <v>3264</v>
      </c>
      <c r="R3280" s="48">
        <f t="shared" ca="1" si="374"/>
        <v>0.15</v>
      </c>
      <c r="S3280">
        <f t="shared" ca="1" si="375"/>
        <v>216.03045372466875</v>
      </c>
      <c r="T3280" s="61">
        <f t="shared" ca="1" si="376"/>
        <v>7200</v>
      </c>
      <c r="U3280" s="61">
        <f t="shared" ca="1" si="377"/>
        <v>24900.708532774748</v>
      </c>
      <c r="V3280" s="39">
        <f t="shared" ca="1" si="378"/>
        <v>0.16382045087351807</v>
      </c>
      <c r="W3280" s="48">
        <f t="shared" ca="1" si="379"/>
        <v>2.4230129358168129</v>
      </c>
    </row>
    <row r="3281" spans="17:23" x14ac:dyDescent="0.2">
      <c r="Q3281">
        <f t="shared" si="373"/>
        <v>3265</v>
      </c>
      <c r="R3281" s="48">
        <f t="shared" ca="1" si="374"/>
        <v>0.5</v>
      </c>
      <c r="S3281">
        <f t="shared" ca="1" si="375"/>
        <v>237.24890303014166</v>
      </c>
      <c r="T3281" s="61">
        <f t="shared" ca="1" si="376"/>
        <v>24000</v>
      </c>
      <c r="U3281" s="61">
        <f t="shared" ca="1" si="377"/>
        <v>42899.561212056666</v>
      </c>
      <c r="V3281" s="39">
        <f t="shared" ca="1" si="378"/>
        <v>0.28223395534247808</v>
      </c>
      <c r="W3281" s="48">
        <f t="shared" ca="1" si="379"/>
        <v>6.5116362843460402</v>
      </c>
    </row>
    <row r="3282" spans="17:23" x14ac:dyDescent="0.2">
      <c r="Q3282">
        <f t="shared" si="373"/>
        <v>3266</v>
      </c>
      <c r="R3282" s="48">
        <f t="shared" ca="1" si="374"/>
        <v>0.35</v>
      </c>
      <c r="S3282">
        <f t="shared" ca="1" si="375"/>
        <v>197.21764015177476</v>
      </c>
      <c r="T3282" s="61">
        <f t="shared" ca="1" si="376"/>
        <v>16800</v>
      </c>
      <c r="U3282" s="61">
        <f t="shared" ca="1" si="377"/>
        <v>20553.172878922873</v>
      </c>
      <c r="V3282" s="39">
        <f t="shared" ca="1" si="378"/>
        <v>0.13521824262449259</v>
      </c>
      <c r="W3282" s="48">
        <f t="shared" ca="1" si="379"/>
        <v>1.7974016131105581</v>
      </c>
    </row>
    <row r="3283" spans="17:23" x14ac:dyDescent="0.2">
      <c r="Q3283">
        <f t="shared" ref="Q3283:Q3346" si="380">Q3282+1</f>
        <v>3267</v>
      </c>
      <c r="R3283" s="48">
        <f t="shared" ref="R3283:R3346" ca="1" si="381">LOOKUP(RAND(),$U$6:$U$12,$S$6:$S$12)</f>
        <v>0.15</v>
      </c>
      <c r="S3283">
        <f t="shared" ref="S3283:S3346" ca="1" si="382">_xlfn.NORM.INV(RAND(),$Q$5,$Q$10)</f>
        <v>199.47005483970815</v>
      </c>
      <c r="T3283" s="61">
        <f t="shared" ca="1" si="376"/>
        <v>7200</v>
      </c>
      <c r="U3283" s="61">
        <f t="shared" ca="1" si="377"/>
        <v>13639.637291001545</v>
      </c>
      <c r="V3283" s="39">
        <f t="shared" ca="1" si="378"/>
        <v>8.9734455861852275E-2</v>
      </c>
      <c r="W3283" s="48">
        <f t="shared" ca="1" si="379"/>
        <v>1.0077618862479758</v>
      </c>
    </row>
    <row r="3284" spans="17:23" x14ac:dyDescent="0.2">
      <c r="Q3284">
        <f t="shared" si="380"/>
        <v>3268</v>
      </c>
      <c r="R3284" s="48">
        <f t="shared" ca="1" si="381"/>
        <v>0.4</v>
      </c>
      <c r="S3284">
        <f t="shared" ca="1" si="382"/>
        <v>179.52748551346048</v>
      </c>
      <c r="T3284" s="61">
        <f t="shared" ca="1" si="376"/>
        <v>19200</v>
      </c>
      <c r="U3284" s="61">
        <f t="shared" ca="1" si="377"/>
        <v>14173.193046461029</v>
      </c>
      <c r="V3284" s="39">
        <f t="shared" ca="1" si="378"/>
        <v>9.3244691095138346E-2</v>
      </c>
      <c r="W3284" s="48">
        <f t="shared" ca="1" si="379"/>
        <v>1.0608242074325145</v>
      </c>
    </row>
    <row r="3285" spans="17:23" x14ac:dyDescent="0.2">
      <c r="Q3285">
        <f t="shared" si="380"/>
        <v>3269</v>
      </c>
      <c r="R3285" s="48">
        <f t="shared" ca="1" si="381"/>
        <v>0.3</v>
      </c>
      <c r="S3285">
        <f t="shared" ca="1" si="382"/>
        <v>186.57702906643493</v>
      </c>
      <c r="T3285" s="61">
        <f t="shared" ca="1" si="376"/>
        <v>14400</v>
      </c>
      <c r="U3285" s="61">
        <f t="shared" ca="1" si="377"/>
        <v>12483.136277203561</v>
      </c>
      <c r="V3285" s="39">
        <f t="shared" ca="1" si="378"/>
        <v>8.2125896560549749E-2</v>
      </c>
      <c r="W3285" s="48">
        <f t="shared" ca="1" si="379"/>
        <v>0.89684116529118318</v>
      </c>
    </row>
    <row r="3286" spans="17:23" x14ac:dyDescent="0.2">
      <c r="Q3286">
        <f t="shared" si="380"/>
        <v>3270</v>
      </c>
      <c r="R3286" s="48">
        <f t="shared" ca="1" si="381"/>
        <v>0.4</v>
      </c>
      <c r="S3286">
        <f t="shared" ca="1" si="382"/>
        <v>208.02228483736388</v>
      </c>
      <c r="T3286" s="61">
        <f t="shared" ca="1" si="376"/>
        <v>19200</v>
      </c>
      <c r="U3286" s="61">
        <f t="shared" ca="1" si="377"/>
        <v>27850.696721934662</v>
      </c>
      <c r="V3286" s="39">
        <f t="shared" ca="1" si="378"/>
        <v>0.18322826790746488</v>
      </c>
      <c r="W3286" s="48">
        <f t="shared" ca="1" si="379"/>
        <v>2.9144163727482129</v>
      </c>
    </row>
    <row r="3287" spans="17:23" x14ac:dyDescent="0.2">
      <c r="Q3287">
        <f t="shared" si="380"/>
        <v>3271</v>
      </c>
      <c r="R3287" s="48">
        <f t="shared" ca="1" si="381"/>
        <v>0.3</v>
      </c>
      <c r="S3287">
        <f t="shared" ca="1" si="382"/>
        <v>176.22909750962236</v>
      </c>
      <c r="T3287" s="61">
        <f t="shared" ca="1" si="376"/>
        <v>14400</v>
      </c>
      <c r="U3287" s="61">
        <f t="shared" ca="1" si="377"/>
        <v>6688.2946053885235</v>
      </c>
      <c r="V3287" s="39">
        <f t="shared" ca="1" si="378"/>
        <v>4.4001938193345552E-2</v>
      </c>
      <c r="W3287" s="48">
        <f t="shared" ca="1" si="379"/>
        <v>0.41803961041552307</v>
      </c>
    </row>
    <row r="3288" spans="17:23" x14ac:dyDescent="0.2">
      <c r="Q3288">
        <f t="shared" si="380"/>
        <v>3272</v>
      </c>
      <c r="R3288" s="48">
        <f t="shared" ca="1" si="381"/>
        <v>0.5</v>
      </c>
      <c r="S3288">
        <f t="shared" ca="1" si="382"/>
        <v>170.50756939799965</v>
      </c>
      <c r="T3288" s="61">
        <f t="shared" ca="1" si="376"/>
        <v>24000</v>
      </c>
      <c r="U3288" s="61">
        <f t="shared" ca="1" si="377"/>
        <v>16203.027759199858</v>
      </c>
      <c r="V3288" s="39">
        <f t="shared" ca="1" si="378"/>
        <v>0.10659886683684118</v>
      </c>
      <c r="W3288" s="48">
        <f t="shared" ca="1" si="379"/>
        <v>1.2741000702967926</v>
      </c>
    </row>
    <row r="3289" spans="17:23" x14ac:dyDescent="0.2">
      <c r="Q3289">
        <f t="shared" si="380"/>
        <v>3273</v>
      </c>
      <c r="R3289" s="48">
        <f t="shared" ca="1" si="381"/>
        <v>0.3</v>
      </c>
      <c r="S3289">
        <f t="shared" ca="1" si="382"/>
        <v>214.00915274249235</v>
      </c>
      <c r="T3289" s="61">
        <f t="shared" ca="1" si="376"/>
        <v>14400</v>
      </c>
      <c r="U3289" s="61">
        <f t="shared" ca="1" si="377"/>
        <v>27845.125535795712</v>
      </c>
      <c r="V3289" s="39">
        <f t="shared" ca="1" si="378"/>
        <v>0.18319161536707707</v>
      </c>
      <c r="W3289" s="48">
        <f t="shared" ca="1" si="379"/>
        <v>2.913432961703128</v>
      </c>
    </row>
    <row r="3290" spans="17:23" x14ac:dyDescent="0.2">
      <c r="Q3290">
        <f t="shared" si="380"/>
        <v>3274</v>
      </c>
      <c r="R3290" s="48">
        <f t="shared" ca="1" si="381"/>
        <v>0.4</v>
      </c>
      <c r="S3290">
        <f t="shared" ca="1" si="382"/>
        <v>209.714779310208</v>
      </c>
      <c r="T3290" s="61">
        <f t="shared" ca="1" si="376"/>
        <v>19200</v>
      </c>
      <c r="U3290" s="61">
        <f t="shared" ca="1" si="377"/>
        <v>28663.094068899842</v>
      </c>
      <c r="V3290" s="39">
        <f t="shared" ca="1" si="378"/>
        <v>0.18857298729539371</v>
      </c>
      <c r="W3290" s="48">
        <f t="shared" ca="1" si="379"/>
        <v>3.0601591069940302</v>
      </c>
    </row>
    <row r="3291" spans="17:23" x14ac:dyDescent="0.2">
      <c r="Q3291">
        <f t="shared" si="380"/>
        <v>3275</v>
      </c>
      <c r="R3291" s="48">
        <f t="shared" ca="1" si="381"/>
        <v>0.5</v>
      </c>
      <c r="S3291">
        <f t="shared" ca="1" si="382"/>
        <v>197.8640537391536</v>
      </c>
      <c r="T3291" s="61">
        <f t="shared" ca="1" si="376"/>
        <v>24000</v>
      </c>
      <c r="U3291" s="61">
        <f t="shared" ca="1" si="377"/>
        <v>27145.621495661442</v>
      </c>
      <c r="V3291" s="39">
        <f t="shared" ca="1" si="378"/>
        <v>0.17858961510303581</v>
      </c>
      <c r="W3291" s="48">
        <f t="shared" ca="1" si="379"/>
        <v>2.7916658715953289</v>
      </c>
    </row>
    <row r="3292" spans="17:23" x14ac:dyDescent="0.2">
      <c r="Q3292">
        <f t="shared" si="380"/>
        <v>3276</v>
      </c>
      <c r="R3292" s="48">
        <f t="shared" ca="1" si="381"/>
        <v>0.45</v>
      </c>
      <c r="S3292">
        <f t="shared" ca="1" si="382"/>
        <v>190.52268440104038</v>
      </c>
      <c r="T3292" s="61">
        <f t="shared" ca="1" si="376"/>
        <v>21600</v>
      </c>
      <c r="U3292" s="61">
        <f t="shared" ca="1" si="377"/>
        <v>21829.981136457765</v>
      </c>
      <c r="V3292" s="39">
        <f t="shared" ca="1" si="378"/>
        <v>0.14361829695038003</v>
      </c>
      <c r="W3292" s="48">
        <f t="shared" ca="1" si="379"/>
        <v>1.9697810929572643</v>
      </c>
    </row>
    <row r="3293" spans="17:23" x14ac:dyDescent="0.2">
      <c r="Q3293">
        <f t="shared" si="380"/>
        <v>3277</v>
      </c>
      <c r="R3293" s="48">
        <f t="shared" ca="1" si="381"/>
        <v>0.35</v>
      </c>
      <c r="S3293">
        <f t="shared" ca="1" si="382"/>
        <v>216.15547357633739</v>
      </c>
      <c r="T3293" s="61">
        <f t="shared" ca="1" si="376"/>
        <v>16800</v>
      </c>
      <c r="U3293" s="61">
        <f t="shared" ca="1" si="377"/>
        <v>30400.846259695441</v>
      </c>
      <c r="V3293" s="39">
        <f t="shared" ca="1" si="378"/>
        <v>0.20000556749799633</v>
      </c>
      <c r="W3293" s="48">
        <f t="shared" ca="1" si="379"/>
        <v>3.3879758431112057</v>
      </c>
    </row>
    <row r="3294" spans="17:23" x14ac:dyDescent="0.2">
      <c r="Q3294">
        <f t="shared" si="380"/>
        <v>3278</v>
      </c>
      <c r="R3294" s="48">
        <f t="shared" ca="1" si="381"/>
        <v>0.3</v>
      </c>
      <c r="S3294">
        <f t="shared" ca="1" si="382"/>
        <v>219.37459337335326</v>
      </c>
      <c r="T3294" s="61">
        <f t="shared" ca="1" si="376"/>
        <v>14400</v>
      </c>
      <c r="U3294" s="61">
        <f t="shared" ca="1" si="377"/>
        <v>30849.772289077828</v>
      </c>
      <c r="V3294" s="39">
        <f t="shared" ca="1" si="378"/>
        <v>0.2029590282176173</v>
      </c>
      <c r="W3294" s="48">
        <f t="shared" ca="1" si="379"/>
        <v>3.476343923967284</v>
      </c>
    </row>
    <row r="3295" spans="17:23" x14ac:dyDescent="0.2">
      <c r="Q3295">
        <f t="shared" si="380"/>
        <v>3279</v>
      </c>
      <c r="R3295" s="48">
        <f t="shared" ca="1" si="381"/>
        <v>0.35</v>
      </c>
      <c r="S3295">
        <f t="shared" ca="1" si="382"/>
        <v>169.83699583006216</v>
      </c>
      <c r="T3295" s="61">
        <f t="shared" ca="1" si="376"/>
        <v>16800</v>
      </c>
      <c r="U3295" s="61">
        <f t="shared" ca="1" si="377"/>
        <v>6315.2378316323266</v>
      </c>
      <c r="V3295" s="39">
        <f t="shared" ca="1" si="378"/>
        <v>4.1547617313370568E-2</v>
      </c>
      <c r="W3295" s="48">
        <f t="shared" ca="1" si="379"/>
        <v>0.39122503996937352</v>
      </c>
    </row>
    <row r="3296" spans="17:23" x14ac:dyDescent="0.2">
      <c r="Q3296">
        <f t="shared" si="380"/>
        <v>3280</v>
      </c>
      <c r="R3296" s="48">
        <f t="shared" ca="1" si="381"/>
        <v>0.4</v>
      </c>
      <c r="S3296">
        <f t="shared" ca="1" si="382"/>
        <v>201.29360875564322</v>
      </c>
      <c r="T3296" s="61">
        <f t="shared" ca="1" si="376"/>
        <v>19200</v>
      </c>
      <c r="U3296" s="61">
        <f t="shared" ca="1" si="377"/>
        <v>24620.932202708747</v>
      </c>
      <c r="V3296" s="39">
        <f t="shared" ca="1" si="378"/>
        <v>0.16197981712308387</v>
      </c>
      <c r="W3296" s="48">
        <f t="shared" ca="1" si="379"/>
        <v>2.379348370913982</v>
      </c>
    </row>
    <row r="3297" spans="17:23" x14ac:dyDescent="0.2">
      <c r="Q3297">
        <f t="shared" si="380"/>
        <v>3281</v>
      </c>
      <c r="R3297" s="48">
        <f t="shared" ca="1" si="381"/>
        <v>0.45</v>
      </c>
      <c r="S3297">
        <f t="shared" ca="1" si="382"/>
        <v>198.52736473502284</v>
      </c>
      <c r="T3297" s="61">
        <f t="shared" ca="1" si="376"/>
        <v>21600</v>
      </c>
      <c r="U3297" s="61">
        <f t="shared" ca="1" si="377"/>
        <v>25352.040483410052</v>
      </c>
      <c r="V3297" s="39">
        <f t="shared" ca="1" si="378"/>
        <v>0.16678974002243455</v>
      </c>
      <c r="W3297" s="48">
        <f t="shared" ca="1" si="379"/>
        <v>2.4944950927563858</v>
      </c>
    </row>
    <row r="3298" spans="17:23" x14ac:dyDescent="0.2">
      <c r="Q3298">
        <f t="shared" si="380"/>
        <v>3282</v>
      </c>
      <c r="R3298" s="48">
        <f t="shared" ca="1" si="381"/>
        <v>0.5</v>
      </c>
      <c r="S3298">
        <f t="shared" ca="1" si="382"/>
        <v>230.28029643736363</v>
      </c>
      <c r="T3298" s="61">
        <f t="shared" ca="1" si="376"/>
        <v>24000</v>
      </c>
      <c r="U3298" s="61">
        <f t="shared" ca="1" si="377"/>
        <v>40112.118574945453</v>
      </c>
      <c r="V3298" s="39">
        <f t="shared" ca="1" si="378"/>
        <v>0.26389551694043062</v>
      </c>
      <c r="W3298" s="48">
        <f t="shared" ca="1" si="379"/>
        <v>5.6832949602663341</v>
      </c>
    </row>
    <row r="3299" spans="17:23" x14ac:dyDescent="0.2">
      <c r="Q3299">
        <f t="shared" si="380"/>
        <v>3283</v>
      </c>
      <c r="R3299" s="48">
        <f t="shared" ca="1" si="381"/>
        <v>0.4</v>
      </c>
      <c r="S3299">
        <f t="shared" ca="1" si="382"/>
        <v>175.75143910835737</v>
      </c>
      <c r="T3299" s="61">
        <f t="shared" ca="1" si="376"/>
        <v>19200</v>
      </c>
      <c r="U3299" s="61">
        <f t="shared" ca="1" si="377"/>
        <v>12360.69077201154</v>
      </c>
      <c r="V3299" s="39">
        <f t="shared" ca="1" si="378"/>
        <v>8.1320334026391702E-2</v>
      </c>
      <c r="W3299" s="48">
        <f t="shared" ca="1" si="379"/>
        <v>0.88541807796823013</v>
      </c>
    </row>
    <row r="3300" spans="17:23" x14ac:dyDescent="0.2">
      <c r="Q3300">
        <f t="shared" si="380"/>
        <v>3284</v>
      </c>
      <c r="R3300" s="48">
        <f t="shared" ca="1" si="381"/>
        <v>0.45</v>
      </c>
      <c r="S3300">
        <f t="shared" ca="1" si="382"/>
        <v>205.78591526339025</v>
      </c>
      <c r="T3300" s="61">
        <f t="shared" ca="1" si="376"/>
        <v>21600</v>
      </c>
      <c r="U3300" s="61">
        <f t="shared" ca="1" si="377"/>
        <v>28545.80271589171</v>
      </c>
      <c r="V3300" s="39">
        <f t="shared" ca="1" si="378"/>
        <v>0.1878013336571823</v>
      </c>
      <c r="W3300" s="48">
        <f t="shared" ca="1" si="379"/>
        <v>3.0388277926526275</v>
      </c>
    </row>
    <row r="3301" spans="17:23" x14ac:dyDescent="0.2">
      <c r="Q3301">
        <f t="shared" si="380"/>
        <v>3285</v>
      </c>
      <c r="R3301" s="48">
        <f t="shared" ca="1" si="381"/>
        <v>0.4</v>
      </c>
      <c r="S3301">
        <f t="shared" ca="1" si="382"/>
        <v>167.99446205454581</v>
      </c>
      <c r="T3301" s="61">
        <f t="shared" ca="1" si="376"/>
        <v>19200</v>
      </c>
      <c r="U3301" s="61">
        <f t="shared" ca="1" si="377"/>
        <v>8637.3417861819871</v>
      </c>
      <c r="V3301" s="39">
        <f t="shared" ca="1" si="378"/>
        <v>5.6824617014355178E-2</v>
      </c>
      <c r="W3301" s="48">
        <f t="shared" ca="1" si="379"/>
        <v>0.56563441242853663</v>
      </c>
    </row>
    <row r="3302" spans="17:23" x14ac:dyDescent="0.2">
      <c r="Q3302">
        <f t="shared" si="380"/>
        <v>3286</v>
      </c>
      <c r="R3302" s="48">
        <f t="shared" ca="1" si="381"/>
        <v>0.4</v>
      </c>
      <c r="S3302">
        <f t="shared" ca="1" si="382"/>
        <v>158.78575696657265</v>
      </c>
      <c r="T3302" s="61">
        <f t="shared" ca="1" si="376"/>
        <v>19200</v>
      </c>
      <c r="U3302" s="61">
        <f t="shared" ca="1" si="377"/>
        <v>4217.1633439548714</v>
      </c>
      <c r="V3302" s="39">
        <f t="shared" ca="1" si="378"/>
        <v>2.7744495683913628E-2</v>
      </c>
      <c r="W3302" s="48">
        <f t="shared" ca="1" si="379"/>
        <v>0.24853824250647838</v>
      </c>
    </row>
    <row r="3303" spans="17:23" x14ac:dyDescent="0.2">
      <c r="Q3303">
        <f t="shared" si="380"/>
        <v>3287</v>
      </c>
      <c r="R3303" s="48">
        <f t="shared" ca="1" si="381"/>
        <v>0.4</v>
      </c>
      <c r="S3303">
        <f t="shared" ca="1" si="382"/>
        <v>177.80218668291735</v>
      </c>
      <c r="T3303" s="61">
        <f t="shared" ca="1" si="376"/>
        <v>19200</v>
      </c>
      <c r="U3303" s="61">
        <f t="shared" ca="1" si="377"/>
        <v>13345.049607800329</v>
      </c>
      <c r="V3303" s="39">
        <f t="shared" ca="1" si="378"/>
        <v>8.7796378998686378E-2</v>
      </c>
      <c r="W3303" s="48">
        <f t="shared" ca="1" si="379"/>
        <v>0.97898141653416948</v>
      </c>
    </row>
    <row r="3304" spans="17:23" x14ac:dyDescent="0.2">
      <c r="Q3304">
        <f t="shared" si="380"/>
        <v>3288</v>
      </c>
      <c r="R3304" s="48">
        <f t="shared" ca="1" si="381"/>
        <v>0.35</v>
      </c>
      <c r="S3304">
        <f t="shared" ca="1" si="382"/>
        <v>191.80380966873642</v>
      </c>
      <c r="T3304" s="61">
        <f t="shared" ca="1" si="376"/>
        <v>16800</v>
      </c>
      <c r="U3304" s="61">
        <f t="shared" ca="1" si="377"/>
        <v>17737.981027742939</v>
      </c>
      <c r="V3304" s="39">
        <f t="shared" ca="1" si="378"/>
        <v>0.11669724360357196</v>
      </c>
      <c r="W3304" s="48">
        <f t="shared" ca="1" si="379"/>
        <v>1.4479904186319428</v>
      </c>
    </row>
    <row r="3305" spans="17:23" x14ac:dyDescent="0.2">
      <c r="Q3305">
        <f t="shared" si="380"/>
        <v>3289</v>
      </c>
      <c r="R3305" s="48">
        <f t="shared" ca="1" si="381"/>
        <v>0.4</v>
      </c>
      <c r="S3305">
        <f t="shared" ca="1" si="382"/>
        <v>174.13485871103541</v>
      </c>
      <c r="T3305" s="61">
        <f t="shared" ca="1" si="376"/>
        <v>19200</v>
      </c>
      <c r="U3305" s="61">
        <f t="shared" ca="1" si="377"/>
        <v>11584.732181296995</v>
      </c>
      <c r="V3305" s="39">
        <f t="shared" ca="1" si="378"/>
        <v>7.6215343298006541E-2</v>
      </c>
      <c r="W3305" s="48">
        <f t="shared" ca="1" si="379"/>
        <v>0.81441984887231689</v>
      </c>
    </row>
    <row r="3306" spans="17:23" x14ac:dyDescent="0.2">
      <c r="Q3306">
        <f t="shared" si="380"/>
        <v>3290</v>
      </c>
      <c r="R3306" s="48">
        <f t="shared" ca="1" si="381"/>
        <v>0.35</v>
      </c>
      <c r="S3306">
        <f t="shared" ca="1" si="382"/>
        <v>174.9176090064536</v>
      </c>
      <c r="T3306" s="61">
        <f t="shared" ca="1" si="376"/>
        <v>16800</v>
      </c>
      <c r="U3306" s="61">
        <f t="shared" ca="1" si="377"/>
        <v>8957.1566833558736</v>
      </c>
      <c r="V3306" s="39">
        <f t="shared" ca="1" si="378"/>
        <v>5.8928662390499167E-2</v>
      </c>
      <c r="W3306" s="48">
        <f t="shared" ca="1" si="379"/>
        <v>0.59109677836429086</v>
      </c>
    </row>
    <row r="3307" spans="17:23" x14ac:dyDescent="0.2">
      <c r="Q3307">
        <f t="shared" si="380"/>
        <v>3291</v>
      </c>
      <c r="R3307" s="48">
        <f t="shared" ca="1" si="381"/>
        <v>0.3</v>
      </c>
      <c r="S3307">
        <f t="shared" ca="1" si="382"/>
        <v>194.92333552298084</v>
      </c>
      <c r="T3307" s="61">
        <f t="shared" ca="1" si="376"/>
        <v>14400</v>
      </c>
      <c r="U3307" s="61">
        <f t="shared" ca="1" si="377"/>
        <v>17157.067892869269</v>
      </c>
      <c r="V3307" s="39">
        <f t="shared" ca="1" si="378"/>
        <v>0.11287544666361361</v>
      </c>
      <c r="W3307" s="48">
        <f t="shared" ca="1" si="379"/>
        <v>1.3808564687288012</v>
      </c>
    </row>
    <row r="3308" spans="17:23" x14ac:dyDescent="0.2">
      <c r="Q3308">
        <f t="shared" si="380"/>
        <v>3292</v>
      </c>
      <c r="R3308" s="48">
        <f t="shared" ca="1" si="381"/>
        <v>0.3</v>
      </c>
      <c r="S3308">
        <f t="shared" ca="1" si="382"/>
        <v>189.63102568808236</v>
      </c>
      <c r="T3308" s="61">
        <f t="shared" ca="1" si="376"/>
        <v>14400</v>
      </c>
      <c r="U3308" s="61">
        <f t="shared" ca="1" si="377"/>
        <v>14193.374385326122</v>
      </c>
      <c r="V3308" s="39">
        <f t="shared" ca="1" si="378"/>
        <v>9.3377463061356067E-2</v>
      </c>
      <c r="W3308" s="48">
        <f t="shared" ca="1" si="379"/>
        <v>1.0628551509610205</v>
      </c>
    </row>
    <row r="3309" spans="17:23" x14ac:dyDescent="0.2">
      <c r="Q3309">
        <f t="shared" si="380"/>
        <v>3293</v>
      </c>
      <c r="R3309" s="48">
        <f t="shared" ca="1" si="381"/>
        <v>0.3</v>
      </c>
      <c r="S3309">
        <f t="shared" ca="1" si="382"/>
        <v>158.70689005985918</v>
      </c>
      <c r="T3309" s="61">
        <f t="shared" ca="1" si="376"/>
        <v>14400</v>
      </c>
      <c r="U3309" s="61">
        <f t="shared" ca="1" si="377"/>
        <v>-3124.1415664788619</v>
      </c>
      <c r="V3309" s="39">
        <f t="shared" ca="1" si="378"/>
        <v>-2.0553562937360933E-2</v>
      </c>
      <c r="W3309" s="48">
        <f t="shared" ca="1" si="379"/>
        <v>-0.15502593266317211</v>
      </c>
    </row>
    <row r="3310" spans="17:23" x14ac:dyDescent="0.2">
      <c r="Q3310">
        <f t="shared" si="380"/>
        <v>3294</v>
      </c>
      <c r="R3310" s="48">
        <f t="shared" ca="1" si="381"/>
        <v>0.35</v>
      </c>
      <c r="S3310">
        <f t="shared" ca="1" si="382"/>
        <v>185.75836398171384</v>
      </c>
      <c r="T3310" s="61">
        <f t="shared" ca="1" si="376"/>
        <v>16800</v>
      </c>
      <c r="U3310" s="61">
        <f t="shared" ca="1" si="377"/>
        <v>14594.349270491199</v>
      </c>
      <c r="V3310" s="39">
        <f t="shared" ca="1" si="378"/>
        <v>9.6015455726915777E-2</v>
      </c>
      <c r="W3310" s="48">
        <f t="shared" ca="1" si="379"/>
        <v>1.1035725907834211</v>
      </c>
    </row>
    <row r="3311" spans="17:23" x14ac:dyDescent="0.2">
      <c r="Q3311">
        <f t="shared" si="380"/>
        <v>3295</v>
      </c>
      <c r="R3311" s="48">
        <f t="shared" ca="1" si="381"/>
        <v>0.45</v>
      </c>
      <c r="S3311">
        <f t="shared" ca="1" si="382"/>
        <v>191.94517393203927</v>
      </c>
      <c r="T3311" s="61">
        <f t="shared" ca="1" si="376"/>
        <v>21600</v>
      </c>
      <c r="U3311" s="61">
        <f t="shared" ca="1" si="377"/>
        <v>22455.876530097277</v>
      </c>
      <c r="V3311" s="39">
        <f t="shared" ca="1" si="378"/>
        <v>0.14773602980327155</v>
      </c>
      <c r="W3311" s="48">
        <f t="shared" ca="1" si="379"/>
        <v>2.0576321404908189</v>
      </c>
    </row>
    <row r="3312" spans="17:23" x14ac:dyDescent="0.2">
      <c r="Q3312">
        <f t="shared" si="380"/>
        <v>3296</v>
      </c>
      <c r="R3312" s="48">
        <f t="shared" ca="1" si="381"/>
        <v>0.4</v>
      </c>
      <c r="S3312">
        <f t="shared" ca="1" si="382"/>
        <v>195.35295328547272</v>
      </c>
      <c r="T3312" s="61">
        <f t="shared" ca="1" si="376"/>
        <v>19200</v>
      </c>
      <c r="U3312" s="61">
        <f t="shared" ca="1" si="377"/>
        <v>21769.417577026907</v>
      </c>
      <c r="V3312" s="39">
        <f t="shared" ca="1" si="378"/>
        <v>0.14321985248044017</v>
      </c>
      <c r="W3312" s="48">
        <f t="shared" ca="1" si="379"/>
        <v>1.9613989792011948</v>
      </c>
    </row>
    <row r="3313" spans="17:23" x14ac:dyDescent="0.2">
      <c r="Q3313">
        <f t="shared" si="380"/>
        <v>3297</v>
      </c>
      <c r="R3313" s="48">
        <f t="shared" ca="1" si="381"/>
        <v>0.4</v>
      </c>
      <c r="S3313">
        <f t="shared" ca="1" si="382"/>
        <v>167.91411906181264</v>
      </c>
      <c r="T3313" s="61">
        <f t="shared" ca="1" si="376"/>
        <v>19200</v>
      </c>
      <c r="U3313" s="61">
        <f t="shared" ca="1" si="377"/>
        <v>8598.777149670068</v>
      </c>
      <c r="V3313" s="39">
        <f t="shared" ca="1" si="378"/>
        <v>5.6570902300460975E-2</v>
      </c>
      <c r="W3313" s="48">
        <f t="shared" ca="1" si="379"/>
        <v>0.56258832225573396</v>
      </c>
    </row>
    <row r="3314" spans="17:23" x14ac:dyDescent="0.2">
      <c r="Q3314">
        <f t="shared" si="380"/>
        <v>3298</v>
      </c>
      <c r="R3314" s="48">
        <f t="shared" ca="1" si="381"/>
        <v>0.3</v>
      </c>
      <c r="S3314">
        <f t="shared" ca="1" si="382"/>
        <v>213.33255981663544</v>
      </c>
      <c r="T3314" s="61">
        <f t="shared" ca="1" si="376"/>
        <v>14400</v>
      </c>
      <c r="U3314" s="61">
        <f t="shared" ca="1" si="377"/>
        <v>27466.233497315843</v>
      </c>
      <c r="V3314" s="39">
        <f t="shared" ca="1" si="378"/>
        <v>0.18069890458760424</v>
      </c>
      <c r="W3314" s="48">
        <f t="shared" ca="1" si="379"/>
        <v>2.8470580957526064</v>
      </c>
    </row>
    <row r="3315" spans="17:23" x14ac:dyDescent="0.2">
      <c r="Q3315">
        <f t="shared" si="380"/>
        <v>3299</v>
      </c>
      <c r="R3315" s="48">
        <f t="shared" ca="1" si="381"/>
        <v>0.3</v>
      </c>
      <c r="S3315">
        <f t="shared" ca="1" si="382"/>
        <v>222.56355817483109</v>
      </c>
      <c r="T3315" s="61">
        <f t="shared" ca="1" si="376"/>
        <v>14400</v>
      </c>
      <c r="U3315" s="61">
        <f t="shared" ca="1" si="377"/>
        <v>32635.592577905409</v>
      </c>
      <c r="V3315" s="39">
        <f t="shared" ca="1" si="378"/>
        <v>0.21470784590727243</v>
      </c>
      <c r="W3315" s="48">
        <f t="shared" ca="1" si="379"/>
        <v>3.8435128110694947</v>
      </c>
    </row>
    <row r="3316" spans="17:23" x14ac:dyDescent="0.2">
      <c r="Q3316">
        <f t="shared" si="380"/>
        <v>3300</v>
      </c>
      <c r="R3316" s="48">
        <f t="shared" ca="1" si="381"/>
        <v>0.35</v>
      </c>
      <c r="S3316">
        <f t="shared" ca="1" si="382"/>
        <v>166.23129695922495</v>
      </c>
      <c r="T3316" s="61">
        <f t="shared" ca="1" si="376"/>
        <v>16800</v>
      </c>
      <c r="U3316" s="61">
        <f t="shared" ca="1" si="377"/>
        <v>4440.2744187969729</v>
      </c>
      <c r="V3316" s="39">
        <f t="shared" ca="1" si="378"/>
        <v>2.9212331702611664E-2</v>
      </c>
      <c r="W3316" s="48">
        <f t="shared" ca="1" si="379"/>
        <v>0.26307544297175967</v>
      </c>
    </row>
    <row r="3317" spans="17:23" x14ac:dyDescent="0.2">
      <c r="Q3317">
        <f t="shared" si="380"/>
        <v>3301</v>
      </c>
      <c r="R3317" s="48">
        <f t="shared" ca="1" si="381"/>
        <v>0.3</v>
      </c>
      <c r="S3317">
        <f t="shared" ca="1" si="382"/>
        <v>216.02626741672964</v>
      </c>
      <c r="T3317" s="61">
        <f t="shared" ca="1" si="376"/>
        <v>14400</v>
      </c>
      <c r="U3317" s="61">
        <f t="shared" ca="1" si="377"/>
        <v>28974.709753368596</v>
      </c>
      <c r="V3317" s="39">
        <f t="shared" ca="1" si="378"/>
        <v>0.19062309048268813</v>
      </c>
      <c r="W3317" s="48">
        <f t="shared" ca="1" si="379"/>
        <v>3.1173119565208838</v>
      </c>
    </row>
    <row r="3318" spans="17:23" x14ac:dyDescent="0.2">
      <c r="Q3318">
        <f t="shared" si="380"/>
        <v>3302</v>
      </c>
      <c r="R3318" s="48">
        <f t="shared" ca="1" si="381"/>
        <v>0.3</v>
      </c>
      <c r="S3318">
        <f t="shared" ca="1" si="382"/>
        <v>151.86501531333533</v>
      </c>
      <c r="T3318" s="61">
        <f t="shared" ca="1" si="376"/>
        <v>14400</v>
      </c>
      <c r="U3318" s="61">
        <f t="shared" ca="1" si="377"/>
        <v>-6955.5914245322128</v>
      </c>
      <c r="V3318" s="39">
        <f t="shared" ca="1" si="378"/>
        <v>-4.5760469898238246E-2</v>
      </c>
      <c r="W3318" s="48">
        <f t="shared" ca="1" si="379"/>
        <v>-0.31609002177918499</v>
      </c>
    </row>
    <row r="3319" spans="17:23" x14ac:dyDescent="0.2">
      <c r="Q3319">
        <f t="shared" si="380"/>
        <v>3303</v>
      </c>
      <c r="R3319" s="48">
        <f t="shared" ca="1" si="381"/>
        <v>0.3</v>
      </c>
      <c r="S3319">
        <f t="shared" ca="1" si="382"/>
        <v>173.48500470216129</v>
      </c>
      <c r="T3319" s="61">
        <f t="shared" ca="1" si="376"/>
        <v>14400</v>
      </c>
      <c r="U3319" s="61">
        <f t="shared" ca="1" si="377"/>
        <v>5151.6026332103229</v>
      </c>
      <c r="V3319" s="39">
        <f t="shared" ca="1" si="378"/>
        <v>3.3892122586910017E-2</v>
      </c>
      <c r="W3319" s="48">
        <f t="shared" ca="1" si="379"/>
        <v>0.3104189639971684</v>
      </c>
    </row>
    <row r="3320" spans="17:23" x14ac:dyDescent="0.2">
      <c r="Q3320">
        <f t="shared" si="380"/>
        <v>3304</v>
      </c>
      <c r="R3320" s="48">
        <f t="shared" ca="1" si="381"/>
        <v>0.4</v>
      </c>
      <c r="S3320">
        <f t="shared" ca="1" si="382"/>
        <v>186.90863080565742</v>
      </c>
      <c r="T3320" s="61">
        <f t="shared" ca="1" si="376"/>
        <v>19200</v>
      </c>
      <c r="U3320" s="61">
        <f t="shared" ca="1" si="377"/>
        <v>17716.142786715565</v>
      </c>
      <c r="V3320" s="39">
        <f t="shared" ca="1" si="378"/>
        <v>0.11655357096523399</v>
      </c>
      <c r="W3320" s="48">
        <f t="shared" ca="1" si="379"/>
        <v>1.4454369529541093</v>
      </c>
    </row>
    <row r="3321" spans="17:23" x14ac:dyDescent="0.2">
      <c r="Q3321">
        <f t="shared" si="380"/>
        <v>3305</v>
      </c>
      <c r="R3321" s="48">
        <f t="shared" ca="1" si="381"/>
        <v>0.4</v>
      </c>
      <c r="S3321">
        <f t="shared" ca="1" si="382"/>
        <v>235.17548742496433</v>
      </c>
      <c r="T3321" s="61">
        <f t="shared" ref="T3321:T3384" ca="1" si="383">($B$8-$B$7)*($E$6*R3321)</f>
        <v>19200</v>
      </c>
      <c r="U3321" s="61">
        <f t="shared" ref="U3321:U3384" ca="1" si="384">T3321+((S3321-$B$7)*($E$6*(1-R3321)))</f>
        <v>40884.233963982879</v>
      </c>
      <c r="V3321" s="39">
        <f t="shared" ref="V3321:V3384" ca="1" si="385">U3321/$E$4</f>
        <v>0.26897522344725577</v>
      </c>
      <c r="W3321" s="48">
        <f t="shared" ref="W3321:W3384" ca="1" si="386">(1+V3321)^($J$29/$J$30)-1</f>
        <v>5.9043044678831231</v>
      </c>
    </row>
    <row r="3322" spans="17:23" x14ac:dyDescent="0.2">
      <c r="Q3322">
        <f t="shared" si="380"/>
        <v>3306</v>
      </c>
      <c r="R3322" s="48">
        <f t="shared" ca="1" si="381"/>
        <v>0.45</v>
      </c>
      <c r="S3322">
        <f t="shared" ca="1" si="382"/>
        <v>189.66164672168236</v>
      </c>
      <c r="T3322" s="61">
        <f t="shared" ca="1" si="383"/>
        <v>21600</v>
      </c>
      <c r="U3322" s="61">
        <f t="shared" ca="1" si="384"/>
        <v>21451.124557540239</v>
      </c>
      <c r="V3322" s="39">
        <f t="shared" ca="1" si="385"/>
        <v>0.14112581945750158</v>
      </c>
      <c r="W3322" s="48">
        <f t="shared" ca="1" si="386"/>
        <v>1.9176866490135112</v>
      </c>
    </row>
    <row r="3323" spans="17:23" x14ac:dyDescent="0.2">
      <c r="Q3323">
        <f t="shared" si="380"/>
        <v>3307</v>
      </c>
      <c r="R3323" s="48">
        <f t="shared" ca="1" si="381"/>
        <v>0.45</v>
      </c>
      <c r="S3323">
        <f t="shared" ca="1" si="382"/>
        <v>172.1103208612324</v>
      </c>
      <c r="T3323" s="61">
        <f t="shared" ca="1" si="383"/>
        <v>21600</v>
      </c>
      <c r="U3323" s="61">
        <f t="shared" ca="1" si="384"/>
        <v>13728.541178942254</v>
      </c>
      <c r="V3323" s="39">
        <f t="shared" ca="1" si="385"/>
        <v>9.03193498614622E-2</v>
      </c>
      <c r="W3323" s="48">
        <f t="shared" ca="1" si="386"/>
        <v>1.0165193420036136</v>
      </c>
    </row>
    <row r="3324" spans="17:23" x14ac:dyDescent="0.2">
      <c r="Q3324">
        <f t="shared" si="380"/>
        <v>3308</v>
      </c>
      <c r="R3324" s="48">
        <f t="shared" ca="1" si="381"/>
        <v>0.4</v>
      </c>
      <c r="S3324">
        <f t="shared" ca="1" si="382"/>
        <v>222.20252757364804</v>
      </c>
      <c r="T3324" s="61">
        <f t="shared" ca="1" si="383"/>
        <v>19200</v>
      </c>
      <c r="U3324" s="61">
        <f t="shared" ca="1" si="384"/>
        <v>34657.213235351061</v>
      </c>
      <c r="V3324" s="39">
        <f t="shared" ca="1" si="385"/>
        <v>0.22800798181152013</v>
      </c>
      <c r="W3324" s="48">
        <f t="shared" ca="1" si="386"/>
        <v>4.2907928801441546</v>
      </c>
    </row>
    <row r="3325" spans="17:23" x14ac:dyDescent="0.2">
      <c r="Q3325">
        <f t="shared" si="380"/>
        <v>3309</v>
      </c>
      <c r="R3325" s="48">
        <f t="shared" ca="1" si="381"/>
        <v>0.45</v>
      </c>
      <c r="S3325">
        <f t="shared" ca="1" si="382"/>
        <v>189.13710658252865</v>
      </c>
      <c r="T3325" s="61">
        <f t="shared" ca="1" si="383"/>
        <v>21600</v>
      </c>
      <c r="U3325" s="61">
        <f t="shared" ca="1" si="384"/>
        <v>21220.326896312603</v>
      </c>
      <c r="V3325" s="39">
        <f t="shared" ca="1" si="385"/>
        <v>0.13960741379153027</v>
      </c>
      <c r="W3325" s="48">
        <f t="shared" ca="1" si="386"/>
        <v>1.8863451832123284</v>
      </c>
    </row>
    <row r="3326" spans="17:23" x14ac:dyDescent="0.2">
      <c r="Q3326">
        <f t="shared" si="380"/>
        <v>3310</v>
      </c>
      <c r="R3326" s="48">
        <f t="shared" ca="1" si="381"/>
        <v>0.35</v>
      </c>
      <c r="S3326">
        <f t="shared" ca="1" si="382"/>
        <v>183.19220490491625</v>
      </c>
      <c r="T3326" s="61">
        <f t="shared" ca="1" si="383"/>
        <v>16800</v>
      </c>
      <c r="U3326" s="61">
        <f t="shared" ca="1" si="384"/>
        <v>13259.946550556451</v>
      </c>
      <c r="V3326" s="39">
        <f t="shared" ca="1" si="385"/>
        <v>8.7236490464187175E-2</v>
      </c>
      <c r="W3326" s="48">
        <f t="shared" ca="1" si="386"/>
        <v>0.97073469442732163</v>
      </c>
    </row>
    <row r="3327" spans="17:23" x14ac:dyDescent="0.2">
      <c r="Q3327">
        <f t="shared" si="380"/>
        <v>3311</v>
      </c>
      <c r="R3327" s="48">
        <f t="shared" ca="1" si="381"/>
        <v>0.3</v>
      </c>
      <c r="S3327">
        <f t="shared" ca="1" si="382"/>
        <v>194.10353205097394</v>
      </c>
      <c r="T3327" s="61">
        <f t="shared" ca="1" si="383"/>
        <v>14400</v>
      </c>
      <c r="U3327" s="61">
        <f t="shared" ca="1" si="384"/>
        <v>16697.977948545406</v>
      </c>
      <c r="V3327" s="39">
        <f t="shared" ca="1" si="385"/>
        <v>0.10985511808253556</v>
      </c>
      <c r="W3327" s="48">
        <f t="shared" ca="1" si="386"/>
        <v>1.3289485836001971</v>
      </c>
    </row>
    <row r="3328" spans="17:23" x14ac:dyDescent="0.2">
      <c r="Q3328">
        <f t="shared" si="380"/>
        <v>3312</v>
      </c>
      <c r="R3328" s="48">
        <f t="shared" ca="1" si="381"/>
        <v>0.4</v>
      </c>
      <c r="S3328">
        <f t="shared" ca="1" si="382"/>
        <v>211.37422107146293</v>
      </c>
      <c r="T3328" s="61">
        <f t="shared" ca="1" si="383"/>
        <v>19200</v>
      </c>
      <c r="U3328" s="61">
        <f t="shared" ca="1" si="384"/>
        <v>29459.626114302206</v>
      </c>
      <c r="V3328" s="39">
        <f t="shared" ca="1" si="385"/>
        <v>0.19381332969935661</v>
      </c>
      <c r="W3328" s="48">
        <f t="shared" ca="1" si="386"/>
        <v>3.2076526583640907</v>
      </c>
    </row>
    <row r="3329" spans="17:23" x14ac:dyDescent="0.2">
      <c r="Q3329">
        <f t="shared" si="380"/>
        <v>3313</v>
      </c>
      <c r="R3329" s="48">
        <f t="shared" ca="1" si="381"/>
        <v>0.35</v>
      </c>
      <c r="S3329">
        <f t="shared" ca="1" si="382"/>
        <v>178.3746596291619</v>
      </c>
      <c r="T3329" s="61">
        <f t="shared" ca="1" si="383"/>
        <v>16800</v>
      </c>
      <c r="U3329" s="61">
        <f t="shared" ca="1" si="384"/>
        <v>10754.823007164186</v>
      </c>
      <c r="V3329" s="39">
        <f t="shared" ca="1" si="385"/>
        <v>7.0755414520817017E-2</v>
      </c>
      <c r="W3329" s="48">
        <f t="shared" ca="1" si="386"/>
        <v>0.74108972834687425</v>
      </c>
    </row>
    <row r="3330" spans="17:23" x14ac:dyDescent="0.2">
      <c r="Q3330">
        <f t="shared" si="380"/>
        <v>3314</v>
      </c>
      <c r="R3330" s="48">
        <f t="shared" ca="1" si="381"/>
        <v>0.5</v>
      </c>
      <c r="S3330">
        <f t="shared" ca="1" si="382"/>
        <v>168.08873646619605</v>
      </c>
      <c r="T3330" s="61">
        <f t="shared" ca="1" si="383"/>
        <v>24000</v>
      </c>
      <c r="U3330" s="61">
        <f t="shared" ca="1" si="384"/>
        <v>15235.49458647842</v>
      </c>
      <c r="V3330" s="39">
        <f t="shared" ca="1" si="385"/>
        <v>0.1002335170163054</v>
      </c>
      <c r="W3330" s="48">
        <f t="shared" ca="1" si="386"/>
        <v>1.1701432274783001</v>
      </c>
    </row>
    <row r="3331" spans="17:23" x14ac:dyDescent="0.2">
      <c r="Q3331">
        <f t="shared" si="380"/>
        <v>3315</v>
      </c>
      <c r="R3331" s="48">
        <f t="shared" ca="1" si="381"/>
        <v>0.4</v>
      </c>
      <c r="S3331">
        <f t="shared" ca="1" si="382"/>
        <v>221.83652492572594</v>
      </c>
      <c r="T3331" s="61">
        <f t="shared" ca="1" si="383"/>
        <v>19200</v>
      </c>
      <c r="U3331" s="61">
        <f t="shared" ca="1" si="384"/>
        <v>34481.531964348454</v>
      </c>
      <c r="V3331" s="39">
        <f t="shared" ca="1" si="385"/>
        <v>0.22685218397597667</v>
      </c>
      <c r="W3331" s="48">
        <f t="shared" ca="1" si="386"/>
        <v>4.2505370491664136</v>
      </c>
    </row>
    <row r="3332" spans="17:23" x14ac:dyDescent="0.2">
      <c r="Q3332">
        <f t="shared" si="380"/>
        <v>3316</v>
      </c>
      <c r="R3332" s="48">
        <f t="shared" ca="1" si="381"/>
        <v>0.45</v>
      </c>
      <c r="S3332">
        <f t="shared" ca="1" si="382"/>
        <v>192.00052264930997</v>
      </c>
      <c r="T3332" s="61">
        <f t="shared" ca="1" si="383"/>
        <v>21600</v>
      </c>
      <c r="U3332" s="61">
        <f t="shared" ca="1" si="384"/>
        <v>22480.229965696388</v>
      </c>
      <c r="V3332" s="39">
        <f t="shared" ca="1" si="385"/>
        <v>0.14789624977431834</v>
      </c>
      <c r="W3332" s="48">
        <f t="shared" ca="1" si="386"/>
        <v>2.0610959642444104</v>
      </c>
    </row>
    <row r="3333" spans="17:23" x14ac:dyDescent="0.2">
      <c r="Q3333">
        <f t="shared" si="380"/>
        <v>3317</v>
      </c>
      <c r="R3333" s="48">
        <f t="shared" ca="1" si="381"/>
        <v>0.35</v>
      </c>
      <c r="S3333">
        <f t="shared" ca="1" si="382"/>
        <v>177.26080006990833</v>
      </c>
      <c r="T3333" s="61">
        <f t="shared" ca="1" si="383"/>
        <v>16800</v>
      </c>
      <c r="U3333" s="61">
        <f t="shared" ca="1" si="384"/>
        <v>10175.61603635233</v>
      </c>
      <c r="V3333" s="39">
        <f t="shared" ca="1" si="385"/>
        <v>6.694484234442323E-2</v>
      </c>
      <c r="W3333" s="48">
        <f t="shared" ca="1" si="386"/>
        <v>0.69146350644314492</v>
      </c>
    </row>
    <row r="3334" spans="17:23" x14ac:dyDescent="0.2">
      <c r="Q3334">
        <f t="shared" si="380"/>
        <v>3318</v>
      </c>
      <c r="R3334" s="48">
        <f t="shared" ca="1" si="381"/>
        <v>0.45</v>
      </c>
      <c r="S3334">
        <f t="shared" ca="1" si="382"/>
        <v>173.52364004511864</v>
      </c>
      <c r="T3334" s="61">
        <f t="shared" ca="1" si="383"/>
        <v>21600</v>
      </c>
      <c r="U3334" s="61">
        <f t="shared" ca="1" si="384"/>
        <v>14350.4016198522</v>
      </c>
      <c r="V3334" s="39">
        <f t="shared" ca="1" si="385"/>
        <v>9.4410536972711845E-2</v>
      </c>
      <c r="W3334" s="48">
        <f t="shared" ca="1" si="386"/>
        <v>1.0787175806570306</v>
      </c>
    </row>
    <row r="3335" spans="17:23" x14ac:dyDescent="0.2">
      <c r="Q3335">
        <f t="shared" si="380"/>
        <v>3319</v>
      </c>
      <c r="R3335" s="48">
        <f t="shared" ca="1" si="381"/>
        <v>0.45</v>
      </c>
      <c r="S3335">
        <f t="shared" ca="1" si="382"/>
        <v>220.58541967977428</v>
      </c>
      <c r="T3335" s="61">
        <f t="shared" ca="1" si="383"/>
        <v>21600</v>
      </c>
      <c r="U3335" s="61">
        <f t="shared" ca="1" si="384"/>
        <v>35057.584659100685</v>
      </c>
      <c r="V3335" s="39">
        <f t="shared" ca="1" si="385"/>
        <v>0.23064200433618873</v>
      </c>
      <c r="W3335" s="48">
        <f t="shared" ca="1" si="386"/>
        <v>4.3835470391264151</v>
      </c>
    </row>
    <row r="3336" spans="17:23" x14ac:dyDescent="0.2">
      <c r="Q3336">
        <f t="shared" si="380"/>
        <v>3320</v>
      </c>
      <c r="R3336" s="48">
        <f t="shared" ca="1" si="381"/>
        <v>0.3</v>
      </c>
      <c r="S3336">
        <f t="shared" ca="1" si="382"/>
        <v>219.75941024692057</v>
      </c>
      <c r="T3336" s="61">
        <f t="shared" ca="1" si="383"/>
        <v>14400</v>
      </c>
      <c r="U3336" s="61">
        <f t="shared" ca="1" si="384"/>
        <v>31065.269738275518</v>
      </c>
      <c r="V3336" s="39">
        <f t="shared" ca="1" si="385"/>
        <v>0.20437677459391787</v>
      </c>
      <c r="W3336" s="48">
        <f t="shared" ca="1" si="386"/>
        <v>3.5193145745123697</v>
      </c>
    </row>
    <row r="3337" spans="17:23" x14ac:dyDescent="0.2">
      <c r="Q3337">
        <f t="shared" si="380"/>
        <v>3321</v>
      </c>
      <c r="R3337" s="48">
        <f t="shared" ca="1" si="381"/>
        <v>0.35</v>
      </c>
      <c r="S3337">
        <f t="shared" ca="1" si="382"/>
        <v>213.17899063419878</v>
      </c>
      <c r="T3337" s="61">
        <f t="shared" ca="1" si="383"/>
        <v>16800</v>
      </c>
      <c r="U3337" s="61">
        <f t="shared" ca="1" si="384"/>
        <v>28853.075129783367</v>
      </c>
      <c r="V3337" s="39">
        <f t="shared" ca="1" si="385"/>
        <v>0.1898228626959432</v>
      </c>
      <c r="W3337" s="48">
        <f t="shared" ca="1" si="386"/>
        <v>3.0949198067528876</v>
      </c>
    </row>
    <row r="3338" spans="17:23" x14ac:dyDescent="0.2">
      <c r="Q3338">
        <f t="shared" si="380"/>
        <v>3322</v>
      </c>
      <c r="R3338" s="48">
        <f t="shared" ca="1" si="381"/>
        <v>0.45</v>
      </c>
      <c r="S3338">
        <f t="shared" ca="1" si="382"/>
        <v>177.39387315419259</v>
      </c>
      <c r="T3338" s="61">
        <f t="shared" ca="1" si="383"/>
        <v>21600</v>
      </c>
      <c r="U3338" s="61">
        <f t="shared" ca="1" si="384"/>
        <v>16053.30418784474</v>
      </c>
      <c r="V3338" s="39">
        <f t="shared" ca="1" si="385"/>
        <v>0.10561384334108381</v>
      </c>
      <c r="W3338" s="48">
        <f t="shared" ca="1" si="386"/>
        <v>1.2577329566544182</v>
      </c>
    </row>
    <row r="3339" spans="17:23" x14ac:dyDescent="0.2">
      <c r="Q3339">
        <f t="shared" si="380"/>
        <v>3323</v>
      </c>
      <c r="R3339" s="48">
        <f t="shared" ca="1" si="381"/>
        <v>0.4</v>
      </c>
      <c r="S3339">
        <f t="shared" ca="1" si="382"/>
        <v>192.76303189684137</v>
      </c>
      <c r="T3339" s="61">
        <f t="shared" ca="1" si="383"/>
        <v>19200</v>
      </c>
      <c r="U3339" s="61">
        <f t="shared" ca="1" si="384"/>
        <v>20526.255310483859</v>
      </c>
      <c r="V3339" s="39">
        <f t="shared" ca="1" si="385"/>
        <v>0.13504115335844644</v>
      </c>
      <c r="W3339" s="48">
        <f t="shared" ca="1" si="386"/>
        <v>1.7938640257321685</v>
      </c>
    </row>
    <row r="3340" spans="17:23" x14ac:dyDescent="0.2">
      <c r="Q3340">
        <f t="shared" si="380"/>
        <v>3324</v>
      </c>
      <c r="R3340" s="48">
        <f t="shared" ca="1" si="381"/>
        <v>0.4</v>
      </c>
      <c r="S3340">
        <f t="shared" ca="1" si="382"/>
        <v>206.2709416461642</v>
      </c>
      <c r="T3340" s="61">
        <f t="shared" ca="1" si="383"/>
        <v>19200</v>
      </c>
      <c r="U3340" s="61">
        <f t="shared" ca="1" si="384"/>
        <v>27010.05199015882</v>
      </c>
      <c r="V3340" s="39">
        <f t="shared" ca="1" si="385"/>
        <v>0.17769771046157118</v>
      </c>
      <c r="W3340" s="48">
        <f t="shared" ca="1" si="386"/>
        <v>2.7684546550703271</v>
      </c>
    </row>
    <row r="3341" spans="17:23" x14ac:dyDescent="0.2">
      <c r="Q3341">
        <f t="shared" si="380"/>
        <v>3325</v>
      </c>
      <c r="R3341" s="48">
        <f t="shared" ca="1" si="381"/>
        <v>0.3</v>
      </c>
      <c r="S3341">
        <f t="shared" ca="1" si="382"/>
        <v>198.02504955339785</v>
      </c>
      <c r="T3341" s="61">
        <f t="shared" ca="1" si="383"/>
        <v>14400</v>
      </c>
      <c r="U3341" s="61">
        <f t="shared" ca="1" si="384"/>
        <v>18894.027749902794</v>
      </c>
      <c r="V3341" s="39">
        <f t="shared" ca="1" si="385"/>
        <v>0.12430281414409733</v>
      </c>
      <c r="W3341" s="48">
        <f t="shared" ca="1" si="386"/>
        <v>1.5865452553707375</v>
      </c>
    </row>
    <row r="3342" spans="17:23" x14ac:dyDescent="0.2">
      <c r="Q3342">
        <f t="shared" si="380"/>
        <v>3326</v>
      </c>
      <c r="R3342" s="48">
        <f t="shared" ca="1" si="381"/>
        <v>0.4</v>
      </c>
      <c r="S3342">
        <f t="shared" ca="1" si="382"/>
        <v>195.36587206677163</v>
      </c>
      <c r="T3342" s="61">
        <f t="shared" ca="1" si="383"/>
        <v>19200</v>
      </c>
      <c r="U3342" s="61">
        <f t="shared" ca="1" si="384"/>
        <v>21775.618592050381</v>
      </c>
      <c r="V3342" s="39">
        <f t="shared" ca="1" si="385"/>
        <v>0.1432606486319104</v>
      </c>
      <c r="W3342" s="48">
        <f t="shared" ca="1" si="386"/>
        <v>1.9622562574708349</v>
      </c>
    </row>
    <row r="3343" spans="17:23" x14ac:dyDescent="0.2">
      <c r="Q3343">
        <f t="shared" si="380"/>
        <v>3327</v>
      </c>
      <c r="R3343" s="48">
        <f t="shared" ca="1" si="381"/>
        <v>0.45</v>
      </c>
      <c r="S3343">
        <f t="shared" ca="1" si="382"/>
        <v>185.51515082939784</v>
      </c>
      <c r="T3343" s="61">
        <f t="shared" ca="1" si="383"/>
        <v>21600</v>
      </c>
      <c r="U3343" s="61">
        <f t="shared" ca="1" si="384"/>
        <v>19626.666364935048</v>
      </c>
      <c r="V3343" s="39">
        <f t="shared" ca="1" si="385"/>
        <v>0.12912280503246742</v>
      </c>
      <c r="W3343" s="48">
        <f t="shared" ca="1" si="386"/>
        <v>1.6778704502367749</v>
      </c>
    </row>
    <row r="3344" spans="17:23" x14ac:dyDescent="0.2">
      <c r="Q3344">
        <f t="shared" si="380"/>
        <v>3328</v>
      </c>
      <c r="R3344" s="48">
        <f t="shared" ca="1" si="381"/>
        <v>0.35</v>
      </c>
      <c r="S3344">
        <f t="shared" ca="1" si="382"/>
        <v>161.42980913779564</v>
      </c>
      <c r="T3344" s="61">
        <f t="shared" ca="1" si="383"/>
        <v>16800</v>
      </c>
      <c r="U3344" s="61">
        <f t="shared" ca="1" si="384"/>
        <v>1943.5007516537353</v>
      </c>
      <c r="V3344" s="39">
        <f t="shared" ca="1" si="385"/>
        <v>1.2786189155616679E-2</v>
      </c>
      <c r="W3344" s="48">
        <f t="shared" ca="1" si="386"/>
        <v>0.10854990560008959</v>
      </c>
    </row>
    <row r="3345" spans="17:23" x14ac:dyDescent="0.2">
      <c r="Q3345">
        <f t="shared" si="380"/>
        <v>3329</v>
      </c>
      <c r="R3345" s="48">
        <f t="shared" ca="1" si="381"/>
        <v>0.217</v>
      </c>
      <c r="S3345">
        <f t="shared" ca="1" si="382"/>
        <v>169.80058120509696</v>
      </c>
      <c r="T3345" s="61">
        <f t="shared" ca="1" si="383"/>
        <v>10416</v>
      </c>
      <c r="U3345" s="61">
        <f t="shared" ca="1" si="384"/>
        <v>-2236.915933127264</v>
      </c>
      <c r="V3345" s="39">
        <f t="shared" ca="1" si="385"/>
        <v>-1.4716552191626736E-2</v>
      </c>
      <c r="W3345" s="48">
        <f t="shared" ca="1" si="386"/>
        <v>-0.11330538292268211</v>
      </c>
    </row>
    <row r="3346" spans="17:23" x14ac:dyDescent="0.2">
      <c r="Q3346">
        <f t="shared" si="380"/>
        <v>3330</v>
      </c>
      <c r="R3346" s="48">
        <f t="shared" ca="1" si="381"/>
        <v>0.45</v>
      </c>
      <c r="S3346">
        <f t="shared" ca="1" si="382"/>
        <v>201.18904109512732</v>
      </c>
      <c r="T3346" s="61">
        <f t="shared" ca="1" si="383"/>
        <v>21600</v>
      </c>
      <c r="U3346" s="61">
        <f t="shared" ca="1" si="384"/>
        <v>26523.178081856022</v>
      </c>
      <c r="V3346" s="39">
        <f t="shared" ca="1" si="385"/>
        <v>0.17449459264378961</v>
      </c>
      <c r="W3346" s="48">
        <f t="shared" ca="1" si="386"/>
        <v>2.6861193915241799</v>
      </c>
    </row>
    <row r="3347" spans="17:23" x14ac:dyDescent="0.2">
      <c r="Q3347">
        <f t="shared" ref="Q3347:Q3410" si="387">Q3346+1</f>
        <v>3331</v>
      </c>
      <c r="R3347" s="48">
        <f t="shared" ref="R3347:R3410" ca="1" si="388">LOOKUP(RAND(),$U$6:$U$12,$S$6:$S$12)</f>
        <v>0.3</v>
      </c>
      <c r="S3347">
        <f t="shared" ref="S3347:S3410" ca="1" si="389">_xlfn.NORM.INV(RAND(),$Q$5,$Q$10)</f>
        <v>186.27341987639326</v>
      </c>
      <c r="T3347" s="61">
        <f t="shared" ca="1" si="383"/>
        <v>14400</v>
      </c>
      <c r="U3347" s="61">
        <f t="shared" ca="1" si="384"/>
        <v>12313.115130780227</v>
      </c>
      <c r="V3347" s="39">
        <f t="shared" ca="1" si="385"/>
        <v>8.1007336386712023E-2</v>
      </c>
      <c r="W3347" s="48">
        <f t="shared" ca="1" si="386"/>
        <v>0.88099598596799633</v>
      </c>
    </row>
    <row r="3348" spans="17:23" x14ac:dyDescent="0.2">
      <c r="Q3348">
        <f t="shared" si="387"/>
        <v>3332</v>
      </c>
      <c r="R3348" s="48">
        <f t="shared" ca="1" si="388"/>
        <v>0.35</v>
      </c>
      <c r="S3348">
        <f t="shared" ca="1" si="389"/>
        <v>214.11504865604837</v>
      </c>
      <c r="T3348" s="61">
        <f t="shared" ca="1" si="383"/>
        <v>16800</v>
      </c>
      <c r="U3348" s="61">
        <f t="shared" ca="1" si="384"/>
        <v>29339.825301145152</v>
      </c>
      <c r="V3348" s="39">
        <f t="shared" ca="1" si="385"/>
        <v>0.19302516645490231</v>
      </c>
      <c r="W3348" s="48">
        <f t="shared" ca="1" si="386"/>
        <v>3.1851734662990756</v>
      </c>
    </row>
    <row r="3349" spans="17:23" x14ac:dyDescent="0.2">
      <c r="Q3349">
        <f t="shared" si="387"/>
        <v>3333</v>
      </c>
      <c r="R3349" s="48">
        <f t="shared" ca="1" si="388"/>
        <v>0.4</v>
      </c>
      <c r="S3349">
        <f t="shared" ca="1" si="389"/>
        <v>178.78311640195705</v>
      </c>
      <c r="T3349" s="61">
        <f t="shared" ca="1" si="383"/>
        <v>19200</v>
      </c>
      <c r="U3349" s="61">
        <f t="shared" ca="1" si="384"/>
        <v>13815.895872939382</v>
      </c>
      <c r="V3349" s="39">
        <f t="shared" ca="1" si="385"/>
        <v>9.0894051795653824E-2</v>
      </c>
      <c r="W3349" s="48">
        <f t="shared" ca="1" si="386"/>
        <v>1.0251567952812137</v>
      </c>
    </row>
    <row r="3350" spans="17:23" x14ac:dyDescent="0.2">
      <c r="Q3350">
        <f t="shared" si="387"/>
        <v>3334</v>
      </c>
      <c r="R3350" s="48">
        <f t="shared" ca="1" si="388"/>
        <v>0.45</v>
      </c>
      <c r="S3350">
        <f t="shared" ca="1" si="389"/>
        <v>187.91208975833058</v>
      </c>
      <c r="T3350" s="61">
        <f t="shared" ca="1" si="383"/>
        <v>21600</v>
      </c>
      <c r="U3350" s="61">
        <f t="shared" ca="1" si="384"/>
        <v>20681.319493665455</v>
      </c>
      <c r="V3350" s="39">
        <f t="shared" ca="1" si="385"/>
        <v>0.13606131245832537</v>
      </c>
      <c r="W3350" s="48">
        <f t="shared" ca="1" si="386"/>
        <v>1.8142969303060195</v>
      </c>
    </row>
    <row r="3351" spans="17:23" x14ac:dyDescent="0.2">
      <c r="Q3351">
        <f t="shared" si="387"/>
        <v>3335</v>
      </c>
      <c r="R3351" s="48">
        <f t="shared" ca="1" si="388"/>
        <v>0.4</v>
      </c>
      <c r="S3351">
        <f t="shared" ca="1" si="389"/>
        <v>169.68987398182949</v>
      </c>
      <c r="T3351" s="61">
        <f t="shared" ca="1" si="383"/>
        <v>19200</v>
      </c>
      <c r="U3351" s="61">
        <f t="shared" ca="1" si="384"/>
        <v>9451.1395112781574</v>
      </c>
      <c r="V3351" s="39">
        <f t="shared" ca="1" si="385"/>
        <v>6.2178549416303665E-2</v>
      </c>
      <c r="W3351" s="48">
        <f t="shared" ca="1" si="386"/>
        <v>0.63113929195049501</v>
      </c>
    </row>
    <row r="3352" spans="17:23" x14ac:dyDescent="0.2">
      <c r="Q3352">
        <f t="shared" si="387"/>
        <v>3336</v>
      </c>
      <c r="R3352" s="48">
        <f t="shared" ca="1" si="388"/>
        <v>0.35</v>
      </c>
      <c r="S3352">
        <f t="shared" ca="1" si="389"/>
        <v>204.03260482175077</v>
      </c>
      <c r="T3352" s="61">
        <f t="shared" ca="1" si="383"/>
        <v>16800</v>
      </c>
      <c r="U3352" s="61">
        <f t="shared" ca="1" si="384"/>
        <v>24096.954507310398</v>
      </c>
      <c r="V3352" s="39">
        <f t="shared" ca="1" si="385"/>
        <v>0.15853259544283158</v>
      </c>
      <c r="W3352" s="48">
        <f t="shared" ca="1" si="386"/>
        <v>2.298883473588154</v>
      </c>
    </row>
    <row r="3353" spans="17:23" x14ac:dyDescent="0.2">
      <c r="Q3353">
        <f t="shared" si="387"/>
        <v>3337</v>
      </c>
      <c r="R3353" s="48">
        <f t="shared" ca="1" si="388"/>
        <v>0.4</v>
      </c>
      <c r="S3353">
        <f t="shared" ca="1" si="389"/>
        <v>205.513750514555</v>
      </c>
      <c r="T3353" s="61">
        <f t="shared" ca="1" si="383"/>
        <v>19200</v>
      </c>
      <c r="U3353" s="61">
        <f t="shared" ca="1" si="384"/>
        <v>26646.6002469864</v>
      </c>
      <c r="V3353" s="39">
        <f t="shared" ca="1" si="385"/>
        <v>0.17530658057227894</v>
      </c>
      <c r="W3353" s="48">
        <f t="shared" ca="1" si="386"/>
        <v>2.7068406460742351</v>
      </c>
    </row>
    <row r="3354" spans="17:23" x14ac:dyDescent="0.2">
      <c r="Q3354">
        <f t="shared" si="387"/>
        <v>3338</v>
      </c>
      <c r="R3354" s="48">
        <f t="shared" ca="1" si="388"/>
        <v>0.3</v>
      </c>
      <c r="S3354">
        <f t="shared" ca="1" si="389"/>
        <v>157.70221218103984</v>
      </c>
      <c r="T3354" s="61">
        <f t="shared" ca="1" si="383"/>
        <v>14400</v>
      </c>
      <c r="U3354" s="61">
        <f t="shared" ca="1" si="384"/>
        <v>-3686.7611786176894</v>
      </c>
      <c r="V3354" s="39">
        <f t="shared" ca="1" si="385"/>
        <v>-2.4255007754063748E-2</v>
      </c>
      <c r="W3354" s="48">
        <f t="shared" ca="1" si="386"/>
        <v>-0.18058144044736213</v>
      </c>
    </row>
    <row r="3355" spans="17:23" x14ac:dyDescent="0.2">
      <c r="Q3355">
        <f t="shared" si="387"/>
        <v>3339</v>
      </c>
      <c r="R3355" s="48">
        <f t="shared" ca="1" si="388"/>
        <v>0.3</v>
      </c>
      <c r="S3355">
        <f t="shared" ca="1" si="389"/>
        <v>203.68825387767583</v>
      </c>
      <c r="T3355" s="61">
        <f t="shared" ca="1" si="383"/>
        <v>14400</v>
      </c>
      <c r="U3355" s="61">
        <f t="shared" ca="1" si="384"/>
        <v>22065.422171498467</v>
      </c>
      <c r="V3355" s="39">
        <f t="shared" ca="1" si="385"/>
        <v>0.14516725112827938</v>
      </c>
      <c r="W3355" s="48">
        <f t="shared" ca="1" si="386"/>
        <v>2.0025645278752413</v>
      </c>
    </row>
    <row r="3356" spans="17:23" x14ac:dyDescent="0.2">
      <c r="Q3356">
        <f t="shared" si="387"/>
        <v>3340</v>
      </c>
      <c r="R3356" s="48">
        <f t="shared" ca="1" si="388"/>
        <v>0.45</v>
      </c>
      <c r="S3356">
        <f t="shared" ca="1" si="389"/>
        <v>219.83460330080135</v>
      </c>
      <c r="T3356" s="61">
        <f t="shared" ca="1" si="383"/>
        <v>21600</v>
      </c>
      <c r="U3356" s="61">
        <f t="shared" ca="1" si="384"/>
        <v>34727.225452352592</v>
      </c>
      <c r="V3356" s="39">
        <f t="shared" ca="1" si="385"/>
        <v>0.22846858850231969</v>
      </c>
      <c r="W3356" s="48">
        <f t="shared" ca="1" si="386"/>
        <v>4.3069108155042919</v>
      </c>
    </row>
    <row r="3357" spans="17:23" x14ac:dyDescent="0.2">
      <c r="Q3357">
        <f t="shared" si="387"/>
        <v>3341</v>
      </c>
      <c r="R3357" s="48">
        <f t="shared" ca="1" si="388"/>
        <v>0.217</v>
      </c>
      <c r="S3357">
        <f t="shared" ca="1" si="389"/>
        <v>223.57660010367528</v>
      </c>
      <c r="T3357" s="61">
        <f t="shared" ca="1" si="383"/>
        <v>10416</v>
      </c>
      <c r="U3357" s="61">
        <f t="shared" ca="1" si="384"/>
        <v>31448.382304942192</v>
      </c>
      <c r="V3357" s="39">
        <f t="shared" ca="1" si="385"/>
        <v>0.20689725200619863</v>
      </c>
      <c r="W3357" s="48">
        <f t="shared" ca="1" si="386"/>
        <v>3.5966016133275733</v>
      </c>
    </row>
    <row r="3358" spans="17:23" x14ac:dyDescent="0.2">
      <c r="Q3358">
        <f t="shared" si="387"/>
        <v>3342</v>
      </c>
      <c r="R3358" s="48">
        <f t="shared" ca="1" si="388"/>
        <v>0.4</v>
      </c>
      <c r="S3358">
        <f t="shared" ca="1" si="389"/>
        <v>178.90871712534422</v>
      </c>
      <c r="T3358" s="61">
        <f t="shared" ca="1" si="383"/>
        <v>19200</v>
      </c>
      <c r="U3358" s="61">
        <f t="shared" ca="1" si="384"/>
        <v>13876.184220165229</v>
      </c>
      <c r="V3358" s="39">
        <f t="shared" ca="1" si="385"/>
        <v>9.1290685658981768E-2</v>
      </c>
      <c r="W3358" s="48">
        <f t="shared" ca="1" si="386"/>
        <v>1.0311368851127338</v>
      </c>
    </row>
    <row r="3359" spans="17:23" x14ac:dyDescent="0.2">
      <c r="Q3359">
        <f t="shared" si="387"/>
        <v>3343</v>
      </c>
      <c r="R3359" s="48">
        <f t="shared" ca="1" si="388"/>
        <v>0.5</v>
      </c>
      <c r="S3359">
        <f t="shared" ca="1" si="389"/>
        <v>192.89523109298301</v>
      </c>
      <c r="T3359" s="61">
        <f t="shared" ca="1" si="383"/>
        <v>24000</v>
      </c>
      <c r="U3359" s="61">
        <f t="shared" ca="1" si="384"/>
        <v>25158.092437193205</v>
      </c>
      <c r="V3359" s="39">
        <f t="shared" ca="1" si="385"/>
        <v>0.16551376603416582</v>
      </c>
      <c r="W3359" s="48">
        <f t="shared" ca="1" si="386"/>
        <v>2.4636187516998054</v>
      </c>
    </row>
    <row r="3360" spans="17:23" x14ac:dyDescent="0.2">
      <c r="Q3360">
        <f t="shared" si="387"/>
        <v>3344</v>
      </c>
      <c r="R3360" s="48">
        <f t="shared" ca="1" si="388"/>
        <v>0.45</v>
      </c>
      <c r="S3360">
        <f t="shared" ca="1" si="389"/>
        <v>204.35681763250463</v>
      </c>
      <c r="T3360" s="61">
        <f t="shared" ca="1" si="383"/>
        <v>21600</v>
      </c>
      <c r="U3360" s="61">
        <f t="shared" ca="1" si="384"/>
        <v>27916.999758302038</v>
      </c>
      <c r="V3360" s="39">
        <f t="shared" ca="1" si="385"/>
        <v>0.18366447209409234</v>
      </c>
      <c r="W3360" s="48">
        <f t="shared" ca="1" si="386"/>
        <v>2.9261366525653383</v>
      </c>
    </row>
    <row r="3361" spans="17:23" x14ac:dyDescent="0.2">
      <c r="Q3361">
        <f t="shared" si="387"/>
        <v>3345</v>
      </c>
      <c r="R3361" s="48">
        <f t="shared" ca="1" si="388"/>
        <v>0.35</v>
      </c>
      <c r="S3361">
        <f t="shared" ca="1" si="389"/>
        <v>212.69984033616061</v>
      </c>
      <c r="T3361" s="61">
        <f t="shared" ca="1" si="383"/>
        <v>16800</v>
      </c>
      <c r="U3361" s="61">
        <f t="shared" ca="1" si="384"/>
        <v>28603.916974803513</v>
      </c>
      <c r="V3361" s="39">
        <f t="shared" ca="1" si="385"/>
        <v>0.18818366430791786</v>
      </c>
      <c r="W3361" s="48">
        <f t="shared" ca="1" si="386"/>
        <v>3.0493844900000227</v>
      </c>
    </row>
    <row r="3362" spans="17:23" x14ac:dyDescent="0.2">
      <c r="Q3362">
        <f t="shared" si="387"/>
        <v>3346</v>
      </c>
      <c r="R3362" s="48">
        <f t="shared" ca="1" si="388"/>
        <v>0.3</v>
      </c>
      <c r="S3362">
        <f t="shared" ca="1" si="389"/>
        <v>169.16354745516963</v>
      </c>
      <c r="T3362" s="61">
        <f t="shared" ca="1" si="383"/>
        <v>14400</v>
      </c>
      <c r="U3362" s="61">
        <f t="shared" ca="1" si="384"/>
        <v>2731.5865748949946</v>
      </c>
      <c r="V3362" s="39">
        <f t="shared" ca="1" si="385"/>
        <v>1.7970964308519702E-2</v>
      </c>
      <c r="W3362" s="48">
        <f t="shared" ca="1" si="386"/>
        <v>0.15542727125373745</v>
      </c>
    </row>
    <row r="3363" spans="17:23" x14ac:dyDescent="0.2">
      <c r="Q3363">
        <f t="shared" si="387"/>
        <v>3347</v>
      </c>
      <c r="R3363" s="48">
        <f t="shared" ca="1" si="388"/>
        <v>0.35</v>
      </c>
      <c r="S3363">
        <f t="shared" ca="1" si="389"/>
        <v>176.72407503007059</v>
      </c>
      <c r="T3363" s="61">
        <f t="shared" ca="1" si="383"/>
        <v>16800</v>
      </c>
      <c r="U3363" s="61">
        <f t="shared" ca="1" si="384"/>
        <v>9896.5190156367098</v>
      </c>
      <c r="V3363" s="39">
        <f t="shared" ca="1" si="385"/>
        <v>6.5108677734452045E-2</v>
      </c>
      <c r="W3363" s="48">
        <f t="shared" ca="1" si="386"/>
        <v>0.66799657045418526</v>
      </c>
    </row>
    <row r="3364" spans="17:23" x14ac:dyDescent="0.2">
      <c r="Q3364">
        <f t="shared" si="387"/>
        <v>3348</v>
      </c>
      <c r="R3364" s="48">
        <f t="shared" ca="1" si="388"/>
        <v>0.217</v>
      </c>
      <c r="S3364">
        <f t="shared" ca="1" si="389"/>
        <v>203.58509866993398</v>
      </c>
      <c r="T3364" s="61">
        <f t="shared" ca="1" si="383"/>
        <v>10416</v>
      </c>
      <c r="U3364" s="61">
        <f t="shared" ca="1" si="384"/>
        <v>18925.705806846647</v>
      </c>
      <c r="V3364" s="39">
        <f t="shared" ca="1" si="385"/>
        <v>0.12451122241346478</v>
      </c>
      <c r="W3364" s="48">
        <f t="shared" ca="1" si="386"/>
        <v>1.5904367669838075</v>
      </c>
    </row>
    <row r="3365" spans="17:23" x14ac:dyDescent="0.2">
      <c r="Q3365">
        <f t="shared" si="387"/>
        <v>3349</v>
      </c>
      <c r="R3365" s="48">
        <f t="shared" ca="1" si="388"/>
        <v>0.35</v>
      </c>
      <c r="S3365">
        <f t="shared" ca="1" si="389"/>
        <v>199.18221072519361</v>
      </c>
      <c r="T3365" s="61">
        <f t="shared" ca="1" si="383"/>
        <v>16800</v>
      </c>
      <c r="U3365" s="61">
        <f t="shared" ca="1" si="384"/>
        <v>21574.74957710068</v>
      </c>
      <c r="V3365" s="39">
        <f t="shared" ca="1" si="385"/>
        <v>0.14193914195460974</v>
      </c>
      <c r="W3365" s="48">
        <f t="shared" ca="1" si="386"/>
        <v>1.9345968602956956</v>
      </c>
    </row>
    <row r="3366" spans="17:23" x14ac:dyDescent="0.2">
      <c r="Q3366">
        <f t="shared" si="387"/>
        <v>3350</v>
      </c>
      <c r="R3366" s="48">
        <f t="shared" ca="1" si="388"/>
        <v>0.45</v>
      </c>
      <c r="S3366">
        <f t="shared" ca="1" si="389"/>
        <v>185.80178268788114</v>
      </c>
      <c r="T3366" s="61">
        <f t="shared" ca="1" si="383"/>
        <v>21600</v>
      </c>
      <c r="U3366" s="61">
        <f t="shared" ca="1" si="384"/>
        <v>19752.784382667702</v>
      </c>
      <c r="V3366" s="39">
        <f t="shared" ca="1" si="385"/>
        <v>0.12995252883334013</v>
      </c>
      <c r="W3366" s="48">
        <f t="shared" ca="1" si="386"/>
        <v>1.6938732955306621</v>
      </c>
    </row>
    <row r="3367" spans="17:23" x14ac:dyDescent="0.2">
      <c r="Q3367">
        <f t="shared" si="387"/>
        <v>3351</v>
      </c>
      <c r="R3367" s="48">
        <f t="shared" ca="1" si="388"/>
        <v>0.45</v>
      </c>
      <c r="S3367">
        <f t="shared" ca="1" si="389"/>
        <v>170.73115231892442</v>
      </c>
      <c r="T3367" s="61">
        <f t="shared" ca="1" si="383"/>
        <v>21600</v>
      </c>
      <c r="U3367" s="61">
        <f t="shared" ca="1" si="384"/>
        <v>13121.707020326741</v>
      </c>
      <c r="V3367" s="39">
        <f t="shared" ca="1" si="385"/>
        <v>8.6327019870570662E-2</v>
      </c>
      <c r="W3367" s="48">
        <f t="shared" ca="1" si="386"/>
        <v>0.95740311051899085</v>
      </c>
    </row>
    <row r="3368" spans="17:23" x14ac:dyDescent="0.2">
      <c r="Q3368">
        <f t="shared" si="387"/>
        <v>3352</v>
      </c>
      <c r="R3368" s="48">
        <f t="shared" ca="1" si="388"/>
        <v>0.35</v>
      </c>
      <c r="S3368">
        <f t="shared" ca="1" si="389"/>
        <v>190.25215240253482</v>
      </c>
      <c r="T3368" s="61">
        <f t="shared" ca="1" si="383"/>
        <v>16800</v>
      </c>
      <c r="U3368" s="61">
        <f t="shared" ca="1" si="384"/>
        <v>16931.119249318104</v>
      </c>
      <c r="V3368" s="39">
        <f t="shared" ca="1" si="385"/>
        <v>0.11138894242972437</v>
      </c>
      <c r="W3368" s="48">
        <f t="shared" ca="1" si="386"/>
        <v>1.3551837839629908</v>
      </c>
    </row>
    <row r="3369" spans="17:23" x14ac:dyDescent="0.2">
      <c r="Q3369">
        <f t="shared" si="387"/>
        <v>3353</v>
      </c>
      <c r="R3369" s="48">
        <f t="shared" ca="1" si="388"/>
        <v>0.217</v>
      </c>
      <c r="S3369">
        <f t="shared" ca="1" si="389"/>
        <v>189.57992148959966</v>
      </c>
      <c r="T3369" s="61">
        <f t="shared" ca="1" si="383"/>
        <v>10416</v>
      </c>
      <c r="U3369" s="61">
        <f t="shared" ca="1" si="384"/>
        <v>10152.862821085224</v>
      </c>
      <c r="V3369" s="39">
        <f t="shared" ca="1" si="385"/>
        <v>6.6795150138718576E-2</v>
      </c>
      <c r="W3369" s="48">
        <f t="shared" ca="1" si="386"/>
        <v>0.68953960170133999</v>
      </c>
    </row>
    <row r="3370" spans="17:23" x14ac:dyDescent="0.2">
      <c r="Q3370">
        <f t="shared" si="387"/>
        <v>3354</v>
      </c>
      <c r="R3370" s="48">
        <f t="shared" ca="1" si="388"/>
        <v>0.3</v>
      </c>
      <c r="S3370">
        <f t="shared" ca="1" si="389"/>
        <v>177.61004367131386</v>
      </c>
      <c r="T3370" s="61">
        <f t="shared" ca="1" si="383"/>
        <v>14400</v>
      </c>
      <c r="U3370" s="61">
        <f t="shared" ca="1" si="384"/>
        <v>7461.6244559357619</v>
      </c>
      <c r="V3370" s="39">
        <f t="shared" ca="1" si="385"/>
        <v>4.9089634578524749E-2</v>
      </c>
      <c r="W3370" s="48">
        <f t="shared" ca="1" si="386"/>
        <v>0.47507220312126219</v>
      </c>
    </row>
    <row r="3371" spans="17:23" x14ac:dyDescent="0.2">
      <c r="Q3371">
        <f t="shared" si="387"/>
        <v>3355</v>
      </c>
      <c r="R3371" s="48">
        <f t="shared" ca="1" si="388"/>
        <v>0.3</v>
      </c>
      <c r="S3371">
        <f t="shared" ca="1" si="389"/>
        <v>213.7753376218655</v>
      </c>
      <c r="T3371" s="61">
        <f t="shared" ca="1" si="383"/>
        <v>14400</v>
      </c>
      <c r="U3371" s="61">
        <f t="shared" ca="1" si="384"/>
        <v>27714.189068244683</v>
      </c>
      <c r="V3371" s="39">
        <f t="shared" ca="1" si="385"/>
        <v>0.18233019123845187</v>
      </c>
      <c r="W3371" s="48">
        <f t="shared" ca="1" si="386"/>
        <v>2.8903826828142813</v>
      </c>
    </row>
    <row r="3372" spans="17:23" x14ac:dyDescent="0.2">
      <c r="Q3372">
        <f t="shared" si="387"/>
        <v>3356</v>
      </c>
      <c r="R3372" s="48">
        <f t="shared" ca="1" si="388"/>
        <v>0.45</v>
      </c>
      <c r="S3372">
        <f t="shared" ca="1" si="389"/>
        <v>212.43147758248938</v>
      </c>
      <c r="T3372" s="61">
        <f t="shared" ca="1" si="383"/>
        <v>21600</v>
      </c>
      <c r="U3372" s="61">
        <f t="shared" ca="1" si="384"/>
        <v>31469.850136295328</v>
      </c>
      <c r="V3372" s="39">
        <f t="shared" ca="1" si="385"/>
        <v>0.20703848773878505</v>
      </c>
      <c r="W3372" s="48">
        <f t="shared" ca="1" si="386"/>
        <v>3.6009664923688636</v>
      </c>
    </row>
    <row r="3373" spans="17:23" x14ac:dyDescent="0.2">
      <c r="Q3373">
        <f t="shared" si="387"/>
        <v>3357</v>
      </c>
      <c r="R3373" s="48">
        <f t="shared" ca="1" si="388"/>
        <v>0.4</v>
      </c>
      <c r="S3373">
        <f t="shared" ca="1" si="389"/>
        <v>185.18924270908494</v>
      </c>
      <c r="T3373" s="61">
        <f t="shared" ca="1" si="383"/>
        <v>19200</v>
      </c>
      <c r="U3373" s="61">
        <f t="shared" ca="1" si="384"/>
        <v>16890.836500360769</v>
      </c>
      <c r="V3373" s="39">
        <f t="shared" ca="1" si="385"/>
        <v>0.11112392434447874</v>
      </c>
      <c r="W3373" s="48">
        <f t="shared" ca="1" si="386"/>
        <v>1.3506323693299671</v>
      </c>
    </row>
    <row r="3374" spans="17:23" x14ac:dyDescent="0.2">
      <c r="Q3374">
        <f t="shared" si="387"/>
        <v>3358</v>
      </c>
      <c r="R3374" s="48">
        <f t="shared" ca="1" si="388"/>
        <v>0.3</v>
      </c>
      <c r="S3374">
        <f t="shared" ca="1" si="389"/>
        <v>182.98872850258377</v>
      </c>
      <c r="T3374" s="61">
        <f t="shared" ca="1" si="383"/>
        <v>14400</v>
      </c>
      <c r="U3374" s="61">
        <f t="shared" ca="1" si="384"/>
        <v>10473.687961446911</v>
      </c>
      <c r="V3374" s="39">
        <f t="shared" ca="1" si="385"/>
        <v>6.8905841851624419E-2</v>
      </c>
      <c r="W3374" s="48">
        <f t="shared" ca="1" si="386"/>
        <v>0.71684504503220947</v>
      </c>
    </row>
    <row r="3375" spans="17:23" x14ac:dyDescent="0.2">
      <c r="Q3375">
        <f t="shared" si="387"/>
        <v>3359</v>
      </c>
      <c r="R3375" s="48">
        <f t="shared" ca="1" si="388"/>
        <v>0.3</v>
      </c>
      <c r="S3375">
        <f t="shared" ca="1" si="389"/>
        <v>168.57371233300992</v>
      </c>
      <c r="T3375" s="61">
        <f t="shared" ca="1" si="383"/>
        <v>14400</v>
      </c>
      <c r="U3375" s="61">
        <f t="shared" ca="1" si="384"/>
        <v>2401.2789064855569</v>
      </c>
      <c r="V3375" s="39">
        <f t="shared" ca="1" si="385"/>
        <v>1.5797887542668136E-2</v>
      </c>
      <c r="W3375" s="48">
        <f t="shared" ca="1" si="386"/>
        <v>0.13557235145723379</v>
      </c>
    </row>
    <row r="3376" spans="17:23" x14ac:dyDescent="0.2">
      <c r="Q3376">
        <f t="shared" si="387"/>
        <v>3360</v>
      </c>
      <c r="R3376" s="48">
        <f t="shared" ca="1" si="388"/>
        <v>0.3</v>
      </c>
      <c r="S3376">
        <f t="shared" ca="1" si="389"/>
        <v>214.45338551810357</v>
      </c>
      <c r="T3376" s="61">
        <f t="shared" ca="1" si="383"/>
        <v>14400</v>
      </c>
      <c r="U3376" s="61">
        <f t="shared" ca="1" si="384"/>
        <v>28093.895890138003</v>
      </c>
      <c r="V3376" s="39">
        <f t="shared" ca="1" si="385"/>
        <v>0.18482826243511843</v>
      </c>
      <c r="W3376" s="48">
        <f t="shared" ca="1" si="386"/>
        <v>2.9575569662010794</v>
      </c>
    </row>
    <row r="3377" spans="17:23" x14ac:dyDescent="0.2">
      <c r="Q3377">
        <f t="shared" si="387"/>
        <v>3361</v>
      </c>
      <c r="R3377" s="48">
        <f t="shared" ca="1" si="388"/>
        <v>0.4</v>
      </c>
      <c r="S3377">
        <f t="shared" ca="1" si="389"/>
        <v>210.97876019737095</v>
      </c>
      <c r="T3377" s="61">
        <f t="shared" ca="1" si="383"/>
        <v>19200</v>
      </c>
      <c r="U3377" s="61">
        <f t="shared" ca="1" si="384"/>
        <v>29269.804894738052</v>
      </c>
      <c r="V3377" s="39">
        <f t="shared" ca="1" si="385"/>
        <v>0.19256450588643456</v>
      </c>
      <c r="W3377" s="48">
        <f t="shared" ca="1" si="386"/>
        <v>3.1720837852348112</v>
      </c>
    </row>
    <row r="3378" spans="17:23" x14ac:dyDescent="0.2">
      <c r="Q3378">
        <f t="shared" si="387"/>
        <v>3362</v>
      </c>
      <c r="R3378" s="48">
        <f t="shared" ca="1" si="388"/>
        <v>0.3</v>
      </c>
      <c r="S3378">
        <f t="shared" ca="1" si="389"/>
        <v>185.67399920261875</v>
      </c>
      <c r="T3378" s="61">
        <f t="shared" ca="1" si="383"/>
        <v>14400</v>
      </c>
      <c r="U3378" s="61">
        <f t="shared" ca="1" si="384"/>
        <v>11977.439553466498</v>
      </c>
      <c r="V3378" s="39">
        <f t="shared" ca="1" si="385"/>
        <v>7.8798944430700651E-2</v>
      </c>
      <c r="W3378" s="48">
        <f t="shared" ca="1" si="386"/>
        <v>0.85005295532518388</v>
      </c>
    </row>
    <row r="3379" spans="17:23" x14ac:dyDescent="0.2">
      <c r="Q3379">
        <f t="shared" si="387"/>
        <v>3363</v>
      </c>
      <c r="R3379" s="48">
        <f t="shared" ca="1" si="388"/>
        <v>0.3</v>
      </c>
      <c r="S3379">
        <f t="shared" ca="1" si="389"/>
        <v>204.61111914670414</v>
      </c>
      <c r="T3379" s="61">
        <f t="shared" ca="1" si="383"/>
        <v>14400</v>
      </c>
      <c r="U3379" s="61">
        <f t="shared" ca="1" si="384"/>
        <v>22582.226722154319</v>
      </c>
      <c r="V3379" s="39">
        <f t="shared" ca="1" si="385"/>
        <v>0.14856728106680472</v>
      </c>
      <c r="W3379" s="48">
        <f t="shared" ca="1" si="386"/>
        <v>2.0756405127529471</v>
      </c>
    </row>
    <row r="3380" spans="17:23" x14ac:dyDescent="0.2">
      <c r="Q3380">
        <f t="shared" si="387"/>
        <v>3364</v>
      </c>
      <c r="R3380" s="48">
        <f t="shared" ca="1" si="388"/>
        <v>0.45</v>
      </c>
      <c r="S3380">
        <f t="shared" ca="1" si="389"/>
        <v>175.86420302762659</v>
      </c>
      <c r="T3380" s="61">
        <f t="shared" ca="1" si="383"/>
        <v>21600</v>
      </c>
      <c r="U3380" s="61">
        <f t="shared" ca="1" si="384"/>
        <v>15380.249332155698</v>
      </c>
      <c r="V3380" s="39">
        <f t="shared" ca="1" si="385"/>
        <v>0.10118585086944538</v>
      </c>
      <c r="W3380" s="48">
        <f t="shared" ca="1" si="386"/>
        <v>1.1854262756989526</v>
      </c>
    </row>
    <row r="3381" spans="17:23" x14ac:dyDescent="0.2">
      <c r="Q3381">
        <f t="shared" si="387"/>
        <v>3365</v>
      </c>
      <c r="R3381" s="48">
        <f t="shared" ca="1" si="388"/>
        <v>0.4</v>
      </c>
      <c r="S3381">
        <f t="shared" ca="1" si="389"/>
        <v>231.22454254932308</v>
      </c>
      <c r="T3381" s="61">
        <f t="shared" ca="1" si="383"/>
        <v>19200</v>
      </c>
      <c r="U3381" s="61">
        <f t="shared" ca="1" si="384"/>
        <v>38987.780423675074</v>
      </c>
      <c r="V3381" s="39">
        <f t="shared" ca="1" si="385"/>
        <v>0.25649855541891498</v>
      </c>
      <c r="W3381" s="48">
        <f t="shared" ca="1" si="386"/>
        <v>5.3725602214959913</v>
      </c>
    </row>
    <row r="3382" spans="17:23" x14ac:dyDescent="0.2">
      <c r="Q3382">
        <f t="shared" si="387"/>
        <v>3366</v>
      </c>
      <c r="R3382" s="48">
        <f t="shared" ca="1" si="388"/>
        <v>0.3</v>
      </c>
      <c r="S3382">
        <f t="shared" ca="1" si="389"/>
        <v>197.37616047242844</v>
      </c>
      <c r="T3382" s="61">
        <f t="shared" ca="1" si="383"/>
        <v>14400</v>
      </c>
      <c r="U3382" s="61">
        <f t="shared" ca="1" si="384"/>
        <v>18530.649864559928</v>
      </c>
      <c r="V3382" s="39">
        <f t="shared" ca="1" si="385"/>
        <v>0.12191217016157847</v>
      </c>
      <c r="W3382" s="48">
        <f t="shared" ca="1" si="386"/>
        <v>1.5422710822277983</v>
      </c>
    </row>
    <row r="3383" spans="17:23" x14ac:dyDescent="0.2">
      <c r="Q3383">
        <f t="shared" si="387"/>
        <v>3367</v>
      </c>
      <c r="R3383" s="48">
        <f t="shared" ca="1" si="388"/>
        <v>0.35</v>
      </c>
      <c r="S3383">
        <f t="shared" ca="1" si="389"/>
        <v>183.98845104166944</v>
      </c>
      <c r="T3383" s="61">
        <f t="shared" ca="1" si="383"/>
        <v>16800</v>
      </c>
      <c r="U3383" s="61">
        <f t="shared" ca="1" si="384"/>
        <v>13673.994541668108</v>
      </c>
      <c r="V3383" s="39">
        <f t="shared" ca="1" si="385"/>
        <v>8.9960490405711233E-2</v>
      </c>
      <c r="W3383" s="48">
        <f t="shared" ca="1" si="386"/>
        <v>1.0111422777251913</v>
      </c>
    </row>
    <row r="3384" spans="17:23" x14ac:dyDescent="0.2">
      <c r="Q3384">
        <f t="shared" si="387"/>
        <v>3368</v>
      </c>
      <c r="R3384" s="48">
        <f t="shared" ca="1" si="388"/>
        <v>0.4</v>
      </c>
      <c r="S3384">
        <f t="shared" ca="1" si="389"/>
        <v>171.02474422168601</v>
      </c>
      <c r="T3384" s="61">
        <f t="shared" ca="1" si="383"/>
        <v>19200</v>
      </c>
      <c r="U3384" s="61">
        <f t="shared" ca="1" si="384"/>
        <v>10091.877226409284</v>
      </c>
      <c r="V3384" s="39">
        <f t="shared" ca="1" si="385"/>
        <v>6.6393929121113707E-2</v>
      </c>
      <c r="W3384" s="48">
        <f t="shared" ca="1" si="386"/>
        <v>0.68439240614490537</v>
      </c>
    </row>
    <row r="3385" spans="17:23" x14ac:dyDescent="0.2">
      <c r="Q3385">
        <f t="shared" si="387"/>
        <v>3369</v>
      </c>
      <c r="R3385" s="48">
        <f t="shared" ca="1" si="388"/>
        <v>0.35</v>
      </c>
      <c r="S3385">
        <f t="shared" ca="1" si="389"/>
        <v>173.3608398792646</v>
      </c>
      <c r="T3385" s="61">
        <f t="shared" ref="T3385:T3448" ca="1" si="390">($B$8-$B$7)*($E$6*R3385)</f>
        <v>16800</v>
      </c>
      <c r="U3385" s="61">
        <f t="shared" ref="U3385:U3448" ca="1" si="391">T3385+((S3385-$B$7)*($E$6*(1-R3385)))</f>
        <v>8147.6367372175937</v>
      </c>
      <c r="V3385" s="39">
        <f t="shared" ref="V3385:V3448" ca="1" si="392">U3385/$E$4</f>
        <v>5.3602873271168382E-2</v>
      </c>
      <c r="W3385" s="48">
        <f t="shared" ref="W3385:W3448" ca="1" si="393">(1+V3385)^($J$29/$J$30)-1</f>
        <v>0.52733826073746171</v>
      </c>
    </row>
    <row r="3386" spans="17:23" x14ac:dyDescent="0.2">
      <c r="Q3386">
        <f t="shared" si="387"/>
        <v>3370</v>
      </c>
      <c r="R3386" s="48">
        <f t="shared" ca="1" si="388"/>
        <v>0.4</v>
      </c>
      <c r="S3386">
        <f t="shared" ca="1" si="389"/>
        <v>188.3799505972535</v>
      </c>
      <c r="T3386" s="61">
        <f t="shared" ca="1" si="390"/>
        <v>19200</v>
      </c>
      <c r="U3386" s="61">
        <f t="shared" ca="1" si="391"/>
        <v>18422.37628668168</v>
      </c>
      <c r="V3386" s="39">
        <f t="shared" ca="1" si="392"/>
        <v>0.12119984399132684</v>
      </c>
      <c r="W3386" s="48">
        <f t="shared" ca="1" si="393"/>
        <v>1.5292081103590918</v>
      </c>
    </row>
    <row r="3387" spans="17:23" x14ac:dyDescent="0.2">
      <c r="Q3387">
        <f t="shared" si="387"/>
        <v>3371</v>
      </c>
      <c r="R3387" s="48">
        <f t="shared" ca="1" si="388"/>
        <v>0.15</v>
      </c>
      <c r="S3387">
        <f t="shared" ca="1" si="389"/>
        <v>190.6371622665157</v>
      </c>
      <c r="T3387" s="61">
        <f t="shared" ca="1" si="390"/>
        <v>7200</v>
      </c>
      <c r="U3387" s="61">
        <f t="shared" ca="1" si="391"/>
        <v>7633.2703412306773</v>
      </c>
      <c r="V3387" s="39">
        <f t="shared" ca="1" si="392"/>
        <v>5.0218883823886035E-2</v>
      </c>
      <c r="W3387" s="48">
        <f t="shared" ca="1" si="393"/>
        <v>0.48800026586101986</v>
      </c>
    </row>
    <row r="3388" spans="17:23" x14ac:dyDescent="0.2">
      <c r="Q3388">
        <f t="shared" si="387"/>
        <v>3372</v>
      </c>
      <c r="R3388" s="48">
        <f t="shared" ca="1" si="388"/>
        <v>0.45</v>
      </c>
      <c r="S3388">
        <f t="shared" ca="1" si="389"/>
        <v>198.66418850969566</v>
      </c>
      <c r="T3388" s="61">
        <f t="shared" ca="1" si="390"/>
        <v>21600</v>
      </c>
      <c r="U3388" s="61">
        <f t="shared" ca="1" si="391"/>
        <v>25412.242944266094</v>
      </c>
      <c r="V3388" s="39">
        <f t="shared" ca="1" si="392"/>
        <v>0.16718580884385589</v>
      </c>
      <c r="W3388" s="48">
        <f t="shared" ca="1" si="393"/>
        <v>2.5041282145986612</v>
      </c>
    </row>
    <row r="3389" spans="17:23" x14ac:dyDescent="0.2">
      <c r="Q3389">
        <f t="shared" si="387"/>
        <v>3373</v>
      </c>
      <c r="R3389" s="48">
        <f t="shared" ca="1" si="388"/>
        <v>0.45</v>
      </c>
      <c r="S3389">
        <f t="shared" ca="1" si="389"/>
        <v>181.61301636908829</v>
      </c>
      <c r="T3389" s="61">
        <f t="shared" ca="1" si="390"/>
        <v>21600</v>
      </c>
      <c r="U3389" s="61">
        <f t="shared" ca="1" si="391"/>
        <v>17909.727202398844</v>
      </c>
      <c r="V3389" s="39">
        <f t="shared" ca="1" si="392"/>
        <v>0.11782715264736082</v>
      </c>
      <c r="W3389" s="48">
        <f t="shared" ca="1" si="393"/>
        <v>1.4681536875071033</v>
      </c>
    </row>
    <row r="3390" spans="17:23" x14ac:dyDescent="0.2">
      <c r="Q3390">
        <f t="shared" si="387"/>
        <v>3374</v>
      </c>
      <c r="R3390" s="48">
        <f t="shared" ca="1" si="388"/>
        <v>0.3</v>
      </c>
      <c r="S3390">
        <f t="shared" ca="1" si="389"/>
        <v>251.80726008995822</v>
      </c>
      <c r="T3390" s="61">
        <f t="shared" ca="1" si="390"/>
        <v>14400</v>
      </c>
      <c r="U3390" s="61">
        <f t="shared" ca="1" si="391"/>
        <v>49012.0656503766</v>
      </c>
      <c r="V3390" s="39">
        <f t="shared" ca="1" si="392"/>
        <v>0.32244780033142501</v>
      </c>
      <c r="W3390" s="48">
        <f t="shared" ca="1" si="393"/>
        <v>8.6497222437426888</v>
      </c>
    </row>
    <row r="3391" spans="17:23" x14ac:dyDescent="0.2">
      <c r="Q3391">
        <f t="shared" si="387"/>
        <v>3375</v>
      </c>
      <c r="R3391" s="48">
        <f t="shared" ca="1" si="388"/>
        <v>0.4</v>
      </c>
      <c r="S3391">
        <f t="shared" ca="1" si="389"/>
        <v>194.16763924344502</v>
      </c>
      <c r="T3391" s="61">
        <f t="shared" ca="1" si="390"/>
        <v>19200</v>
      </c>
      <c r="U3391" s="61">
        <f t="shared" ca="1" si="391"/>
        <v>21200.466836853611</v>
      </c>
      <c r="V3391" s="39">
        <f t="shared" ca="1" si="392"/>
        <v>0.13947675550561586</v>
      </c>
      <c r="W3391" s="48">
        <f t="shared" ca="1" si="393"/>
        <v>1.8836621053649552</v>
      </c>
    </row>
    <row r="3392" spans="17:23" x14ac:dyDescent="0.2">
      <c r="Q3392">
        <f t="shared" si="387"/>
        <v>3376</v>
      </c>
      <c r="R3392" s="48">
        <f t="shared" ca="1" si="388"/>
        <v>0.4</v>
      </c>
      <c r="S3392">
        <f t="shared" ca="1" si="389"/>
        <v>239.67409682679971</v>
      </c>
      <c r="T3392" s="61">
        <f t="shared" ca="1" si="390"/>
        <v>19200</v>
      </c>
      <c r="U3392" s="61">
        <f t="shared" ca="1" si="391"/>
        <v>43043.56647686386</v>
      </c>
      <c r="V3392" s="39">
        <f t="shared" ca="1" si="392"/>
        <v>0.28318135840042014</v>
      </c>
      <c r="W3392" s="48">
        <f t="shared" ca="1" si="393"/>
        <v>6.556772335351174</v>
      </c>
    </row>
    <row r="3393" spans="17:23" x14ac:dyDescent="0.2">
      <c r="Q3393">
        <f t="shared" si="387"/>
        <v>3377</v>
      </c>
      <c r="R3393" s="48">
        <f t="shared" ca="1" si="388"/>
        <v>0.35</v>
      </c>
      <c r="S3393">
        <f t="shared" ca="1" si="389"/>
        <v>178.48224033406956</v>
      </c>
      <c r="T3393" s="61">
        <f t="shared" ca="1" si="390"/>
        <v>16800</v>
      </c>
      <c r="U3393" s="61">
        <f t="shared" ca="1" si="391"/>
        <v>10810.76497371617</v>
      </c>
      <c r="V3393" s="39">
        <f t="shared" ca="1" si="392"/>
        <v>7.1123453774448481E-2</v>
      </c>
      <c r="W3393" s="48">
        <f t="shared" ca="1" si="393"/>
        <v>0.74594972723988473</v>
      </c>
    </row>
    <row r="3394" spans="17:23" x14ac:dyDescent="0.2">
      <c r="Q3394">
        <f t="shared" si="387"/>
        <v>3378</v>
      </c>
      <c r="R3394" s="48">
        <f t="shared" ca="1" si="388"/>
        <v>0.3</v>
      </c>
      <c r="S3394">
        <f t="shared" ca="1" si="389"/>
        <v>198.16891383493959</v>
      </c>
      <c r="T3394" s="61">
        <f t="shared" ca="1" si="390"/>
        <v>14400</v>
      </c>
      <c r="U3394" s="61">
        <f t="shared" ca="1" si="391"/>
        <v>18974.59174756617</v>
      </c>
      <c r="V3394" s="39">
        <f t="shared" ca="1" si="392"/>
        <v>0.12483284044451427</v>
      </c>
      <c r="W3394" s="48">
        <f t="shared" ca="1" si="393"/>
        <v>1.5964522653588364</v>
      </c>
    </row>
    <row r="3395" spans="17:23" x14ac:dyDescent="0.2">
      <c r="Q3395">
        <f t="shared" si="387"/>
        <v>3379</v>
      </c>
      <c r="R3395" s="48">
        <f t="shared" ca="1" si="388"/>
        <v>0.3</v>
      </c>
      <c r="S3395">
        <f t="shared" ca="1" si="389"/>
        <v>167.43014587598938</v>
      </c>
      <c r="T3395" s="61">
        <f t="shared" ca="1" si="390"/>
        <v>14400</v>
      </c>
      <c r="U3395" s="61">
        <f t="shared" ca="1" si="391"/>
        <v>1760.8816905540534</v>
      </c>
      <c r="V3395" s="39">
        <f t="shared" ca="1" si="392"/>
        <v>1.1584747964171404E-2</v>
      </c>
      <c r="W3395" s="48">
        <f t="shared" ca="1" si="393"/>
        <v>9.7928325756166501E-2</v>
      </c>
    </row>
    <row r="3396" spans="17:23" x14ac:dyDescent="0.2">
      <c r="Q3396">
        <f t="shared" si="387"/>
        <v>3380</v>
      </c>
      <c r="R3396" s="48">
        <f t="shared" ca="1" si="388"/>
        <v>0.35</v>
      </c>
      <c r="S3396">
        <f t="shared" ca="1" si="389"/>
        <v>193.66787559052702</v>
      </c>
      <c r="T3396" s="61">
        <f t="shared" ca="1" si="390"/>
        <v>16800</v>
      </c>
      <c r="U3396" s="61">
        <f t="shared" ca="1" si="391"/>
        <v>18707.295307074048</v>
      </c>
      <c r="V3396" s="39">
        <f t="shared" ca="1" si="392"/>
        <v>0.12307431123075031</v>
      </c>
      <c r="W3396" s="48">
        <f t="shared" ca="1" si="393"/>
        <v>1.5637099652518787</v>
      </c>
    </row>
    <row r="3397" spans="17:23" x14ac:dyDescent="0.2">
      <c r="Q3397">
        <f t="shared" si="387"/>
        <v>3381</v>
      </c>
      <c r="R3397" s="48">
        <f t="shared" ca="1" si="388"/>
        <v>0.45</v>
      </c>
      <c r="S3397">
        <f t="shared" ca="1" si="389"/>
        <v>182.46822055580648</v>
      </c>
      <c r="T3397" s="61">
        <f t="shared" ca="1" si="390"/>
        <v>21600</v>
      </c>
      <c r="U3397" s="61">
        <f t="shared" ca="1" si="391"/>
        <v>18286.01704455485</v>
      </c>
      <c r="V3397" s="39">
        <f t="shared" ca="1" si="392"/>
        <v>0.12030274371417665</v>
      </c>
      <c r="W3397" s="48">
        <f t="shared" ca="1" si="393"/>
        <v>1.5128404119026664</v>
      </c>
    </row>
    <row r="3398" spans="17:23" x14ac:dyDescent="0.2">
      <c r="Q3398">
        <f t="shared" si="387"/>
        <v>3382</v>
      </c>
      <c r="R3398" s="48">
        <f t="shared" ca="1" si="388"/>
        <v>0.4</v>
      </c>
      <c r="S3398">
        <f t="shared" ca="1" si="389"/>
        <v>182.68083057432096</v>
      </c>
      <c r="T3398" s="61">
        <f t="shared" ca="1" si="390"/>
        <v>19200</v>
      </c>
      <c r="U3398" s="61">
        <f t="shared" ca="1" si="391"/>
        <v>15686.798675674063</v>
      </c>
      <c r="V3398" s="39">
        <f t="shared" ca="1" si="392"/>
        <v>0.10320262286627672</v>
      </c>
      <c r="W3398" s="48">
        <f t="shared" ca="1" si="393"/>
        <v>1.218103268729533</v>
      </c>
    </row>
    <row r="3399" spans="17:23" x14ac:dyDescent="0.2">
      <c r="Q3399">
        <f t="shared" si="387"/>
        <v>3383</v>
      </c>
      <c r="R3399" s="48">
        <f t="shared" ca="1" si="388"/>
        <v>0.35</v>
      </c>
      <c r="S3399">
        <f t="shared" ca="1" si="389"/>
        <v>178.93062839773384</v>
      </c>
      <c r="T3399" s="61">
        <f t="shared" ca="1" si="390"/>
        <v>16800</v>
      </c>
      <c r="U3399" s="61">
        <f t="shared" ca="1" si="391"/>
        <v>11043.926766821598</v>
      </c>
      <c r="V3399" s="39">
        <f t="shared" ca="1" si="392"/>
        <v>7.2657412939615779E-2</v>
      </c>
      <c r="W3399" s="48">
        <f t="shared" ca="1" si="393"/>
        <v>0.76633415703467844</v>
      </c>
    </row>
    <row r="3400" spans="17:23" x14ac:dyDescent="0.2">
      <c r="Q3400">
        <f t="shared" si="387"/>
        <v>3384</v>
      </c>
      <c r="R3400" s="48">
        <f t="shared" ca="1" si="388"/>
        <v>0.4</v>
      </c>
      <c r="S3400">
        <f t="shared" ca="1" si="389"/>
        <v>199.90756625048869</v>
      </c>
      <c r="T3400" s="61">
        <f t="shared" ca="1" si="390"/>
        <v>19200</v>
      </c>
      <c r="U3400" s="61">
        <f t="shared" ca="1" si="391"/>
        <v>23955.631800234569</v>
      </c>
      <c r="V3400" s="39">
        <f t="shared" ca="1" si="392"/>
        <v>0.15760284079101691</v>
      </c>
      <c r="W3400" s="48">
        <f t="shared" ca="1" si="393"/>
        <v>2.2774709202936094</v>
      </c>
    </row>
    <row r="3401" spans="17:23" x14ac:dyDescent="0.2">
      <c r="Q3401">
        <f t="shared" si="387"/>
        <v>3385</v>
      </c>
      <c r="R3401" s="48">
        <f t="shared" ca="1" si="388"/>
        <v>0.3</v>
      </c>
      <c r="S3401">
        <f t="shared" ca="1" si="389"/>
        <v>170.82624711048737</v>
      </c>
      <c r="T3401" s="61">
        <f t="shared" ca="1" si="390"/>
        <v>14400</v>
      </c>
      <c r="U3401" s="61">
        <f t="shared" ca="1" si="391"/>
        <v>3662.6983818729277</v>
      </c>
      <c r="V3401" s="39">
        <f t="shared" ca="1" si="392"/>
        <v>2.4096699880742947E-2</v>
      </c>
      <c r="W3401" s="48">
        <f t="shared" ca="1" si="393"/>
        <v>0.21304448985163105</v>
      </c>
    </row>
    <row r="3402" spans="17:23" x14ac:dyDescent="0.2">
      <c r="Q3402">
        <f t="shared" si="387"/>
        <v>3386</v>
      </c>
      <c r="R3402" s="48">
        <f t="shared" ca="1" si="388"/>
        <v>0.45</v>
      </c>
      <c r="S3402">
        <f t="shared" ca="1" si="389"/>
        <v>191.54439867872151</v>
      </c>
      <c r="T3402" s="61">
        <f t="shared" ca="1" si="390"/>
        <v>21600</v>
      </c>
      <c r="U3402" s="61">
        <f t="shared" ca="1" si="391"/>
        <v>22279.535418637464</v>
      </c>
      <c r="V3402" s="39">
        <f t="shared" ca="1" si="392"/>
        <v>0.14657589091208859</v>
      </c>
      <c r="W3402" s="48">
        <f t="shared" ca="1" si="393"/>
        <v>2.0326532513291951</v>
      </c>
    </row>
    <row r="3403" spans="17:23" x14ac:dyDescent="0.2">
      <c r="Q3403">
        <f t="shared" si="387"/>
        <v>3387</v>
      </c>
      <c r="R3403" s="48">
        <f t="shared" ca="1" si="388"/>
        <v>0.35</v>
      </c>
      <c r="S3403">
        <f t="shared" ca="1" si="389"/>
        <v>197.99332138768426</v>
      </c>
      <c r="T3403" s="61">
        <f t="shared" ca="1" si="390"/>
        <v>16800</v>
      </c>
      <c r="U3403" s="61">
        <f t="shared" ca="1" si="391"/>
        <v>20956.527121595816</v>
      </c>
      <c r="V3403" s="39">
        <f t="shared" ca="1" si="392"/>
        <v>0.1378718889578672</v>
      </c>
      <c r="W3403" s="48">
        <f t="shared" ca="1" si="393"/>
        <v>1.8508839777542994</v>
      </c>
    </row>
    <row r="3404" spans="17:23" x14ac:dyDescent="0.2">
      <c r="Q3404">
        <f t="shared" si="387"/>
        <v>3388</v>
      </c>
      <c r="R3404" s="48">
        <f t="shared" ca="1" si="388"/>
        <v>0.35</v>
      </c>
      <c r="S3404">
        <f t="shared" ca="1" si="389"/>
        <v>211.54546137913783</v>
      </c>
      <c r="T3404" s="61">
        <f t="shared" ca="1" si="390"/>
        <v>16800</v>
      </c>
      <c r="U3404" s="61">
        <f t="shared" ca="1" si="391"/>
        <v>28003.639917151675</v>
      </c>
      <c r="V3404" s="39">
        <f t="shared" ca="1" si="392"/>
        <v>0.18423447313915575</v>
      </c>
      <c r="W3404" s="48">
        <f t="shared" ca="1" si="393"/>
        <v>2.9414982540227501</v>
      </c>
    </row>
    <row r="3405" spans="17:23" x14ac:dyDescent="0.2">
      <c r="Q3405">
        <f t="shared" si="387"/>
        <v>3389</v>
      </c>
      <c r="R3405" s="48">
        <f t="shared" ca="1" si="388"/>
        <v>0.217</v>
      </c>
      <c r="S3405">
        <f t="shared" ca="1" si="389"/>
        <v>180.74414412728814</v>
      </c>
      <c r="T3405" s="61">
        <f t="shared" ca="1" si="390"/>
        <v>10416</v>
      </c>
      <c r="U3405" s="61">
        <f t="shared" ca="1" si="391"/>
        <v>4618.13188133329</v>
      </c>
      <c r="V3405" s="39">
        <f t="shared" ca="1" si="392"/>
        <v>3.0382446587719013E-2</v>
      </c>
      <c r="W3405" s="48">
        <f t="shared" ca="1" si="393"/>
        <v>0.2747701471362185</v>
      </c>
    </row>
    <row r="3406" spans="17:23" x14ac:dyDescent="0.2">
      <c r="Q3406">
        <f t="shared" si="387"/>
        <v>3390</v>
      </c>
      <c r="R3406" s="48">
        <f t="shared" ca="1" si="388"/>
        <v>0.35</v>
      </c>
      <c r="S3406">
        <f t="shared" ca="1" si="389"/>
        <v>195.8716853412769</v>
      </c>
      <c r="T3406" s="61">
        <f t="shared" ca="1" si="390"/>
        <v>16800</v>
      </c>
      <c r="U3406" s="61">
        <f t="shared" ca="1" si="391"/>
        <v>19853.27637746399</v>
      </c>
      <c r="V3406" s="39">
        <f t="shared" ca="1" si="392"/>
        <v>0.13061366037805255</v>
      </c>
      <c r="W3406" s="48">
        <f t="shared" ca="1" si="393"/>
        <v>1.7066844661579101</v>
      </c>
    </row>
    <row r="3407" spans="17:23" x14ac:dyDescent="0.2">
      <c r="Q3407">
        <f t="shared" si="387"/>
        <v>3391</v>
      </c>
      <c r="R3407" s="48">
        <f t="shared" ca="1" si="388"/>
        <v>0.35</v>
      </c>
      <c r="S3407">
        <f t="shared" ca="1" si="389"/>
        <v>194.75442540396148</v>
      </c>
      <c r="T3407" s="61">
        <f t="shared" ca="1" si="390"/>
        <v>16800</v>
      </c>
      <c r="U3407" s="61">
        <f t="shared" ca="1" si="391"/>
        <v>19272.301210059966</v>
      </c>
      <c r="V3407" s="39">
        <f t="shared" ca="1" si="392"/>
        <v>0.12679145532934188</v>
      </c>
      <c r="W3407" s="48">
        <f t="shared" ca="1" si="393"/>
        <v>1.6333510219748799</v>
      </c>
    </row>
    <row r="3408" spans="17:23" x14ac:dyDescent="0.2">
      <c r="Q3408">
        <f t="shared" si="387"/>
        <v>3392</v>
      </c>
      <c r="R3408" s="48">
        <f t="shared" ca="1" si="388"/>
        <v>0.5</v>
      </c>
      <c r="S3408">
        <f t="shared" ca="1" si="389"/>
        <v>206.56021103798142</v>
      </c>
      <c r="T3408" s="61">
        <f t="shared" ca="1" si="390"/>
        <v>24000</v>
      </c>
      <c r="U3408" s="61">
        <f t="shared" ca="1" si="391"/>
        <v>30624.084415192567</v>
      </c>
      <c r="V3408" s="39">
        <f t="shared" ca="1" si="392"/>
        <v>0.20147423957363531</v>
      </c>
      <c r="W3408" s="48">
        <f t="shared" ca="1" si="393"/>
        <v>3.4317256993150131</v>
      </c>
    </row>
    <row r="3409" spans="17:23" x14ac:dyDescent="0.2">
      <c r="Q3409">
        <f t="shared" si="387"/>
        <v>3393</v>
      </c>
      <c r="R3409" s="48">
        <f t="shared" ca="1" si="388"/>
        <v>0.4</v>
      </c>
      <c r="S3409">
        <f t="shared" ca="1" si="389"/>
        <v>192.09837995450951</v>
      </c>
      <c r="T3409" s="61">
        <f t="shared" ca="1" si="390"/>
        <v>19200</v>
      </c>
      <c r="U3409" s="61">
        <f t="shared" ca="1" si="391"/>
        <v>20207.222378164566</v>
      </c>
      <c r="V3409" s="39">
        <f t="shared" ca="1" si="392"/>
        <v>0.13294225248792477</v>
      </c>
      <c r="W3409" s="48">
        <f t="shared" ca="1" si="393"/>
        <v>1.7522335019382838</v>
      </c>
    </row>
    <row r="3410" spans="17:23" x14ac:dyDescent="0.2">
      <c r="Q3410">
        <f t="shared" si="387"/>
        <v>3394</v>
      </c>
      <c r="R3410" s="48">
        <f t="shared" ca="1" si="388"/>
        <v>0.217</v>
      </c>
      <c r="S3410">
        <f t="shared" ca="1" si="389"/>
        <v>196.64919764493101</v>
      </c>
      <c r="T3410" s="61">
        <f t="shared" ca="1" si="390"/>
        <v>10416</v>
      </c>
      <c r="U3410" s="61">
        <f t="shared" ca="1" si="391"/>
        <v>14581.057404784784</v>
      </c>
      <c r="V3410" s="39">
        <f t="shared" ca="1" si="392"/>
        <v>9.5928009242005161E-2</v>
      </c>
      <c r="W3410" s="48">
        <f t="shared" ca="1" si="393"/>
        <v>1.1022116465397493</v>
      </c>
    </row>
    <row r="3411" spans="17:23" x14ac:dyDescent="0.2">
      <c r="Q3411">
        <f t="shared" ref="Q3411:Q3474" si="394">Q3410+1</f>
        <v>3395</v>
      </c>
      <c r="R3411" s="48">
        <f t="shared" ref="R3411:R3474" ca="1" si="395">LOOKUP(RAND(),$U$6:$U$12,$S$6:$S$12)</f>
        <v>0.4</v>
      </c>
      <c r="S3411">
        <f t="shared" ref="S3411:S3474" ca="1" si="396">_xlfn.NORM.INV(RAND(),$Q$5,$Q$10)</f>
        <v>197.83788432530963</v>
      </c>
      <c r="T3411" s="61">
        <f t="shared" ca="1" si="390"/>
        <v>19200</v>
      </c>
      <c r="U3411" s="61">
        <f t="shared" ca="1" si="391"/>
        <v>22962.184476148621</v>
      </c>
      <c r="V3411" s="39">
        <f t="shared" ca="1" si="392"/>
        <v>0.15106700313255672</v>
      </c>
      <c r="W3411" s="48">
        <f t="shared" ca="1" si="393"/>
        <v>2.1303564415381562</v>
      </c>
    </row>
    <row r="3412" spans="17:23" x14ac:dyDescent="0.2">
      <c r="Q3412">
        <f t="shared" si="394"/>
        <v>3396</v>
      </c>
      <c r="R3412" s="48">
        <f t="shared" ca="1" si="395"/>
        <v>0.45</v>
      </c>
      <c r="S3412">
        <f t="shared" ca="1" si="396"/>
        <v>218.40504239123041</v>
      </c>
      <c r="T3412" s="61">
        <f t="shared" ca="1" si="390"/>
        <v>21600</v>
      </c>
      <c r="U3412" s="61">
        <f t="shared" ca="1" si="391"/>
        <v>34098.218652141382</v>
      </c>
      <c r="V3412" s="39">
        <f t="shared" ca="1" si="392"/>
        <v>0.2243303858693512</v>
      </c>
      <c r="W3412" s="48">
        <f t="shared" ca="1" si="393"/>
        <v>4.1636350379383567</v>
      </c>
    </row>
    <row r="3413" spans="17:23" x14ac:dyDescent="0.2">
      <c r="Q3413">
        <f t="shared" si="394"/>
        <v>3397</v>
      </c>
      <c r="R3413" s="48">
        <f t="shared" ca="1" si="395"/>
        <v>0.3</v>
      </c>
      <c r="S3413">
        <f t="shared" ca="1" si="396"/>
        <v>218.17762265783298</v>
      </c>
      <c r="T3413" s="61">
        <f t="shared" ca="1" si="390"/>
        <v>14400</v>
      </c>
      <c r="U3413" s="61">
        <f t="shared" ca="1" si="391"/>
        <v>30179.468688386471</v>
      </c>
      <c r="V3413" s="39">
        <f t="shared" ca="1" si="392"/>
        <v>0.19854913610780572</v>
      </c>
      <c r="W3413" s="48">
        <f t="shared" ca="1" si="393"/>
        <v>3.3449650140201577</v>
      </c>
    </row>
    <row r="3414" spans="17:23" x14ac:dyDescent="0.2">
      <c r="Q3414">
        <f t="shared" si="394"/>
        <v>3398</v>
      </c>
      <c r="R3414" s="48">
        <f t="shared" ca="1" si="395"/>
        <v>0.35</v>
      </c>
      <c r="S3414">
        <f t="shared" ca="1" si="396"/>
        <v>206.12505883998162</v>
      </c>
      <c r="T3414" s="61">
        <f t="shared" ca="1" si="390"/>
        <v>16800</v>
      </c>
      <c r="U3414" s="61">
        <f t="shared" ca="1" si="391"/>
        <v>25185.030596790442</v>
      </c>
      <c r="V3414" s="39">
        <f t="shared" ca="1" si="392"/>
        <v>0.16569099076835817</v>
      </c>
      <c r="W3414" s="48">
        <f t="shared" ca="1" si="393"/>
        <v>2.467892925410279</v>
      </c>
    </row>
    <row r="3415" spans="17:23" x14ac:dyDescent="0.2">
      <c r="Q3415">
        <f t="shared" si="394"/>
        <v>3399</v>
      </c>
      <c r="R3415" s="48">
        <f t="shared" ca="1" si="395"/>
        <v>0.3</v>
      </c>
      <c r="S3415">
        <f t="shared" ca="1" si="396"/>
        <v>213.92192070415055</v>
      </c>
      <c r="T3415" s="61">
        <f t="shared" ca="1" si="390"/>
        <v>14400</v>
      </c>
      <c r="U3415" s="61">
        <f t="shared" ca="1" si="391"/>
        <v>27796.27559432431</v>
      </c>
      <c r="V3415" s="39">
        <f t="shared" ca="1" si="392"/>
        <v>0.18287023417318626</v>
      </c>
      <c r="W3415" s="48">
        <f t="shared" ca="1" si="393"/>
        <v>2.9048193710756638</v>
      </c>
    </row>
    <row r="3416" spans="17:23" x14ac:dyDescent="0.2">
      <c r="Q3416">
        <f t="shared" si="394"/>
        <v>3400</v>
      </c>
      <c r="R3416" s="48">
        <f t="shared" ca="1" si="395"/>
        <v>0.3</v>
      </c>
      <c r="S3416">
        <f t="shared" ca="1" si="396"/>
        <v>168.53434008154204</v>
      </c>
      <c r="T3416" s="61">
        <f t="shared" ca="1" si="390"/>
        <v>14400</v>
      </c>
      <c r="U3416" s="61">
        <f t="shared" ca="1" si="391"/>
        <v>2379.2304456635429</v>
      </c>
      <c r="V3416" s="39">
        <f t="shared" ca="1" si="392"/>
        <v>1.5652831879365413E-2</v>
      </c>
      <c r="W3416" s="48">
        <f t="shared" ca="1" si="393"/>
        <v>0.13425772597152807</v>
      </c>
    </row>
    <row r="3417" spans="17:23" x14ac:dyDescent="0.2">
      <c r="Q3417">
        <f t="shared" si="394"/>
        <v>3401</v>
      </c>
      <c r="R3417" s="48">
        <f t="shared" ca="1" si="395"/>
        <v>0.217</v>
      </c>
      <c r="S3417">
        <f t="shared" ca="1" si="396"/>
        <v>183.47010234276792</v>
      </c>
      <c r="T3417" s="61">
        <f t="shared" ca="1" si="390"/>
        <v>10416</v>
      </c>
      <c r="U3417" s="61">
        <f t="shared" ca="1" si="391"/>
        <v>6325.672107509823</v>
      </c>
      <c r="V3417" s="39">
        <f t="shared" ca="1" si="392"/>
        <v>4.1616263865196207E-2</v>
      </c>
      <c r="W3417" s="48">
        <f t="shared" ca="1" si="393"/>
        <v>0.39196894776229319</v>
      </c>
    </row>
    <row r="3418" spans="17:23" x14ac:dyDescent="0.2">
      <c r="Q3418">
        <f t="shared" si="394"/>
        <v>3402</v>
      </c>
      <c r="R3418" s="48">
        <f t="shared" ca="1" si="395"/>
        <v>0.45</v>
      </c>
      <c r="S3418">
        <f t="shared" ca="1" si="396"/>
        <v>180.01349022746419</v>
      </c>
      <c r="T3418" s="61">
        <f t="shared" ca="1" si="390"/>
        <v>21600</v>
      </c>
      <c r="U3418" s="61">
        <f t="shared" ca="1" si="391"/>
        <v>17205.935700084243</v>
      </c>
      <c r="V3418" s="39">
        <f t="shared" ca="1" si="392"/>
        <v>0.11319694539529107</v>
      </c>
      <c r="W3418" s="48">
        <f t="shared" ca="1" si="393"/>
        <v>1.3864410728682572</v>
      </c>
    </row>
    <row r="3419" spans="17:23" x14ac:dyDescent="0.2">
      <c r="Q3419">
        <f t="shared" si="394"/>
        <v>3403</v>
      </c>
      <c r="R3419" s="48">
        <f t="shared" ca="1" si="395"/>
        <v>0.4</v>
      </c>
      <c r="S3419">
        <f t="shared" ca="1" si="396"/>
        <v>175.83856209139188</v>
      </c>
      <c r="T3419" s="61">
        <f t="shared" ca="1" si="390"/>
        <v>19200</v>
      </c>
      <c r="U3419" s="61">
        <f t="shared" ca="1" si="391"/>
        <v>12402.509803868103</v>
      </c>
      <c r="V3419" s="39">
        <f t="shared" ca="1" si="392"/>
        <v>8.159545923597436E-2</v>
      </c>
      <c r="W3419" s="48">
        <f t="shared" ca="1" si="393"/>
        <v>0.88931262494838204</v>
      </c>
    </row>
    <row r="3420" spans="17:23" x14ac:dyDescent="0.2">
      <c r="Q3420">
        <f t="shared" si="394"/>
        <v>3404</v>
      </c>
      <c r="R3420" s="48">
        <f t="shared" ca="1" si="395"/>
        <v>0.4</v>
      </c>
      <c r="S3420">
        <f t="shared" ca="1" si="396"/>
        <v>181.53282571855269</v>
      </c>
      <c r="T3420" s="61">
        <f t="shared" ca="1" si="390"/>
        <v>19200</v>
      </c>
      <c r="U3420" s="61">
        <f t="shared" ca="1" si="391"/>
        <v>15135.75634490529</v>
      </c>
      <c r="V3420" s="39">
        <f t="shared" ca="1" si="392"/>
        <v>9.9577344374376917E-2</v>
      </c>
      <c r="W3420" s="48">
        <f t="shared" ca="1" si="393"/>
        <v>1.1596675718626912</v>
      </c>
    </row>
    <row r="3421" spans="17:23" x14ac:dyDescent="0.2">
      <c r="Q3421">
        <f t="shared" si="394"/>
        <v>3405</v>
      </c>
      <c r="R3421" s="48">
        <f t="shared" ca="1" si="395"/>
        <v>0.5</v>
      </c>
      <c r="S3421">
        <f t="shared" ca="1" si="396"/>
        <v>187.27562538276342</v>
      </c>
      <c r="T3421" s="61">
        <f t="shared" ca="1" si="390"/>
        <v>24000</v>
      </c>
      <c r="U3421" s="61">
        <f t="shared" ca="1" si="391"/>
        <v>22910.250153105368</v>
      </c>
      <c r="V3421" s="39">
        <f t="shared" ca="1" si="392"/>
        <v>0.15072532995464058</v>
      </c>
      <c r="W3421" s="48">
        <f t="shared" ca="1" si="393"/>
        <v>2.1228276355595881</v>
      </c>
    </row>
    <row r="3422" spans="17:23" x14ac:dyDescent="0.2">
      <c r="Q3422">
        <f t="shared" si="394"/>
        <v>3406</v>
      </c>
      <c r="R3422" s="48">
        <f t="shared" ca="1" si="395"/>
        <v>0.3</v>
      </c>
      <c r="S3422">
        <f t="shared" ca="1" si="396"/>
        <v>171.36690590530344</v>
      </c>
      <c r="T3422" s="61">
        <f t="shared" ca="1" si="390"/>
        <v>14400</v>
      </c>
      <c r="U3422" s="61">
        <f t="shared" ca="1" si="391"/>
        <v>3965.4673069699274</v>
      </c>
      <c r="V3422" s="39">
        <f t="shared" ca="1" si="392"/>
        <v>2.6088600703749524E-2</v>
      </c>
      <c r="W3422" s="48">
        <f t="shared" ca="1" si="393"/>
        <v>0.2323148029586819</v>
      </c>
    </row>
    <row r="3423" spans="17:23" x14ac:dyDescent="0.2">
      <c r="Q3423">
        <f t="shared" si="394"/>
        <v>3407</v>
      </c>
      <c r="R3423" s="48">
        <f t="shared" ca="1" si="395"/>
        <v>0.35</v>
      </c>
      <c r="S3423">
        <f t="shared" ca="1" si="396"/>
        <v>177.59326773035053</v>
      </c>
      <c r="T3423" s="61">
        <f t="shared" ca="1" si="390"/>
        <v>16800</v>
      </c>
      <c r="U3423" s="61">
        <f t="shared" ca="1" si="391"/>
        <v>10348.499219782278</v>
      </c>
      <c r="V3423" s="39">
        <f t="shared" ca="1" si="392"/>
        <v>6.8082231709093929E-2</v>
      </c>
      <c r="W3423" s="48">
        <f t="shared" ca="1" si="393"/>
        <v>0.70614454374710878</v>
      </c>
    </row>
    <row r="3424" spans="17:23" x14ac:dyDescent="0.2">
      <c r="Q3424">
        <f t="shared" si="394"/>
        <v>3408</v>
      </c>
      <c r="R3424" s="48">
        <f t="shared" ca="1" si="395"/>
        <v>0.35</v>
      </c>
      <c r="S3424">
        <f t="shared" ca="1" si="396"/>
        <v>186.30651409835309</v>
      </c>
      <c r="T3424" s="61">
        <f t="shared" ca="1" si="390"/>
        <v>16800</v>
      </c>
      <c r="U3424" s="61">
        <f t="shared" ca="1" si="391"/>
        <v>14879.387331143607</v>
      </c>
      <c r="V3424" s="39">
        <f t="shared" ca="1" si="392"/>
        <v>9.789070612594479E-2</v>
      </c>
      <c r="W3424" s="48">
        <f t="shared" ca="1" si="393"/>
        <v>1.1329439212864973</v>
      </c>
    </row>
    <row r="3425" spans="17:23" x14ac:dyDescent="0.2">
      <c r="Q3425">
        <f t="shared" si="394"/>
        <v>3409</v>
      </c>
      <c r="R3425" s="48">
        <f t="shared" ca="1" si="395"/>
        <v>0.217</v>
      </c>
      <c r="S3425">
        <f t="shared" ca="1" si="396"/>
        <v>213.31771483826569</v>
      </c>
      <c r="T3425" s="61">
        <f t="shared" ca="1" si="390"/>
        <v>10416</v>
      </c>
      <c r="U3425" s="61">
        <f t="shared" ca="1" si="391"/>
        <v>25022.216574689628</v>
      </c>
      <c r="V3425" s="39">
        <f t="shared" ca="1" si="392"/>
        <v>0.16461984588611597</v>
      </c>
      <c r="W3425" s="48">
        <f t="shared" ca="1" si="393"/>
        <v>2.4421301747345416</v>
      </c>
    </row>
    <row r="3426" spans="17:23" x14ac:dyDescent="0.2">
      <c r="Q3426">
        <f t="shared" si="394"/>
        <v>3410</v>
      </c>
      <c r="R3426" s="48">
        <f t="shared" ca="1" si="395"/>
        <v>0.35</v>
      </c>
      <c r="S3426">
        <f t="shared" ca="1" si="396"/>
        <v>207.18252007970773</v>
      </c>
      <c r="T3426" s="61">
        <f t="shared" ca="1" si="390"/>
        <v>16800</v>
      </c>
      <c r="U3426" s="61">
        <f t="shared" ca="1" si="391"/>
        <v>25734.910441448017</v>
      </c>
      <c r="V3426" s="39">
        <f t="shared" ca="1" si="392"/>
        <v>0.16930862132531591</v>
      </c>
      <c r="W3426" s="48">
        <f t="shared" ca="1" si="393"/>
        <v>2.5561567645407544</v>
      </c>
    </row>
    <row r="3427" spans="17:23" x14ac:dyDescent="0.2">
      <c r="Q3427">
        <f t="shared" si="394"/>
        <v>3411</v>
      </c>
      <c r="R3427" s="48">
        <f t="shared" ca="1" si="395"/>
        <v>0.3</v>
      </c>
      <c r="S3427">
        <f t="shared" ca="1" si="396"/>
        <v>185.22743585666095</v>
      </c>
      <c r="T3427" s="61">
        <f t="shared" ca="1" si="390"/>
        <v>14400</v>
      </c>
      <c r="U3427" s="61">
        <f t="shared" ca="1" si="391"/>
        <v>11727.36407973013</v>
      </c>
      <c r="V3427" s="39">
        <f t="shared" ca="1" si="392"/>
        <v>7.7153711050856125E-2</v>
      </c>
      <c r="W3427" s="48">
        <f t="shared" ca="1" si="393"/>
        <v>0.82729163194684951</v>
      </c>
    </row>
    <row r="3428" spans="17:23" x14ac:dyDescent="0.2">
      <c r="Q3428">
        <f t="shared" si="394"/>
        <v>3412</v>
      </c>
      <c r="R3428" s="48">
        <f t="shared" ca="1" si="395"/>
        <v>0.3</v>
      </c>
      <c r="S3428">
        <f t="shared" ca="1" si="396"/>
        <v>174.01029682692416</v>
      </c>
      <c r="T3428" s="61">
        <f t="shared" ca="1" si="390"/>
        <v>14400</v>
      </c>
      <c r="U3428" s="61">
        <f t="shared" ca="1" si="391"/>
        <v>5445.7662230775313</v>
      </c>
      <c r="V3428" s="39">
        <f t="shared" ca="1" si="392"/>
        <v>3.5827409362352181E-2</v>
      </c>
      <c r="W3428" s="48">
        <f t="shared" ca="1" si="393"/>
        <v>0.33044764950398053</v>
      </c>
    </row>
    <row r="3429" spans="17:23" x14ac:dyDescent="0.2">
      <c r="Q3429">
        <f t="shared" si="394"/>
        <v>3413</v>
      </c>
      <c r="R3429" s="48">
        <f t="shared" ca="1" si="395"/>
        <v>0.3</v>
      </c>
      <c r="S3429">
        <f t="shared" ca="1" si="396"/>
        <v>190.2926429346862</v>
      </c>
      <c r="T3429" s="61">
        <f t="shared" ca="1" si="390"/>
        <v>14400</v>
      </c>
      <c r="U3429" s="61">
        <f t="shared" ca="1" si="391"/>
        <v>14563.880043424271</v>
      </c>
      <c r="V3429" s="39">
        <f t="shared" ca="1" si="392"/>
        <v>9.5815000285686E-2</v>
      </c>
      <c r="W3429" s="48">
        <f t="shared" ca="1" si="393"/>
        <v>1.1004540127178108</v>
      </c>
    </row>
    <row r="3430" spans="17:23" x14ac:dyDescent="0.2">
      <c r="Q3430">
        <f t="shared" si="394"/>
        <v>3414</v>
      </c>
      <c r="R3430" s="48">
        <f t="shared" ca="1" si="395"/>
        <v>0.3</v>
      </c>
      <c r="S3430">
        <f t="shared" ca="1" si="396"/>
        <v>199.89653846358237</v>
      </c>
      <c r="T3430" s="61">
        <f t="shared" ca="1" si="390"/>
        <v>14400</v>
      </c>
      <c r="U3430" s="61">
        <f t="shared" ca="1" si="391"/>
        <v>19942.061539606129</v>
      </c>
      <c r="V3430" s="39">
        <f t="shared" ca="1" si="392"/>
        <v>0.13119777328688242</v>
      </c>
      <c r="W3430" s="48">
        <f t="shared" ca="1" si="393"/>
        <v>1.7180476079930855</v>
      </c>
    </row>
    <row r="3431" spans="17:23" x14ac:dyDescent="0.2">
      <c r="Q3431">
        <f t="shared" si="394"/>
        <v>3415</v>
      </c>
      <c r="R3431" s="48">
        <f t="shared" ca="1" si="395"/>
        <v>0.3</v>
      </c>
      <c r="S3431">
        <f t="shared" ca="1" si="396"/>
        <v>187.65659468688173</v>
      </c>
      <c r="T3431" s="61">
        <f t="shared" ca="1" si="390"/>
        <v>14400</v>
      </c>
      <c r="U3431" s="61">
        <f t="shared" ca="1" si="391"/>
        <v>13087.69302465377</v>
      </c>
      <c r="V3431" s="39">
        <f t="shared" ca="1" si="392"/>
        <v>8.6103243583248487E-2</v>
      </c>
      <c r="W3431" s="48">
        <f t="shared" ca="1" si="393"/>
        <v>0.95413500524573092</v>
      </c>
    </row>
    <row r="3432" spans="17:23" x14ac:dyDescent="0.2">
      <c r="Q3432">
        <f t="shared" si="394"/>
        <v>3416</v>
      </c>
      <c r="R3432" s="48">
        <f t="shared" ca="1" si="395"/>
        <v>0.4</v>
      </c>
      <c r="S3432">
        <f t="shared" ca="1" si="396"/>
        <v>178.4418627460025</v>
      </c>
      <c r="T3432" s="61">
        <f t="shared" ca="1" si="390"/>
        <v>19200</v>
      </c>
      <c r="U3432" s="61">
        <f t="shared" ca="1" si="391"/>
        <v>13652.094118081201</v>
      </c>
      <c r="V3432" s="39">
        <f t="shared" ca="1" si="392"/>
        <v>8.9816408671586842E-2</v>
      </c>
      <c r="W3432" s="48">
        <f t="shared" ca="1" si="393"/>
        <v>1.0089869307091126</v>
      </c>
    </row>
    <row r="3433" spans="17:23" x14ac:dyDescent="0.2">
      <c r="Q3433">
        <f t="shared" si="394"/>
        <v>3417</v>
      </c>
      <c r="R3433" s="48">
        <f t="shared" ca="1" si="395"/>
        <v>0.4</v>
      </c>
      <c r="S3433">
        <f t="shared" ca="1" si="396"/>
        <v>177.16345484457213</v>
      </c>
      <c r="T3433" s="61">
        <f t="shared" ca="1" si="390"/>
        <v>19200</v>
      </c>
      <c r="U3433" s="61">
        <f t="shared" ca="1" si="391"/>
        <v>13038.458325394622</v>
      </c>
      <c r="V3433" s="39">
        <f t="shared" ca="1" si="392"/>
        <v>8.577933108812251E-2</v>
      </c>
      <c r="W3433" s="48">
        <f t="shared" ca="1" si="393"/>
        <v>0.94941295045711183</v>
      </c>
    </row>
    <row r="3434" spans="17:23" x14ac:dyDescent="0.2">
      <c r="Q3434">
        <f t="shared" si="394"/>
        <v>3418</v>
      </c>
      <c r="R3434" s="48">
        <f t="shared" ca="1" si="395"/>
        <v>0.5</v>
      </c>
      <c r="S3434">
        <f t="shared" ca="1" si="396"/>
        <v>206.90485120155003</v>
      </c>
      <c r="T3434" s="61">
        <f t="shared" ca="1" si="390"/>
        <v>24000</v>
      </c>
      <c r="U3434" s="61">
        <f t="shared" ca="1" si="391"/>
        <v>30761.940480620011</v>
      </c>
      <c r="V3434" s="39">
        <f t="shared" ca="1" si="392"/>
        <v>0.20238118737250008</v>
      </c>
      <c r="W3434" s="48">
        <f t="shared" ca="1" si="393"/>
        <v>3.4589330907556386</v>
      </c>
    </row>
    <row r="3435" spans="17:23" x14ac:dyDescent="0.2">
      <c r="Q3435">
        <f t="shared" si="394"/>
        <v>3419</v>
      </c>
      <c r="R3435" s="48">
        <f t="shared" ca="1" si="395"/>
        <v>0.217</v>
      </c>
      <c r="S3435">
        <f t="shared" ca="1" si="396"/>
        <v>157.33746826455101</v>
      </c>
      <c r="T3435" s="61">
        <f t="shared" ca="1" si="390"/>
        <v>10416</v>
      </c>
      <c r="U3435" s="61">
        <f t="shared" ca="1" si="391"/>
        <v>-10043.809879085249</v>
      </c>
      <c r="V3435" s="39">
        <f t="shared" ca="1" si="392"/>
        <v>-6.6077696572929265E-2</v>
      </c>
      <c r="W3435" s="48">
        <f t="shared" ca="1" si="393"/>
        <v>-0.42563605336322252</v>
      </c>
    </row>
    <row r="3436" spans="17:23" x14ac:dyDescent="0.2">
      <c r="Q3436">
        <f t="shared" si="394"/>
        <v>3420</v>
      </c>
      <c r="R3436" s="48">
        <f t="shared" ca="1" si="395"/>
        <v>0.35</v>
      </c>
      <c r="S3436">
        <f t="shared" ca="1" si="396"/>
        <v>207.69377117195586</v>
      </c>
      <c r="T3436" s="61">
        <f t="shared" ca="1" si="390"/>
        <v>16800</v>
      </c>
      <c r="U3436" s="61">
        <f t="shared" ca="1" si="391"/>
        <v>26000.761009417045</v>
      </c>
      <c r="V3436" s="39">
        <f t="shared" ca="1" si="392"/>
        <v>0.17105763821984898</v>
      </c>
      <c r="W3436" s="48">
        <f t="shared" ca="1" si="393"/>
        <v>2.5995314861238707</v>
      </c>
    </row>
    <row r="3437" spans="17:23" x14ac:dyDescent="0.2">
      <c r="Q3437">
        <f t="shared" si="394"/>
        <v>3421</v>
      </c>
      <c r="R3437" s="48">
        <f t="shared" ca="1" si="395"/>
        <v>0.3</v>
      </c>
      <c r="S3437">
        <f t="shared" ca="1" si="396"/>
        <v>160.68008832378263</v>
      </c>
      <c r="T3437" s="61">
        <f t="shared" ca="1" si="390"/>
        <v>14400</v>
      </c>
      <c r="U3437" s="61">
        <f t="shared" ca="1" si="391"/>
        <v>-2019.1505386817298</v>
      </c>
      <c r="V3437" s="39">
        <f t="shared" ca="1" si="392"/>
        <v>-1.3283885122906116E-2</v>
      </c>
      <c r="W3437" s="48">
        <f t="shared" ca="1" si="393"/>
        <v>-0.10279339952866662</v>
      </c>
    </row>
    <row r="3438" spans="17:23" x14ac:dyDescent="0.2">
      <c r="Q3438">
        <f t="shared" si="394"/>
        <v>3422</v>
      </c>
      <c r="R3438" s="48">
        <f t="shared" ca="1" si="395"/>
        <v>0.35</v>
      </c>
      <c r="S3438">
        <f t="shared" ca="1" si="396"/>
        <v>207.82021853276467</v>
      </c>
      <c r="T3438" s="61">
        <f t="shared" ca="1" si="390"/>
        <v>16800</v>
      </c>
      <c r="U3438" s="61">
        <f t="shared" ca="1" si="391"/>
        <v>26066.513637037628</v>
      </c>
      <c r="V3438" s="39">
        <f t="shared" ca="1" si="392"/>
        <v>0.17149022129630018</v>
      </c>
      <c r="W3438" s="48">
        <f t="shared" ca="1" si="393"/>
        <v>2.6103305980036611</v>
      </c>
    </row>
    <row r="3439" spans="17:23" x14ac:dyDescent="0.2">
      <c r="Q3439">
        <f t="shared" si="394"/>
        <v>3423</v>
      </c>
      <c r="R3439" s="48">
        <f t="shared" ca="1" si="395"/>
        <v>0.217</v>
      </c>
      <c r="S3439">
        <f t="shared" ca="1" si="396"/>
        <v>182.44171218332545</v>
      </c>
      <c r="T3439" s="61">
        <f t="shared" ca="1" si="390"/>
        <v>10416</v>
      </c>
      <c r="U3439" s="61">
        <f t="shared" ca="1" si="391"/>
        <v>5681.4885116350615</v>
      </c>
      <c r="V3439" s="39">
        <f t="shared" ca="1" si="392"/>
        <v>3.7378213892335928E-2</v>
      </c>
      <c r="W3439" s="48">
        <f t="shared" ca="1" si="393"/>
        <v>0.34669043683404643</v>
      </c>
    </row>
    <row r="3440" spans="17:23" x14ac:dyDescent="0.2">
      <c r="Q3440">
        <f t="shared" si="394"/>
        <v>3424</v>
      </c>
      <c r="R3440" s="48">
        <f t="shared" ca="1" si="395"/>
        <v>0.3</v>
      </c>
      <c r="S3440">
        <f t="shared" ca="1" si="396"/>
        <v>180.43934307432028</v>
      </c>
      <c r="T3440" s="61">
        <f t="shared" ca="1" si="390"/>
        <v>14400</v>
      </c>
      <c r="U3440" s="61">
        <f t="shared" ca="1" si="391"/>
        <v>9046.0321216193552</v>
      </c>
      <c r="V3440" s="39">
        <f t="shared" ca="1" si="392"/>
        <v>5.9513369221179967E-2</v>
      </c>
      <c r="W3440" s="48">
        <f t="shared" ca="1" si="393"/>
        <v>0.5982368269647913</v>
      </c>
    </row>
    <row r="3441" spans="17:23" x14ac:dyDescent="0.2">
      <c r="Q3441">
        <f t="shared" si="394"/>
        <v>3425</v>
      </c>
      <c r="R3441" s="48">
        <f t="shared" ca="1" si="395"/>
        <v>0.3</v>
      </c>
      <c r="S3441">
        <f t="shared" ca="1" si="396"/>
        <v>213.70761852573486</v>
      </c>
      <c r="T3441" s="61">
        <f t="shared" ca="1" si="390"/>
        <v>14400</v>
      </c>
      <c r="U3441" s="61">
        <f t="shared" ca="1" si="391"/>
        <v>27676.26637441152</v>
      </c>
      <c r="V3441" s="39">
        <f t="shared" ca="1" si="392"/>
        <v>0.18208069983165473</v>
      </c>
      <c r="W3441" s="48">
        <f t="shared" ca="1" si="393"/>
        <v>2.8837289759905307</v>
      </c>
    </row>
    <row r="3442" spans="17:23" x14ac:dyDescent="0.2">
      <c r="Q3442">
        <f t="shared" si="394"/>
        <v>3426</v>
      </c>
      <c r="R3442" s="48">
        <f t="shared" ca="1" si="395"/>
        <v>0.4</v>
      </c>
      <c r="S3442">
        <f t="shared" ca="1" si="396"/>
        <v>179.88337610102363</v>
      </c>
      <c r="T3442" s="61">
        <f t="shared" ca="1" si="390"/>
        <v>19200</v>
      </c>
      <c r="U3442" s="61">
        <f t="shared" ca="1" si="391"/>
        <v>14344.020528491343</v>
      </c>
      <c r="V3442" s="39">
        <f t="shared" ca="1" si="392"/>
        <v>9.4368556108495677E-2</v>
      </c>
      <c r="W3442" s="48">
        <f t="shared" ca="1" si="393"/>
        <v>1.078070903208098</v>
      </c>
    </row>
    <row r="3443" spans="17:23" x14ac:dyDescent="0.2">
      <c r="Q3443">
        <f t="shared" si="394"/>
        <v>3427</v>
      </c>
      <c r="R3443" s="48">
        <f t="shared" ca="1" si="395"/>
        <v>0.217</v>
      </c>
      <c r="S3443">
        <f t="shared" ca="1" si="396"/>
        <v>172.19336858918308</v>
      </c>
      <c r="T3443" s="61">
        <f t="shared" ca="1" si="390"/>
        <v>10416</v>
      </c>
      <c r="U3443" s="61">
        <f t="shared" ca="1" si="391"/>
        <v>-738.0739157357184</v>
      </c>
      <c r="V3443" s="39">
        <f t="shared" ca="1" si="392"/>
        <v>-4.8557494456297262E-3</v>
      </c>
      <c r="W3443" s="48">
        <f t="shared" ca="1" si="393"/>
        <v>-3.8712221089669541E-2</v>
      </c>
    </row>
    <row r="3444" spans="17:23" x14ac:dyDescent="0.2">
      <c r="Q3444">
        <f t="shared" si="394"/>
        <v>3428</v>
      </c>
      <c r="R3444" s="48">
        <f t="shared" ca="1" si="395"/>
        <v>0.217</v>
      </c>
      <c r="S3444">
        <f t="shared" ca="1" si="396"/>
        <v>195.83847630312158</v>
      </c>
      <c r="T3444" s="61">
        <f t="shared" ca="1" si="390"/>
        <v>10416</v>
      </c>
      <c r="U3444" s="61">
        <f t="shared" ca="1" si="391"/>
        <v>14073.221556275359</v>
      </c>
      <c r="V3444" s="39">
        <f t="shared" ca="1" si="392"/>
        <v>9.2586983922864199E-2</v>
      </c>
      <c r="W3444" s="48">
        <f t="shared" ca="1" si="393"/>
        <v>1.0507894318969342</v>
      </c>
    </row>
    <row r="3445" spans="17:23" x14ac:dyDescent="0.2">
      <c r="Q3445">
        <f t="shared" si="394"/>
        <v>3429</v>
      </c>
      <c r="R3445" s="48">
        <f t="shared" ca="1" si="395"/>
        <v>0.3</v>
      </c>
      <c r="S3445">
        <f t="shared" ca="1" si="396"/>
        <v>173.35325040104934</v>
      </c>
      <c r="T3445" s="61">
        <f t="shared" ca="1" si="390"/>
        <v>14400</v>
      </c>
      <c r="U3445" s="61">
        <f t="shared" ca="1" si="391"/>
        <v>5077.8202245876291</v>
      </c>
      <c r="V3445" s="39">
        <f t="shared" ca="1" si="392"/>
        <v>3.3406712003865982E-2</v>
      </c>
      <c r="W3445" s="48">
        <f t="shared" ca="1" si="393"/>
        <v>0.30543701080113728</v>
      </c>
    </row>
    <row r="3446" spans="17:23" x14ac:dyDescent="0.2">
      <c r="Q3446">
        <f t="shared" si="394"/>
        <v>3430</v>
      </c>
      <c r="R3446" s="48">
        <f t="shared" ca="1" si="395"/>
        <v>0.3</v>
      </c>
      <c r="S3446">
        <f t="shared" ca="1" si="396"/>
        <v>186.18557621094803</v>
      </c>
      <c r="T3446" s="61">
        <f t="shared" ca="1" si="390"/>
        <v>14400</v>
      </c>
      <c r="U3446" s="61">
        <f t="shared" ca="1" si="391"/>
        <v>12263.922678130895</v>
      </c>
      <c r="V3446" s="39">
        <f t="shared" ca="1" si="392"/>
        <v>8.0683701829808524E-2</v>
      </c>
      <c r="W3446" s="48">
        <f t="shared" ca="1" si="393"/>
        <v>0.87643317781851282</v>
      </c>
    </row>
    <row r="3447" spans="17:23" x14ac:dyDescent="0.2">
      <c r="Q3447">
        <f t="shared" si="394"/>
        <v>3431</v>
      </c>
      <c r="R3447" s="48">
        <f t="shared" ca="1" si="395"/>
        <v>0.35</v>
      </c>
      <c r="S3447">
        <f t="shared" ca="1" si="396"/>
        <v>173.93720031993354</v>
      </c>
      <c r="T3447" s="61">
        <f t="shared" ca="1" si="390"/>
        <v>16800</v>
      </c>
      <c r="U3447" s="61">
        <f t="shared" ca="1" si="391"/>
        <v>8447.3441663654394</v>
      </c>
      <c r="V3447" s="39">
        <f t="shared" ca="1" si="392"/>
        <v>5.5574632673456838E-2</v>
      </c>
      <c r="W3447" s="48">
        <f t="shared" ca="1" si="393"/>
        <v>0.5506773422206992</v>
      </c>
    </row>
    <row r="3448" spans="17:23" x14ac:dyDescent="0.2">
      <c r="Q3448">
        <f t="shared" si="394"/>
        <v>3432</v>
      </c>
      <c r="R3448" s="48">
        <f t="shared" ca="1" si="395"/>
        <v>0.3</v>
      </c>
      <c r="S3448">
        <f t="shared" ca="1" si="396"/>
        <v>179.96222881573823</v>
      </c>
      <c r="T3448" s="61">
        <f t="shared" ca="1" si="390"/>
        <v>14400</v>
      </c>
      <c r="U3448" s="61">
        <f t="shared" ca="1" si="391"/>
        <v>8778.8481368134089</v>
      </c>
      <c r="V3448" s="39">
        <f t="shared" ca="1" si="392"/>
        <v>5.7755579847456641E-2</v>
      </c>
      <c r="W3448" s="48">
        <f t="shared" ca="1" si="393"/>
        <v>0.57685616526989936</v>
      </c>
    </row>
    <row r="3449" spans="17:23" x14ac:dyDescent="0.2">
      <c r="Q3449">
        <f t="shared" si="394"/>
        <v>3433</v>
      </c>
      <c r="R3449" s="48">
        <f t="shared" ca="1" si="395"/>
        <v>0.35</v>
      </c>
      <c r="S3449">
        <f t="shared" ca="1" si="396"/>
        <v>210.28247834902339</v>
      </c>
      <c r="T3449" s="61">
        <f t="shared" ref="T3449:T3512" ca="1" si="397">($B$8-$B$7)*($E$6*R3449)</f>
        <v>16800</v>
      </c>
      <c r="U3449" s="61">
        <f t="shared" ref="U3449:U3512" ca="1" si="398">T3449+((S3449-$B$7)*($E$6*(1-R3449)))</f>
        <v>27346.888741492163</v>
      </c>
      <c r="V3449" s="39">
        <f t="shared" ref="V3449:V3512" ca="1" si="399">U3449/$E$4</f>
        <v>0.17991374172034319</v>
      </c>
      <c r="W3449" s="48">
        <f t="shared" ref="W3449:W3512" ca="1" si="400">(1+V3449)^($J$29/$J$30)-1</f>
        <v>2.826356539168251</v>
      </c>
    </row>
    <row r="3450" spans="17:23" x14ac:dyDescent="0.2">
      <c r="Q3450">
        <f t="shared" si="394"/>
        <v>3434</v>
      </c>
      <c r="R3450" s="48">
        <f t="shared" ca="1" si="395"/>
        <v>0.217</v>
      </c>
      <c r="S3450">
        <f t="shared" ca="1" si="396"/>
        <v>177.71105746364213</v>
      </c>
      <c r="T3450" s="61">
        <f t="shared" ca="1" si="397"/>
        <v>10416</v>
      </c>
      <c r="U3450" s="61">
        <f t="shared" ca="1" si="398"/>
        <v>2718.2063952254339</v>
      </c>
      <c r="V3450" s="39">
        <f t="shared" ca="1" si="399"/>
        <v>1.7882936810693643E-2</v>
      </c>
      <c r="W3450" s="48">
        <f t="shared" ca="1" si="400"/>
        <v>0.15461710825345043</v>
      </c>
    </row>
    <row r="3451" spans="17:23" x14ac:dyDescent="0.2">
      <c r="Q3451">
        <f t="shared" si="394"/>
        <v>3435</v>
      </c>
      <c r="R3451" s="48">
        <f t="shared" ca="1" si="395"/>
        <v>0.35</v>
      </c>
      <c r="S3451">
        <f t="shared" ca="1" si="396"/>
        <v>204.15885452135083</v>
      </c>
      <c r="T3451" s="61">
        <f t="shared" ca="1" si="397"/>
        <v>16800</v>
      </c>
      <c r="U3451" s="61">
        <f t="shared" ca="1" si="398"/>
        <v>24162.604351102433</v>
      </c>
      <c r="V3451" s="39">
        <f t="shared" ca="1" si="399"/>
        <v>0.15896450230988443</v>
      </c>
      <c r="W3451" s="48">
        <f t="shared" ca="1" si="400"/>
        <v>2.308872080064754</v>
      </c>
    </row>
    <row r="3452" spans="17:23" x14ac:dyDescent="0.2">
      <c r="Q3452">
        <f t="shared" si="394"/>
        <v>3436</v>
      </c>
      <c r="R3452" s="48">
        <f t="shared" ca="1" si="395"/>
        <v>0.35</v>
      </c>
      <c r="S3452">
        <f t="shared" ca="1" si="396"/>
        <v>171.78228903152257</v>
      </c>
      <c r="T3452" s="61">
        <f t="shared" ca="1" si="397"/>
        <v>16800</v>
      </c>
      <c r="U3452" s="61">
        <f t="shared" ca="1" si="398"/>
        <v>7326.790296391735</v>
      </c>
      <c r="V3452" s="39">
        <f t="shared" ca="1" si="399"/>
        <v>4.8202567739419312E-2</v>
      </c>
      <c r="W3452" s="48">
        <f t="shared" ca="1" si="400"/>
        <v>0.46498590063388257</v>
      </c>
    </row>
    <row r="3453" spans="17:23" x14ac:dyDescent="0.2">
      <c r="Q3453">
        <f t="shared" si="394"/>
        <v>3437</v>
      </c>
      <c r="R3453" s="48">
        <f t="shared" ca="1" si="395"/>
        <v>0.45</v>
      </c>
      <c r="S3453">
        <f t="shared" ca="1" si="396"/>
        <v>190.45712843778995</v>
      </c>
      <c r="T3453" s="61">
        <f t="shared" ca="1" si="397"/>
        <v>21600</v>
      </c>
      <c r="U3453" s="61">
        <f t="shared" ca="1" si="398"/>
        <v>21801.136512627578</v>
      </c>
      <c r="V3453" s="39">
        <f t="shared" ca="1" si="399"/>
        <v>0.14342852968833933</v>
      </c>
      <c r="W3453" s="48">
        <f t="shared" ca="1" si="400"/>
        <v>1.9657863506870021</v>
      </c>
    </row>
    <row r="3454" spans="17:23" x14ac:dyDescent="0.2">
      <c r="Q3454">
        <f t="shared" si="394"/>
        <v>3438</v>
      </c>
      <c r="R3454" s="48">
        <f t="shared" ca="1" si="395"/>
        <v>0.4</v>
      </c>
      <c r="S3454">
        <f t="shared" ca="1" si="396"/>
        <v>179.22663917356579</v>
      </c>
      <c r="T3454" s="61">
        <f t="shared" ca="1" si="397"/>
        <v>19200</v>
      </c>
      <c r="U3454" s="61">
        <f t="shared" ca="1" si="398"/>
        <v>14028.786803311577</v>
      </c>
      <c r="V3454" s="39">
        <f t="shared" ca="1" si="399"/>
        <v>9.2294650021786689E-2</v>
      </c>
      <c r="W3454" s="48">
        <f t="shared" ca="1" si="400"/>
        <v>1.0463430019651048</v>
      </c>
    </row>
    <row r="3455" spans="17:23" x14ac:dyDescent="0.2">
      <c r="Q3455">
        <f t="shared" si="394"/>
        <v>3439</v>
      </c>
      <c r="R3455" s="48">
        <f t="shared" ca="1" si="395"/>
        <v>0.35</v>
      </c>
      <c r="S3455">
        <f t="shared" ca="1" si="396"/>
        <v>154.63810072939108</v>
      </c>
      <c r="T3455" s="61">
        <f t="shared" ca="1" si="397"/>
        <v>16800</v>
      </c>
      <c r="U3455" s="61">
        <f t="shared" ca="1" si="398"/>
        <v>-1588.1876207166351</v>
      </c>
      <c r="V3455" s="39">
        <f t="shared" ca="1" si="399"/>
        <v>-1.04486027678726E-2</v>
      </c>
      <c r="W3455" s="48">
        <f t="shared" ca="1" si="400"/>
        <v>-8.1667400263647938E-2</v>
      </c>
    </row>
    <row r="3456" spans="17:23" x14ac:dyDescent="0.2">
      <c r="Q3456">
        <f t="shared" si="394"/>
        <v>3440</v>
      </c>
      <c r="R3456" s="48">
        <f t="shared" ca="1" si="395"/>
        <v>0.5</v>
      </c>
      <c r="S3456">
        <f t="shared" ca="1" si="396"/>
        <v>181.05947362633259</v>
      </c>
      <c r="T3456" s="61">
        <f t="shared" ca="1" si="397"/>
        <v>24000</v>
      </c>
      <c r="U3456" s="61">
        <f t="shared" ca="1" si="398"/>
        <v>20423.789450533037</v>
      </c>
      <c r="V3456" s="39">
        <f t="shared" ca="1" si="399"/>
        <v>0.13436703585876997</v>
      </c>
      <c r="W3456" s="48">
        <f t="shared" ca="1" si="400"/>
        <v>1.7804335111462333</v>
      </c>
    </row>
    <row r="3457" spans="17:23" x14ac:dyDescent="0.2">
      <c r="Q3457">
        <f t="shared" si="394"/>
        <v>3441</v>
      </c>
      <c r="R3457" s="48">
        <f t="shared" ca="1" si="395"/>
        <v>0.45</v>
      </c>
      <c r="S3457">
        <f t="shared" ca="1" si="396"/>
        <v>197.22680650450644</v>
      </c>
      <c r="T3457" s="61">
        <f t="shared" ca="1" si="397"/>
        <v>21600</v>
      </c>
      <c r="U3457" s="61">
        <f t="shared" ca="1" si="398"/>
        <v>24779.794861982835</v>
      </c>
      <c r="V3457" s="39">
        <f t="shared" ca="1" si="399"/>
        <v>0.16302496619725548</v>
      </c>
      <c r="W3457" s="48">
        <f t="shared" ca="1" si="400"/>
        <v>2.4040816783458792</v>
      </c>
    </row>
    <row r="3458" spans="17:23" x14ac:dyDescent="0.2">
      <c r="Q3458">
        <f t="shared" si="394"/>
        <v>3442</v>
      </c>
      <c r="R3458" s="48">
        <f t="shared" ca="1" si="395"/>
        <v>0.3</v>
      </c>
      <c r="S3458">
        <f t="shared" ca="1" si="396"/>
        <v>192.10684367148588</v>
      </c>
      <c r="T3458" s="61">
        <f t="shared" ca="1" si="397"/>
        <v>14400</v>
      </c>
      <c r="U3458" s="61">
        <f t="shared" ca="1" si="398"/>
        <v>15579.832456032091</v>
      </c>
      <c r="V3458" s="39">
        <f t="shared" ca="1" si="399"/>
        <v>0.10249889773705323</v>
      </c>
      <c r="W3458" s="48">
        <f t="shared" ca="1" si="400"/>
        <v>1.206652753154799</v>
      </c>
    </row>
    <row r="3459" spans="17:23" x14ac:dyDescent="0.2">
      <c r="Q3459">
        <f t="shared" si="394"/>
        <v>3443</v>
      </c>
      <c r="R3459" s="48">
        <f t="shared" ca="1" si="395"/>
        <v>0.35</v>
      </c>
      <c r="S3459">
        <f t="shared" ca="1" si="396"/>
        <v>173.98320069376902</v>
      </c>
      <c r="T3459" s="61">
        <f t="shared" ca="1" si="397"/>
        <v>16800</v>
      </c>
      <c r="U3459" s="61">
        <f t="shared" ca="1" si="398"/>
        <v>8471.2643607598911</v>
      </c>
      <c r="V3459" s="39">
        <f t="shared" ca="1" si="399"/>
        <v>5.5732002373420339E-2</v>
      </c>
      <c r="W3459" s="48">
        <f t="shared" ca="1" si="400"/>
        <v>0.55255347764069751</v>
      </c>
    </row>
    <row r="3460" spans="17:23" x14ac:dyDescent="0.2">
      <c r="Q3460">
        <f t="shared" si="394"/>
        <v>3444</v>
      </c>
      <c r="R3460" s="48">
        <f t="shared" ca="1" si="395"/>
        <v>0.4</v>
      </c>
      <c r="S3460">
        <f t="shared" ca="1" si="396"/>
        <v>179.03884778146599</v>
      </c>
      <c r="T3460" s="61">
        <f t="shared" ca="1" si="397"/>
        <v>19200</v>
      </c>
      <c r="U3460" s="61">
        <f t="shared" ca="1" si="398"/>
        <v>13938.646935103676</v>
      </c>
      <c r="V3460" s="39">
        <f t="shared" ca="1" si="399"/>
        <v>9.1701624573050505E-2</v>
      </c>
      <c r="W3460" s="48">
        <f t="shared" ca="1" si="400"/>
        <v>1.0373489773080835</v>
      </c>
    </row>
    <row r="3461" spans="17:23" x14ac:dyDescent="0.2">
      <c r="Q3461">
        <f t="shared" si="394"/>
        <v>3445</v>
      </c>
      <c r="R3461" s="48">
        <f t="shared" ca="1" si="395"/>
        <v>0.3</v>
      </c>
      <c r="S3461">
        <f t="shared" ca="1" si="396"/>
        <v>187.66224124694364</v>
      </c>
      <c r="T3461" s="61">
        <f t="shared" ca="1" si="397"/>
        <v>14400</v>
      </c>
      <c r="U3461" s="61">
        <f t="shared" ca="1" si="398"/>
        <v>13090.855098288437</v>
      </c>
      <c r="V3461" s="39">
        <f t="shared" ca="1" si="399"/>
        <v>8.612404669926603E-2</v>
      </c>
      <c r="W3461" s="48">
        <f t="shared" ca="1" si="400"/>
        <v>0.95443861923097351</v>
      </c>
    </row>
    <row r="3462" spans="17:23" x14ac:dyDescent="0.2">
      <c r="Q3462">
        <f t="shared" si="394"/>
        <v>3446</v>
      </c>
      <c r="R3462" s="48">
        <f t="shared" ca="1" si="395"/>
        <v>0.45</v>
      </c>
      <c r="S3462">
        <f t="shared" ca="1" si="396"/>
        <v>179.41668162069325</v>
      </c>
      <c r="T3462" s="61">
        <f t="shared" ca="1" si="397"/>
        <v>21600</v>
      </c>
      <c r="U3462" s="61">
        <f t="shared" ca="1" si="398"/>
        <v>16943.339913105032</v>
      </c>
      <c r="V3462" s="39">
        <f t="shared" ca="1" si="399"/>
        <v>0.11146934153358573</v>
      </c>
      <c r="W3462" s="48">
        <f t="shared" ca="1" si="400"/>
        <v>1.3565660829758035</v>
      </c>
    </row>
    <row r="3463" spans="17:23" x14ac:dyDescent="0.2">
      <c r="Q3463">
        <f t="shared" si="394"/>
        <v>3447</v>
      </c>
      <c r="R3463" s="48">
        <f t="shared" ca="1" si="395"/>
        <v>0.4</v>
      </c>
      <c r="S3463">
        <f t="shared" ca="1" si="396"/>
        <v>182.64837246400714</v>
      </c>
      <c r="T3463" s="61">
        <f t="shared" ca="1" si="397"/>
        <v>19200</v>
      </c>
      <c r="U3463" s="61">
        <f t="shared" ca="1" si="398"/>
        <v>15671.218782723427</v>
      </c>
      <c r="V3463" s="39">
        <f t="shared" ca="1" si="399"/>
        <v>0.10310012357054886</v>
      </c>
      <c r="W3463" s="48">
        <f t="shared" ca="1" si="400"/>
        <v>1.2164322387448987</v>
      </c>
    </row>
    <row r="3464" spans="17:23" x14ac:dyDescent="0.2">
      <c r="Q3464">
        <f t="shared" si="394"/>
        <v>3448</v>
      </c>
      <c r="R3464" s="48">
        <f t="shared" ca="1" si="395"/>
        <v>0.45</v>
      </c>
      <c r="S3464">
        <f t="shared" ca="1" si="396"/>
        <v>206.86553711918663</v>
      </c>
      <c r="T3464" s="61">
        <f t="shared" ca="1" si="397"/>
        <v>21600</v>
      </c>
      <c r="U3464" s="61">
        <f t="shared" ca="1" si="398"/>
        <v>29020.836332442115</v>
      </c>
      <c r="V3464" s="39">
        <f t="shared" ca="1" si="399"/>
        <v>0.19092655481869814</v>
      </c>
      <c r="W3464" s="48">
        <f t="shared" ca="1" si="400"/>
        <v>3.1258315933258096</v>
      </c>
    </row>
    <row r="3465" spans="17:23" x14ac:dyDescent="0.2">
      <c r="Q3465">
        <f t="shared" si="394"/>
        <v>3449</v>
      </c>
      <c r="R3465" s="48">
        <f t="shared" ca="1" si="395"/>
        <v>0.3</v>
      </c>
      <c r="S3465">
        <f t="shared" ca="1" si="396"/>
        <v>198.98753284571288</v>
      </c>
      <c r="T3465" s="61">
        <f t="shared" ca="1" si="397"/>
        <v>14400</v>
      </c>
      <c r="U3465" s="61">
        <f t="shared" ca="1" si="398"/>
        <v>19433.01839359921</v>
      </c>
      <c r="V3465" s="39">
        <f t="shared" ca="1" si="399"/>
        <v>0.12784880522104744</v>
      </c>
      <c r="W3465" s="48">
        <f t="shared" ca="1" si="400"/>
        <v>1.6534610942691073</v>
      </c>
    </row>
    <row r="3466" spans="17:23" x14ac:dyDescent="0.2">
      <c r="Q3466">
        <f t="shared" si="394"/>
        <v>3450</v>
      </c>
      <c r="R3466" s="48">
        <f t="shared" ca="1" si="395"/>
        <v>0.3</v>
      </c>
      <c r="S3466">
        <f t="shared" ca="1" si="396"/>
        <v>183.88014506928491</v>
      </c>
      <c r="T3466" s="61">
        <f t="shared" ca="1" si="397"/>
        <v>14400</v>
      </c>
      <c r="U3466" s="61">
        <f t="shared" ca="1" si="398"/>
        <v>10972.881238799548</v>
      </c>
      <c r="V3466" s="39">
        <f t="shared" ca="1" si="399"/>
        <v>7.2190008149997029E-2</v>
      </c>
      <c r="W3466" s="48">
        <f t="shared" ca="1" si="400"/>
        <v>0.76010093560207137</v>
      </c>
    </row>
    <row r="3467" spans="17:23" x14ac:dyDescent="0.2">
      <c r="Q3467">
        <f t="shared" si="394"/>
        <v>3451</v>
      </c>
      <c r="R3467" s="48">
        <f t="shared" ca="1" si="395"/>
        <v>0.35</v>
      </c>
      <c r="S3467">
        <f t="shared" ca="1" si="396"/>
        <v>236.9334225339372</v>
      </c>
      <c r="T3467" s="61">
        <f t="shared" ca="1" si="397"/>
        <v>16800</v>
      </c>
      <c r="U3467" s="61">
        <f t="shared" ca="1" si="398"/>
        <v>41205.379717647345</v>
      </c>
      <c r="V3467" s="39">
        <f t="shared" ca="1" si="399"/>
        <v>0.27108802445820623</v>
      </c>
      <c r="W3467" s="48">
        <f t="shared" ca="1" si="400"/>
        <v>5.9980990638336786</v>
      </c>
    </row>
    <row r="3468" spans="17:23" x14ac:dyDescent="0.2">
      <c r="Q3468">
        <f t="shared" si="394"/>
        <v>3452</v>
      </c>
      <c r="R3468" s="48">
        <f t="shared" ca="1" si="395"/>
        <v>0.35</v>
      </c>
      <c r="S3468">
        <f t="shared" ca="1" si="396"/>
        <v>194.85221057907873</v>
      </c>
      <c r="T3468" s="61">
        <f t="shared" ca="1" si="397"/>
        <v>16800</v>
      </c>
      <c r="U3468" s="61">
        <f t="shared" ca="1" si="398"/>
        <v>19323.149501120941</v>
      </c>
      <c r="V3468" s="39">
        <f t="shared" ca="1" si="399"/>
        <v>0.12712598356000618</v>
      </c>
      <c r="W3468" s="48">
        <f t="shared" ca="1" si="400"/>
        <v>1.6396990203471904</v>
      </c>
    </row>
    <row r="3469" spans="17:23" x14ac:dyDescent="0.2">
      <c r="Q3469">
        <f t="shared" si="394"/>
        <v>3453</v>
      </c>
      <c r="R3469" s="48">
        <f t="shared" ca="1" si="395"/>
        <v>0.3</v>
      </c>
      <c r="S3469">
        <f t="shared" ca="1" si="396"/>
        <v>172.32464883730489</v>
      </c>
      <c r="T3469" s="61">
        <f t="shared" ca="1" si="397"/>
        <v>14400</v>
      </c>
      <c r="U3469" s="61">
        <f t="shared" ca="1" si="398"/>
        <v>4501.8033488907386</v>
      </c>
      <c r="V3469" s="39">
        <f t="shared" ca="1" si="399"/>
        <v>2.9617127295333806E-2</v>
      </c>
      <c r="W3469" s="48">
        <f t="shared" ca="1" si="400"/>
        <v>0.26711048279571448</v>
      </c>
    </row>
    <row r="3470" spans="17:23" x14ac:dyDescent="0.2">
      <c r="Q3470">
        <f t="shared" si="394"/>
        <v>3454</v>
      </c>
      <c r="R3470" s="48">
        <f t="shared" ca="1" si="395"/>
        <v>0.35</v>
      </c>
      <c r="S3470">
        <f t="shared" ca="1" si="396"/>
        <v>179.45323827875222</v>
      </c>
      <c r="T3470" s="61">
        <f t="shared" ca="1" si="397"/>
        <v>16800</v>
      </c>
      <c r="U3470" s="61">
        <f t="shared" ca="1" si="398"/>
        <v>11315.683904951156</v>
      </c>
      <c r="V3470" s="39">
        <f t="shared" ca="1" si="399"/>
        <v>7.4445288848362864E-2</v>
      </c>
      <c r="W3470" s="48">
        <f t="shared" ca="1" si="400"/>
        <v>0.79035589479116064</v>
      </c>
    </row>
    <row r="3471" spans="17:23" x14ac:dyDescent="0.2">
      <c r="Q3471">
        <f t="shared" si="394"/>
        <v>3455</v>
      </c>
      <c r="R3471" s="48">
        <f t="shared" ca="1" si="395"/>
        <v>0.45</v>
      </c>
      <c r="S3471">
        <f t="shared" ca="1" si="396"/>
        <v>214.84870126018438</v>
      </c>
      <c r="T3471" s="61">
        <f t="shared" ca="1" si="397"/>
        <v>21600</v>
      </c>
      <c r="U3471" s="61">
        <f t="shared" ca="1" si="398"/>
        <v>32533.428554481128</v>
      </c>
      <c r="V3471" s="39">
        <f t="shared" ca="1" si="399"/>
        <v>0.21403571417421796</v>
      </c>
      <c r="W3471" s="48">
        <f t="shared" ca="1" si="400"/>
        <v>3.8218173410271401</v>
      </c>
    </row>
    <row r="3472" spans="17:23" x14ac:dyDescent="0.2">
      <c r="Q3472">
        <f t="shared" si="394"/>
        <v>3456</v>
      </c>
      <c r="R3472" s="48">
        <f t="shared" ca="1" si="395"/>
        <v>0.4</v>
      </c>
      <c r="S3472">
        <f t="shared" ca="1" si="396"/>
        <v>187.69752527876872</v>
      </c>
      <c r="T3472" s="61">
        <f t="shared" ca="1" si="397"/>
        <v>19200</v>
      </c>
      <c r="U3472" s="61">
        <f t="shared" ca="1" si="398"/>
        <v>18094.812133808988</v>
      </c>
      <c r="V3472" s="39">
        <f t="shared" ca="1" si="399"/>
        <v>0.11904481666979597</v>
      </c>
      <c r="W3472" s="48">
        <f t="shared" ca="1" si="400"/>
        <v>1.4900458123256</v>
      </c>
    </row>
    <row r="3473" spans="17:23" x14ac:dyDescent="0.2">
      <c r="Q3473">
        <f t="shared" si="394"/>
        <v>3457</v>
      </c>
      <c r="R3473" s="48">
        <f t="shared" ca="1" si="395"/>
        <v>0.45</v>
      </c>
      <c r="S3473">
        <f t="shared" ca="1" si="396"/>
        <v>192.58969467097802</v>
      </c>
      <c r="T3473" s="61">
        <f t="shared" ca="1" si="397"/>
        <v>21600</v>
      </c>
      <c r="U3473" s="61">
        <f t="shared" ca="1" si="398"/>
        <v>22739.465655230328</v>
      </c>
      <c r="V3473" s="39">
        <f t="shared" ca="1" si="399"/>
        <v>0.14960174773177848</v>
      </c>
      <c r="W3473" s="48">
        <f t="shared" ca="1" si="400"/>
        <v>2.098181195503269</v>
      </c>
    </row>
    <row r="3474" spans="17:23" x14ac:dyDescent="0.2">
      <c r="Q3474">
        <f t="shared" si="394"/>
        <v>3458</v>
      </c>
      <c r="R3474" s="48">
        <f t="shared" ca="1" si="395"/>
        <v>0.3</v>
      </c>
      <c r="S3474">
        <f t="shared" ca="1" si="396"/>
        <v>162.44628888273314</v>
      </c>
      <c r="T3474" s="61">
        <f t="shared" ca="1" si="397"/>
        <v>14400</v>
      </c>
      <c r="U3474" s="61">
        <f t="shared" ca="1" si="398"/>
        <v>-1030.0782256694401</v>
      </c>
      <c r="V3474" s="39">
        <f t="shared" ca="1" si="399"/>
        <v>-6.7768304320357901E-3</v>
      </c>
      <c r="W3474" s="48">
        <f t="shared" ca="1" si="400"/>
        <v>-5.3661284233437412E-2</v>
      </c>
    </row>
    <row r="3475" spans="17:23" x14ac:dyDescent="0.2">
      <c r="Q3475">
        <f t="shared" ref="Q3475:Q3538" si="401">Q3474+1</f>
        <v>3459</v>
      </c>
      <c r="R3475" s="48">
        <f t="shared" ref="R3475:R3538" ca="1" si="402">LOOKUP(RAND(),$U$6:$U$12,$S$6:$S$12)</f>
        <v>0.3</v>
      </c>
      <c r="S3475">
        <f t="shared" ref="S3475:S3538" ca="1" si="403">_xlfn.NORM.INV(RAND(),$Q$5,$Q$10)</f>
        <v>200.94155179356716</v>
      </c>
      <c r="T3475" s="61">
        <f t="shared" ca="1" si="397"/>
        <v>14400</v>
      </c>
      <c r="U3475" s="61">
        <f t="shared" ca="1" si="398"/>
        <v>20527.269004397607</v>
      </c>
      <c r="V3475" s="39">
        <f t="shared" ca="1" si="399"/>
        <v>0.13504782239735269</v>
      </c>
      <c r="W3475" s="48">
        <f t="shared" ca="1" si="400"/>
        <v>1.7939971773145973</v>
      </c>
    </row>
    <row r="3476" spans="17:23" x14ac:dyDescent="0.2">
      <c r="Q3476">
        <f t="shared" si="401"/>
        <v>3460</v>
      </c>
      <c r="R3476" s="48">
        <f t="shared" ca="1" si="402"/>
        <v>0.4</v>
      </c>
      <c r="S3476">
        <f t="shared" ca="1" si="403"/>
        <v>186.93032309135756</v>
      </c>
      <c r="T3476" s="61">
        <f t="shared" ca="1" si="397"/>
        <v>19200</v>
      </c>
      <c r="U3476" s="61">
        <f t="shared" ca="1" si="398"/>
        <v>17726.555083851632</v>
      </c>
      <c r="V3476" s="39">
        <f t="shared" ca="1" si="399"/>
        <v>0.11662207292007652</v>
      </c>
      <c r="W3476" s="48">
        <f t="shared" ca="1" si="400"/>
        <v>1.4466541333783485</v>
      </c>
    </row>
    <row r="3477" spans="17:23" x14ac:dyDescent="0.2">
      <c r="Q3477">
        <f t="shared" si="401"/>
        <v>3461</v>
      </c>
      <c r="R3477" s="48">
        <f t="shared" ca="1" si="402"/>
        <v>0.35</v>
      </c>
      <c r="S3477">
        <f t="shared" ca="1" si="403"/>
        <v>192.71830696131792</v>
      </c>
      <c r="T3477" s="61">
        <f t="shared" ca="1" si="397"/>
        <v>16800</v>
      </c>
      <c r="U3477" s="61">
        <f t="shared" ca="1" si="398"/>
        <v>18213.519619885319</v>
      </c>
      <c r="V3477" s="39">
        <f t="shared" ca="1" si="399"/>
        <v>0.11982578697292973</v>
      </c>
      <c r="W3477" s="48">
        <f t="shared" ca="1" si="400"/>
        <v>1.5041761511422451</v>
      </c>
    </row>
    <row r="3478" spans="17:23" x14ac:dyDescent="0.2">
      <c r="Q3478">
        <f t="shared" si="401"/>
        <v>3462</v>
      </c>
      <c r="R3478" s="48">
        <f t="shared" ca="1" si="402"/>
        <v>0.45</v>
      </c>
      <c r="S3478">
        <f t="shared" ca="1" si="403"/>
        <v>203.32727000632755</v>
      </c>
      <c r="T3478" s="61">
        <f t="shared" ca="1" si="397"/>
        <v>21600</v>
      </c>
      <c r="U3478" s="61">
        <f t="shared" ca="1" si="398"/>
        <v>27463.998802784125</v>
      </c>
      <c r="V3478" s="39">
        <f t="shared" ca="1" si="399"/>
        <v>0.18068420264989557</v>
      </c>
      <c r="W3478" s="48">
        <f t="shared" ca="1" si="400"/>
        <v>2.8466695651015379</v>
      </c>
    </row>
    <row r="3479" spans="17:23" x14ac:dyDescent="0.2">
      <c r="Q3479">
        <f t="shared" si="401"/>
        <v>3463</v>
      </c>
      <c r="R3479" s="48">
        <f t="shared" ca="1" si="402"/>
        <v>0.217</v>
      </c>
      <c r="S3479">
        <f t="shared" ca="1" si="403"/>
        <v>149.4231745650828</v>
      </c>
      <c r="T3479" s="61">
        <f t="shared" ca="1" si="397"/>
        <v>10416</v>
      </c>
      <c r="U3479" s="61">
        <f t="shared" ca="1" si="398"/>
        <v>-15001.323452432131</v>
      </c>
      <c r="V3479" s="39">
        <f t="shared" ca="1" si="399"/>
        <v>-9.8692917450211387E-2</v>
      </c>
      <c r="W3479" s="48">
        <f t="shared" ca="1" si="400"/>
        <v>-0.56950497659827681</v>
      </c>
    </row>
    <row r="3480" spans="17:23" x14ac:dyDescent="0.2">
      <c r="Q3480">
        <f t="shared" si="401"/>
        <v>3464</v>
      </c>
      <c r="R3480" s="48">
        <f t="shared" ca="1" si="402"/>
        <v>0.45</v>
      </c>
      <c r="S3480">
        <f t="shared" ca="1" si="403"/>
        <v>172.85712541434654</v>
      </c>
      <c r="T3480" s="61">
        <f t="shared" ca="1" si="397"/>
        <v>21600</v>
      </c>
      <c r="U3480" s="61">
        <f t="shared" ca="1" si="398"/>
        <v>14057.135182312477</v>
      </c>
      <c r="V3480" s="39">
        <f t="shared" ca="1" si="399"/>
        <v>9.248115251521366E-2</v>
      </c>
      <c r="W3480" s="48">
        <f t="shared" ca="1" si="400"/>
        <v>1.0491787476785936</v>
      </c>
    </row>
    <row r="3481" spans="17:23" x14ac:dyDescent="0.2">
      <c r="Q3481">
        <f t="shared" si="401"/>
        <v>3465</v>
      </c>
      <c r="R3481" s="48">
        <f t="shared" ca="1" si="402"/>
        <v>0.3</v>
      </c>
      <c r="S3481">
        <f t="shared" ca="1" si="403"/>
        <v>195.00442336465676</v>
      </c>
      <c r="T3481" s="61">
        <f t="shared" ca="1" si="397"/>
        <v>14400</v>
      </c>
      <c r="U3481" s="61">
        <f t="shared" ca="1" si="398"/>
        <v>17202.477084207785</v>
      </c>
      <c r="V3481" s="39">
        <f t="shared" ca="1" si="399"/>
        <v>0.11317419134347227</v>
      </c>
      <c r="W3481" s="48">
        <f t="shared" ca="1" si="400"/>
        <v>1.3860454455796227</v>
      </c>
    </row>
    <row r="3482" spans="17:23" x14ac:dyDescent="0.2">
      <c r="Q3482">
        <f t="shared" si="401"/>
        <v>3466</v>
      </c>
      <c r="R3482" s="48">
        <f t="shared" ca="1" si="402"/>
        <v>0.4</v>
      </c>
      <c r="S3482">
        <f t="shared" ca="1" si="403"/>
        <v>189.28046207241127</v>
      </c>
      <c r="T3482" s="61">
        <f t="shared" ca="1" si="397"/>
        <v>19200</v>
      </c>
      <c r="U3482" s="61">
        <f t="shared" ca="1" si="398"/>
        <v>18854.621794757408</v>
      </c>
      <c r="V3482" s="39">
        <f t="shared" ca="1" si="399"/>
        <v>0.12404356443919347</v>
      </c>
      <c r="W3482" s="48">
        <f t="shared" ca="1" si="400"/>
        <v>1.5817115590353961</v>
      </c>
    </row>
    <row r="3483" spans="17:23" x14ac:dyDescent="0.2">
      <c r="Q3483">
        <f t="shared" si="401"/>
        <v>3467</v>
      </c>
      <c r="R3483" s="48">
        <f t="shared" ca="1" si="402"/>
        <v>0.35</v>
      </c>
      <c r="S3483">
        <f t="shared" ca="1" si="403"/>
        <v>209.73909561384815</v>
      </c>
      <c r="T3483" s="61">
        <f t="shared" ca="1" si="397"/>
        <v>16800</v>
      </c>
      <c r="U3483" s="61">
        <f t="shared" ca="1" si="398"/>
        <v>27064.329719201036</v>
      </c>
      <c r="V3483" s="39">
        <f t="shared" ca="1" si="399"/>
        <v>0.17805480078421734</v>
      </c>
      <c r="W3483" s="48">
        <f t="shared" ca="1" si="400"/>
        <v>2.7777326928432702</v>
      </c>
    </row>
    <row r="3484" spans="17:23" x14ac:dyDescent="0.2">
      <c r="Q3484">
        <f t="shared" si="401"/>
        <v>3468</v>
      </c>
      <c r="R3484" s="48">
        <f t="shared" ca="1" si="402"/>
        <v>0.35</v>
      </c>
      <c r="S3484">
        <f t="shared" ca="1" si="403"/>
        <v>193.62353833419081</v>
      </c>
      <c r="T3484" s="61">
        <f t="shared" ca="1" si="397"/>
        <v>16800</v>
      </c>
      <c r="U3484" s="61">
        <f t="shared" ca="1" si="398"/>
        <v>18684.239933779223</v>
      </c>
      <c r="V3484" s="39">
        <f t="shared" ca="1" si="399"/>
        <v>0.12292263114328436</v>
      </c>
      <c r="W3484" s="48">
        <f t="shared" ca="1" si="400"/>
        <v>1.5609028465626325</v>
      </c>
    </row>
    <row r="3485" spans="17:23" x14ac:dyDescent="0.2">
      <c r="Q3485">
        <f t="shared" si="401"/>
        <v>3469</v>
      </c>
      <c r="R3485" s="48">
        <f t="shared" ca="1" si="402"/>
        <v>0.35</v>
      </c>
      <c r="S3485">
        <f t="shared" ca="1" si="403"/>
        <v>168.10602013122158</v>
      </c>
      <c r="T3485" s="61">
        <f t="shared" ca="1" si="397"/>
        <v>16800</v>
      </c>
      <c r="U3485" s="61">
        <f t="shared" ca="1" si="398"/>
        <v>5415.1304682352238</v>
      </c>
      <c r="V3485" s="39">
        <f t="shared" ca="1" si="399"/>
        <v>3.562585834365279E-2</v>
      </c>
      <c r="W3485" s="48">
        <f t="shared" ca="1" si="400"/>
        <v>0.32834931223994968</v>
      </c>
    </row>
    <row r="3486" spans="17:23" x14ac:dyDescent="0.2">
      <c r="Q3486">
        <f t="shared" si="401"/>
        <v>3470</v>
      </c>
      <c r="R3486" s="48">
        <f t="shared" ca="1" si="402"/>
        <v>0.3</v>
      </c>
      <c r="S3486">
        <f t="shared" ca="1" si="403"/>
        <v>163.79165083687781</v>
      </c>
      <c r="T3486" s="61">
        <f t="shared" ca="1" si="397"/>
        <v>14400</v>
      </c>
      <c r="U3486" s="61">
        <f t="shared" ca="1" si="398"/>
        <v>-276.67553134842819</v>
      </c>
      <c r="V3486" s="39">
        <f t="shared" ca="1" si="399"/>
        <v>-1.8202337588712381E-3</v>
      </c>
      <c r="W3486" s="48">
        <f t="shared" ca="1" si="400"/>
        <v>-1.466891922036262E-2</v>
      </c>
    </row>
    <row r="3487" spans="17:23" x14ac:dyDescent="0.2">
      <c r="Q3487">
        <f t="shared" si="401"/>
        <v>3471</v>
      </c>
      <c r="R3487" s="48">
        <f t="shared" ca="1" si="402"/>
        <v>0.3</v>
      </c>
      <c r="S3487">
        <f t="shared" ca="1" si="403"/>
        <v>200.63614291264361</v>
      </c>
      <c r="T3487" s="61">
        <f t="shared" ca="1" si="397"/>
        <v>14400</v>
      </c>
      <c r="U3487" s="61">
        <f t="shared" ca="1" si="398"/>
        <v>20356.240031080419</v>
      </c>
      <c r="V3487" s="39">
        <f t="shared" ca="1" si="399"/>
        <v>0.13392263178342381</v>
      </c>
      <c r="W3487" s="48">
        <f t="shared" ca="1" si="400"/>
        <v>1.7716105896261061</v>
      </c>
    </row>
    <row r="3488" spans="17:23" x14ac:dyDescent="0.2">
      <c r="Q3488">
        <f t="shared" si="401"/>
        <v>3472</v>
      </c>
      <c r="R3488" s="48">
        <f t="shared" ca="1" si="402"/>
        <v>0.4</v>
      </c>
      <c r="S3488">
        <f t="shared" ca="1" si="403"/>
        <v>195.75843103020151</v>
      </c>
      <c r="T3488" s="61">
        <f t="shared" ca="1" si="397"/>
        <v>19200</v>
      </c>
      <c r="U3488" s="61">
        <f t="shared" ca="1" si="398"/>
        <v>21964.046894496722</v>
      </c>
      <c r="V3488" s="39">
        <f t="shared" ca="1" si="399"/>
        <v>0.14450030851642581</v>
      </c>
      <c r="W3488" s="48">
        <f t="shared" ca="1" si="400"/>
        <v>1.9884100756022991</v>
      </c>
    </row>
    <row r="3489" spans="17:23" x14ac:dyDescent="0.2">
      <c r="Q3489">
        <f t="shared" si="401"/>
        <v>3473</v>
      </c>
      <c r="R3489" s="48">
        <f t="shared" ca="1" si="402"/>
        <v>0.35</v>
      </c>
      <c r="S3489">
        <f t="shared" ca="1" si="403"/>
        <v>200.71770836337856</v>
      </c>
      <c r="T3489" s="61">
        <f t="shared" ca="1" si="397"/>
        <v>16800</v>
      </c>
      <c r="U3489" s="61">
        <f t="shared" ca="1" si="398"/>
        <v>22373.208348956854</v>
      </c>
      <c r="V3489" s="39">
        <f t="shared" ca="1" si="399"/>
        <v>0.14719216019050563</v>
      </c>
      <c r="W3489" s="48">
        <f t="shared" ca="1" si="400"/>
        <v>2.045899743892146</v>
      </c>
    </row>
    <row r="3490" spans="17:23" x14ac:dyDescent="0.2">
      <c r="Q3490">
        <f t="shared" si="401"/>
        <v>3474</v>
      </c>
      <c r="R3490" s="48">
        <f t="shared" ca="1" si="402"/>
        <v>0.35</v>
      </c>
      <c r="S3490">
        <f t="shared" ca="1" si="403"/>
        <v>200.86510711713953</v>
      </c>
      <c r="T3490" s="61">
        <f t="shared" ca="1" si="397"/>
        <v>16800</v>
      </c>
      <c r="U3490" s="61">
        <f t="shared" ca="1" si="398"/>
        <v>22449.855700912558</v>
      </c>
      <c r="V3490" s="39">
        <f t="shared" ca="1" si="399"/>
        <v>0.14769641908495104</v>
      </c>
      <c r="W3490" s="48">
        <f t="shared" ca="1" si="400"/>
        <v>2.0567763193766138</v>
      </c>
    </row>
    <row r="3491" spans="17:23" x14ac:dyDescent="0.2">
      <c r="Q3491">
        <f t="shared" si="401"/>
        <v>3475</v>
      </c>
      <c r="R3491" s="48">
        <f t="shared" ca="1" si="402"/>
        <v>0.217</v>
      </c>
      <c r="S3491">
        <f t="shared" ca="1" si="403"/>
        <v>198.07329407026984</v>
      </c>
      <c r="T3491" s="61">
        <f t="shared" ca="1" si="397"/>
        <v>10416</v>
      </c>
      <c r="U3491" s="61">
        <f t="shared" ca="1" si="398"/>
        <v>15473.111405617026</v>
      </c>
      <c r="V3491" s="39">
        <f t="shared" ca="1" si="399"/>
        <v>0.1017967855632699</v>
      </c>
      <c r="W3491" s="48">
        <f t="shared" ca="1" si="400"/>
        <v>1.1952801608157104</v>
      </c>
    </row>
    <row r="3492" spans="17:23" x14ac:dyDescent="0.2">
      <c r="Q3492">
        <f t="shared" si="401"/>
        <v>3476</v>
      </c>
      <c r="R3492" s="48">
        <f t="shared" ca="1" si="402"/>
        <v>0.4</v>
      </c>
      <c r="S3492">
        <f t="shared" ca="1" si="403"/>
        <v>190.24501297228318</v>
      </c>
      <c r="T3492" s="61">
        <f t="shared" ca="1" si="397"/>
        <v>19200</v>
      </c>
      <c r="U3492" s="61">
        <f t="shared" ca="1" si="398"/>
        <v>19317.606226695927</v>
      </c>
      <c r="V3492" s="39">
        <f t="shared" ca="1" si="399"/>
        <v>0.12708951464931531</v>
      </c>
      <c r="W3492" s="48">
        <f t="shared" ca="1" si="400"/>
        <v>1.6390063363893317</v>
      </c>
    </row>
    <row r="3493" spans="17:23" x14ac:dyDescent="0.2">
      <c r="Q3493">
        <f t="shared" si="401"/>
        <v>3477</v>
      </c>
      <c r="R3493" s="48">
        <f t="shared" ca="1" si="402"/>
        <v>0.35</v>
      </c>
      <c r="S3493">
        <f t="shared" ca="1" si="403"/>
        <v>193.3552799340099</v>
      </c>
      <c r="T3493" s="61">
        <f t="shared" ca="1" si="397"/>
        <v>16800</v>
      </c>
      <c r="U3493" s="61">
        <f t="shared" ca="1" si="398"/>
        <v>18544.745565685149</v>
      </c>
      <c r="V3493" s="39">
        <f t="shared" ca="1" si="399"/>
        <v>0.1220049050374023</v>
      </c>
      <c r="W3493" s="48">
        <f t="shared" ca="1" si="400"/>
        <v>1.5439760417915291</v>
      </c>
    </row>
    <row r="3494" spans="17:23" x14ac:dyDescent="0.2">
      <c r="Q3494">
        <f t="shared" si="401"/>
        <v>3478</v>
      </c>
      <c r="R3494" s="48">
        <f t="shared" ca="1" si="402"/>
        <v>0.5</v>
      </c>
      <c r="S3494">
        <f t="shared" ca="1" si="403"/>
        <v>220.71952628458951</v>
      </c>
      <c r="T3494" s="61">
        <f t="shared" ca="1" si="397"/>
        <v>24000</v>
      </c>
      <c r="U3494" s="61">
        <f t="shared" ca="1" si="398"/>
        <v>36287.810513835801</v>
      </c>
      <c r="V3494" s="39">
        <f t="shared" ca="1" si="399"/>
        <v>0.23873559548576184</v>
      </c>
      <c r="W3494" s="48">
        <f t="shared" ca="1" si="400"/>
        <v>4.6775359973658679</v>
      </c>
    </row>
    <row r="3495" spans="17:23" x14ac:dyDescent="0.2">
      <c r="Q3495">
        <f t="shared" si="401"/>
        <v>3479</v>
      </c>
      <c r="R3495" s="48">
        <f t="shared" ca="1" si="402"/>
        <v>0.5</v>
      </c>
      <c r="S3495">
        <f t="shared" ca="1" si="403"/>
        <v>179.23667083043767</v>
      </c>
      <c r="T3495" s="61">
        <f t="shared" ca="1" si="397"/>
        <v>24000</v>
      </c>
      <c r="U3495" s="61">
        <f t="shared" ca="1" si="398"/>
        <v>19694.668332175068</v>
      </c>
      <c r="V3495" s="39">
        <f t="shared" ca="1" si="399"/>
        <v>0.1295701863958886</v>
      </c>
      <c r="W3495" s="48">
        <f t="shared" ca="1" si="400"/>
        <v>1.6864886888242472</v>
      </c>
    </row>
    <row r="3496" spans="17:23" x14ac:dyDescent="0.2">
      <c r="Q3496">
        <f t="shared" si="401"/>
        <v>3480</v>
      </c>
      <c r="R3496" s="48">
        <f t="shared" ca="1" si="402"/>
        <v>0.3</v>
      </c>
      <c r="S3496">
        <f t="shared" ca="1" si="403"/>
        <v>209.46096447802714</v>
      </c>
      <c r="T3496" s="61">
        <f t="shared" ca="1" si="397"/>
        <v>14400</v>
      </c>
      <c r="U3496" s="61">
        <f t="shared" ca="1" si="398"/>
        <v>25298.140107695195</v>
      </c>
      <c r="V3496" s="39">
        <f t="shared" ca="1" si="399"/>
        <v>0.1664351322874684</v>
      </c>
      <c r="W3496" s="48">
        <f t="shared" ca="1" si="400"/>
        <v>2.4858900877171006</v>
      </c>
    </row>
    <row r="3497" spans="17:23" x14ac:dyDescent="0.2">
      <c r="Q3497">
        <f t="shared" si="401"/>
        <v>3481</v>
      </c>
      <c r="R3497" s="48">
        <f t="shared" ca="1" si="402"/>
        <v>0.35</v>
      </c>
      <c r="S3497">
        <f t="shared" ca="1" si="403"/>
        <v>171.67362463133563</v>
      </c>
      <c r="T3497" s="61">
        <f t="shared" ca="1" si="397"/>
        <v>16800</v>
      </c>
      <c r="U3497" s="61">
        <f t="shared" ca="1" si="398"/>
        <v>7270.2848082945256</v>
      </c>
      <c r="V3497" s="39">
        <f t="shared" ca="1" si="399"/>
        <v>4.7830821107200827E-2</v>
      </c>
      <c r="W3497" s="48">
        <f t="shared" ca="1" si="400"/>
        <v>0.46077700621471407</v>
      </c>
    </row>
    <row r="3498" spans="17:23" x14ac:dyDescent="0.2">
      <c r="Q3498">
        <f t="shared" si="401"/>
        <v>3482</v>
      </c>
      <c r="R3498" s="48">
        <f t="shared" ca="1" si="402"/>
        <v>0.4</v>
      </c>
      <c r="S3498">
        <f t="shared" ca="1" si="403"/>
        <v>176.56638831323906</v>
      </c>
      <c r="T3498" s="61">
        <f t="shared" ca="1" si="397"/>
        <v>19200</v>
      </c>
      <c r="U3498" s="61">
        <f t="shared" ca="1" si="398"/>
        <v>12751.866390354749</v>
      </c>
      <c r="V3498" s="39">
        <f t="shared" ca="1" si="399"/>
        <v>8.3893857831281241E-2</v>
      </c>
      <c r="W3498" s="48">
        <f t="shared" ca="1" si="400"/>
        <v>0.92212425595367487</v>
      </c>
    </row>
    <row r="3499" spans="17:23" x14ac:dyDescent="0.2">
      <c r="Q3499">
        <f t="shared" si="401"/>
        <v>3483</v>
      </c>
      <c r="R3499" s="48">
        <f t="shared" ca="1" si="402"/>
        <v>0.4</v>
      </c>
      <c r="S3499">
        <f t="shared" ca="1" si="403"/>
        <v>159.59978842008911</v>
      </c>
      <c r="T3499" s="61">
        <f t="shared" ca="1" si="397"/>
        <v>19200</v>
      </c>
      <c r="U3499" s="61">
        <f t="shared" ca="1" si="398"/>
        <v>4607.8984416427738</v>
      </c>
      <c r="V3499" s="39">
        <f t="shared" ca="1" si="399"/>
        <v>3.0315121326597198E-2</v>
      </c>
      <c r="W3499" s="48">
        <f t="shared" ca="1" si="400"/>
        <v>0.27409470066596908</v>
      </c>
    </row>
    <row r="3500" spans="17:23" x14ac:dyDescent="0.2">
      <c r="Q3500">
        <f t="shared" si="401"/>
        <v>3484</v>
      </c>
      <c r="R3500" s="48">
        <f t="shared" ca="1" si="402"/>
        <v>0.217</v>
      </c>
      <c r="S3500">
        <f t="shared" ca="1" si="403"/>
        <v>189.16643742965306</v>
      </c>
      <c r="T3500" s="61">
        <f t="shared" ca="1" si="397"/>
        <v>10416</v>
      </c>
      <c r="U3500" s="61">
        <f t="shared" ca="1" si="398"/>
        <v>9893.8564059346754</v>
      </c>
      <c r="V3500" s="39">
        <f t="shared" ca="1" si="399"/>
        <v>6.5091160565359713E-2</v>
      </c>
      <c r="W3500" s="48">
        <f t="shared" ca="1" si="400"/>
        <v>0.66777407553012602</v>
      </c>
    </row>
    <row r="3501" spans="17:23" x14ac:dyDescent="0.2">
      <c r="Q3501">
        <f t="shared" si="401"/>
        <v>3485</v>
      </c>
      <c r="R3501" s="48">
        <f t="shared" ca="1" si="402"/>
        <v>0.4</v>
      </c>
      <c r="S3501">
        <f t="shared" ca="1" si="403"/>
        <v>202.42920776021626</v>
      </c>
      <c r="T3501" s="61">
        <f t="shared" ca="1" si="397"/>
        <v>19200</v>
      </c>
      <c r="U3501" s="61">
        <f t="shared" ca="1" si="398"/>
        <v>25166.019724903803</v>
      </c>
      <c r="V3501" s="39">
        <f t="shared" ca="1" si="399"/>
        <v>0.16556591924278818</v>
      </c>
      <c r="W3501" s="48">
        <f t="shared" ca="1" si="400"/>
        <v>2.4648760639743279</v>
      </c>
    </row>
    <row r="3502" spans="17:23" x14ac:dyDescent="0.2">
      <c r="Q3502">
        <f t="shared" si="401"/>
        <v>3486</v>
      </c>
      <c r="R3502" s="48">
        <f t="shared" ca="1" si="402"/>
        <v>0.3</v>
      </c>
      <c r="S3502">
        <f t="shared" ca="1" si="403"/>
        <v>183.78081598394817</v>
      </c>
      <c r="T3502" s="61">
        <f t="shared" ca="1" si="397"/>
        <v>14400</v>
      </c>
      <c r="U3502" s="61">
        <f t="shared" ca="1" si="398"/>
        <v>10917.256951010977</v>
      </c>
      <c r="V3502" s="39">
        <f t="shared" ca="1" si="399"/>
        <v>7.1824058888230111E-2</v>
      </c>
      <c r="W3502" s="48">
        <f t="shared" ca="1" si="400"/>
        <v>0.75523417421050643</v>
      </c>
    </row>
    <row r="3503" spans="17:23" x14ac:dyDescent="0.2">
      <c r="Q3503">
        <f t="shared" si="401"/>
        <v>3487</v>
      </c>
      <c r="R3503" s="48">
        <f t="shared" ca="1" si="402"/>
        <v>0.35</v>
      </c>
      <c r="S3503">
        <f t="shared" ca="1" si="403"/>
        <v>180.8438832612342</v>
      </c>
      <c r="T3503" s="61">
        <f t="shared" ca="1" si="397"/>
        <v>16800</v>
      </c>
      <c r="U3503" s="61">
        <f t="shared" ca="1" si="398"/>
        <v>12038.819295841782</v>
      </c>
      <c r="V3503" s="39">
        <f t="shared" ca="1" si="399"/>
        <v>7.9202758525274877E-2</v>
      </c>
      <c r="W3503" s="48">
        <f t="shared" ca="1" si="400"/>
        <v>0.85567745030440934</v>
      </c>
    </row>
    <row r="3504" spans="17:23" x14ac:dyDescent="0.2">
      <c r="Q3504">
        <f t="shared" si="401"/>
        <v>3488</v>
      </c>
      <c r="R3504" s="48">
        <f t="shared" ca="1" si="402"/>
        <v>0.4</v>
      </c>
      <c r="S3504">
        <f t="shared" ca="1" si="403"/>
        <v>181.03207909524241</v>
      </c>
      <c r="T3504" s="61">
        <f t="shared" ca="1" si="397"/>
        <v>19200</v>
      </c>
      <c r="U3504" s="61">
        <f t="shared" ca="1" si="398"/>
        <v>14895.397965716356</v>
      </c>
      <c r="V3504" s="39">
        <f t="shared" ca="1" si="399"/>
        <v>9.7996039248133923E-2</v>
      </c>
      <c r="W3504" s="48">
        <f t="shared" ca="1" si="400"/>
        <v>1.134604325355097</v>
      </c>
    </row>
    <row r="3505" spans="17:23" x14ac:dyDescent="0.2">
      <c r="Q3505">
        <f t="shared" si="401"/>
        <v>3489</v>
      </c>
      <c r="R3505" s="48">
        <f t="shared" ca="1" si="402"/>
        <v>0.3</v>
      </c>
      <c r="S3505">
        <f t="shared" ca="1" si="403"/>
        <v>207.77937977483251</v>
      </c>
      <c r="T3505" s="61">
        <f t="shared" ca="1" si="397"/>
        <v>14400</v>
      </c>
      <c r="U3505" s="61">
        <f t="shared" ca="1" si="398"/>
        <v>24356.452673906206</v>
      </c>
      <c r="V3505" s="39">
        <f t="shared" ca="1" si="399"/>
        <v>0.16023982022306715</v>
      </c>
      <c r="W3505" s="48">
        <f t="shared" ca="1" si="400"/>
        <v>2.3385209620059877</v>
      </c>
    </row>
    <row r="3506" spans="17:23" x14ac:dyDescent="0.2">
      <c r="Q3506">
        <f t="shared" si="401"/>
        <v>3490</v>
      </c>
      <c r="R3506" s="48">
        <f t="shared" ca="1" si="402"/>
        <v>0.217</v>
      </c>
      <c r="S3506">
        <f t="shared" ca="1" si="403"/>
        <v>205.74451123712811</v>
      </c>
      <c r="T3506" s="61">
        <f t="shared" ca="1" si="397"/>
        <v>10416</v>
      </c>
      <c r="U3506" s="61">
        <f t="shared" ca="1" si="398"/>
        <v>20278.361838937046</v>
      </c>
      <c r="V3506" s="39">
        <f t="shared" ca="1" si="399"/>
        <v>0.13341027525616478</v>
      </c>
      <c r="W3506" s="48">
        <f t="shared" ca="1" si="400"/>
        <v>1.7614690527233061</v>
      </c>
    </row>
    <row r="3507" spans="17:23" x14ac:dyDescent="0.2">
      <c r="Q3507">
        <f t="shared" si="401"/>
        <v>3491</v>
      </c>
      <c r="R3507" s="48">
        <f t="shared" ca="1" si="402"/>
        <v>0.3</v>
      </c>
      <c r="S3507">
        <f t="shared" ca="1" si="403"/>
        <v>165.00176847234462</v>
      </c>
      <c r="T3507" s="61">
        <f t="shared" ca="1" si="397"/>
        <v>14400</v>
      </c>
      <c r="U3507" s="61">
        <f t="shared" ca="1" si="398"/>
        <v>400.9903445129894</v>
      </c>
      <c r="V3507" s="39">
        <f t="shared" ca="1" si="399"/>
        <v>2.638094371795983E-3</v>
      </c>
      <c r="W3507" s="48">
        <f t="shared" ca="1" si="400"/>
        <v>2.1599668560285945E-2</v>
      </c>
    </row>
    <row r="3508" spans="17:23" x14ac:dyDescent="0.2">
      <c r="Q3508">
        <f t="shared" si="401"/>
        <v>3492</v>
      </c>
      <c r="R3508" s="48">
        <f t="shared" ca="1" si="402"/>
        <v>0.3</v>
      </c>
      <c r="S3508">
        <f t="shared" ca="1" si="403"/>
        <v>204.28498796217323</v>
      </c>
      <c r="T3508" s="61">
        <f t="shared" ca="1" si="397"/>
        <v>14400</v>
      </c>
      <c r="U3508" s="61">
        <f t="shared" ca="1" si="398"/>
        <v>22399.593258817011</v>
      </c>
      <c r="V3508" s="39">
        <f t="shared" ca="1" si="399"/>
        <v>0.14736574512379613</v>
      </c>
      <c r="W3508" s="48">
        <f t="shared" ca="1" si="400"/>
        <v>2.0496400355763855</v>
      </c>
    </row>
    <row r="3509" spans="17:23" x14ac:dyDescent="0.2">
      <c r="Q3509">
        <f t="shared" si="401"/>
        <v>3493</v>
      </c>
      <c r="R3509" s="48">
        <f t="shared" ca="1" si="402"/>
        <v>0.5</v>
      </c>
      <c r="S3509">
        <f t="shared" ca="1" si="403"/>
        <v>205.59608943376088</v>
      </c>
      <c r="T3509" s="61">
        <f t="shared" ca="1" si="397"/>
        <v>24000</v>
      </c>
      <c r="U3509" s="61">
        <f t="shared" ca="1" si="398"/>
        <v>30238.435773504352</v>
      </c>
      <c r="V3509" s="39">
        <f t="shared" ca="1" si="399"/>
        <v>0.19893707745726547</v>
      </c>
      <c r="W3509" s="48">
        <f t="shared" ca="1" si="400"/>
        <v>3.3563852929689624</v>
      </c>
    </row>
    <row r="3510" spans="17:23" x14ac:dyDescent="0.2">
      <c r="Q3510">
        <f t="shared" si="401"/>
        <v>3494</v>
      </c>
      <c r="R3510" s="48">
        <f t="shared" ca="1" si="402"/>
        <v>0.3</v>
      </c>
      <c r="S3510">
        <f t="shared" ca="1" si="403"/>
        <v>225.70107886217477</v>
      </c>
      <c r="T3510" s="61">
        <f t="shared" ca="1" si="397"/>
        <v>14400</v>
      </c>
      <c r="U3510" s="61">
        <f t="shared" ca="1" si="398"/>
        <v>34392.604162817872</v>
      </c>
      <c r="V3510" s="39">
        <f t="shared" ca="1" si="399"/>
        <v>0.22626713265011758</v>
      </c>
      <c r="W3510" s="48">
        <f t="shared" ca="1" si="400"/>
        <v>4.2302625781862773</v>
      </c>
    </row>
    <row r="3511" spans="17:23" x14ac:dyDescent="0.2">
      <c r="Q3511">
        <f t="shared" si="401"/>
        <v>3495</v>
      </c>
      <c r="R3511" s="48">
        <f t="shared" ca="1" si="402"/>
        <v>0.45</v>
      </c>
      <c r="S3511">
        <f t="shared" ca="1" si="403"/>
        <v>177.14397486931455</v>
      </c>
      <c r="T3511" s="61">
        <f t="shared" ca="1" si="397"/>
        <v>21600</v>
      </c>
      <c r="U3511" s="61">
        <f t="shared" ca="1" si="398"/>
        <v>15943.3489424984</v>
      </c>
      <c r="V3511" s="39">
        <f t="shared" ca="1" si="399"/>
        <v>0.10489045356906843</v>
      </c>
      <c r="W3511" s="48">
        <f t="shared" ca="1" si="400"/>
        <v>1.2457790002703892</v>
      </c>
    </row>
    <row r="3512" spans="17:23" x14ac:dyDescent="0.2">
      <c r="Q3512">
        <f t="shared" si="401"/>
        <v>3496</v>
      </c>
      <c r="R3512" s="48">
        <f t="shared" ca="1" si="402"/>
        <v>0.3</v>
      </c>
      <c r="S3512">
        <f t="shared" ca="1" si="403"/>
        <v>168.27760650997843</v>
      </c>
      <c r="T3512" s="61">
        <f t="shared" ca="1" si="397"/>
        <v>14400</v>
      </c>
      <c r="U3512" s="61">
        <f t="shared" ca="1" si="398"/>
        <v>2235.4596455879182</v>
      </c>
      <c r="V3512" s="39">
        <f t="shared" ca="1" si="399"/>
        <v>1.4706971352552093E-2</v>
      </c>
      <c r="W3512" s="48">
        <f t="shared" ca="1" si="400"/>
        <v>0.12571815182571244</v>
      </c>
    </row>
    <row r="3513" spans="17:23" x14ac:dyDescent="0.2">
      <c r="Q3513">
        <f t="shared" si="401"/>
        <v>3497</v>
      </c>
      <c r="R3513" s="48">
        <f t="shared" ca="1" si="402"/>
        <v>0.5</v>
      </c>
      <c r="S3513">
        <f t="shared" ca="1" si="403"/>
        <v>171.46346223079513</v>
      </c>
      <c r="T3513" s="61">
        <f t="shared" ref="T3513:T3576" ca="1" si="404">($B$8-$B$7)*($E$6*R3513)</f>
        <v>24000</v>
      </c>
      <c r="U3513" s="61">
        <f t="shared" ref="U3513:U3576" ca="1" si="405">T3513+((S3513-$B$7)*($E$6*(1-R3513)))</f>
        <v>16585.384892318052</v>
      </c>
      <c r="V3513" s="39">
        <f t="shared" ref="V3513:V3576" ca="1" si="406">U3513/$E$4</f>
        <v>0.10911437429156613</v>
      </c>
      <c r="W3513" s="48">
        <f t="shared" ref="W3513:W3576" ca="1" si="407">(1+V3513)^($J$29/$J$30)-1</f>
        <v>1.316370584694563</v>
      </c>
    </row>
    <row r="3514" spans="17:23" x14ac:dyDescent="0.2">
      <c r="Q3514">
        <f t="shared" si="401"/>
        <v>3498</v>
      </c>
      <c r="R3514" s="48">
        <f t="shared" ca="1" si="402"/>
        <v>0.35</v>
      </c>
      <c r="S3514">
        <f t="shared" ca="1" si="403"/>
        <v>210.56274227811028</v>
      </c>
      <c r="T3514" s="61">
        <f t="shared" ca="1" si="404"/>
        <v>16800</v>
      </c>
      <c r="U3514" s="61">
        <f t="shared" ca="1" si="405"/>
        <v>27492.625984617345</v>
      </c>
      <c r="V3514" s="39">
        <f t="shared" ca="1" si="406"/>
        <v>0.18087253937248254</v>
      </c>
      <c r="W3514" s="48">
        <f t="shared" ca="1" si="407"/>
        <v>2.8516493755782757</v>
      </c>
    </row>
    <row r="3515" spans="17:23" x14ac:dyDescent="0.2">
      <c r="Q3515">
        <f t="shared" si="401"/>
        <v>3499</v>
      </c>
      <c r="R3515" s="48">
        <f t="shared" ca="1" si="402"/>
        <v>0.4</v>
      </c>
      <c r="S3515">
        <f t="shared" ca="1" si="403"/>
        <v>167.83064561009311</v>
      </c>
      <c r="T3515" s="61">
        <f t="shared" ca="1" si="404"/>
        <v>19200</v>
      </c>
      <c r="U3515" s="61">
        <f t="shared" ca="1" si="405"/>
        <v>8558.709892844694</v>
      </c>
      <c r="V3515" s="39">
        <f t="shared" ca="1" si="406"/>
        <v>5.6307301926609828E-2</v>
      </c>
      <c r="W3515" s="48">
        <f t="shared" ca="1" si="407"/>
        <v>0.55942904981684194</v>
      </c>
    </row>
    <row r="3516" spans="17:23" x14ac:dyDescent="0.2">
      <c r="Q3516">
        <f t="shared" si="401"/>
        <v>3500</v>
      </c>
      <c r="R3516" s="48">
        <f t="shared" ca="1" si="402"/>
        <v>0.35</v>
      </c>
      <c r="S3516">
        <f t="shared" ca="1" si="403"/>
        <v>172.71913963477624</v>
      </c>
      <c r="T3516" s="61">
        <f t="shared" ca="1" si="404"/>
        <v>16800</v>
      </c>
      <c r="U3516" s="61">
        <f t="shared" ca="1" si="405"/>
        <v>7813.9526100836447</v>
      </c>
      <c r="V3516" s="39">
        <f t="shared" ca="1" si="406"/>
        <v>5.1407582961076607E-2</v>
      </c>
      <c r="W3516" s="48">
        <f t="shared" ca="1" si="407"/>
        <v>0.5017161486257764</v>
      </c>
    </row>
    <row r="3517" spans="17:23" x14ac:dyDescent="0.2">
      <c r="Q3517">
        <f t="shared" si="401"/>
        <v>3501</v>
      </c>
      <c r="R3517" s="48">
        <f t="shared" ca="1" si="402"/>
        <v>0.217</v>
      </c>
      <c r="S3517">
        <f t="shared" ca="1" si="403"/>
        <v>175.44600159300251</v>
      </c>
      <c r="T3517" s="61">
        <f t="shared" ca="1" si="404"/>
        <v>10416</v>
      </c>
      <c r="U3517" s="61">
        <f t="shared" ca="1" si="405"/>
        <v>1299.3753978567711</v>
      </c>
      <c r="V3517" s="39">
        <f t="shared" ca="1" si="406"/>
        <v>8.548522354320862E-3</v>
      </c>
      <c r="W3517" s="48">
        <f t="shared" ca="1" si="407"/>
        <v>7.148262918728876E-2</v>
      </c>
    </row>
    <row r="3518" spans="17:23" x14ac:dyDescent="0.2">
      <c r="Q3518">
        <f t="shared" si="401"/>
        <v>3502</v>
      </c>
      <c r="R3518" s="48">
        <f t="shared" ca="1" si="402"/>
        <v>0.35</v>
      </c>
      <c r="S3518">
        <f t="shared" ca="1" si="403"/>
        <v>186.49179354698842</v>
      </c>
      <c r="T3518" s="61">
        <f t="shared" ca="1" si="404"/>
        <v>16800</v>
      </c>
      <c r="U3518" s="61">
        <f t="shared" ca="1" si="405"/>
        <v>14975.732644433978</v>
      </c>
      <c r="V3518" s="39">
        <f t="shared" ca="1" si="406"/>
        <v>9.8524556871276175E-2</v>
      </c>
      <c r="W3518" s="48">
        <f t="shared" ca="1" si="407"/>
        <v>1.1429526591400707</v>
      </c>
    </row>
    <row r="3519" spans="17:23" x14ac:dyDescent="0.2">
      <c r="Q3519">
        <f t="shared" si="401"/>
        <v>3503</v>
      </c>
      <c r="R3519" s="48">
        <f t="shared" ca="1" si="402"/>
        <v>0.45</v>
      </c>
      <c r="S3519">
        <f t="shared" ca="1" si="403"/>
        <v>175.26746735569628</v>
      </c>
      <c r="T3519" s="61">
        <f t="shared" ca="1" si="404"/>
        <v>21600</v>
      </c>
      <c r="U3519" s="61">
        <f t="shared" ca="1" si="405"/>
        <v>15117.685636506365</v>
      </c>
      <c r="V3519" s="39">
        <f t="shared" ca="1" si="406"/>
        <v>9.9458458134910291E-2</v>
      </c>
      <c r="W3519" s="48">
        <f t="shared" ca="1" si="407"/>
        <v>1.1577743299288676</v>
      </c>
    </row>
    <row r="3520" spans="17:23" x14ac:dyDescent="0.2">
      <c r="Q3520">
        <f t="shared" si="401"/>
        <v>3504</v>
      </c>
      <c r="R3520" s="48">
        <f t="shared" ca="1" si="402"/>
        <v>0.35</v>
      </c>
      <c r="S3520">
        <f t="shared" ca="1" si="403"/>
        <v>211.55021743734429</v>
      </c>
      <c r="T3520" s="61">
        <f t="shared" ca="1" si="404"/>
        <v>16800</v>
      </c>
      <c r="U3520" s="61">
        <f t="shared" ca="1" si="405"/>
        <v>28006.113067419028</v>
      </c>
      <c r="V3520" s="39">
        <f t="shared" ca="1" si="406"/>
        <v>0.18425074386459886</v>
      </c>
      <c r="W3520" s="48">
        <f t="shared" ca="1" si="407"/>
        <v>2.9419375246079058</v>
      </c>
    </row>
    <row r="3521" spans="17:23" x14ac:dyDescent="0.2">
      <c r="Q3521">
        <f t="shared" si="401"/>
        <v>3505</v>
      </c>
      <c r="R3521" s="48">
        <f t="shared" ca="1" si="402"/>
        <v>0.217</v>
      </c>
      <c r="S3521">
        <f t="shared" ca="1" si="403"/>
        <v>167.03478617716743</v>
      </c>
      <c r="T3521" s="61">
        <f t="shared" ca="1" si="404"/>
        <v>10416</v>
      </c>
      <c r="U3521" s="61">
        <f t="shared" ca="1" si="405"/>
        <v>-3969.4099386223188</v>
      </c>
      <c r="V3521" s="39">
        <f t="shared" ca="1" si="406"/>
        <v>-2.6114539069883678E-2</v>
      </c>
      <c r="W3521" s="48">
        <f t="shared" ca="1" si="407"/>
        <v>-0.19316234835447932</v>
      </c>
    </row>
    <row r="3522" spans="17:23" x14ac:dyDescent="0.2">
      <c r="Q3522">
        <f t="shared" si="401"/>
        <v>3506</v>
      </c>
      <c r="R3522" s="48">
        <f t="shared" ca="1" si="402"/>
        <v>0.35</v>
      </c>
      <c r="S3522">
        <f t="shared" ca="1" si="403"/>
        <v>180.07371433080527</v>
      </c>
      <c r="T3522" s="61">
        <f t="shared" ca="1" si="404"/>
        <v>16800</v>
      </c>
      <c r="U3522" s="61">
        <f t="shared" ca="1" si="405"/>
        <v>11638.331452018741</v>
      </c>
      <c r="V3522" s="39">
        <f t="shared" ca="1" si="406"/>
        <v>7.6567970079070666E-2</v>
      </c>
      <c r="W3522" s="48">
        <f t="shared" ca="1" si="407"/>
        <v>0.81924754854932846</v>
      </c>
    </row>
    <row r="3523" spans="17:23" x14ac:dyDescent="0.2">
      <c r="Q3523">
        <f t="shared" si="401"/>
        <v>3507</v>
      </c>
      <c r="R3523" s="48">
        <f t="shared" ca="1" si="402"/>
        <v>0.4</v>
      </c>
      <c r="S3523">
        <f t="shared" ca="1" si="403"/>
        <v>171.90649240553159</v>
      </c>
      <c r="T3523" s="61">
        <f t="shared" ca="1" si="404"/>
        <v>19200</v>
      </c>
      <c r="U3523" s="61">
        <f t="shared" ca="1" si="405"/>
        <v>10515.116354655165</v>
      </c>
      <c r="V3523" s="39">
        <f t="shared" ca="1" si="406"/>
        <v>6.9178397070099776E-2</v>
      </c>
      <c r="W3523" s="48">
        <f t="shared" ca="1" si="407"/>
        <v>0.72039906828310785</v>
      </c>
    </row>
    <row r="3524" spans="17:23" x14ac:dyDescent="0.2">
      <c r="Q3524">
        <f t="shared" si="401"/>
        <v>3508</v>
      </c>
      <c r="R3524" s="48">
        <f t="shared" ca="1" si="402"/>
        <v>0.3</v>
      </c>
      <c r="S3524">
        <f t="shared" ca="1" si="403"/>
        <v>221.45970432263712</v>
      </c>
      <c r="T3524" s="61">
        <f t="shared" ca="1" si="404"/>
        <v>14400</v>
      </c>
      <c r="U3524" s="61">
        <f t="shared" ca="1" si="405"/>
        <v>32017.434420676789</v>
      </c>
      <c r="V3524" s="39">
        <f t="shared" ca="1" si="406"/>
        <v>0.21064101592550519</v>
      </c>
      <c r="W3524" s="48">
        <f t="shared" ca="1" si="407"/>
        <v>3.7135378580486451</v>
      </c>
    </row>
    <row r="3525" spans="17:23" x14ac:dyDescent="0.2">
      <c r="Q3525">
        <f t="shared" si="401"/>
        <v>3509</v>
      </c>
      <c r="R3525" s="48">
        <f t="shared" ca="1" si="402"/>
        <v>0.4</v>
      </c>
      <c r="S3525">
        <f t="shared" ca="1" si="403"/>
        <v>178.94875257889029</v>
      </c>
      <c r="T3525" s="61">
        <f t="shared" ca="1" si="404"/>
        <v>19200</v>
      </c>
      <c r="U3525" s="61">
        <f t="shared" ca="1" si="405"/>
        <v>13895.40123786734</v>
      </c>
      <c r="V3525" s="39">
        <f t="shared" ca="1" si="406"/>
        <v>9.1417113407021966E-2</v>
      </c>
      <c r="W3525" s="48">
        <f t="shared" ca="1" si="407"/>
        <v>1.0330463004028845</v>
      </c>
    </row>
    <row r="3526" spans="17:23" x14ac:dyDescent="0.2">
      <c r="Q3526">
        <f t="shared" si="401"/>
        <v>3510</v>
      </c>
      <c r="R3526" s="48">
        <f t="shared" ca="1" si="402"/>
        <v>0.35</v>
      </c>
      <c r="S3526">
        <f t="shared" ca="1" si="403"/>
        <v>162.90687338177662</v>
      </c>
      <c r="T3526" s="61">
        <f t="shared" ca="1" si="404"/>
        <v>16800</v>
      </c>
      <c r="U3526" s="61">
        <f t="shared" ca="1" si="405"/>
        <v>2711.5741585238429</v>
      </c>
      <c r="V3526" s="39">
        <f t="shared" ca="1" si="406"/>
        <v>1.7839303674498968E-2</v>
      </c>
      <c r="W3526" s="48">
        <f t="shared" ca="1" si="407"/>
        <v>0.15421571437728931</v>
      </c>
    </row>
    <row r="3527" spans="17:23" x14ac:dyDescent="0.2">
      <c r="Q3527">
        <f t="shared" si="401"/>
        <v>3511</v>
      </c>
      <c r="R3527" s="48">
        <f t="shared" ca="1" si="402"/>
        <v>0.45</v>
      </c>
      <c r="S3527">
        <f t="shared" ca="1" si="403"/>
        <v>218.68425550200874</v>
      </c>
      <c r="T3527" s="61">
        <f t="shared" ca="1" si="404"/>
        <v>21600</v>
      </c>
      <c r="U3527" s="61">
        <f t="shared" ca="1" si="405"/>
        <v>34221.072420883851</v>
      </c>
      <c r="V3527" s="39">
        <f t="shared" ca="1" si="406"/>
        <v>0.22513863434792009</v>
      </c>
      <c r="W3527" s="48">
        <f t="shared" ca="1" si="407"/>
        <v>4.1913491977038158</v>
      </c>
    </row>
    <row r="3528" spans="17:23" x14ac:dyDescent="0.2">
      <c r="Q3528">
        <f t="shared" si="401"/>
        <v>3512</v>
      </c>
      <c r="R3528" s="48">
        <f t="shared" ca="1" si="402"/>
        <v>0.3</v>
      </c>
      <c r="S3528">
        <f t="shared" ca="1" si="403"/>
        <v>181.77452756210508</v>
      </c>
      <c r="T3528" s="61">
        <f t="shared" ca="1" si="404"/>
        <v>14400</v>
      </c>
      <c r="U3528" s="61">
        <f t="shared" ca="1" si="405"/>
        <v>9793.7354347788441</v>
      </c>
      <c r="V3528" s="39">
        <f t="shared" ca="1" si="406"/>
        <v>6.4432469965650288E-2</v>
      </c>
      <c r="W3528" s="48">
        <f t="shared" ca="1" si="407"/>
        <v>0.65942655597622934</v>
      </c>
    </row>
    <row r="3529" spans="17:23" x14ac:dyDescent="0.2">
      <c r="Q3529">
        <f t="shared" si="401"/>
        <v>3513</v>
      </c>
      <c r="R3529" s="48">
        <f t="shared" ca="1" si="402"/>
        <v>0.4</v>
      </c>
      <c r="S3529">
        <f t="shared" ca="1" si="403"/>
        <v>181.3780735248292</v>
      </c>
      <c r="T3529" s="61">
        <f t="shared" ca="1" si="404"/>
        <v>19200</v>
      </c>
      <c r="U3529" s="61">
        <f t="shared" ca="1" si="405"/>
        <v>15061.475291918017</v>
      </c>
      <c r="V3529" s="39">
        <f t="shared" ca="1" si="406"/>
        <v>9.908865323630274E-2</v>
      </c>
      <c r="W3529" s="48">
        <f t="shared" ca="1" si="407"/>
        <v>1.151894552689015</v>
      </c>
    </row>
    <row r="3530" spans="17:23" x14ac:dyDescent="0.2">
      <c r="Q3530">
        <f t="shared" si="401"/>
        <v>3514</v>
      </c>
      <c r="R3530" s="48">
        <f t="shared" ca="1" si="402"/>
        <v>0.4</v>
      </c>
      <c r="S3530">
        <f t="shared" ca="1" si="403"/>
        <v>181.42213423890584</v>
      </c>
      <c r="T3530" s="61">
        <f t="shared" ca="1" si="404"/>
        <v>19200</v>
      </c>
      <c r="U3530" s="61">
        <f t="shared" ca="1" si="405"/>
        <v>15082.624434674803</v>
      </c>
      <c r="V3530" s="39">
        <f t="shared" ca="1" si="406"/>
        <v>9.9227792333386855E-2</v>
      </c>
      <c r="W3530" s="48">
        <f t="shared" ca="1" si="407"/>
        <v>1.1541051685533108</v>
      </c>
    </row>
    <row r="3531" spans="17:23" x14ac:dyDescent="0.2">
      <c r="Q3531">
        <f t="shared" si="401"/>
        <v>3515</v>
      </c>
      <c r="R3531" s="48">
        <f t="shared" ca="1" si="402"/>
        <v>0.45</v>
      </c>
      <c r="S3531">
        <f t="shared" ca="1" si="403"/>
        <v>208.12520364596412</v>
      </c>
      <c r="T3531" s="61">
        <f t="shared" ca="1" si="404"/>
        <v>21600</v>
      </c>
      <c r="U3531" s="61">
        <f t="shared" ca="1" si="405"/>
        <v>29575.089604224213</v>
      </c>
      <c r="V3531" s="39">
        <f t="shared" ca="1" si="406"/>
        <v>0.19457295792252771</v>
      </c>
      <c r="W3531" s="48">
        <f t="shared" ca="1" si="407"/>
        <v>3.2294181066606127</v>
      </c>
    </row>
    <row r="3532" spans="17:23" x14ac:dyDescent="0.2">
      <c r="Q3532">
        <f t="shared" si="401"/>
        <v>3516</v>
      </c>
      <c r="R3532" s="48">
        <f t="shared" ca="1" si="402"/>
        <v>0.3</v>
      </c>
      <c r="S3532">
        <f t="shared" ca="1" si="403"/>
        <v>194.46524648327662</v>
      </c>
      <c r="T3532" s="61">
        <f t="shared" ca="1" si="404"/>
        <v>14400</v>
      </c>
      <c r="U3532" s="61">
        <f t="shared" ca="1" si="405"/>
        <v>16900.538030634903</v>
      </c>
      <c r="V3532" s="39">
        <f t="shared" ca="1" si="406"/>
        <v>0.11118775020154542</v>
      </c>
      <c r="W3532" s="48">
        <f t="shared" ca="1" si="407"/>
        <v>1.3517278076303127</v>
      </c>
    </row>
    <row r="3533" spans="17:23" x14ac:dyDescent="0.2">
      <c r="Q3533">
        <f t="shared" si="401"/>
        <v>3517</v>
      </c>
      <c r="R3533" s="48">
        <f t="shared" ca="1" si="402"/>
        <v>0.35</v>
      </c>
      <c r="S3533">
        <f t="shared" ca="1" si="403"/>
        <v>225.09013290826127</v>
      </c>
      <c r="T3533" s="61">
        <f t="shared" ca="1" si="404"/>
        <v>16800</v>
      </c>
      <c r="U3533" s="61">
        <f t="shared" ca="1" si="405"/>
        <v>35046.869112295855</v>
      </c>
      <c r="V3533" s="39">
        <f t="shared" ca="1" si="406"/>
        <v>0.2305715073177359</v>
      </c>
      <c r="W3533" s="48">
        <f t="shared" ca="1" si="407"/>
        <v>4.3810461212972918</v>
      </c>
    </row>
    <row r="3534" spans="17:23" x14ac:dyDescent="0.2">
      <c r="Q3534">
        <f t="shared" si="401"/>
        <v>3518</v>
      </c>
      <c r="R3534" s="48">
        <f t="shared" ca="1" si="402"/>
        <v>0.3</v>
      </c>
      <c r="S3534">
        <f t="shared" ca="1" si="403"/>
        <v>178.77394217281727</v>
      </c>
      <c r="T3534" s="61">
        <f t="shared" ca="1" si="404"/>
        <v>14400</v>
      </c>
      <c r="U3534" s="61">
        <f t="shared" ca="1" si="405"/>
        <v>8113.407616777672</v>
      </c>
      <c r="V3534" s="39">
        <f t="shared" ca="1" si="406"/>
        <v>5.3377681689326786E-2</v>
      </c>
      <c r="W3534" s="48">
        <f t="shared" ca="1" si="407"/>
        <v>0.5246924378730613</v>
      </c>
    </row>
    <row r="3535" spans="17:23" x14ac:dyDescent="0.2">
      <c r="Q3535">
        <f t="shared" si="401"/>
        <v>3519</v>
      </c>
      <c r="R3535" s="48">
        <f t="shared" ca="1" si="402"/>
        <v>0.4</v>
      </c>
      <c r="S3535">
        <f t="shared" ca="1" si="403"/>
        <v>211.43869148194798</v>
      </c>
      <c r="T3535" s="61">
        <f t="shared" ca="1" si="404"/>
        <v>19200</v>
      </c>
      <c r="U3535" s="61">
        <f t="shared" ca="1" si="405"/>
        <v>29490.571911335031</v>
      </c>
      <c r="V3535" s="39">
        <f t="shared" ca="1" si="406"/>
        <v>0.19401692046930941</v>
      </c>
      <c r="W3535" s="48">
        <f t="shared" ca="1" si="407"/>
        <v>3.2134764421497293</v>
      </c>
    </row>
    <row r="3536" spans="17:23" x14ac:dyDescent="0.2">
      <c r="Q3536">
        <f t="shared" si="401"/>
        <v>3520</v>
      </c>
      <c r="R3536" s="48">
        <f t="shared" ca="1" si="402"/>
        <v>0.45</v>
      </c>
      <c r="S3536">
        <f t="shared" ca="1" si="403"/>
        <v>200.51019627453448</v>
      </c>
      <c r="T3536" s="61">
        <f t="shared" ca="1" si="404"/>
        <v>21600</v>
      </c>
      <c r="U3536" s="61">
        <f t="shared" ca="1" si="405"/>
        <v>26224.48636079517</v>
      </c>
      <c r="V3536" s="39">
        <f t="shared" ca="1" si="406"/>
        <v>0.17252951553154716</v>
      </c>
      <c r="W3536" s="48">
        <f t="shared" ca="1" si="407"/>
        <v>2.63639197728074</v>
      </c>
    </row>
    <row r="3537" spans="17:23" x14ac:dyDescent="0.2">
      <c r="Q3537">
        <f t="shared" si="401"/>
        <v>3521</v>
      </c>
      <c r="R3537" s="48">
        <f t="shared" ca="1" si="402"/>
        <v>0.45</v>
      </c>
      <c r="S3537">
        <f t="shared" ca="1" si="403"/>
        <v>173.02371119857762</v>
      </c>
      <c r="T3537" s="61">
        <f t="shared" ca="1" si="404"/>
        <v>21600</v>
      </c>
      <c r="U3537" s="61">
        <f t="shared" ca="1" si="405"/>
        <v>14130.43292737415</v>
      </c>
      <c r="V3537" s="39">
        <f t="shared" ca="1" si="406"/>
        <v>9.2963374522198355E-2</v>
      </c>
      <c r="W3537" s="48">
        <f t="shared" ca="1" si="407"/>
        <v>1.056526845636399</v>
      </c>
    </row>
    <row r="3538" spans="17:23" x14ac:dyDescent="0.2">
      <c r="Q3538">
        <f t="shared" si="401"/>
        <v>3522</v>
      </c>
      <c r="R3538" s="48">
        <f t="shared" ca="1" si="402"/>
        <v>0.4</v>
      </c>
      <c r="S3538">
        <f t="shared" ca="1" si="403"/>
        <v>185.13619241608146</v>
      </c>
      <c r="T3538" s="61">
        <f t="shared" ca="1" si="404"/>
        <v>19200</v>
      </c>
      <c r="U3538" s="61">
        <f t="shared" ca="1" si="405"/>
        <v>16865.372359719098</v>
      </c>
      <c r="V3538" s="39">
        <f t="shared" ca="1" si="406"/>
        <v>0.11095639710341512</v>
      </c>
      <c r="W3538" s="48">
        <f t="shared" ca="1" si="407"/>
        <v>1.3477592398873424</v>
      </c>
    </row>
    <row r="3539" spans="17:23" x14ac:dyDescent="0.2">
      <c r="Q3539">
        <f t="shared" ref="Q3539:Q3602" si="408">Q3538+1</f>
        <v>3523</v>
      </c>
      <c r="R3539" s="48">
        <f t="shared" ref="R3539:R3602" ca="1" si="409">LOOKUP(RAND(),$U$6:$U$12,$S$6:$S$12)</f>
        <v>0.45</v>
      </c>
      <c r="S3539">
        <f t="shared" ref="S3539:S3602" ca="1" si="410">_xlfn.NORM.INV(RAND(),$Q$5,$Q$10)</f>
        <v>179.90161741720024</v>
      </c>
      <c r="T3539" s="61">
        <f t="shared" ca="1" si="404"/>
        <v>21600</v>
      </c>
      <c r="U3539" s="61">
        <f t="shared" ca="1" si="405"/>
        <v>17156.711663568105</v>
      </c>
      <c r="V3539" s="39">
        <f t="shared" ca="1" si="406"/>
        <v>0.11287310304979016</v>
      </c>
      <c r="W3539" s="48">
        <f t="shared" ca="1" si="407"/>
        <v>1.3808158010107809</v>
      </c>
    </row>
    <row r="3540" spans="17:23" x14ac:dyDescent="0.2">
      <c r="Q3540">
        <f t="shared" si="408"/>
        <v>3524</v>
      </c>
      <c r="R3540" s="48">
        <f t="shared" ca="1" si="409"/>
        <v>0.35</v>
      </c>
      <c r="S3540">
        <f t="shared" ca="1" si="410"/>
        <v>149.36948939010159</v>
      </c>
      <c r="T3540" s="61">
        <f t="shared" ca="1" si="404"/>
        <v>16800</v>
      </c>
      <c r="U3540" s="61">
        <f t="shared" ca="1" si="405"/>
        <v>-4327.8655171471728</v>
      </c>
      <c r="V3540" s="39">
        <f t="shared" ca="1" si="406"/>
        <v>-2.8472799454915612E-2</v>
      </c>
      <c r="W3540" s="48">
        <f t="shared" ca="1" si="407"/>
        <v>-0.20887370053004828</v>
      </c>
    </row>
    <row r="3541" spans="17:23" x14ac:dyDescent="0.2">
      <c r="Q3541">
        <f t="shared" si="408"/>
        <v>3525</v>
      </c>
      <c r="R3541" s="48">
        <f t="shared" ca="1" si="409"/>
        <v>0.3</v>
      </c>
      <c r="S3541">
        <f t="shared" ca="1" si="410"/>
        <v>199.46742704751011</v>
      </c>
      <c r="T3541" s="61">
        <f t="shared" ca="1" si="404"/>
        <v>14400</v>
      </c>
      <c r="U3541" s="61">
        <f t="shared" ca="1" si="405"/>
        <v>19701.759146605662</v>
      </c>
      <c r="V3541" s="39">
        <f t="shared" ca="1" si="406"/>
        <v>0.12961683649082673</v>
      </c>
      <c r="W3541" s="48">
        <f t="shared" ca="1" si="407"/>
        <v>1.6873887425844143</v>
      </c>
    </row>
    <row r="3542" spans="17:23" x14ac:dyDescent="0.2">
      <c r="Q3542">
        <f t="shared" si="408"/>
        <v>3526</v>
      </c>
      <c r="R3542" s="48">
        <f t="shared" ca="1" si="409"/>
        <v>0.3</v>
      </c>
      <c r="S3542">
        <f t="shared" ca="1" si="410"/>
        <v>180.06958010003501</v>
      </c>
      <c r="T3542" s="61">
        <f t="shared" ca="1" si="404"/>
        <v>14400</v>
      </c>
      <c r="U3542" s="61">
        <f t="shared" ca="1" si="405"/>
        <v>8838.9648560196074</v>
      </c>
      <c r="V3542" s="39">
        <f t="shared" ca="1" si="406"/>
        <v>5.8151084579076362E-2</v>
      </c>
      <c r="W3542" s="48">
        <f t="shared" ca="1" si="407"/>
        <v>0.58164484972736497</v>
      </c>
    </row>
    <row r="3543" spans="17:23" x14ac:dyDescent="0.2">
      <c r="Q3543">
        <f t="shared" si="408"/>
        <v>3527</v>
      </c>
      <c r="R3543" s="48">
        <f t="shared" ca="1" si="409"/>
        <v>0.3</v>
      </c>
      <c r="S3543">
        <f t="shared" ca="1" si="410"/>
        <v>173.809461847938</v>
      </c>
      <c r="T3543" s="61">
        <f t="shared" ca="1" si="404"/>
        <v>14400</v>
      </c>
      <c r="U3543" s="61">
        <f t="shared" ca="1" si="405"/>
        <v>5333.2986348452778</v>
      </c>
      <c r="V3543" s="39">
        <f t="shared" ca="1" si="406"/>
        <v>3.5087491018718935E-2</v>
      </c>
      <c r="W3543" s="48">
        <f t="shared" ca="1" si="407"/>
        <v>0.32275861678374906</v>
      </c>
    </row>
    <row r="3544" spans="17:23" x14ac:dyDescent="0.2">
      <c r="Q3544">
        <f t="shared" si="408"/>
        <v>3528</v>
      </c>
      <c r="R3544" s="48">
        <f t="shared" ca="1" si="409"/>
        <v>0.3</v>
      </c>
      <c r="S3544">
        <f t="shared" ca="1" si="410"/>
        <v>185.02043506452031</v>
      </c>
      <c r="T3544" s="61">
        <f t="shared" ca="1" si="404"/>
        <v>14400</v>
      </c>
      <c r="U3544" s="61">
        <f t="shared" ca="1" si="405"/>
        <v>11611.443636131375</v>
      </c>
      <c r="V3544" s="39">
        <f t="shared" ca="1" si="406"/>
        <v>7.639107655349589E-2</v>
      </c>
      <c r="W3544" s="48">
        <f t="shared" ca="1" si="407"/>
        <v>0.81682435045612278</v>
      </c>
    </row>
    <row r="3545" spans="17:23" x14ac:dyDescent="0.2">
      <c r="Q3545">
        <f t="shared" si="408"/>
        <v>3529</v>
      </c>
      <c r="R3545" s="48">
        <f t="shared" ca="1" si="409"/>
        <v>0.3</v>
      </c>
      <c r="S3545">
        <f t="shared" ca="1" si="410"/>
        <v>168.22476937431213</v>
      </c>
      <c r="T3545" s="61">
        <f t="shared" ca="1" si="404"/>
        <v>14400</v>
      </c>
      <c r="U3545" s="61">
        <f t="shared" ca="1" si="405"/>
        <v>2205.8708496147938</v>
      </c>
      <c r="V3545" s="39">
        <f t="shared" ca="1" si="406"/>
        <v>1.4512308221149959E-2</v>
      </c>
      <c r="W3545" s="48">
        <f t="shared" ca="1" si="407"/>
        <v>0.12396767300071576</v>
      </c>
    </row>
    <row r="3546" spans="17:23" x14ac:dyDescent="0.2">
      <c r="Q3546">
        <f t="shared" si="408"/>
        <v>3530</v>
      </c>
      <c r="R3546" s="48">
        <f t="shared" ca="1" si="409"/>
        <v>0.217</v>
      </c>
      <c r="S3546">
        <f t="shared" ca="1" si="410"/>
        <v>191.32286107940934</v>
      </c>
      <c r="T3546" s="61">
        <f t="shared" ca="1" si="404"/>
        <v>10416</v>
      </c>
      <c r="U3546" s="61">
        <f t="shared" ca="1" si="405"/>
        <v>11244.640180142007</v>
      </c>
      <c r="V3546" s="39">
        <f t="shared" ca="1" si="406"/>
        <v>7.3977895921986891E-2</v>
      </c>
      <c r="W3546" s="48">
        <f t="shared" ca="1" si="407"/>
        <v>0.78404855970088461</v>
      </c>
    </row>
    <row r="3547" spans="17:23" x14ac:dyDescent="0.2">
      <c r="Q3547">
        <f t="shared" si="408"/>
        <v>3531</v>
      </c>
      <c r="R3547" s="48">
        <f t="shared" ca="1" si="409"/>
        <v>0.3</v>
      </c>
      <c r="S3547">
        <f t="shared" ca="1" si="410"/>
        <v>209.27351155195387</v>
      </c>
      <c r="T3547" s="61">
        <f t="shared" ca="1" si="404"/>
        <v>14400</v>
      </c>
      <c r="U3547" s="61">
        <f t="shared" ca="1" si="405"/>
        <v>25193.166469094169</v>
      </c>
      <c r="V3547" s="39">
        <f t="shared" ca="1" si="406"/>
        <v>0.16574451624404057</v>
      </c>
      <c r="W3547" s="48">
        <f t="shared" ca="1" si="407"/>
        <v>2.4691847216932574</v>
      </c>
    </row>
    <row r="3548" spans="17:23" x14ac:dyDescent="0.2">
      <c r="Q3548">
        <f t="shared" si="408"/>
        <v>3532</v>
      </c>
      <c r="R3548" s="48">
        <f t="shared" ca="1" si="409"/>
        <v>0.4</v>
      </c>
      <c r="S3548">
        <f t="shared" ca="1" si="410"/>
        <v>174.24457533102648</v>
      </c>
      <c r="T3548" s="61">
        <f t="shared" ca="1" si="404"/>
        <v>19200</v>
      </c>
      <c r="U3548" s="61">
        <f t="shared" ca="1" si="405"/>
        <v>11637.396158892712</v>
      </c>
      <c r="V3548" s="39">
        <f t="shared" ca="1" si="406"/>
        <v>7.6561816834820481E-2</v>
      </c>
      <c r="W3548" s="48">
        <f t="shared" ca="1" si="407"/>
        <v>0.81916321002008252</v>
      </c>
    </row>
    <row r="3549" spans="17:23" x14ac:dyDescent="0.2">
      <c r="Q3549">
        <f t="shared" si="408"/>
        <v>3533</v>
      </c>
      <c r="R3549" s="48">
        <f t="shared" ca="1" si="409"/>
        <v>0.45</v>
      </c>
      <c r="S3549">
        <f t="shared" ca="1" si="410"/>
        <v>182.74393670013822</v>
      </c>
      <c r="T3549" s="61">
        <f t="shared" ca="1" si="404"/>
        <v>21600</v>
      </c>
      <c r="U3549" s="61">
        <f t="shared" ca="1" si="405"/>
        <v>18407.332148060817</v>
      </c>
      <c r="V3549" s="39">
        <f t="shared" ca="1" si="406"/>
        <v>0.12110086939513695</v>
      </c>
      <c r="W3549" s="48">
        <f t="shared" ca="1" si="407"/>
        <v>1.5273977321314818</v>
      </c>
    </row>
    <row r="3550" spans="17:23" x14ac:dyDescent="0.2">
      <c r="Q3550">
        <f t="shared" si="408"/>
        <v>3534</v>
      </c>
      <c r="R3550" s="48">
        <f t="shared" ca="1" si="409"/>
        <v>0.35</v>
      </c>
      <c r="S3550">
        <f t="shared" ca="1" si="410"/>
        <v>194.57152633312376</v>
      </c>
      <c r="T3550" s="61">
        <f t="shared" ca="1" si="404"/>
        <v>16800</v>
      </c>
      <c r="U3550" s="61">
        <f t="shared" ca="1" si="405"/>
        <v>19177.193693224355</v>
      </c>
      <c r="V3550" s="39">
        <f t="shared" ca="1" si="406"/>
        <v>0.12616574798173918</v>
      </c>
      <c r="W3550" s="48">
        <f t="shared" ca="1" si="407"/>
        <v>1.6215135362895623</v>
      </c>
    </row>
    <row r="3551" spans="17:23" x14ac:dyDescent="0.2">
      <c r="Q3551">
        <f t="shared" si="408"/>
        <v>3535</v>
      </c>
      <c r="R3551" s="48">
        <f t="shared" ca="1" si="409"/>
        <v>0.3</v>
      </c>
      <c r="S3551">
        <f t="shared" ca="1" si="410"/>
        <v>174.29504201552626</v>
      </c>
      <c r="T3551" s="61">
        <f t="shared" ca="1" si="404"/>
        <v>14400</v>
      </c>
      <c r="U3551" s="61">
        <f t="shared" ca="1" si="405"/>
        <v>5605.2235286947071</v>
      </c>
      <c r="V3551" s="39">
        <f t="shared" ca="1" si="406"/>
        <v>3.6876470583517812E-2</v>
      </c>
      <c r="W3551" s="48">
        <f t="shared" ca="1" si="407"/>
        <v>0.34141636753410576</v>
      </c>
    </row>
    <row r="3552" spans="17:23" x14ac:dyDescent="0.2">
      <c r="Q3552">
        <f t="shared" si="408"/>
        <v>3536</v>
      </c>
      <c r="R3552" s="48">
        <f t="shared" ca="1" si="409"/>
        <v>0.3</v>
      </c>
      <c r="S3552">
        <f t="shared" ca="1" si="410"/>
        <v>204.93591647089252</v>
      </c>
      <c r="T3552" s="61">
        <f t="shared" ca="1" si="404"/>
        <v>14400</v>
      </c>
      <c r="U3552" s="61">
        <f t="shared" ca="1" si="405"/>
        <v>22764.113223699813</v>
      </c>
      <c r="V3552" s="39">
        <f t="shared" ca="1" si="406"/>
        <v>0.14976390278749876</v>
      </c>
      <c r="W3552" s="48">
        <f t="shared" ca="1" si="407"/>
        <v>2.1017275982872472</v>
      </c>
    </row>
    <row r="3553" spans="17:23" x14ac:dyDescent="0.2">
      <c r="Q3553">
        <f t="shared" si="408"/>
        <v>3537</v>
      </c>
      <c r="R3553" s="48">
        <f t="shared" ca="1" si="409"/>
        <v>0.45</v>
      </c>
      <c r="S3553">
        <f t="shared" ca="1" si="410"/>
        <v>200.06906281104349</v>
      </c>
      <c r="T3553" s="61">
        <f t="shared" ca="1" si="404"/>
        <v>21600</v>
      </c>
      <c r="U3553" s="61">
        <f t="shared" ca="1" si="405"/>
        <v>26030.387636859137</v>
      </c>
      <c r="V3553" s="39">
        <f t="shared" ca="1" si="406"/>
        <v>0.17125255024249433</v>
      </c>
      <c r="W3553" s="48">
        <f t="shared" ca="1" si="407"/>
        <v>2.6043938080235245</v>
      </c>
    </row>
    <row r="3554" spans="17:23" x14ac:dyDescent="0.2">
      <c r="Q3554">
        <f t="shared" si="408"/>
        <v>3538</v>
      </c>
      <c r="R3554" s="48">
        <f t="shared" ca="1" si="409"/>
        <v>0.45</v>
      </c>
      <c r="S3554">
        <f t="shared" ca="1" si="410"/>
        <v>173.99271128906855</v>
      </c>
      <c r="T3554" s="61">
        <f t="shared" ca="1" si="404"/>
        <v>21600</v>
      </c>
      <c r="U3554" s="61">
        <f t="shared" ca="1" si="405"/>
        <v>14556.792967190162</v>
      </c>
      <c r="V3554" s="39">
        <f t="shared" ca="1" si="406"/>
        <v>9.5768374784145807E-2</v>
      </c>
      <c r="W3554" s="48">
        <f t="shared" ca="1" si="407"/>
        <v>1.0997292195307051</v>
      </c>
    </row>
    <row r="3555" spans="17:23" x14ac:dyDescent="0.2">
      <c r="Q3555">
        <f t="shared" si="408"/>
        <v>3539</v>
      </c>
      <c r="R3555" s="48">
        <f t="shared" ca="1" si="409"/>
        <v>0.4</v>
      </c>
      <c r="S3555">
        <f t="shared" ca="1" si="410"/>
        <v>189.05096856556821</v>
      </c>
      <c r="T3555" s="61">
        <f t="shared" ca="1" si="404"/>
        <v>19200</v>
      </c>
      <c r="U3555" s="61">
        <f t="shared" ca="1" si="405"/>
        <v>18744.464911472744</v>
      </c>
      <c r="V3555" s="39">
        <f t="shared" ca="1" si="406"/>
        <v>0.12331884810179436</v>
      </c>
      <c r="W3555" s="48">
        <f t="shared" ca="1" si="407"/>
        <v>1.5682412498692462</v>
      </c>
    </row>
    <row r="3556" spans="17:23" x14ac:dyDescent="0.2">
      <c r="Q3556">
        <f t="shared" si="408"/>
        <v>3540</v>
      </c>
      <c r="R3556" s="48">
        <f t="shared" ca="1" si="409"/>
        <v>0.4</v>
      </c>
      <c r="S3556">
        <f t="shared" ca="1" si="410"/>
        <v>206.79266105452322</v>
      </c>
      <c r="T3556" s="61">
        <f t="shared" ca="1" si="404"/>
        <v>19200</v>
      </c>
      <c r="U3556" s="61">
        <f t="shared" ca="1" si="405"/>
        <v>27260.477306171146</v>
      </c>
      <c r="V3556" s="39">
        <f t="shared" ca="1" si="406"/>
        <v>0.17934524543533648</v>
      </c>
      <c r="W3556" s="48">
        <f t="shared" ca="1" si="407"/>
        <v>2.8114286206071322</v>
      </c>
    </row>
    <row r="3557" spans="17:23" x14ac:dyDescent="0.2">
      <c r="Q3557">
        <f t="shared" si="408"/>
        <v>3541</v>
      </c>
      <c r="R3557" s="48">
        <f t="shared" ca="1" si="409"/>
        <v>0.3</v>
      </c>
      <c r="S3557">
        <f t="shared" ca="1" si="410"/>
        <v>175.44310105885575</v>
      </c>
      <c r="T3557" s="61">
        <f t="shared" ca="1" si="404"/>
        <v>14400</v>
      </c>
      <c r="U3557" s="61">
        <f t="shared" ca="1" si="405"/>
        <v>6248.1365929592175</v>
      </c>
      <c r="V3557" s="39">
        <f t="shared" ca="1" si="406"/>
        <v>4.1106161795784323E-2</v>
      </c>
      <c r="W3557" s="48">
        <f t="shared" ca="1" si="407"/>
        <v>0.38644940478666823</v>
      </c>
    </row>
    <row r="3558" spans="17:23" x14ac:dyDescent="0.2">
      <c r="Q3558">
        <f t="shared" si="408"/>
        <v>3542</v>
      </c>
      <c r="R3558" s="48">
        <f t="shared" ca="1" si="409"/>
        <v>0.3</v>
      </c>
      <c r="S3558">
        <f t="shared" ca="1" si="410"/>
        <v>184.83061130902851</v>
      </c>
      <c r="T3558" s="61">
        <f t="shared" ca="1" si="404"/>
        <v>14400</v>
      </c>
      <c r="U3558" s="61">
        <f t="shared" ca="1" si="405"/>
        <v>11505.142333055966</v>
      </c>
      <c r="V3558" s="39">
        <f t="shared" ca="1" si="406"/>
        <v>7.5691725875368196E-2</v>
      </c>
      <c r="W3558" s="48">
        <f t="shared" ca="1" si="407"/>
        <v>0.80727189313369041</v>
      </c>
    </row>
    <row r="3559" spans="17:23" x14ac:dyDescent="0.2">
      <c r="Q3559">
        <f t="shared" si="408"/>
        <v>3543</v>
      </c>
      <c r="R3559" s="48">
        <f t="shared" ca="1" si="409"/>
        <v>0.35</v>
      </c>
      <c r="S3559">
        <f t="shared" ca="1" si="410"/>
        <v>225.06703379502162</v>
      </c>
      <c r="T3559" s="61">
        <f t="shared" ca="1" si="404"/>
        <v>16800</v>
      </c>
      <c r="U3559" s="61">
        <f t="shared" ca="1" si="405"/>
        <v>35034.857573411238</v>
      </c>
      <c r="V3559" s="39">
        <f t="shared" ca="1" si="406"/>
        <v>0.23049248403560024</v>
      </c>
      <c r="W3559" s="48">
        <f t="shared" ca="1" si="407"/>
        <v>4.3782439407467839</v>
      </c>
    </row>
    <row r="3560" spans="17:23" x14ac:dyDescent="0.2">
      <c r="Q3560">
        <f t="shared" si="408"/>
        <v>3544</v>
      </c>
      <c r="R3560" s="48">
        <f t="shared" ca="1" si="409"/>
        <v>0.217</v>
      </c>
      <c r="S3560">
        <f t="shared" ca="1" si="410"/>
        <v>166.89208865867099</v>
      </c>
      <c r="T3560" s="61">
        <f t="shared" ca="1" si="404"/>
        <v>10416</v>
      </c>
      <c r="U3560" s="61">
        <f t="shared" ca="1" si="405"/>
        <v>-4058.7956642084937</v>
      </c>
      <c r="V3560" s="39">
        <f t="shared" ca="1" si="406"/>
        <v>-2.6702603054003248E-2</v>
      </c>
      <c r="W3560" s="48">
        <f t="shared" ca="1" si="407"/>
        <v>-0.19710556773546628</v>
      </c>
    </row>
    <row r="3561" spans="17:23" x14ac:dyDescent="0.2">
      <c r="Q3561">
        <f t="shared" si="408"/>
        <v>3545</v>
      </c>
      <c r="R3561" s="48">
        <f t="shared" ca="1" si="409"/>
        <v>0.3</v>
      </c>
      <c r="S3561">
        <f t="shared" ca="1" si="410"/>
        <v>204.83307064510407</v>
      </c>
      <c r="T3561" s="61">
        <f t="shared" ca="1" si="404"/>
        <v>14400</v>
      </c>
      <c r="U3561" s="61">
        <f t="shared" ca="1" si="405"/>
        <v>22706.519561258283</v>
      </c>
      <c r="V3561" s="39">
        <f t="shared" ca="1" si="406"/>
        <v>0.14938499711354133</v>
      </c>
      <c r="W3561" s="48">
        <f t="shared" ca="1" si="407"/>
        <v>2.0934463156190302</v>
      </c>
    </row>
    <row r="3562" spans="17:23" x14ac:dyDescent="0.2">
      <c r="Q3562">
        <f t="shared" si="408"/>
        <v>3546</v>
      </c>
      <c r="R3562" s="48">
        <f t="shared" ca="1" si="409"/>
        <v>0.45</v>
      </c>
      <c r="S3562">
        <f t="shared" ca="1" si="410"/>
        <v>194.36018486279863</v>
      </c>
      <c r="T3562" s="61">
        <f t="shared" ca="1" si="404"/>
        <v>21600</v>
      </c>
      <c r="U3562" s="61">
        <f t="shared" ca="1" si="405"/>
        <v>23518.481339631398</v>
      </c>
      <c r="V3562" s="39">
        <f t="shared" ca="1" si="406"/>
        <v>0.15472685091862762</v>
      </c>
      <c r="W3562" s="48">
        <f t="shared" ca="1" si="407"/>
        <v>2.2120053303851051</v>
      </c>
    </row>
    <row r="3563" spans="17:23" x14ac:dyDescent="0.2">
      <c r="Q3563">
        <f t="shared" si="408"/>
        <v>3547</v>
      </c>
      <c r="R3563" s="48">
        <f t="shared" ca="1" si="409"/>
        <v>0.217</v>
      </c>
      <c r="S3563">
        <f t="shared" ca="1" si="410"/>
        <v>186.60043298290736</v>
      </c>
      <c r="T3563" s="61">
        <f t="shared" ca="1" si="404"/>
        <v>10416</v>
      </c>
      <c r="U3563" s="61">
        <f t="shared" ca="1" si="405"/>
        <v>8286.511220493172</v>
      </c>
      <c r="V3563" s="39">
        <f t="shared" ca="1" si="406"/>
        <v>5.4516521187455078E-2</v>
      </c>
      <c r="W3563" s="48">
        <f t="shared" ca="1" si="407"/>
        <v>0.53811424242686656</v>
      </c>
    </row>
    <row r="3564" spans="17:23" x14ac:dyDescent="0.2">
      <c r="Q3564">
        <f t="shared" si="408"/>
        <v>3548</v>
      </c>
      <c r="R3564" s="48">
        <f t="shared" ca="1" si="409"/>
        <v>0.3</v>
      </c>
      <c r="S3564">
        <f t="shared" ca="1" si="410"/>
        <v>212.75449684747269</v>
      </c>
      <c r="T3564" s="61">
        <f t="shared" ca="1" si="404"/>
        <v>14400</v>
      </c>
      <c r="U3564" s="61">
        <f t="shared" ca="1" si="405"/>
        <v>27142.51823458471</v>
      </c>
      <c r="V3564" s="39">
        <f t="shared" ca="1" si="406"/>
        <v>0.1785691989117415</v>
      </c>
      <c r="W3564" s="48">
        <f t="shared" ca="1" si="407"/>
        <v>2.7911331555501175</v>
      </c>
    </row>
    <row r="3565" spans="17:23" x14ac:dyDescent="0.2">
      <c r="Q3565">
        <f t="shared" si="408"/>
        <v>3549</v>
      </c>
      <c r="R3565" s="48">
        <f t="shared" ca="1" si="409"/>
        <v>0.5</v>
      </c>
      <c r="S3565">
        <f t="shared" ca="1" si="410"/>
        <v>173.87471427054413</v>
      </c>
      <c r="T3565" s="61">
        <f t="shared" ca="1" si="404"/>
        <v>24000</v>
      </c>
      <c r="U3565" s="61">
        <f t="shared" ca="1" si="405"/>
        <v>17549.885708217655</v>
      </c>
      <c r="V3565" s="39">
        <f t="shared" ca="1" si="406"/>
        <v>0.11545977439616878</v>
      </c>
      <c r="W3565" s="48">
        <f t="shared" ca="1" si="407"/>
        <v>1.426073557635966</v>
      </c>
    </row>
    <row r="3566" spans="17:23" x14ac:dyDescent="0.2">
      <c r="Q3566">
        <f t="shared" si="408"/>
        <v>3550</v>
      </c>
      <c r="R3566" s="48">
        <f t="shared" ca="1" si="409"/>
        <v>0.35</v>
      </c>
      <c r="S3566">
        <f t="shared" ca="1" si="410"/>
        <v>200.01676092650763</v>
      </c>
      <c r="T3566" s="61">
        <f t="shared" ca="1" si="404"/>
        <v>16800</v>
      </c>
      <c r="U3566" s="61">
        <f t="shared" ca="1" si="405"/>
        <v>22008.715681783968</v>
      </c>
      <c r="V3566" s="39">
        <f t="shared" ca="1" si="406"/>
        <v>0.14479418211699979</v>
      </c>
      <c r="W3566" s="48">
        <f t="shared" ca="1" si="407"/>
        <v>1.9946396979957428</v>
      </c>
    </row>
    <row r="3567" spans="17:23" x14ac:dyDescent="0.2">
      <c r="Q3567">
        <f t="shared" si="408"/>
        <v>3551</v>
      </c>
      <c r="R3567" s="48">
        <f t="shared" ca="1" si="409"/>
        <v>0.3</v>
      </c>
      <c r="S3567">
        <f t="shared" ca="1" si="410"/>
        <v>190.47441927024528</v>
      </c>
      <c r="T3567" s="61">
        <f t="shared" ca="1" si="404"/>
        <v>14400</v>
      </c>
      <c r="U3567" s="61">
        <f t="shared" ca="1" si="405"/>
        <v>14665.674791337355</v>
      </c>
      <c r="V3567" s="39">
        <f t="shared" ca="1" si="406"/>
        <v>9.6484702574587855E-2</v>
      </c>
      <c r="W3567" s="48">
        <f t="shared" ca="1" si="407"/>
        <v>1.1108887597486725</v>
      </c>
    </row>
    <row r="3568" spans="17:23" x14ac:dyDescent="0.2">
      <c r="Q3568">
        <f t="shared" si="408"/>
        <v>3552</v>
      </c>
      <c r="R3568" s="48">
        <f t="shared" ca="1" si="409"/>
        <v>0.3</v>
      </c>
      <c r="S3568">
        <f t="shared" ca="1" si="410"/>
        <v>177.53546545452591</v>
      </c>
      <c r="T3568" s="61">
        <f t="shared" ca="1" si="404"/>
        <v>14400</v>
      </c>
      <c r="U3568" s="61">
        <f t="shared" ca="1" si="405"/>
        <v>7419.8606545345065</v>
      </c>
      <c r="V3568" s="39">
        <f t="shared" ca="1" si="406"/>
        <v>4.8814872727200698E-2</v>
      </c>
      <c r="W3568" s="48">
        <f t="shared" ca="1" si="407"/>
        <v>0.4719415635362012</v>
      </c>
    </row>
    <row r="3569" spans="17:23" x14ac:dyDescent="0.2">
      <c r="Q3569">
        <f t="shared" si="408"/>
        <v>3553</v>
      </c>
      <c r="R3569" s="48">
        <f t="shared" ca="1" si="409"/>
        <v>0.3</v>
      </c>
      <c r="S3569">
        <f t="shared" ca="1" si="410"/>
        <v>205.54234552854723</v>
      </c>
      <c r="T3569" s="61">
        <f t="shared" ca="1" si="404"/>
        <v>14400</v>
      </c>
      <c r="U3569" s="61">
        <f t="shared" ca="1" si="405"/>
        <v>23103.713495986449</v>
      </c>
      <c r="V3569" s="39">
        <f t="shared" ca="1" si="406"/>
        <v>0.151998115105174</v>
      </c>
      <c r="W3569" s="48">
        <f t="shared" ca="1" si="407"/>
        <v>2.1509544294422915</v>
      </c>
    </row>
    <row r="3570" spans="17:23" x14ac:dyDescent="0.2">
      <c r="Q3570">
        <f t="shared" si="408"/>
        <v>3554</v>
      </c>
      <c r="R3570" s="48">
        <f t="shared" ca="1" si="409"/>
        <v>0.35</v>
      </c>
      <c r="S3570">
        <f t="shared" ca="1" si="410"/>
        <v>175.50329417897032</v>
      </c>
      <c r="T3570" s="61">
        <f t="shared" ca="1" si="404"/>
        <v>16800</v>
      </c>
      <c r="U3570" s="61">
        <f t="shared" ca="1" si="405"/>
        <v>9261.7129730645684</v>
      </c>
      <c r="V3570" s="39">
        <f t="shared" ca="1" si="406"/>
        <v>6.0932322191214264E-2</v>
      </c>
      <c r="W3570" s="48">
        <f t="shared" ca="1" si="407"/>
        <v>0.61568105576658816</v>
      </c>
    </row>
    <row r="3571" spans="17:23" x14ac:dyDescent="0.2">
      <c r="Q3571">
        <f t="shared" si="408"/>
        <v>3555</v>
      </c>
      <c r="R3571" s="48">
        <f t="shared" ca="1" si="409"/>
        <v>0.4</v>
      </c>
      <c r="S3571">
        <f t="shared" ca="1" si="410"/>
        <v>194.97383667503041</v>
      </c>
      <c r="T3571" s="61">
        <f t="shared" ca="1" si="404"/>
        <v>19200</v>
      </c>
      <c r="U3571" s="61">
        <f t="shared" ca="1" si="405"/>
        <v>21587.441604014599</v>
      </c>
      <c r="V3571" s="39">
        <f t="shared" ca="1" si="406"/>
        <v>0.14202264213167498</v>
      </c>
      <c r="W3571" s="48">
        <f t="shared" ca="1" si="407"/>
        <v>1.9363378096984034</v>
      </c>
    </row>
    <row r="3572" spans="17:23" x14ac:dyDescent="0.2">
      <c r="Q3572">
        <f t="shared" si="408"/>
        <v>3556</v>
      </c>
      <c r="R3572" s="48">
        <f t="shared" ca="1" si="409"/>
        <v>0.217</v>
      </c>
      <c r="S3572">
        <f t="shared" ca="1" si="410"/>
        <v>174.71457683460369</v>
      </c>
      <c r="T3572" s="61">
        <f t="shared" ca="1" si="404"/>
        <v>10416</v>
      </c>
      <c r="U3572" s="61">
        <f t="shared" ca="1" si="405"/>
        <v>841.21092919575131</v>
      </c>
      <c r="V3572" s="39">
        <f t="shared" ca="1" si="406"/>
        <v>5.5342824289194162E-3</v>
      </c>
      <c r="W3572" s="48">
        <f t="shared" ca="1" si="407"/>
        <v>4.5782512936484165E-2</v>
      </c>
    </row>
    <row r="3573" spans="17:23" x14ac:dyDescent="0.2">
      <c r="Q3573">
        <f t="shared" si="408"/>
        <v>3557</v>
      </c>
      <c r="R3573" s="48">
        <f t="shared" ca="1" si="409"/>
        <v>0.35</v>
      </c>
      <c r="S3573">
        <f t="shared" ca="1" si="410"/>
        <v>136.91422426573871</v>
      </c>
      <c r="T3573" s="61">
        <f t="shared" ca="1" si="404"/>
        <v>16800</v>
      </c>
      <c r="U3573" s="61">
        <f t="shared" ca="1" si="405"/>
        <v>-10804.603381815872</v>
      </c>
      <c r="V3573" s="39">
        <f t="shared" ca="1" si="406"/>
        <v>-7.108291698563074E-2</v>
      </c>
      <c r="W3573" s="48">
        <f t="shared" ca="1" si="407"/>
        <v>-0.45013322196252892</v>
      </c>
    </row>
    <row r="3574" spans="17:23" x14ac:dyDescent="0.2">
      <c r="Q3574">
        <f t="shared" si="408"/>
        <v>3558</v>
      </c>
      <c r="R3574" s="48">
        <f t="shared" ca="1" si="409"/>
        <v>0.4</v>
      </c>
      <c r="S3574">
        <f t="shared" ca="1" si="410"/>
        <v>178.82835058708912</v>
      </c>
      <c r="T3574" s="61">
        <f t="shared" ca="1" si="404"/>
        <v>19200</v>
      </c>
      <c r="U3574" s="61">
        <f t="shared" ca="1" si="405"/>
        <v>13837.608281802777</v>
      </c>
      <c r="V3574" s="39">
        <f t="shared" ca="1" si="406"/>
        <v>9.1036896590807742E-2</v>
      </c>
      <c r="W3574" s="48">
        <f t="shared" ca="1" si="407"/>
        <v>1.027308700082131</v>
      </c>
    </row>
    <row r="3575" spans="17:23" x14ac:dyDescent="0.2">
      <c r="Q3575">
        <f t="shared" si="408"/>
        <v>3559</v>
      </c>
      <c r="R3575" s="48">
        <f t="shared" ca="1" si="409"/>
        <v>0.4</v>
      </c>
      <c r="S3575">
        <f t="shared" ca="1" si="410"/>
        <v>183.08181358394793</v>
      </c>
      <c r="T3575" s="61">
        <f t="shared" ca="1" si="404"/>
        <v>19200</v>
      </c>
      <c r="U3575" s="61">
        <f t="shared" ca="1" si="405"/>
        <v>15879.270520295009</v>
      </c>
      <c r="V3575" s="39">
        <f t="shared" ca="1" si="406"/>
        <v>0.10446888500194085</v>
      </c>
      <c r="W3575" s="48">
        <f t="shared" ca="1" si="407"/>
        <v>1.2388382366217363</v>
      </c>
    </row>
    <row r="3576" spans="17:23" x14ac:dyDescent="0.2">
      <c r="Q3576">
        <f t="shared" si="408"/>
        <v>3560</v>
      </c>
      <c r="R3576" s="48">
        <f t="shared" ca="1" si="409"/>
        <v>0.217</v>
      </c>
      <c r="S3576">
        <f t="shared" ca="1" si="410"/>
        <v>206.49516471371558</v>
      </c>
      <c r="T3576" s="61">
        <f t="shared" ca="1" si="404"/>
        <v>10416</v>
      </c>
      <c r="U3576" s="61">
        <f t="shared" ca="1" si="405"/>
        <v>20748.571176671438</v>
      </c>
      <c r="V3576" s="39">
        <f t="shared" ca="1" si="406"/>
        <v>0.13650375774125945</v>
      </c>
      <c r="W3576" s="48">
        <f t="shared" ca="1" si="407"/>
        <v>1.8231993795826078</v>
      </c>
    </row>
    <row r="3577" spans="17:23" x14ac:dyDescent="0.2">
      <c r="Q3577">
        <f t="shared" si="408"/>
        <v>3561</v>
      </c>
      <c r="R3577" s="48">
        <f t="shared" ca="1" si="409"/>
        <v>0.4</v>
      </c>
      <c r="S3577">
        <f t="shared" ca="1" si="410"/>
        <v>192.67919721397467</v>
      </c>
      <c r="T3577" s="61">
        <f t="shared" ref="T3577:T3640" ca="1" si="411">($B$8-$B$7)*($E$6*R3577)</f>
        <v>19200</v>
      </c>
      <c r="U3577" s="61">
        <f t="shared" ref="U3577:U3640" ca="1" si="412">T3577+((S3577-$B$7)*($E$6*(1-R3577)))</f>
        <v>20486.014662707843</v>
      </c>
      <c r="V3577" s="39">
        <f t="shared" ref="V3577:V3640" ca="1" si="413">U3577/$E$4</f>
        <v>0.13477641225465686</v>
      </c>
      <c r="W3577" s="48">
        <f t="shared" ref="W3577:W3640" ca="1" si="414">(1+V3577)^($J$29/$J$30)-1</f>
        <v>1.788582793803343</v>
      </c>
    </row>
    <row r="3578" spans="17:23" x14ac:dyDescent="0.2">
      <c r="Q3578">
        <f t="shared" si="408"/>
        <v>3562</v>
      </c>
      <c r="R3578" s="48">
        <f t="shared" ca="1" si="409"/>
        <v>0.35</v>
      </c>
      <c r="S3578">
        <f t="shared" ca="1" si="410"/>
        <v>205.48700378354064</v>
      </c>
      <c r="T3578" s="61">
        <f t="shared" ca="1" si="411"/>
        <v>16800</v>
      </c>
      <c r="U3578" s="61">
        <f t="shared" ca="1" si="412"/>
        <v>24853.241967441136</v>
      </c>
      <c r="V3578" s="39">
        <f t="shared" ca="1" si="413"/>
        <v>0.16350817083842853</v>
      </c>
      <c r="W3578" s="48">
        <f t="shared" ca="1" si="414"/>
        <v>2.4155701962692908</v>
      </c>
    </row>
    <row r="3579" spans="17:23" x14ac:dyDescent="0.2">
      <c r="Q3579">
        <f t="shared" si="408"/>
        <v>3563</v>
      </c>
      <c r="R3579" s="48">
        <f t="shared" ca="1" si="409"/>
        <v>0.3</v>
      </c>
      <c r="S3579">
        <f t="shared" ca="1" si="410"/>
        <v>203.48687699153439</v>
      </c>
      <c r="T3579" s="61">
        <f t="shared" ca="1" si="411"/>
        <v>14400</v>
      </c>
      <c r="U3579" s="61">
        <f t="shared" ca="1" si="412"/>
        <v>21952.651115259257</v>
      </c>
      <c r="V3579" s="39">
        <f t="shared" ca="1" si="413"/>
        <v>0.14442533628460039</v>
      </c>
      <c r="W3579" s="48">
        <f t="shared" ca="1" si="414"/>
        <v>1.9868226114852776</v>
      </c>
    </row>
    <row r="3580" spans="17:23" x14ac:dyDescent="0.2">
      <c r="Q3580">
        <f t="shared" si="408"/>
        <v>3564</v>
      </c>
      <c r="R3580" s="48">
        <f t="shared" ca="1" si="409"/>
        <v>0.35</v>
      </c>
      <c r="S3580">
        <f t="shared" ca="1" si="410"/>
        <v>160.2291700478581</v>
      </c>
      <c r="T3580" s="61">
        <f t="shared" ca="1" si="411"/>
        <v>16800</v>
      </c>
      <c r="U3580" s="61">
        <f t="shared" ca="1" si="412"/>
        <v>1319.1684248862148</v>
      </c>
      <c r="V3580" s="39">
        <f t="shared" ca="1" si="413"/>
        <v>8.6787396374093072E-3</v>
      </c>
      <c r="W3580" s="48">
        <f t="shared" ca="1" si="414"/>
        <v>7.2605259322918725E-2</v>
      </c>
    </row>
    <row r="3581" spans="17:23" x14ac:dyDescent="0.2">
      <c r="Q3581">
        <f t="shared" si="408"/>
        <v>3565</v>
      </c>
      <c r="R3581" s="48">
        <f t="shared" ca="1" si="409"/>
        <v>0.3</v>
      </c>
      <c r="S3581">
        <f t="shared" ca="1" si="410"/>
        <v>197.61129087717151</v>
      </c>
      <c r="T3581" s="61">
        <f t="shared" ca="1" si="411"/>
        <v>14400</v>
      </c>
      <c r="U3581" s="61">
        <f t="shared" ca="1" si="412"/>
        <v>18662.322891216048</v>
      </c>
      <c r="V3581" s="39">
        <f t="shared" ca="1" si="413"/>
        <v>0.1227784400737898</v>
      </c>
      <c r="W3581" s="48">
        <f t="shared" ca="1" si="414"/>
        <v>1.5582368246908058</v>
      </c>
    </row>
    <row r="3582" spans="17:23" x14ac:dyDescent="0.2">
      <c r="Q3582">
        <f t="shared" si="408"/>
        <v>3566</v>
      </c>
      <c r="R3582" s="48">
        <f t="shared" ca="1" si="409"/>
        <v>0.3</v>
      </c>
      <c r="S3582">
        <f t="shared" ca="1" si="410"/>
        <v>176.98740241660298</v>
      </c>
      <c r="T3582" s="61">
        <f t="shared" ca="1" si="411"/>
        <v>14400</v>
      </c>
      <c r="U3582" s="61">
        <f t="shared" ca="1" si="412"/>
        <v>7112.9453532976659</v>
      </c>
      <c r="V3582" s="39">
        <f t="shared" ca="1" si="413"/>
        <v>4.6795693113800434E-2</v>
      </c>
      <c r="W3582" s="48">
        <f t="shared" ca="1" si="414"/>
        <v>0.44911315120062123</v>
      </c>
    </row>
    <row r="3583" spans="17:23" x14ac:dyDescent="0.2">
      <c r="Q3583">
        <f t="shared" si="408"/>
        <v>3567</v>
      </c>
      <c r="R3583" s="48">
        <f t="shared" ca="1" si="409"/>
        <v>0.35</v>
      </c>
      <c r="S3583">
        <f t="shared" ca="1" si="410"/>
        <v>183.8651970605946</v>
      </c>
      <c r="T3583" s="61">
        <f t="shared" ca="1" si="411"/>
        <v>16800</v>
      </c>
      <c r="U3583" s="61">
        <f t="shared" ca="1" si="412"/>
        <v>13609.902471509191</v>
      </c>
      <c r="V3583" s="39">
        <f t="shared" ca="1" si="413"/>
        <v>8.9538832049402578E-2</v>
      </c>
      <c r="W3583" s="48">
        <f t="shared" ca="1" si="414"/>
        <v>1.0048403155163048</v>
      </c>
    </row>
    <row r="3584" spans="17:23" x14ac:dyDescent="0.2">
      <c r="Q3584">
        <f t="shared" si="408"/>
        <v>3568</v>
      </c>
      <c r="R3584" s="48">
        <f t="shared" ca="1" si="409"/>
        <v>0.4</v>
      </c>
      <c r="S3584">
        <f t="shared" ca="1" si="410"/>
        <v>184.53497078564203</v>
      </c>
      <c r="T3584" s="61">
        <f t="shared" ca="1" si="411"/>
        <v>19200</v>
      </c>
      <c r="U3584" s="61">
        <f t="shared" ca="1" si="412"/>
        <v>16576.785977108175</v>
      </c>
      <c r="V3584" s="39">
        <f t="shared" ca="1" si="413"/>
        <v>0.10905780248097484</v>
      </c>
      <c r="W3584" s="48">
        <f t="shared" ca="1" si="414"/>
        <v>1.3154124349768757</v>
      </c>
    </row>
    <row r="3585" spans="17:23" x14ac:dyDescent="0.2">
      <c r="Q3585">
        <f t="shared" si="408"/>
        <v>3569</v>
      </c>
      <c r="R3585" s="48">
        <f t="shared" ca="1" si="409"/>
        <v>0.3</v>
      </c>
      <c r="S3585">
        <f t="shared" ca="1" si="410"/>
        <v>204.59299310945482</v>
      </c>
      <c r="T3585" s="61">
        <f t="shared" ca="1" si="411"/>
        <v>14400</v>
      </c>
      <c r="U3585" s="61">
        <f t="shared" ca="1" si="412"/>
        <v>22572.076141294703</v>
      </c>
      <c r="V3585" s="39">
        <f t="shared" ca="1" si="413"/>
        <v>0.14850050092957043</v>
      </c>
      <c r="W3585" s="48">
        <f t="shared" ca="1" si="414"/>
        <v>2.0741903491158653</v>
      </c>
    </row>
    <row r="3586" spans="17:23" x14ac:dyDescent="0.2">
      <c r="Q3586">
        <f t="shared" si="408"/>
        <v>3570</v>
      </c>
      <c r="R3586" s="48">
        <f t="shared" ca="1" si="409"/>
        <v>0.35</v>
      </c>
      <c r="S3586">
        <f t="shared" ca="1" si="410"/>
        <v>176.63947147549732</v>
      </c>
      <c r="T3586" s="61">
        <f t="shared" ca="1" si="411"/>
        <v>16800</v>
      </c>
      <c r="U3586" s="61">
        <f t="shared" ca="1" si="412"/>
        <v>9852.5251672586055</v>
      </c>
      <c r="V3586" s="39">
        <f t="shared" ca="1" si="413"/>
        <v>6.4819244521438196E-2</v>
      </c>
      <c r="W3586" s="48">
        <f t="shared" ca="1" si="414"/>
        <v>0.66432365978320207</v>
      </c>
    </row>
    <row r="3587" spans="17:23" x14ac:dyDescent="0.2">
      <c r="Q3587">
        <f t="shared" si="408"/>
        <v>3571</v>
      </c>
      <c r="R3587" s="48">
        <f t="shared" ca="1" si="409"/>
        <v>0.4</v>
      </c>
      <c r="S3587">
        <f t="shared" ca="1" si="410"/>
        <v>182.89761056865837</v>
      </c>
      <c r="T3587" s="61">
        <f t="shared" ca="1" si="411"/>
        <v>19200</v>
      </c>
      <c r="U3587" s="61">
        <f t="shared" ca="1" si="412"/>
        <v>15790.853072956015</v>
      </c>
      <c r="V3587" s="39">
        <f t="shared" ca="1" si="413"/>
        <v>0.10388719126944747</v>
      </c>
      <c r="W3587" s="48">
        <f t="shared" ca="1" si="414"/>
        <v>1.2292920304382129</v>
      </c>
    </row>
    <row r="3588" spans="17:23" x14ac:dyDescent="0.2">
      <c r="Q3588">
        <f t="shared" si="408"/>
        <v>3572</v>
      </c>
      <c r="R3588" s="48">
        <f t="shared" ca="1" si="409"/>
        <v>0.45</v>
      </c>
      <c r="S3588">
        <f t="shared" ca="1" si="410"/>
        <v>185.76105829212685</v>
      </c>
      <c r="T3588" s="61">
        <f t="shared" ca="1" si="411"/>
        <v>21600</v>
      </c>
      <c r="U3588" s="61">
        <f t="shared" ca="1" si="412"/>
        <v>19734.865648535811</v>
      </c>
      <c r="V3588" s="39">
        <f t="shared" ca="1" si="413"/>
        <v>0.12983464242457771</v>
      </c>
      <c r="W3588" s="48">
        <f t="shared" ca="1" si="414"/>
        <v>1.6915945283314238</v>
      </c>
    </row>
    <row r="3589" spans="17:23" x14ac:dyDescent="0.2">
      <c r="Q3589">
        <f t="shared" si="408"/>
        <v>3573</v>
      </c>
      <c r="R3589" s="48">
        <f t="shared" ca="1" si="409"/>
        <v>0.5</v>
      </c>
      <c r="S3589">
        <f t="shared" ca="1" si="410"/>
        <v>177.60144943772778</v>
      </c>
      <c r="T3589" s="61">
        <f t="shared" ca="1" si="411"/>
        <v>24000</v>
      </c>
      <c r="U3589" s="61">
        <f t="shared" ca="1" si="412"/>
        <v>19040.579775091112</v>
      </c>
      <c r="V3589" s="39">
        <f t="shared" ca="1" si="413"/>
        <v>0.12526697220454677</v>
      </c>
      <c r="W3589" s="48">
        <f t="shared" ca="1" si="414"/>
        <v>1.6045916260750355</v>
      </c>
    </row>
    <row r="3590" spans="17:23" x14ac:dyDescent="0.2">
      <c r="Q3590">
        <f t="shared" si="408"/>
        <v>3574</v>
      </c>
      <c r="R3590" s="48">
        <f t="shared" ca="1" si="409"/>
        <v>0.4</v>
      </c>
      <c r="S3590">
        <f t="shared" ca="1" si="410"/>
        <v>183.64276192278777</v>
      </c>
      <c r="T3590" s="61">
        <f t="shared" ca="1" si="411"/>
        <v>19200</v>
      </c>
      <c r="U3590" s="61">
        <f t="shared" ca="1" si="412"/>
        <v>16148.52572293813</v>
      </c>
      <c r="V3590" s="39">
        <f t="shared" ca="1" si="413"/>
        <v>0.10624030080880348</v>
      </c>
      <c r="W3590" s="48">
        <f t="shared" ca="1" si="414"/>
        <v>1.2681301499409097</v>
      </c>
    </row>
    <row r="3591" spans="17:23" x14ac:dyDescent="0.2">
      <c r="Q3591">
        <f t="shared" si="408"/>
        <v>3575</v>
      </c>
      <c r="R3591" s="48">
        <f t="shared" ca="1" si="409"/>
        <v>0.35</v>
      </c>
      <c r="S3591">
        <f t="shared" ca="1" si="410"/>
        <v>205.77189222827431</v>
      </c>
      <c r="T3591" s="61">
        <f t="shared" ca="1" si="411"/>
        <v>16800</v>
      </c>
      <c r="U3591" s="61">
        <f t="shared" ca="1" si="412"/>
        <v>25001.383958702641</v>
      </c>
      <c r="V3591" s="39">
        <f t="shared" ca="1" si="413"/>
        <v>0.16448278920199105</v>
      </c>
      <c r="W3591" s="48">
        <f t="shared" ca="1" si="414"/>
        <v>2.4388458812510567</v>
      </c>
    </row>
    <row r="3592" spans="17:23" x14ac:dyDescent="0.2">
      <c r="Q3592">
        <f t="shared" si="408"/>
        <v>3576</v>
      </c>
      <c r="R3592" s="48">
        <f t="shared" ca="1" si="409"/>
        <v>0.4</v>
      </c>
      <c r="S3592">
        <f t="shared" ca="1" si="410"/>
        <v>184.83617070638687</v>
      </c>
      <c r="T3592" s="61">
        <f t="shared" ca="1" si="411"/>
        <v>19200</v>
      </c>
      <c r="U3592" s="61">
        <f t="shared" ca="1" si="412"/>
        <v>16721.361939065697</v>
      </c>
      <c r="V3592" s="39">
        <f t="shared" ca="1" si="413"/>
        <v>0.11000896012543221</v>
      </c>
      <c r="W3592" s="48">
        <f t="shared" ca="1" si="414"/>
        <v>1.3315683529153541</v>
      </c>
    </row>
    <row r="3593" spans="17:23" x14ac:dyDescent="0.2">
      <c r="Q3593">
        <f t="shared" si="408"/>
        <v>3577</v>
      </c>
      <c r="R3593" s="48">
        <f t="shared" ca="1" si="409"/>
        <v>0.4</v>
      </c>
      <c r="S3593">
        <f t="shared" ca="1" si="410"/>
        <v>189.0938948025273</v>
      </c>
      <c r="T3593" s="61">
        <f t="shared" ca="1" si="411"/>
        <v>19200</v>
      </c>
      <c r="U3593" s="61">
        <f t="shared" ca="1" si="412"/>
        <v>18765.069505213105</v>
      </c>
      <c r="V3593" s="39">
        <f t="shared" ca="1" si="413"/>
        <v>0.12345440463955989</v>
      </c>
      <c r="W3593" s="48">
        <f t="shared" ca="1" si="414"/>
        <v>1.5707561453303507</v>
      </c>
    </row>
    <row r="3594" spans="17:23" x14ac:dyDescent="0.2">
      <c r="Q3594">
        <f t="shared" si="408"/>
        <v>3578</v>
      </c>
      <c r="R3594" s="48">
        <f t="shared" ca="1" si="409"/>
        <v>0.3</v>
      </c>
      <c r="S3594">
        <f t="shared" ca="1" si="410"/>
        <v>241.76206488093251</v>
      </c>
      <c r="T3594" s="61">
        <f t="shared" ca="1" si="411"/>
        <v>14400</v>
      </c>
      <c r="U3594" s="61">
        <f t="shared" ca="1" si="412"/>
        <v>43386.756333322206</v>
      </c>
      <c r="V3594" s="39">
        <f t="shared" ca="1" si="413"/>
        <v>0.28543918640343557</v>
      </c>
      <c r="W3594" s="48">
        <f t="shared" ca="1" si="414"/>
        <v>6.6652993281743678</v>
      </c>
    </row>
    <row r="3595" spans="17:23" x14ac:dyDescent="0.2">
      <c r="Q3595">
        <f t="shared" si="408"/>
        <v>3579</v>
      </c>
      <c r="R3595" s="48">
        <f t="shared" ca="1" si="409"/>
        <v>0.217</v>
      </c>
      <c r="S3595">
        <f t="shared" ca="1" si="410"/>
        <v>182.19035755551286</v>
      </c>
      <c r="T3595" s="61">
        <f t="shared" ca="1" si="411"/>
        <v>10416</v>
      </c>
      <c r="U3595" s="61">
        <f t="shared" ca="1" si="412"/>
        <v>5524.0399727732565</v>
      </c>
      <c r="V3595" s="39">
        <f t="shared" ca="1" si="413"/>
        <v>3.6342368241929317E-2</v>
      </c>
      <c r="W3595" s="48">
        <f t="shared" ca="1" si="414"/>
        <v>0.33582206287125782</v>
      </c>
    </row>
    <row r="3596" spans="17:23" x14ac:dyDescent="0.2">
      <c r="Q3596">
        <f t="shared" si="408"/>
        <v>3580</v>
      </c>
      <c r="R3596" s="48">
        <f t="shared" ca="1" si="409"/>
        <v>0.45</v>
      </c>
      <c r="S3596">
        <f t="shared" ca="1" si="410"/>
        <v>185.44311360569216</v>
      </c>
      <c r="T3596" s="61">
        <f t="shared" ca="1" si="411"/>
        <v>21600</v>
      </c>
      <c r="U3596" s="61">
        <f t="shared" ca="1" si="412"/>
        <v>19594.969986504551</v>
      </c>
      <c r="V3596" s="39">
        <f t="shared" ca="1" si="413"/>
        <v>0.12891427622700363</v>
      </c>
      <c r="W3596" s="48">
        <f t="shared" ca="1" si="414"/>
        <v>1.6738616942153093</v>
      </c>
    </row>
    <row r="3597" spans="17:23" x14ac:dyDescent="0.2">
      <c r="Q3597">
        <f t="shared" si="408"/>
        <v>3581</v>
      </c>
      <c r="R3597" s="48">
        <f t="shared" ca="1" si="409"/>
        <v>0.4</v>
      </c>
      <c r="S3597">
        <f t="shared" ca="1" si="410"/>
        <v>182.47353464467849</v>
      </c>
      <c r="T3597" s="61">
        <f t="shared" ca="1" si="411"/>
        <v>19200</v>
      </c>
      <c r="U3597" s="61">
        <f t="shared" ca="1" si="412"/>
        <v>15587.296629445678</v>
      </c>
      <c r="V3597" s="39">
        <f t="shared" ca="1" si="413"/>
        <v>0.10254800414108999</v>
      </c>
      <c r="W3597" s="48">
        <f t="shared" ca="1" si="414"/>
        <v>1.2074500923162392</v>
      </c>
    </row>
    <row r="3598" spans="17:23" x14ac:dyDescent="0.2">
      <c r="Q3598">
        <f t="shared" si="408"/>
        <v>3582</v>
      </c>
      <c r="R3598" s="48">
        <f t="shared" ca="1" si="409"/>
        <v>0.35</v>
      </c>
      <c r="S3598">
        <f t="shared" ca="1" si="410"/>
        <v>185.41084049693313</v>
      </c>
      <c r="T3598" s="61">
        <f t="shared" ca="1" si="411"/>
        <v>16800</v>
      </c>
      <c r="U3598" s="61">
        <f t="shared" ca="1" si="412"/>
        <v>14413.637058405229</v>
      </c>
      <c r="V3598" s="39">
        <f t="shared" ca="1" si="413"/>
        <v>9.4826559594771251E-2</v>
      </c>
      <c r="W3598" s="48">
        <f t="shared" ca="1" si="414"/>
        <v>1.0851355784834515</v>
      </c>
    </row>
    <row r="3599" spans="17:23" x14ac:dyDescent="0.2">
      <c r="Q3599">
        <f t="shared" si="408"/>
        <v>3583</v>
      </c>
      <c r="R3599" s="48">
        <f t="shared" ca="1" si="409"/>
        <v>0.45</v>
      </c>
      <c r="S3599">
        <f t="shared" ca="1" si="410"/>
        <v>186.18534343685616</v>
      </c>
      <c r="T3599" s="61">
        <f t="shared" ca="1" si="411"/>
        <v>21600</v>
      </c>
      <c r="U3599" s="61">
        <f t="shared" ca="1" si="412"/>
        <v>19921.551112216708</v>
      </c>
      <c r="V3599" s="39">
        <f t="shared" ca="1" si="413"/>
        <v>0.13106283626458359</v>
      </c>
      <c r="W3599" s="48">
        <f t="shared" ca="1" si="414"/>
        <v>1.7154188791000982</v>
      </c>
    </row>
    <row r="3600" spans="17:23" x14ac:dyDescent="0.2">
      <c r="Q3600">
        <f t="shared" si="408"/>
        <v>3584</v>
      </c>
      <c r="R3600" s="48">
        <f t="shared" ca="1" si="409"/>
        <v>0.45</v>
      </c>
      <c r="S3600">
        <f t="shared" ca="1" si="410"/>
        <v>174.06692661630345</v>
      </c>
      <c r="T3600" s="61">
        <f t="shared" ca="1" si="411"/>
        <v>21600</v>
      </c>
      <c r="U3600" s="61">
        <f t="shared" ca="1" si="412"/>
        <v>14589.447711173516</v>
      </c>
      <c r="V3600" s="39">
        <f t="shared" ca="1" si="413"/>
        <v>9.5983208626141556E-2</v>
      </c>
      <c r="W3600" s="48">
        <f t="shared" ca="1" si="414"/>
        <v>1.1030706338952068</v>
      </c>
    </row>
    <row r="3601" spans="17:23" x14ac:dyDescent="0.2">
      <c r="Q3601">
        <f t="shared" si="408"/>
        <v>3585</v>
      </c>
      <c r="R3601" s="48">
        <f t="shared" ca="1" si="409"/>
        <v>0.4</v>
      </c>
      <c r="S3601">
        <f t="shared" ca="1" si="410"/>
        <v>192.97126063367793</v>
      </c>
      <c r="T3601" s="61">
        <f t="shared" ca="1" si="411"/>
        <v>19200</v>
      </c>
      <c r="U3601" s="61">
        <f t="shared" ca="1" si="412"/>
        <v>20626.205104165405</v>
      </c>
      <c r="V3601" s="39">
        <f t="shared" ca="1" si="413"/>
        <v>0.13569871779056186</v>
      </c>
      <c r="W3601" s="48">
        <f t="shared" ca="1" si="414"/>
        <v>1.8070195159220424</v>
      </c>
    </row>
    <row r="3602" spans="17:23" x14ac:dyDescent="0.2">
      <c r="Q3602">
        <f t="shared" si="408"/>
        <v>3586</v>
      </c>
      <c r="R3602" s="48">
        <f t="shared" ca="1" si="409"/>
        <v>0.217</v>
      </c>
      <c r="S3602">
        <f t="shared" ca="1" si="410"/>
        <v>216.6078168122562</v>
      </c>
      <c r="T3602" s="61">
        <f t="shared" ca="1" si="411"/>
        <v>10416</v>
      </c>
      <c r="U3602" s="61">
        <f t="shared" ca="1" si="412"/>
        <v>27083.136451197286</v>
      </c>
      <c r="V3602" s="39">
        <f t="shared" ca="1" si="413"/>
        <v>0.17817852928419267</v>
      </c>
      <c r="W3602" s="48">
        <f t="shared" ca="1" si="414"/>
        <v>2.7809521156295474</v>
      </c>
    </row>
    <row r="3603" spans="17:23" x14ac:dyDescent="0.2">
      <c r="Q3603">
        <f t="shared" ref="Q3603:Q3666" si="415">Q3602+1</f>
        <v>3587</v>
      </c>
      <c r="R3603" s="48">
        <f t="shared" ref="R3603:R3666" ca="1" si="416">LOOKUP(RAND(),$U$6:$U$12,$S$6:$S$12)</f>
        <v>0.4</v>
      </c>
      <c r="S3603">
        <f t="shared" ref="S3603:S3666" ca="1" si="417">_xlfn.NORM.INV(RAND(),$Q$5,$Q$10)</f>
        <v>193.66035842639951</v>
      </c>
      <c r="T3603" s="61">
        <f t="shared" ca="1" si="411"/>
        <v>19200</v>
      </c>
      <c r="U3603" s="61">
        <f t="shared" ca="1" si="412"/>
        <v>20956.972044671766</v>
      </c>
      <c r="V3603" s="39">
        <f t="shared" ca="1" si="413"/>
        <v>0.13787481608336688</v>
      </c>
      <c r="W3603" s="48">
        <f t="shared" ca="1" si="414"/>
        <v>1.8509434633535453</v>
      </c>
    </row>
    <row r="3604" spans="17:23" x14ac:dyDescent="0.2">
      <c r="Q3604">
        <f t="shared" si="415"/>
        <v>3588</v>
      </c>
      <c r="R3604" s="48">
        <f t="shared" ca="1" si="416"/>
        <v>0.3</v>
      </c>
      <c r="S3604">
        <f t="shared" ca="1" si="417"/>
        <v>186.43878483670096</v>
      </c>
      <c r="T3604" s="61">
        <f t="shared" ca="1" si="411"/>
        <v>14400</v>
      </c>
      <c r="U3604" s="61">
        <f t="shared" ca="1" si="412"/>
        <v>12405.719508552538</v>
      </c>
      <c r="V3604" s="39">
        <f t="shared" ca="1" si="413"/>
        <v>8.1616575714161435E-2</v>
      </c>
      <c r="W3604" s="48">
        <f t="shared" ca="1" si="414"/>
        <v>0.88961183140264954</v>
      </c>
    </row>
    <row r="3605" spans="17:23" x14ac:dyDescent="0.2">
      <c r="Q3605">
        <f t="shared" si="415"/>
        <v>3589</v>
      </c>
      <c r="R3605" s="48">
        <f t="shared" ca="1" si="416"/>
        <v>0.4</v>
      </c>
      <c r="S3605">
        <f t="shared" ca="1" si="417"/>
        <v>177.54691997403134</v>
      </c>
      <c r="T3605" s="61">
        <f t="shared" ca="1" si="411"/>
        <v>19200</v>
      </c>
      <c r="U3605" s="61">
        <f t="shared" ca="1" si="412"/>
        <v>13222.521587535044</v>
      </c>
      <c r="V3605" s="39">
        <f t="shared" ca="1" si="413"/>
        <v>8.6990273602204238E-2</v>
      </c>
      <c r="W3605" s="48">
        <f t="shared" ca="1" si="414"/>
        <v>0.96711766024013768</v>
      </c>
    </row>
    <row r="3606" spans="17:23" x14ac:dyDescent="0.2">
      <c r="Q3606">
        <f t="shared" si="415"/>
        <v>3590</v>
      </c>
      <c r="R3606" s="48">
        <f t="shared" ca="1" si="416"/>
        <v>0.4</v>
      </c>
      <c r="S3606">
        <f t="shared" ca="1" si="417"/>
        <v>196.13343756074372</v>
      </c>
      <c r="T3606" s="61">
        <f t="shared" ca="1" si="411"/>
        <v>19200</v>
      </c>
      <c r="U3606" s="61">
        <f t="shared" ca="1" si="412"/>
        <v>22144.050029156984</v>
      </c>
      <c r="V3606" s="39">
        <f t="shared" ca="1" si="413"/>
        <v>0.14568453966550649</v>
      </c>
      <c r="W3606" s="48">
        <f t="shared" ca="1" si="414"/>
        <v>2.0135833262267844</v>
      </c>
    </row>
    <row r="3607" spans="17:23" x14ac:dyDescent="0.2">
      <c r="Q3607">
        <f t="shared" si="415"/>
        <v>3591</v>
      </c>
      <c r="R3607" s="48">
        <f t="shared" ca="1" si="416"/>
        <v>0.35</v>
      </c>
      <c r="S3607">
        <f t="shared" ca="1" si="417"/>
        <v>209.26891553434604</v>
      </c>
      <c r="T3607" s="61">
        <f t="shared" ca="1" si="411"/>
        <v>16800</v>
      </c>
      <c r="U3607" s="61">
        <f t="shared" ca="1" si="412"/>
        <v>26819.836077859938</v>
      </c>
      <c r="V3607" s="39">
        <f t="shared" ca="1" si="413"/>
        <v>0.17644628998592066</v>
      </c>
      <c r="W3607" s="48">
        <f t="shared" ca="1" si="414"/>
        <v>2.736097323276689</v>
      </c>
    </row>
    <row r="3608" spans="17:23" x14ac:dyDescent="0.2">
      <c r="Q3608">
        <f t="shared" si="415"/>
        <v>3592</v>
      </c>
      <c r="R3608" s="48">
        <f t="shared" ca="1" si="416"/>
        <v>0.4</v>
      </c>
      <c r="S3608">
        <f t="shared" ca="1" si="417"/>
        <v>196.18858088261439</v>
      </c>
      <c r="T3608" s="61">
        <f t="shared" ca="1" si="411"/>
        <v>19200</v>
      </c>
      <c r="U3608" s="61">
        <f t="shared" ca="1" si="412"/>
        <v>22170.518823654907</v>
      </c>
      <c r="V3608" s="39">
        <f t="shared" ca="1" si="413"/>
        <v>0.14585867647141387</v>
      </c>
      <c r="W3608" s="48">
        <f t="shared" ca="1" si="414"/>
        <v>2.0173005934992556</v>
      </c>
    </row>
    <row r="3609" spans="17:23" x14ac:dyDescent="0.2">
      <c r="Q3609">
        <f t="shared" si="415"/>
        <v>3593</v>
      </c>
      <c r="R3609" s="48">
        <f t="shared" ca="1" si="416"/>
        <v>0.45</v>
      </c>
      <c r="S3609">
        <f t="shared" ca="1" si="417"/>
        <v>176.04385843285846</v>
      </c>
      <c r="T3609" s="61">
        <f t="shared" ca="1" si="411"/>
        <v>21600</v>
      </c>
      <c r="U3609" s="61">
        <f t="shared" ca="1" si="412"/>
        <v>15459.29771045772</v>
      </c>
      <c r="V3609" s="39">
        <f t="shared" ca="1" si="413"/>
        <v>0.10170590598985342</v>
      </c>
      <c r="W3609" s="48">
        <f t="shared" ca="1" si="414"/>
        <v>1.1938118847550854</v>
      </c>
    </row>
    <row r="3610" spans="17:23" x14ac:dyDescent="0.2">
      <c r="Q3610">
        <f t="shared" si="415"/>
        <v>3594</v>
      </c>
      <c r="R3610" s="48">
        <f t="shared" ca="1" si="416"/>
        <v>0.45</v>
      </c>
      <c r="S3610">
        <f t="shared" ca="1" si="417"/>
        <v>226.48345812475281</v>
      </c>
      <c r="T3610" s="61">
        <f t="shared" ca="1" si="411"/>
        <v>21600</v>
      </c>
      <c r="U3610" s="61">
        <f t="shared" ca="1" si="412"/>
        <v>37652.721574891242</v>
      </c>
      <c r="V3610" s="39">
        <f t="shared" ca="1" si="413"/>
        <v>0.24771527351902134</v>
      </c>
      <c r="W3610" s="48">
        <f t="shared" ca="1" si="414"/>
        <v>5.0200961857563238</v>
      </c>
    </row>
    <row r="3611" spans="17:23" x14ac:dyDescent="0.2">
      <c r="Q3611">
        <f t="shared" si="415"/>
        <v>3595</v>
      </c>
      <c r="R3611" s="48">
        <f t="shared" ca="1" si="416"/>
        <v>0.45</v>
      </c>
      <c r="S3611">
        <f t="shared" ca="1" si="417"/>
        <v>185.61883468911515</v>
      </c>
      <c r="T3611" s="61">
        <f t="shared" ca="1" si="411"/>
        <v>21600</v>
      </c>
      <c r="U3611" s="61">
        <f t="shared" ca="1" si="412"/>
        <v>19672.287263210663</v>
      </c>
      <c r="V3611" s="39">
        <f t="shared" ca="1" si="413"/>
        <v>0.12942294252112277</v>
      </c>
      <c r="W3611" s="48">
        <f t="shared" ca="1" si="414"/>
        <v>1.6836495403602725</v>
      </c>
    </row>
    <row r="3612" spans="17:23" x14ac:dyDescent="0.2">
      <c r="Q3612">
        <f t="shared" si="415"/>
        <v>3596</v>
      </c>
      <c r="R3612" s="48">
        <f t="shared" ca="1" si="416"/>
        <v>0.35</v>
      </c>
      <c r="S3612">
        <f t="shared" ca="1" si="417"/>
        <v>187.38656676460081</v>
      </c>
      <c r="T3612" s="61">
        <f t="shared" ca="1" si="411"/>
        <v>16800</v>
      </c>
      <c r="U3612" s="61">
        <f t="shared" ca="1" si="412"/>
        <v>15441.014717592423</v>
      </c>
      <c r="V3612" s="39">
        <f t="shared" ca="1" si="413"/>
        <v>0.10158562314205541</v>
      </c>
      <c r="W3612" s="48">
        <f t="shared" ca="1" si="414"/>
        <v>1.1918698849795173</v>
      </c>
    </row>
    <row r="3613" spans="17:23" x14ac:dyDescent="0.2">
      <c r="Q3613">
        <f t="shared" si="415"/>
        <v>3597</v>
      </c>
      <c r="R3613" s="48">
        <f t="shared" ca="1" si="416"/>
        <v>0.3</v>
      </c>
      <c r="S3613">
        <f t="shared" ca="1" si="417"/>
        <v>191.30718006053928</v>
      </c>
      <c r="T3613" s="61">
        <f t="shared" ca="1" si="411"/>
        <v>14400</v>
      </c>
      <c r="U3613" s="61">
        <f t="shared" ca="1" si="412"/>
        <v>15132.020833901997</v>
      </c>
      <c r="V3613" s="39">
        <f t="shared" ca="1" si="413"/>
        <v>9.9552768644092085E-2</v>
      </c>
      <c r="W3613" s="48">
        <f t="shared" ca="1" si="414"/>
        <v>1.1592760884235251</v>
      </c>
    </row>
    <row r="3614" spans="17:23" x14ac:dyDescent="0.2">
      <c r="Q3614">
        <f t="shared" si="415"/>
        <v>3598</v>
      </c>
      <c r="R3614" s="48">
        <f t="shared" ca="1" si="416"/>
        <v>0.4</v>
      </c>
      <c r="S3614">
        <f t="shared" ca="1" si="417"/>
        <v>191.20365465078109</v>
      </c>
      <c r="T3614" s="61">
        <f t="shared" ca="1" si="411"/>
        <v>19200</v>
      </c>
      <c r="U3614" s="61">
        <f t="shared" ca="1" si="412"/>
        <v>19777.754232374922</v>
      </c>
      <c r="V3614" s="39">
        <f t="shared" ca="1" si="413"/>
        <v>0.13011680416036134</v>
      </c>
      <c r="W3614" s="48">
        <f t="shared" ca="1" si="414"/>
        <v>1.6970515902023235</v>
      </c>
    </row>
    <row r="3615" spans="17:23" x14ac:dyDescent="0.2">
      <c r="Q3615">
        <f t="shared" si="415"/>
        <v>3599</v>
      </c>
      <c r="R3615" s="48">
        <f t="shared" ca="1" si="416"/>
        <v>0.35</v>
      </c>
      <c r="S3615">
        <f t="shared" ca="1" si="417"/>
        <v>207.29065310063257</v>
      </c>
      <c r="T3615" s="61">
        <f t="shared" ca="1" si="411"/>
        <v>16800</v>
      </c>
      <c r="U3615" s="61">
        <f t="shared" ca="1" si="412"/>
        <v>25791.139612328938</v>
      </c>
      <c r="V3615" s="39">
        <f t="shared" ca="1" si="413"/>
        <v>0.16967855008111143</v>
      </c>
      <c r="W3615" s="48">
        <f t="shared" ca="1" si="414"/>
        <v>2.5652923996833392</v>
      </c>
    </row>
    <row r="3616" spans="17:23" x14ac:dyDescent="0.2">
      <c r="Q3616">
        <f t="shared" si="415"/>
        <v>3600</v>
      </c>
      <c r="R3616" s="48">
        <f t="shared" ca="1" si="416"/>
        <v>0.45</v>
      </c>
      <c r="S3616">
        <f t="shared" ca="1" si="417"/>
        <v>208.73334965245547</v>
      </c>
      <c r="T3616" s="61">
        <f t="shared" ca="1" si="411"/>
        <v>21600</v>
      </c>
      <c r="U3616" s="61">
        <f t="shared" ca="1" si="412"/>
        <v>29842.673847080408</v>
      </c>
      <c r="V3616" s="39">
        <f t="shared" ca="1" si="413"/>
        <v>0.19633338057289743</v>
      </c>
      <c r="W3616" s="48">
        <f t="shared" ca="1" si="414"/>
        <v>3.2802389312545639</v>
      </c>
    </row>
    <row r="3617" spans="17:23" x14ac:dyDescent="0.2">
      <c r="Q3617">
        <f t="shared" si="415"/>
        <v>3601</v>
      </c>
      <c r="R3617" s="48">
        <f t="shared" ca="1" si="416"/>
        <v>0.3</v>
      </c>
      <c r="S3617">
        <f t="shared" ca="1" si="417"/>
        <v>202.84807580759937</v>
      </c>
      <c r="T3617" s="61">
        <f t="shared" ca="1" si="411"/>
        <v>14400</v>
      </c>
      <c r="U3617" s="61">
        <f t="shared" ca="1" si="412"/>
        <v>21594.922452255647</v>
      </c>
      <c r="V3617" s="39">
        <f t="shared" ca="1" si="413"/>
        <v>0.142071858238524</v>
      </c>
      <c r="W3617" s="48">
        <f t="shared" ca="1" si="414"/>
        <v>1.9373643723443159</v>
      </c>
    </row>
    <row r="3618" spans="17:23" x14ac:dyDescent="0.2">
      <c r="Q3618">
        <f t="shared" si="415"/>
        <v>3602</v>
      </c>
      <c r="R3618" s="48">
        <f t="shared" ca="1" si="416"/>
        <v>0.15</v>
      </c>
      <c r="S3618">
        <f t="shared" ca="1" si="417"/>
        <v>210.22849881819175</v>
      </c>
      <c r="T3618" s="61">
        <f t="shared" ca="1" si="411"/>
        <v>7200</v>
      </c>
      <c r="U3618" s="61">
        <f t="shared" ca="1" si="412"/>
        <v>20955.379196370392</v>
      </c>
      <c r="V3618" s="39">
        <f t="shared" ca="1" si="413"/>
        <v>0.13786433681822627</v>
      </c>
      <c r="W3618" s="48">
        <f t="shared" ca="1" si="414"/>
        <v>1.8507305067664848</v>
      </c>
    </row>
    <row r="3619" spans="17:23" x14ac:dyDescent="0.2">
      <c r="Q3619">
        <f t="shared" si="415"/>
        <v>3603</v>
      </c>
      <c r="R3619" s="48">
        <f t="shared" ca="1" si="416"/>
        <v>0.4</v>
      </c>
      <c r="S3619">
        <f t="shared" ca="1" si="417"/>
        <v>193.03733075183558</v>
      </c>
      <c r="T3619" s="61">
        <f t="shared" ca="1" si="411"/>
        <v>19200</v>
      </c>
      <c r="U3619" s="61">
        <f t="shared" ca="1" si="412"/>
        <v>20657.918760881079</v>
      </c>
      <c r="V3619" s="39">
        <f t="shared" ca="1" si="413"/>
        <v>0.13590736026895447</v>
      </c>
      <c r="W3619" s="48">
        <f t="shared" ca="1" si="414"/>
        <v>1.8112050325872939</v>
      </c>
    </row>
    <row r="3620" spans="17:23" x14ac:dyDescent="0.2">
      <c r="Q3620">
        <f t="shared" si="415"/>
        <v>3604</v>
      </c>
      <c r="R3620" s="48">
        <f t="shared" ca="1" si="416"/>
        <v>0.5</v>
      </c>
      <c r="S3620">
        <f t="shared" ca="1" si="417"/>
        <v>162.65093334324013</v>
      </c>
      <c r="T3620" s="61">
        <f t="shared" ca="1" si="411"/>
        <v>24000</v>
      </c>
      <c r="U3620" s="61">
        <f t="shared" ca="1" si="412"/>
        <v>13060.373337296051</v>
      </c>
      <c r="V3620" s="39">
        <f t="shared" ca="1" si="413"/>
        <v>8.5923508798000328E-2</v>
      </c>
      <c r="W3620" s="48">
        <f t="shared" ca="1" si="414"/>
        <v>0.95151356226280304</v>
      </c>
    </row>
    <row r="3621" spans="17:23" x14ac:dyDescent="0.2">
      <c r="Q3621">
        <f t="shared" si="415"/>
        <v>3605</v>
      </c>
      <c r="R3621" s="48">
        <f t="shared" ca="1" si="416"/>
        <v>0.3</v>
      </c>
      <c r="S3621">
        <f t="shared" ca="1" si="417"/>
        <v>199.51135965748486</v>
      </c>
      <c r="T3621" s="61">
        <f t="shared" ca="1" si="411"/>
        <v>14400</v>
      </c>
      <c r="U3621" s="61">
        <f t="shared" ca="1" si="412"/>
        <v>19726.361408191522</v>
      </c>
      <c r="V3621" s="39">
        <f t="shared" ca="1" si="413"/>
        <v>0.12977869347494422</v>
      </c>
      <c r="W3621" s="48">
        <f t="shared" ca="1" si="414"/>
        <v>1.6905136157465943</v>
      </c>
    </row>
    <row r="3622" spans="17:23" x14ac:dyDescent="0.2">
      <c r="Q3622">
        <f t="shared" si="415"/>
        <v>3606</v>
      </c>
      <c r="R3622" s="48">
        <f t="shared" ca="1" si="416"/>
        <v>0.15</v>
      </c>
      <c r="S3622">
        <f t="shared" ca="1" si="417"/>
        <v>253.52153175434029</v>
      </c>
      <c r="T3622" s="61">
        <f t="shared" ca="1" si="411"/>
        <v>7200</v>
      </c>
      <c r="U3622" s="61">
        <f t="shared" ca="1" si="412"/>
        <v>50394.641592951397</v>
      </c>
      <c r="V3622" s="39">
        <f t="shared" ca="1" si="413"/>
        <v>0.33154369469046974</v>
      </c>
      <c r="W3622" s="48">
        <f t="shared" ca="1" si="414"/>
        <v>9.2014204762706449</v>
      </c>
    </row>
    <row r="3623" spans="17:23" x14ac:dyDescent="0.2">
      <c r="Q3623">
        <f t="shared" si="415"/>
        <v>3607</v>
      </c>
      <c r="R3623" s="48">
        <f t="shared" ca="1" si="416"/>
        <v>0.15</v>
      </c>
      <c r="S3623">
        <f t="shared" ca="1" si="417"/>
        <v>175.95788671417674</v>
      </c>
      <c r="T3623" s="61">
        <f t="shared" ca="1" si="411"/>
        <v>7200</v>
      </c>
      <c r="U3623" s="61">
        <f t="shared" ca="1" si="412"/>
        <v>-2348.6370343598192</v>
      </c>
      <c r="V3623" s="39">
        <f t="shared" ca="1" si="413"/>
        <v>-1.5451559436577758E-2</v>
      </c>
      <c r="W3623" s="48">
        <f t="shared" ca="1" si="414"/>
        <v>-0.11865636084321118</v>
      </c>
    </row>
    <row r="3624" spans="17:23" x14ac:dyDescent="0.2">
      <c r="Q3624">
        <f t="shared" si="415"/>
        <v>3608</v>
      </c>
      <c r="R3624" s="48">
        <f t="shared" ca="1" si="416"/>
        <v>0.35</v>
      </c>
      <c r="S3624">
        <f t="shared" ca="1" si="417"/>
        <v>198.07615915322017</v>
      </c>
      <c r="T3624" s="61">
        <f t="shared" ca="1" si="411"/>
        <v>16800</v>
      </c>
      <c r="U3624" s="61">
        <f t="shared" ca="1" si="412"/>
        <v>20999.60275967449</v>
      </c>
      <c r="V3624" s="39">
        <f t="shared" ca="1" si="413"/>
        <v>0.13815528131364796</v>
      </c>
      <c r="W3624" s="48">
        <f t="shared" ca="1" si="414"/>
        <v>1.8566481806819017</v>
      </c>
    </row>
    <row r="3625" spans="17:23" x14ac:dyDescent="0.2">
      <c r="Q3625">
        <f t="shared" si="415"/>
        <v>3609</v>
      </c>
      <c r="R3625" s="48">
        <f t="shared" ca="1" si="416"/>
        <v>0.35</v>
      </c>
      <c r="S3625">
        <f t="shared" ca="1" si="417"/>
        <v>185.31759630833992</v>
      </c>
      <c r="T3625" s="61">
        <f t="shared" ca="1" si="411"/>
        <v>16800</v>
      </c>
      <c r="U3625" s="61">
        <f t="shared" ca="1" si="412"/>
        <v>14365.150080336756</v>
      </c>
      <c r="V3625" s="39">
        <f t="shared" ca="1" si="413"/>
        <v>9.4507566318004971E-2</v>
      </c>
      <c r="W3625" s="48">
        <f t="shared" ca="1" si="414"/>
        <v>1.0802129056136529</v>
      </c>
    </row>
    <row r="3626" spans="17:23" x14ac:dyDescent="0.2">
      <c r="Q3626">
        <f t="shared" si="415"/>
        <v>3610</v>
      </c>
      <c r="R3626" s="48">
        <f t="shared" ca="1" si="416"/>
        <v>0.3</v>
      </c>
      <c r="S3626">
        <f t="shared" ca="1" si="417"/>
        <v>190.41781867433878</v>
      </c>
      <c r="T3626" s="61">
        <f t="shared" ca="1" si="411"/>
        <v>14400</v>
      </c>
      <c r="U3626" s="61">
        <f t="shared" ca="1" si="412"/>
        <v>14633.978457629713</v>
      </c>
      <c r="V3626" s="39">
        <f t="shared" ca="1" si="413"/>
        <v>9.6276174063353384E-2</v>
      </c>
      <c r="W3626" s="48">
        <f t="shared" ca="1" si="414"/>
        <v>1.1076347795080621</v>
      </c>
    </row>
    <row r="3627" spans="17:23" x14ac:dyDescent="0.2">
      <c r="Q3627">
        <f t="shared" si="415"/>
        <v>3611</v>
      </c>
      <c r="R3627" s="48">
        <f t="shared" ca="1" si="416"/>
        <v>0.45</v>
      </c>
      <c r="S3627">
        <f t="shared" ca="1" si="417"/>
        <v>180.43859841204102</v>
      </c>
      <c r="T3627" s="61">
        <f t="shared" ca="1" si="411"/>
        <v>21600</v>
      </c>
      <c r="U3627" s="61">
        <f t="shared" ca="1" si="412"/>
        <v>17392.983301298045</v>
      </c>
      <c r="V3627" s="39">
        <f t="shared" ca="1" si="413"/>
        <v>0.11442752171906609</v>
      </c>
      <c r="W3627" s="48">
        <f t="shared" ca="1" si="414"/>
        <v>1.4079230911922056</v>
      </c>
    </row>
    <row r="3628" spans="17:23" x14ac:dyDescent="0.2">
      <c r="Q3628">
        <f t="shared" si="415"/>
        <v>3612</v>
      </c>
      <c r="R3628" s="48">
        <f t="shared" ca="1" si="416"/>
        <v>0.3</v>
      </c>
      <c r="S3628">
        <f t="shared" ca="1" si="417"/>
        <v>180.59191423017836</v>
      </c>
      <c r="T3628" s="61">
        <f t="shared" ca="1" si="411"/>
        <v>14400</v>
      </c>
      <c r="U3628" s="61">
        <f t="shared" ca="1" si="412"/>
        <v>9131.4719688998812</v>
      </c>
      <c r="V3628" s="39">
        <f t="shared" ca="1" si="413"/>
        <v>6.0075473479604478E-2</v>
      </c>
      <c r="W3628" s="48">
        <f t="shared" ca="1" si="414"/>
        <v>0.60512733517157424</v>
      </c>
    </row>
    <row r="3629" spans="17:23" x14ac:dyDescent="0.2">
      <c r="Q3629">
        <f t="shared" si="415"/>
        <v>3613</v>
      </c>
      <c r="R3629" s="48">
        <f t="shared" ca="1" si="416"/>
        <v>0.3</v>
      </c>
      <c r="S3629">
        <f t="shared" ca="1" si="417"/>
        <v>176.88665598937658</v>
      </c>
      <c r="T3629" s="61">
        <f t="shared" ca="1" si="411"/>
        <v>14400</v>
      </c>
      <c r="U3629" s="61">
        <f t="shared" ca="1" si="412"/>
        <v>7056.5273540508842</v>
      </c>
      <c r="V3629" s="39">
        <f t="shared" ca="1" si="413"/>
        <v>4.6424522066124241E-2</v>
      </c>
      <c r="W3629" s="48">
        <f t="shared" ca="1" si="414"/>
        <v>0.44495071740032688</v>
      </c>
    </row>
    <row r="3630" spans="17:23" x14ac:dyDescent="0.2">
      <c r="Q3630">
        <f t="shared" si="415"/>
        <v>3614</v>
      </c>
      <c r="R3630" s="48">
        <f t="shared" ca="1" si="416"/>
        <v>0.45</v>
      </c>
      <c r="S3630">
        <f t="shared" ca="1" si="417"/>
        <v>180.52851627192234</v>
      </c>
      <c r="T3630" s="61">
        <f t="shared" ca="1" si="411"/>
        <v>21600</v>
      </c>
      <c r="U3630" s="61">
        <f t="shared" ca="1" si="412"/>
        <v>17432.54715964583</v>
      </c>
      <c r="V3630" s="39">
        <f t="shared" ca="1" si="413"/>
        <v>0.11468781026082783</v>
      </c>
      <c r="W3630" s="48">
        <f t="shared" ca="1" si="414"/>
        <v>1.4124885755909378</v>
      </c>
    </row>
    <row r="3631" spans="17:23" x14ac:dyDescent="0.2">
      <c r="Q3631">
        <f t="shared" si="415"/>
        <v>3615</v>
      </c>
      <c r="R3631" s="48">
        <f t="shared" ca="1" si="416"/>
        <v>0.45</v>
      </c>
      <c r="S3631">
        <f t="shared" ca="1" si="417"/>
        <v>205.50586145946374</v>
      </c>
      <c r="T3631" s="61">
        <f t="shared" ca="1" si="411"/>
        <v>21600</v>
      </c>
      <c r="U3631" s="61">
        <f t="shared" ca="1" si="412"/>
        <v>28422.579042164049</v>
      </c>
      <c r="V3631" s="39">
        <f t="shared" ca="1" si="413"/>
        <v>0.18699065159318454</v>
      </c>
      <c r="W3631" s="48">
        <f t="shared" ca="1" si="414"/>
        <v>3.0165234857843277</v>
      </c>
    </row>
    <row r="3632" spans="17:23" x14ac:dyDescent="0.2">
      <c r="Q3632">
        <f t="shared" si="415"/>
        <v>3616</v>
      </c>
      <c r="R3632" s="48">
        <f t="shared" ca="1" si="416"/>
        <v>0.3</v>
      </c>
      <c r="S3632">
        <f t="shared" ca="1" si="417"/>
        <v>187.50116963479903</v>
      </c>
      <c r="T3632" s="61">
        <f t="shared" ca="1" si="411"/>
        <v>14400</v>
      </c>
      <c r="U3632" s="61">
        <f t="shared" ca="1" si="412"/>
        <v>13000.654995487455</v>
      </c>
      <c r="V3632" s="39">
        <f t="shared" ca="1" si="413"/>
        <v>8.5530624970312205E-2</v>
      </c>
      <c r="W3632" s="48">
        <f t="shared" ca="1" si="414"/>
        <v>0.94579406018186307</v>
      </c>
    </row>
    <row r="3633" spans="17:23" x14ac:dyDescent="0.2">
      <c r="Q3633">
        <f t="shared" si="415"/>
        <v>3617</v>
      </c>
      <c r="R3633" s="48">
        <f t="shared" ca="1" si="416"/>
        <v>0.4</v>
      </c>
      <c r="S3633">
        <f t="shared" ca="1" si="417"/>
        <v>192.39878555873494</v>
      </c>
      <c r="T3633" s="61">
        <f t="shared" ca="1" si="411"/>
        <v>19200</v>
      </c>
      <c r="U3633" s="61">
        <f t="shared" ca="1" si="412"/>
        <v>20351.417068192772</v>
      </c>
      <c r="V3633" s="39">
        <f t="shared" ca="1" si="413"/>
        <v>0.13389090176442614</v>
      </c>
      <c r="W3633" s="48">
        <f t="shared" ca="1" si="414"/>
        <v>1.7709815814910543</v>
      </c>
    </row>
    <row r="3634" spans="17:23" x14ac:dyDescent="0.2">
      <c r="Q3634">
        <f t="shared" si="415"/>
        <v>3618</v>
      </c>
      <c r="R3634" s="48">
        <f t="shared" ca="1" si="416"/>
        <v>0.45</v>
      </c>
      <c r="S3634">
        <f t="shared" ca="1" si="417"/>
        <v>200.79454818918435</v>
      </c>
      <c r="T3634" s="61">
        <f t="shared" ca="1" si="411"/>
        <v>21600</v>
      </c>
      <c r="U3634" s="61">
        <f t="shared" ca="1" si="412"/>
        <v>26349.601203241116</v>
      </c>
      <c r="V3634" s="39">
        <f t="shared" ca="1" si="413"/>
        <v>0.17335263949500734</v>
      </c>
      <c r="W3634" s="48">
        <f t="shared" ca="1" si="414"/>
        <v>2.6571495567926697</v>
      </c>
    </row>
    <row r="3635" spans="17:23" x14ac:dyDescent="0.2">
      <c r="Q3635">
        <f t="shared" si="415"/>
        <v>3619</v>
      </c>
      <c r="R3635" s="48">
        <f t="shared" ca="1" si="416"/>
        <v>0.217</v>
      </c>
      <c r="S3635">
        <f t="shared" ca="1" si="417"/>
        <v>212.18991654690768</v>
      </c>
      <c r="T3635" s="61">
        <f t="shared" ca="1" si="411"/>
        <v>10416</v>
      </c>
      <c r="U3635" s="61">
        <f t="shared" ca="1" si="412"/>
        <v>24315.763724982971</v>
      </c>
      <c r="V3635" s="39">
        <f t="shared" ca="1" si="413"/>
        <v>0.1599721297696248</v>
      </c>
      <c r="W3635" s="48">
        <f t="shared" ca="1" si="414"/>
        <v>2.3322783933409963</v>
      </c>
    </row>
    <row r="3636" spans="17:23" x14ac:dyDescent="0.2">
      <c r="Q3636">
        <f t="shared" si="415"/>
        <v>3620</v>
      </c>
      <c r="R3636" s="48">
        <f t="shared" ca="1" si="416"/>
        <v>0.45</v>
      </c>
      <c r="S3636">
        <f t="shared" ca="1" si="417"/>
        <v>202.83969736343343</v>
      </c>
      <c r="T3636" s="61">
        <f t="shared" ca="1" si="411"/>
        <v>21600</v>
      </c>
      <c r="U3636" s="61">
        <f t="shared" ca="1" si="412"/>
        <v>27249.46683991071</v>
      </c>
      <c r="V3636" s="39">
        <f t="shared" ca="1" si="413"/>
        <v>0.17927280815730731</v>
      </c>
      <c r="W3636" s="48">
        <f t="shared" ca="1" si="414"/>
        <v>2.809530191166147</v>
      </c>
    </row>
    <row r="3637" spans="17:23" x14ac:dyDescent="0.2">
      <c r="Q3637">
        <f t="shared" si="415"/>
        <v>3621</v>
      </c>
      <c r="R3637" s="48">
        <f t="shared" ca="1" si="416"/>
        <v>0.3</v>
      </c>
      <c r="S3637">
        <f t="shared" ca="1" si="417"/>
        <v>160.86139493596588</v>
      </c>
      <c r="T3637" s="61">
        <f t="shared" ca="1" si="411"/>
        <v>14400</v>
      </c>
      <c r="U3637" s="61">
        <f t="shared" ca="1" si="412"/>
        <v>-1917.6188358591098</v>
      </c>
      <c r="V3637" s="39">
        <f t="shared" ca="1" si="413"/>
        <v>-1.2615913393809934E-2</v>
      </c>
      <c r="W3637" s="48">
        <f t="shared" ca="1" si="414"/>
        <v>-9.7855023055739898E-2</v>
      </c>
    </row>
    <row r="3638" spans="17:23" x14ac:dyDescent="0.2">
      <c r="Q3638">
        <f t="shared" si="415"/>
        <v>3622</v>
      </c>
      <c r="R3638" s="48">
        <f t="shared" ca="1" si="416"/>
        <v>0.3</v>
      </c>
      <c r="S3638">
        <f t="shared" ca="1" si="417"/>
        <v>218.30697757094001</v>
      </c>
      <c r="T3638" s="61">
        <f t="shared" ca="1" si="411"/>
        <v>14400</v>
      </c>
      <c r="U3638" s="61">
        <f t="shared" ca="1" si="412"/>
        <v>30251.907439726405</v>
      </c>
      <c r="V3638" s="39">
        <f t="shared" ca="1" si="413"/>
        <v>0.19902570684030529</v>
      </c>
      <c r="W3638" s="48">
        <f t="shared" ca="1" si="414"/>
        <v>3.358998068621557</v>
      </c>
    </row>
    <row r="3639" spans="17:23" x14ac:dyDescent="0.2">
      <c r="Q3639">
        <f t="shared" si="415"/>
        <v>3623</v>
      </c>
      <c r="R3639" s="48">
        <f t="shared" ca="1" si="416"/>
        <v>0.15</v>
      </c>
      <c r="S3639">
        <f t="shared" ca="1" si="417"/>
        <v>204.22987616725172</v>
      </c>
      <c r="T3639" s="61">
        <f t="shared" ca="1" si="411"/>
        <v>7200</v>
      </c>
      <c r="U3639" s="61">
        <f t="shared" ca="1" si="412"/>
        <v>16876.31579373117</v>
      </c>
      <c r="V3639" s="39">
        <f t="shared" ca="1" si="413"/>
        <v>0.11102839337981033</v>
      </c>
      <c r="W3639" s="48">
        <f t="shared" ca="1" si="414"/>
        <v>1.3489936145610768</v>
      </c>
    </row>
    <row r="3640" spans="17:23" x14ac:dyDescent="0.2">
      <c r="Q3640">
        <f t="shared" si="415"/>
        <v>3624</v>
      </c>
      <c r="R3640" s="48">
        <f t="shared" ca="1" si="416"/>
        <v>0.5</v>
      </c>
      <c r="S3640">
        <f t="shared" ca="1" si="417"/>
        <v>203.35694226274148</v>
      </c>
      <c r="T3640" s="61">
        <f t="shared" ca="1" si="411"/>
        <v>24000</v>
      </c>
      <c r="U3640" s="61">
        <f t="shared" ca="1" si="412"/>
        <v>29342.776905096594</v>
      </c>
      <c r="V3640" s="39">
        <f t="shared" ca="1" si="413"/>
        <v>0.19304458490195128</v>
      </c>
      <c r="W3640" s="48">
        <f t="shared" ca="1" si="414"/>
        <v>3.1857260318907326</v>
      </c>
    </row>
    <row r="3641" spans="17:23" x14ac:dyDescent="0.2">
      <c r="Q3641">
        <f t="shared" si="415"/>
        <v>3625</v>
      </c>
      <c r="R3641" s="48">
        <f t="shared" ca="1" si="416"/>
        <v>0.4</v>
      </c>
      <c r="S3641">
        <f t="shared" ca="1" si="417"/>
        <v>195.32400094670598</v>
      </c>
      <c r="T3641" s="61">
        <f t="shared" ref="T3641:T3704" ca="1" si="418">($B$8-$B$7)*($E$6*R3641)</f>
        <v>19200</v>
      </c>
      <c r="U3641" s="61">
        <f t="shared" ref="U3641:U3704" ca="1" si="419">T3641+((S3641-$B$7)*($E$6*(1-R3641)))</f>
        <v>21755.520454418871</v>
      </c>
      <c r="V3641" s="39">
        <f t="shared" ref="V3641:V3704" ca="1" si="420">U3641/$E$4</f>
        <v>0.14312842404222942</v>
      </c>
      <c r="W3641" s="48">
        <f t="shared" ref="W3641:W3704" ca="1" si="421">(1+V3641)^($J$29/$J$30)-1</f>
        <v>1.9594785189359989</v>
      </c>
    </row>
    <row r="3642" spans="17:23" x14ac:dyDescent="0.2">
      <c r="Q3642">
        <f t="shared" si="415"/>
        <v>3626</v>
      </c>
      <c r="R3642" s="48">
        <f t="shared" ca="1" si="416"/>
        <v>0.45</v>
      </c>
      <c r="S3642">
        <f t="shared" ca="1" si="417"/>
        <v>152.40902177527065</v>
      </c>
      <c r="T3642" s="61">
        <f t="shared" ca="1" si="418"/>
        <v>21600</v>
      </c>
      <c r="U3642" s="61">
        <f t="shared" ca="1" si="419"/>
        <v>5059.9695811190832</v>
      </c>
      <c r="V3642" s="39">
        <f t="shared" ca="1" si="420"/>
        <v>3.3289273559993969E-2</v>
      </c>
      <c r="W3642" s="48">
        <f t="shared" ca="1" si="421"/>
        <v>0.3042341931133834</v>
      </c>
    </row>
    <row r="3643" spans="17:23" x14ac:dyDescent="0.2">
      <c r="Q3643">
        <f t="shared" si="415"/>
        <v>3627</v>
      </c>
      <c r="R3643" s="48">
        <f t="shared" ca="1" si="416"/>
        <v>0.4</v>
      </c>
      <c r="S3643">
        <f t="shared" ca="1" si="417"/>
        <v>193.89304613139382</v>
      </c>
      <c r="T3643" s="61">
        <f t="shared" ca="1" si="418"/>
        <v>19200</v>
      </c>
      <c r="U3643" s="61">
        <f t="shared" ca="1" si="419"/>
        <v>21068.662143069032</v>
      </c>
      <c r="V3643" s="39">
        <f t="shared" ca="1" si="420"/>
        <v>0.13860961936229627</v>
      </c>
      <c r="W3643" s="48">
        <f t="shared" ca="1" si="421"/>
        <v>1.8659107436048701</v>
      </c>
    </row>
    <row r="3644" spans="17:23" x14ac:dyDescent="0.2">
      <c r="Q3644">
        <f t="shared" si="415"/>
        <v>3628</v>
      </c>
      <c r="R3644" s="48">
        <f t="shared" ca="1" si="416"/>
        <v>0.4</v>
      </c>
      <c r="S3644">
        <f t="shared" ca="1" si="417"/>
        <v>169.52967697251916</v>
      </c>
      <c r="T3644" s="61">
        <f t="shared" ca="1" si="418"/>
        <v>19200</v>
      </c>
      <c r="U3644" s="61">
        <f t="shared" ca="1" si="419"/>
        <v>9374.2449468091945</v>
      </c>
      <c r="V3644" s="39">
        <f t="shared" ca="1" si="420"/>
        <v>6.1672664123744704E-2</v>
      </c>
      <c r="W3644" s="48">
        <f t="shared" ca="1" si="421"/>
        <v>0.62484871354977223</v>
      </c>
    </row>
    <row r="3645" spans="17:23" x14ac:dyDescent="0.2">
      <c r="Q3645">
        <f t="shared" si="415"/>
        <v>3629</v>
      </c>
      <c r="R3645" s="48">
        <f t="shared" ca="1" si="416"/>
        <v>0.35</v>
      </c>
      <c r="S3645">
        <f t="shared" ca="1" si="417"/>
        <v>166.18680607857311</v>
      </c>
      <c r="T3645" s="61">
        <f t="shared" ca="1" si="418"/>
        <v>16800</v>
      </c>
      <c r="U3645" s="61">
        <f t="shared" ca="1" si="419"/>
        <v>4417.1391608580197</v>
      </c>
      <c r="V3645" s="39">
        <f t="shared" ca="1" si="420"/>
        <v>2.9060126058276445E-2</v>
      </c>
      <c r="W3645" s="48">
        <f t="shared" ca="1" si="421"/>
        <v>0.26156115989402662</v>
      </c>
    </row>
    <row r="3646" spans="17:23" x14ac:dyDescent="0.2">
      <c r="Q3646">
        <f t="shared" si="415"/>
        <v>3630</v>
      </c>
      <c r="R3646" s="48">
        <f t="shared" ca="1" si="416"/>
        <v>0.4</v>
      </c>
      <c r="S3646">
        <f t="shared" ca="1" si="417"/>
        <v>214.06237360252686</v>
      </c>
      <c r="T3646" s="61">
        <f t="shared" ca="1" si="418"/>
        <v>19200</v>
      </c>
      <c r="U3646" s="61">
        <f t="shared" ca="1" si="419"/>
        <v>30749.939329212895</v>
      </c>
      <c r="V3646" s="39">
        <f t="shared" ca="1" si="420"/>
        <v>0.2023022324290322</v>
      </c>
      <c r="W3646" s="48">
        <f t="shared" ca="1" si="421"/>
        <v>3.4565587280379173</v>
      </c>
    </row>
    <row r="3647" spans="17:23" x14ac:dyDescent="0.2">
      <c r="Q3647">
        <f t="shared" si="415"/>
        <v>3631</v>
      </c>
      <c r="R3647" s="48">
        <f t="shared" ca="1" si="416"/>
        <v>0.35</v>
      </c>
      <c r="S3647">
        <f t="shared" ca="1" si="417"/>
        <v>210.35519465147783</v>
      </c>
      <c r="T3647" s="61">
        <f t="shared" ca="1" si="418"/>
        <v>16800</v>
      </c>
      <c r="U3647" s="61">
        <f t="shared" ca="1" si="419"/>
        <v>27384.701218768474</v>
      </c>
      <c r="V3647" s="39">
        <f t="shared" ca="1" si="420"/>
        <v>0.18016250801821365</v>
      </c>
      <c r="W3647" s="48">
        <f t="shared" ca="1" si="421"/>
        <v>2.8329049007060707</v>
      </c>
    </row>
    <row r="3648" spans="17:23" x14ac:dyDescent="0.2">
      <c r="Q3648">
        <f t="shared" si="415"/>
        <v>3632</v>
      </c>
      <c r="R3648" s="48">
        <f t="shared" ca="1" si="416"/>
        <v>0.3</v>
      </c>
      <c r="S3648">
        <f t="shared" ca="1" si="417"/>
        <v>189.94954787171307</v>
      </c>
      <c r="T3648" s="61">
        <f t="shared" ca="1" si="418"/>
        <v>14400</v>
      </c>
      <c r="U3648" s="61">
        <f t="shared" ca="1" si="419"/>
        <v>14371.746808159316</v>
      </c>
      <c r="V3648" s="39">
        <f t="shared" ca="1" si="420"/>
        <v>9.4550965843153395E-2</v>
      </c>
      <c r="W3648" s="48">
        <f t="shared" ca="1" si="421"/>
        <v>1.0808820434325455</v>
      </c>
    </row>
    <row r="3649" spans="17:23" x14ac:dyDescent="0.2">
      <c r="Q3649">
        <f t="shared" si="415"/>
        <v>3633</v>
      </c>
      <c r="R3649" s="48">
        <f t="shared" ca="1" si="416"/>
        <v>0.217</v>
      </c>
      <c r="S3649">
        <f t="shared" ca="1" si="417"/>
        <v>168.96133621343162</v>
      </c>
      <c r="T3649" s="61">
        <f t="shared" ca="1" si="418"/>
        <v>10416</v>
      </c>
      <c r="U3649" s="61">
        <f t="shared" ca="1" si="419"/>
        <v>-2762.6189959064322</v>
      </c>
      <c r="V3649" s="39">
        <f t="shared" ca="1" si="420"/>
        <v>-1.8175124973068633E-2</v>
      </c>
      <c r="W3649" s="48">
        <f t="shared" ca="1" si="421"/>
        <v>-0.13823839595474607</v>
      </c>
    </row>
    <row r="3650" spans="17:23" x14ac:dyDescent="0.2">
      <c r="Q3650">
        <f t="shared" si="415"/>
        <v>3634</v>
      </c>
      <c r="R3650" s="48">
        <f t="shared" ca="1" si="416"/>
        <v>0.3</v>
      </c>
      <c r="S3650">
        <f t="shared" ca="1" si="417"/>
        <v>211.25708549774856</v>
      </c>
      <c r="T3650" s="61">
        <f t="shared" ca="1" si="418"/>
        <v>14400</v>
      </c>
      <c r="U3650" s="61">
        <f t="shared" ca="1" si="419"/>
        <v>26303.967878739197</v>
      </c>
      <c r="V3650" s="39">
        <f t="shared" ca="1" si="420"/>
        <v>0.17305242025486314</v>
      </c>
      <c r="W3650" s="48">
        <f t="shared" ca="1" si="421"/>
        <v>2.6495666106859588</v>
      </c>
    </row>
    <row r="3651" spans="17:23" x14ac:dyDescent="0.2">
      <c r="Q3651">
        <f t="shared" si="415"/>
        <v>3635</v>
      </c>
      <c r="R3651" s="48">
        <f t="shared" ca="1" si="416"/>
        <v>0.217</v>
      </c>
      <c r="S3651">
        <f t="shared" ca="1" si="417"/>
        <v>193.04043318037142</v>
      </c>
      <c r="T3651" s="61">
        <f t="shared" ca="1" si="418"/>
        <v>10416</v>
      </c>
      <c r="U3651" s="61">
        <f t="shared" ca="1" si="419"/>
        <v>12320.527344184658</v>
      </c>
      <c r="V3651" s="39">
        <f t="shared" ca="1" si="420"/>
        <v>8.1056100948583273E-2</v>
      </c>
      <c r="W3651" s="48">
        <f t="shared" ca="1" si="421"/>
        <v>0.88168434269820883</v>
      </c>
    </row>
    <row r="3652" spans="17:23" x14ac:dyDescent="0.2">
      <c r="Q3652">
        <f t="shared" si="415"/>
        <v>3636</v>
      </c>
      <c r="R3652" s="48">
        <f t="shared" ca="1" si="416"/>
        <v>0.4</v>
      </c>
      <c r="S3652">
        <f t="shared" ca="1" si="417"/>
        <v>197.59632665401921</v>
      </c>
      <c r="T3652" s="61">
        <f t="shared" ca="1" si="418"/>
        <v>19200</v>
      </c>
      <c r="U3652" s="61">
        <f t="shared" ca="1" si="419"/>
        <v>22846.23679392922</v>
      </c>
      <c r="V3652" s="39">
        <f t="shared" ca="1" si="420"/>
        <v>0.15030418943374488</v>
      </c>
      <c r="W3652" s="48">
        <f t="shared" ca="1" si="421"/>
        <v>2.1135696042124943</v>
      </c>
    </row>
    <row r="3653" spans="17:23" x14ac:dyDescent="0.2">
      <c r="Q3653">
        <f t="shared" si="415"/>
        <v>3637</v>
      </c>
      <c r="R3653" s="48">
        <f t="shared" ca="1" si="416"/>
        <v>0.5</v>
      </c>
      <c r="S3653">
        <f t="shared" ca="1" si="417"/>
        <v>222.29344749121537</v>
      </c>
      <c r="T3653" s="61">
        <f t="shared" ca="1" si="418"/>
        <v>24000</v>
      </c>
      <c r="U3653" s="61">
        <f t="shared" ca="1" si="419"/>
        <v>36917.37899648615</v>
      </c>
      <c r="V3653" s="39">
        <f t="shared" ca="1" si="420"/>
        <v>0.24287749339793518</v>
      </c>
      <c r="W3653" s="48">
        <f t="shared" ca="1" si="421"/>
        <v>4.8333579331495082</v>
      </c>
    </row>
    <row r="3654" spans="17:23" x14ac:dyDescent="0.2">
      <c r="Q3654">
        <f t="shared" si="415"/>
        <v>3638</v>
      </c>
      <c r="R3654" s="48">
        <f t="shared" ca="1" si="416"/>
        <v>0.3</v>
      </c>
      <c r="S3654">
        <f t="shared" ca="1" si="417"/>
        <v>179.42498777853808</v>
      </c>
      <c r="T3654" s="61">
        <f t="shared" ca="1" si="418"/>
        <v>14400</v>
      </c>
      <c r="U3654" s="61">
        <f t="shared" ca="1" si="419"/>
        <v>8477.9931559813267</v>
      </c>
      <c r="V3654" s="39">
        <f t="shared" ca="1" si="420"/>
        <v>5.5776270763035041E-2</v>
      </c>
      <c r="W3654" s="48">
        <f t="shared" ca="1" si="421"/>
        <v>0.55308159653536704</v>
      </c>
    </row>
    <row r="3655" spans="17:23" x14ac:dyDescent="0.2">
      <c r="Q3655">
        <f t="shared" si="415"/>
        <v>3639</v>
      </c>
      <c r="R3655" s="48">
        <f t="shared" ca="1" si="416"/>
        <v>0.4</v>
      </c>
      <c r="S3655">
        <f t="shared" ca="1" si="417"/>
        <v>184.91816601890386</v>
      </c>
      <c r="T3655" s="61">
        <f t="shared" ca="1" si="418"/>
        <v>19200</v>
      </c>
      <c r="U3655" s="61">
        <f t="shared" ca="1" si="419"/>
        <v>16760.719689073852</v>
      </c>
      <c r="V3655" s="39">
        <f t="shared" ca="1" si="420"/>
        <v>0.11026789269127535</v>
      </c>
      <c r="W3655" s="48">
        <f t="shared" ca="1" si="421"/>
        <v>1.3359835380781808</v>
      </c>
    </row>
    <row r="3656" spans="17:23" x14ac:dyDescent="0.2">
      <c r="Q3656">
        <f t="shared" si="415"/>
        <v>3640</v>
      </c>
      <c r="R3656" s="48">
        <f t="shared" ca="1" si="416"/>
        <v>0.45</v>
      </c>
      <c r="S3656">
        <f t="shared" ca="1" si="417"/>
        <v>205.35029092353395</v>
      </c>
      <c r="T3656" s="61">
        <f t="shared" ca="1" si="418"/>
        <v>21600</v>
      </c>
      <c r="U3656" s="61">
        <f t="shared" ca="1" si="419"/>
        <v>28354.128006354938</v>
      </c>
      <c r="V3656" s="39">
        <f t="shared" ca="1" si="420"/>
        <v>0.1865403158312825</v>
      </c>
      <c r="W3656" s="48">
        <f t="shared" ca="1" si="421"/>
        <v>3.0041801081988035</v>
      </c>
    </row>
    <row r="3657" spans="17:23" x14ac:dyDescent="0.2">
      <c r="Q3657">
        <f t="shared" si="415"/>
        <v>3641</v>
      </c>
      <c r="R3657" s="48">
        <f t="shared" ca="1" si="416"/>
        <v>0.4</v>
      </c>
      <c r="S3657">
        <f t="shared" ca="1" si="417"/>
        <v>207.67131432174372</v>
      </c>
      <c r="T3657" s="61">
        <f t="shared" ca="1" si="418"/>
        <v>19200</v>
      </c>
      <c r="U3657" s="61">
        <f t="shared" ca="1" si="419"/>
        <v>27682.230874436988</v>
      </c>
      <c r="V3657" s="39">
        <f t="shared" ca="1" si="420"/>
        <v>0.18211993996340123</v>
      </c>
      <c r="W3657" s="48">
        <f t="shared" ca="1" si="421"/>
        <v>2.8847748126386672</v>
      </c>
    </row>
    <row r="3658" spans="17:23" x14ac:dyDescent="0.2">
      <c r="Q3658">
        <f t="shared" si="415"/>
        <v>3642</v>
      </c>
      <c r="R3658" s="48">
        <f t="shared" ca="1" si="416"/>
        <v>0.4</v>
      </c>
      <c r="S3658">
        <f t="shared" ca="1" si="417"/>
        <v>197.82921899124378</v>
      </c>
      <c r="T3658" s="61">
        <f t="shared" ca="1" si="418"/>
        <v>19200</v>
      </c>
      <c r="U3658" s="61">
        <f t="shared" ca="1" si="419"/>
        <v>22958.025115797012</v>
      </c>
      <c r="V3658" s="39">
        <f t="shared" ca="1" si="420"/>
        <v>0.1510396389197172</v>
      </c>
      <c r="W3658" s="48">
        <f t="shared" ca="1" si="421"/>
        <v>2.1297528824568523</v>
      </c>
    </row>
    <row r="3659" spans="17:23" x14ac:dyDescent="0.2">
      <c r="Q3659">
        <f t="shared" si="415"/>
        <v>3643</v>
      </c>
      <c r="R3659" s="48">
        <f t="shared" ca="1" si="416"/>
        <v>0.45</v>
      </c>
      <c r="S3659">
        <f t="shared" ca="1" si="417"/>
        <v>178.86499514879529</v>
      </c>
      <c r="T3659" s="61">
        <f t="shared" ca="1" si="418"/>
        <v>21600</v>
      </c>
      <c r="U3659" s="61">
        <f t="shared" ca="1" si="419"/>
        <v>16700.597865469925</v>
      </c>
      <c r="V3659" s="39">
        <f t="shared" ca="1" si="420"/>
        <v>0.10987235437809161</v>
      </c>
      <c r="W3659" s="48">
        <f t="shared" ca="1" si="421"/>
        <v>1.3292419712822316</v>
      </c>
    </row>
    <row r="3660" spans="17:23" x14ac:dyDescent="0.2">
      <c r="Q3660">
        <f t="shared" si="415"/>
        <v>3644</v>
      </c>
      <c r="R3660" s="48">
        <f t="shared" ca="1" si="416"/>
        <v>0.35</v>
      </c>
      <c r="S3660">
        <f t="shared" ca="1" si="417"/>
        <v>210.21964257591895</v>
      </c>
      <c r="T3660" s="61">
        <f t="shared" ca="1" si="418"/>
        <v>16800</v>
      </c>
      <c r="U3660" s="61">
        <f t="shared" ca="1" si="419"/>
        <v>27314.214139477855</v>
      </c>
      <c r="V3660" s="39">
        <f t="shared" ca="1" si="420"/>
        <v>0.17969877723340694</v>
      </c>
      <c r="W3660" s="48">
        <f t="shared" ca="1" si="421"/>
        <v>2.8207058563092335</v>
      </c>
    </row>
    <row r="3661" spans="17:23" x14ac:dyDescent="0.2">
      <c r="Q3661">
        <f t="shared" si="415"/>
        <v>3645</v>
      </c>
      <c r="R3661" s="48">
        <f t="shared" ca="1" si="416"/>
        <v>0.35</v>
      </c>
      <c r="S3661">
        <f t="shared" ca="1" si="417"/>
        <v>189.86494709909761</v>
      </c>
      <c r="T3661" s="61">
        <f t="shared" ca="1" si="418"/>
        <v>16800</v>
      </c>
      <c r="U3661" s="61">
        <f t="shared" ca="1" si="419"/>
        <v>16729.772491530755</v>
      </c>
      <c r="V3661" s="39">
        <f t="shared" ca="1" si="420"/>
        <v>0.11006429270743918</v>
      </c>
      <c r="W3661" s="48">
        <f t="shared" ca="1" si="421"/>
        <v>1.3325112405272517</v>
      </c>
    </row>
    <row r="3662" spans="17:23" x14ac:dyDescent="0.2">
      <c r="Q3662">
        <f t="shared" si="415"/>
        <v>3646</v>
      </c>
      <c r="R3662" s="48">
        <f t="shared" ca="1" si="416"/>
        <v>0.4</v>
      </c>
      <c r="S3662">
        <f t="shared" ca="1" si="417"/>
        <v>171.62579873547386</v>
      </c>
      <c r="T3662" s="61">
        <f t="shared" ca="1" si="418"/>
        <v>19200</v>
      </c>
      <c r="U3662" s="61">
        <f t="shared" ca="1" si="419"/>
        <v>10380.383393027456</v>
      </c>
      <c r="V3662" s="39">
        <f t="shared" ca="1" si="420"/>
        <v>6.8291996006759573E-2</v>
      </c>
      <c r="W3662" s="48">
        <f t="shared" ca="1" si="421"/>
        <v>0.70886427713113442</v>
      </c>
    </row>
    <row r="3663" spans="17:23" x14ac:dyDescent="0.2">
      <c r="Q3663">
        <f t="shared" si="415"/>
        <v>3647</v>
      </c>
      <c r="R3663" s="48">
        <f t="shared" ca="1" si="416"/>
        <v>0.4</v>
      </c>
      <c r="S3663">
        <f t="shared" ca="1" si="417"/>
        <v>165.31505210290595</v>
      </c>
      <c r="T3663" s="61">
        <f t="shared" ca="1" si="418"/>
        <v>19200</v>
      </c>
      <c r="U3663" s="61">
        <f t="shared" ca="1" si="419"/>
        <v>7351.2250093948569</v>
      </c>
      <c r="V3663" s="39">
        <f t="shared" ca="1" si="420"/>
        <v>4.8363322430229325E-2</v>
      </c>
      <c r="W3663" s="48">
        <f t="shared" ca="1" si="421"/>
        <v>0.46680924649610689</v>
      </c>
    </row>
    <row r="3664" spans="17:23" x14ac:dyDescent="0.2">
      <c r="Q3664">
        <f t="shared" si="415"/>
        <v>3648</v>
      </c>
      <c r="R3664" s="48">
        <f t="shared" ca="1" si="416"/>
        <v>0.3</v>
      </c>
      <c r="S3664">
        <f t="shared" ca="1" si="417"/>
        <v>201.31186318196478</v>
      </c>
      <c r="T3664" s="61">
        <f t="shared" ca="1" si="418"/>
        <v>14400</v>
      </c>
      <c r="U3664" s="61">
        <f t="shared" ca="1" si="419"/>
        <v>20734.643381900278</v>
      </c>
      <c r="V3664" s="39">
        <f t="shared" ca="1" si="420"/>
        <v>0.13641212751250184</v>
      </c>
      <c r="W3664" s="48">
        <f t="shared" ca="1" si="421"/>
        <v>1.8213536617817692</v>
      </c>
    </row>
    <row r="3665" spans="17:23" x14ac:dyDescent="0.2">
      <c r="Q3665">
        <f t="shared" si="415"/>
        <v>3649</v>
      </c>
      <c r="R3665" s="48">
        <f t="shared" ca="1" si="416"/>
        <v>0.35</v>
      </c>
      <c r="S3665">
        <f t="shared" ca="1" si="417"/>
        <v>182.26175721877016</v>
      </c>
      <c r="T3665" s="61">
        <f t="shared" ca="1" si="418"/>
        <v>16800</v>
      </c>
      <c r="U3665" s="61">
        <f t="shared" ca="1" si="419"/>
        <v>12776.113753760481</v>
      </c>
      <c r="V3665" s="39">
        <f t="shared" ca="1" si="420"/>
        <v>8.4053379958950528E-2</v>
      </c>
      <c r="W3665" s="48">
        <f t="shared" ca="1" si="421"/>
        <v>0.92441999889899651</v>
      </c>
    </row>
    <row r="3666" spans="17:23" x14ac:dyDescent="0.2">
      <c r="Q3666">
        <f t="shared" si="415"/>
        <v>3650</v>
      </c>
      <c r="R3666" s="48">
        <f t="shared" ca="1" si="416"/>
        <v>0.3</v>
      </c>
      <c r="S3666">
        <f t="shared" ca="1" si="417"/>
        <v>174.35839987030104</v>
      </c>
      <c r="T3666" s="61">
        <f t="shared" ca="1" si="418"/>
        <v>14400</v>
      </c>
      <c r="U3666" s="61">
        <f t="shared" ca="1" si="419"/>
        <v>5640.7039273685841</v>
      </c>
      <c r="V3666" s="39">
        <f t="shared" ca="1" si="420"/>
        <v>3.7109894259003844E-2</v>
      </c>
      <c r="W3666" s="48">
        <f t="shared" ca="1" si="421"/>
        <v>0.34386774099433737</v>
      </c>
    </row>
    <row r="3667" spans="17:23" x14ac:dyDescent="0.2">
      <c r="Q3667">
        <f t="shared" ref="Q3667:Q3730" si="422">Q3666+1</f>
        <v>3651</v>
      </c>
      <c r="R3667" s="48">
        <f t="shared" ref="R3667:R3730" ca="1" si="423">LOOKUP(RAND(),$U$6:$U$12,$S$6:$S$12)</f>
        <v>0.35</v>
      </c>
      <c r="S3667">
        <f t="shared" ref="S3667:S3730" ca="1" si="424">_xlfn.NORM.INV(RAND(),$Q$5,$Q$10)</f>
        <v>191.0920039222585</v>
      </c>
      <c r="T3667" s="61">
        <f t="shared" ca="1" si="418"/>
        <v>16800</v>
      </c>
      <c r="U3667" s="61">
        <f t="shared" ca="1" si="419"/>
        <v>17367.842039574418</v>
      </c>
      <c r="V3667" s="39">
        <f t="shared" ca="1" si="420"/>
        <v>0.11426211868141065</v>
      </c>
      <c r="W3667" s="48">
        <f t="shared" ca="1" si="421"/>
        <v>1.4050258447394088</v>
      </c>
    </row>
    <row r="3668" spans="17:23" x14ac:dyDescent="0.2">
      <c r="Q3668">
        <f t="shared" si="422"/>
        <v>3652</v>
      </c>
      <c r="R3668" s="48">
        <f t="shared" ca="1" si="423"/>
        <v>0.3</v>
      </c>
      <c r="S3668">
        <f t="shared" ca="1" si="424"/>
        <v>233.42658023558261</v>
      </c>
      <c r="T3668" s="61">
        <f t="shared" ca="1" si="418"/>
        <v>14400</v>
      </c>
      <c r="U3668" s="61">
        <f t="shared" ca="1" si="419"/>
        <v>38718.884931926259</v>
      </c>
      <c r="V3668" s="39">
        <f t="shared" ca="1" si="420"/>
        <v>0.2547295061310938</v>
      </c>
      <c r="W3668" s="48">
        <f t="shared" ca="1" si="421"/>
        <v>5.300150148909367</v>
      </c>
    </row>
    <row r="3669" spans="17:23" x14ac:dyDescent="0.2">
      <c r="Q3669">
        <f t="shared" si="422"/>
        <v>3653</v>
      </c>
      <c r="R3669" s="48">
        <f t="shared" ca="1" si="423"/>
        <v>0.45</v>
      </c>
      <c r="S3669">
        <f t="shared" ca="1" si="424"/>
        <v>205.363518607732</v>
      </c>
      <c r="T3669" s="61">
        <f t="shared" ca="1" si="418"/>
        <v>21600</v>
      </c>
      <c r="U3669" s="61">
        <f t="shared" ca="1" si="419"/>
        <v>28359.948187402082</v>
      </c>
      <c r="V3669" s="39">
        <f t="shared" ca="1" si="420"/>
        <v>0.18657860649606633</v>
      </c>
      <c r="W3669" s="48">
        <f t="shared" ca="1" si="421"/>
        <v>3.0052283324269338</v>
      </c>
    </row>
    <row r="3670" spans="17:23" x14ac:dyDescent="0.2">
      <c r="Q3670">
        <f t="shared" si="422"/>
        <v>3654</v>
      </c>
      <c r="R3670" s="48">
        <f t="shared" ca="1" si="423"/>
        <v>0.35</v>
      </c>
      <c r="S3670">
        <f t="shared" ca="1" si="424"/>
        <v>205.93237878948506</v>
      </c>
      <c r="T3670" s="61">
        <f t="shared" ca="1" si="418"/>
        <v>16800</v>
      </c>
      <c r="U3670" s="61">
        <f t="shared" ca="1" si="419"/>
        <v>25084.836970532229</v>
      </c>
      <c r="V3670" s="39">
        <f t="shared" ca="1" si="420"/>
        <v>0.16503182217455414</v>
      </c>
      <c r="W3670" s="48">
        <f t="shared" ca="1" si="421"/>
        <v>2.4520189375591115</v>
      </c>
    </row>
    <row r="3671" spans="17:23" x14ac:dyDescent="0.2">
      <c r="Q3671">
        <f t="shared" si="422"/>
        <v>3655</v>
      </c>
      <c r="R3671" s="48">
        <f t="shared" ca="1" si="423"/>
        <v>0.45</v>
      </c>
      <c r="S3671">
        <f t="shared" ca="1" si="424"/>
        <v>192.52894776835163</v>
      </c>
      <c r="T3671" s="61">
        <f t="shared" ca="1" si="418"/>
        <v>21600</v>
      </c>
      <c r="U3671" s="61">
        <f t="shared" ca="1" si="419"/>
        <v>22712.737018074717</v>
      </c>
      <c r="V3671" s="39">
        <f t="shared" ca="1" si="420"/>
        <v>0.14942590143470208</v>
      </c>
      <c r="W3671" s="48">
        <f t="shared" ca="1" si="421"/>
        <v>2.0943393775027368</v>
      </c>
    </row>
    <row r="3672" spans="17:23" x14ac:dyDescent="0.2">
      <c r="Q3672">
        <f t="shared" si="422"/>
        <v>3656</v>
      </c>
      <c r="R3672" s="48">
        <f t="shared" ca="1" si="423"/>
        <v>0.4</v>
      </c>
      <c r="S3672">
        <f t="shared" ca="1" si="424"/>
        <v>225.24401427418951</v>
      </c>
      <c r="T3672" s="61">
        <f t="shared" ca="1" si="418"/>
        <v>19200</v>
      </c>
      <c r="U3672" s="61">
        <f t="shared" ca="1" si="419"/>
        <v>36117.126851610963</v>
      </c>
      <c r="V3672" s="39">
        <f t="shared" ca="1" si="420"/>
        <v>0.23761267665533528</v>
      </c>
      <c r="W3672" s="48">
        <f t="shared" ca="1" si="421"/>
        <v>4.6359247688182164</v>
      </c>
    </row>
    <row r="3673" spans="17:23" x14ac:dyDescent="0.2">
      <c r="Q3673">
        <f t="shared" si="422"/>
        <v>3657</v>
      </c>
      <c r="R3673" s="48">
        <f t="shared" ca="1" si="423"/>
        <v>0.3</v>
      </c>
      <c r="S3673">
        <f t="shared" ca="1" si="424"/>
        <v>201.15356072436393</v>
      </c>
      <c r="T3673" s="61">
        <f t="shared" ca="1" si="418"/>
        <v>14400</v>
      </c>
      <c r="U3673" s="61">
        <f t="shared" ca="1" si="419"/>
        <v>20645.994005643799</v>
      </c>
      <c r="V3673" s="39">
        <f t="shared" ca="1" si="420"/>
        <v>0.13582890793186711</v>
      </c>
      <c r="W3673" s="48">
        <f t="shared" ca="1" si="421"/>
        <v>1.8096305814107243</v>
      </c>
    </row>
    <row r="3674" spans="17:23" x14ac:dyDescent="0.2">
      <c r="Q3674">
        <f t="shared" si="422"/>
        <v>3658</v>
      </c>
      <c r="R3674" s="48">
        <f t="shared" ca="1" si="423"/>
        <v>0.3</v>
      </c>
      <c r="S3674">
        <f t="shared" ca="1" si="424"/>
        <v>207.27859261106326</v>
      </c>
      <c r="T3674" s="61">
        <f t="shared" ca="1" si="418"/>
        <v>14400</v>
      </c>
      <c r="U3674" s="61">
        <f t="shared" ca="1" si="419"/>
        <v>24076.011862195424</v>
      </c>
      <c r="V3674" s="39">
        <f t="shared" ca="1" si="420"/>
        <v>0.15839481488286464</v>
      </c>
      <c r="W3674" s="48">
        <f t="shared" ca="1" si="421"/>
        <v>2.2957026222068597</v>
      </c>
    </row>
    <row r="3675" spans="17:23" x14ac:dyDescent="0.2">
      <c r="Q3675">
        <f t="shared" si="422"/>
        <v>3659</v>
      </c>
      <c r="R3675" s="48">
        <f t="shared" ca="1" si="423"/>
        <v>0.3</v>
      </c>
      <c r="S3675">
        <f t="shared" ca="1" si="424"/>
        <v>210.53509645335097</v>
      </c>
      <c r="T3675" s="61">
        <f t="shared" ca="1" si="418"/>
        <v>14400</v>
      </c>
      <c r="U3675" s="61">
        <f t="shared" ca="1" si="419"/>
        <v>25899.654013876545</v>
      </c>
      <c r="V3675" s="39">
        <f t="shared" ca="1" si="420"/>
        <v>0.17039246061760885</v>
      </c>
      <c r="W3675" s="48">
        <f t="shared" ca="1" si="421"/>
        <v>2.5829810783358456</v>
      </c>
    </row>
    <row r="3676" spans="17:23" x14ac:dyDescent="0.2">
      <c r="Q3676">
        <f t="shared" si="422"/>
        <v>3660</v>
      </c>
      <c r="R3676" s="48">
        <f t="shared" ca="1" si="423"/>
        <v>0.45</v>
      </c>
      <c r="S3676">
        <f t="shared" ca="1" si="424"/>
        <v>195.81167659701924</v>
      </c>
      <c r="T3676" s="61">
        <f t="shared" ca="1" si="418"/>
        <v>21600</v>
      </c>
      <c r="U3676" s="61">
        <f t="shared" ca="1" si="419"/>
        <v>24157.137702688466</v>
      </c>
      <c r="V3676" s="39">
        <f t="shared" ca="1" si="420"/>
        <v>0.15892853751768726</v>
      </c>
      <c r="W3676" s="48">
        <f t="shared" ca="1" si="421"/>
        <v>2.3080393201120102</v>
      </c>
    </row>
    <row r="3677" spans="17:23" x14ac:dyDescent="0.2">
      <c r="Q3677">
        <f t="shared" si="422"/>
        <v>3661</v>
      </c>
      <c r="R3677" s="48">
        <f t="shared" ca="1" si="423"/>
        <v>0.45</v>
      </c>
      <c r="S3677">
        <f t="shared" ca="1" si="424"/>
        <v>168.77207419522543</v>
      </c>
      <c r="T3677" s="61">
        <f t="shared" ca="1" si="418"/>
        <v>21600</v>
      </c>
      <c r="U3677" s="61">
        <f t="shared" ca="1" si="419"/>
        <v>12259.712645899188</v>
      </c>
      <c r="V3677" s="39">
        <f t="shared" ca="1" si="420"/>
        <v>8.0656004249336763E-2</v>
      </c>
      <c r="W3677" s="48">
        <f t="shared" ca="1" si="421"/>
        <v>0.87604313066849104</v>
      </c>
    </row>
    <row r="3678" spans="17:23" x14ac:dyDescent="0.2">
      <c r="Q3678">
        <f t="shared" si="422"/>
        <v>3662</v>
      </c>
      <c r="R3678" s="48">
        <f t="shared" ca="1" si="423"/>
        <v>0.35</v>
      </c>
      <c r="S3678">
        <f t="shared" ca="1" si="424"/>
        <v>206.4858273492805</v>
      </c>
      <c r="T3678" s="61">
        <f t="shared" ca="1" si="418"/>
        <v>16800</v>
      </c>
      <c r="U3678" s="61">
        <f t="shared" ca="1" si="419"/>
        <v>25372.630221625859</v>
      </c>
      <c r="V3678" s="39">
        <f t="shared" ca="1" si="420"/>
        <v>0.1669251988264859</v>
      </c>
      <c r="W3678" s="48">
        <f t="shared" ca="1" si="421"/>
        <v>2.4977870841860788</v>
      </c>
    </row>
    <row r="3679" spans="17:23" x14ac:dyDescent="0.2">
      <c r="Q3679">
        <f t="shared" si="422"/>
        <v>3663</v>
      </c>
      <c r="R3679" s="48">
        <f t="shared" ca="1" si="423"/>
        <v>0.3</v>
      </c>
      <c r="S3679">
        <f t="shared" ca="1" si="424"/>
        <v>205.07476994831819</v>
      </c>
      <c r="T3679" s="61">
        <f t="shared" ca="1" si="418"/>
        <v>14400</v>
      </c>
      <c r="U3679" s="61">
        <f t="shared" ca="1" si="419"/>
        <v>22841.871171058188</v>
      </c>
      <c r="V3679" s="39">
        <f t="shared" ca="1" si="420"/>
        <v>0.15027546823064597</v>
      </c>
      <c r="W3679" s="48">
        <f t="shared" ca="1" si="421"/>
        <v>2.1129390966481569</v>
      </c>
    </row>
    <row r="3680" spans="17:23" x14ac:dyDescent="0.2">
      <c r="Q3680">
        <f t="shared" si="422"/>
        <v>3664</v>
      </c>
      <c r="R3680" s="48">
        <f t="shared" ca="1" si="423"/>
        <v>0.4</v>
      </c>
      <c r="S3680">
        <f t="shared" ca="1" si="424"/>
        <v>211.5954691120921</v>
      </c>
      <c r="T3680" s="61">
        <f t="shared" ca="1" si="418"/>
        <v>19200</v>
      </c>
      <c r="U3680" s="61">
        <f t="shared" ca="1" si="419"/>
        <v>29565.825173804209</v>
      </c>
      <c r="V3680" s="39">
        <f t="shared" ca="1" si="420"/>
        <v>0.1945120077223961</v>
      </c>
      <c r="W3680" s="48">
        <f t="shared" ca="1" si="421"/>
        <v>3.2276680800934008</v>
      </c>
    </row>
    <row r="3681" spans="17:23" x14ac:dyDescent="0.2">
      <c r="Q3681">
        <f t="shared" si="422"/>
        <v>3665</v>
      </c>
      <c r="R3681" s="48">
        <f t="shared" ca="1" si="423"/>
        <v>0.45</v>
      </c>
      <c r="S3681">
        <f t="shared" ca="1" si="424"/>
        <v>182.4546377244186</v>
      </c>
      <c r="T3681" s="61">
        <f t="shared" ca="1" si="418"/>
        <v>21600</v>
      </c>
      <c r="U3681" s="61">
        <f t="shared" ca="1" si="419"/>
        <v>18280.040598744185</v>
      </c>
      <c r="V3681" s="39">
        <f t="shared" ca="1" si="420"/>
        <v>0.12026342499173806</v>
      </c>
      <c r="W3681" s="48">
        <f t="shared" ca="1" si="421"/>
        <v>1.5121251665198532</v>
      </c>
    </row>
    <row r="3682" spans="17:23" x14ac:dyDescent="0.2">
      <c r="Q3682">
        <f t="shared" si="422"/>
        <v>3666</v>
      </c>
      <c r="R3682" s="48">
        <f t="shared" ca="1" si="423"/>
        <v>0.217</v>
      </c>
      <c r="S3682">
        <f t="shared" ca="1" si="424"/>
        <v>204.53347177634478</v>
      </c>
      <c r="T3682" s="61">
        <f t="shared" ca="1" si="418"/>
        <v>10416</v>
      </c>
      <c r="U3682" s="61">
        <f t="shared" ca="1" si="419"/>
        <v>19519.76672070237</v>
      </c>
      <c r="V3682" s="39">
        <f t="shared" ca="1" si="420"/>
        <v>0.12841951789935768</v>
      </c>
      <c r="W3682" s="48">
        <f t="shared" ca="1" si="421"/>
        <v>1.6643715071805447</v>
      </c>
    </row>
    <row r="3683" spans="17:23" x14ac:dyDescent="0.2">
      <c r="Q3683">
        <f t="shared" si="422"/>
        <v>3667</v>
      </c>
      <c r="R3683" s="48">
        <f t="shared" ca="1" si="423"/>
        <v>0.3</v>
      </c>
      <c r="S3683">
        <f t="shared" ca="1" si="424"/>
        <v>191.59883513074519</v>
      </c>
      <c r="T3683" s="61">
        <f t="shared" ca="1" si="418"/>
        <v>14400</v>
      </c>
      <c r="U3683" s="61">
        <f t="shared" ca="1" si="419"/>
        <v>15295.347673217304</v>
      </c>
      <c r="V3683" s="39">
        <f t="shared" ca="1" si="420"/>
        <v>0.10062728732379805</v>
      </c>
      <c r="W3683" s="48">
        <f t="shared" ca="1" si="421"/>
        <v>1.1764510511295896</v>
      </c>
    </row>
    <row r="3684" spans="17:23" x14ac:dyDescent="0.2">
      <c r="Q3684">
        <f t="shared" si="422"/>
        <v>3668</v>
      </c>
      <c r="R3684" s="48">
        <f t="shared" ca="1" si="423"/>
        <v>0.4</v>
      </c>
      <c r="S3684">
        <f t="shared" ca="1" si="424"/>
        <v>189.010409902128</v>
      </c>
      <c r="T3684" s="61">
        <f t="shared" ca="1" si="418"/>
        <v>19200</v>
      </c>
      <c r="U3684" s="61">
        <f t="shared" ca="1" si="419"/>
        <v>18724.996753021442</v>
      </c>
      <c r="V3684" s="39">
        <f t="shared" ca="1" si="420"/>
        <v>0.12319076811198316</v>
      </c>
      <c r="W3684" s="48">
        <f t="shared" ca="1" si="421"/>
        <v>1.5658670441455076</v>
      </c>
    </row>
    <row r="3685" spans="17:23" x14ac:dyDescent="0.2">
      <c r="Q3685">
        <f t="shared" si="422"/>
        <v>3669</v>
      </c>
      <c r="R3685" s="48">
        <f t="shared" ca="1" si="423"/>
        <v>0.3</v>
      </c>
      <c r="S3685">
        <f t="shared" ca="1" si="424"/>
        <v>193.76190645633932</v>
      </c>
      <c r="T3685" s="61">
        <f t="shared" ca="1" si="418"/>
        <v>14400</v>
      </c>
      <c r="U3685" s="61">
        <f t="shared" ca="1" si="419"/>
        <v>16506.667615550017</v>
      </c>
      <c r="V3685" s="39">
        <f t="shared" ca="1" si="420"/>
        <v>0.10859649747072379</v>
      </c>
      <c r="W3685" s="48">
        <f t="shared" ca="1" si="421"/>
        <v>1.3076123292517217</v>
      </c>
    </row>
    <row r="3686" spans="17:23" x14ac:dyDescent="0.2">
      <c r="Q3686">
        <f t="shared" si="422"/>
        <v>3670</v>
      </c>
      <c r="R3686" s="48">
        <f t="shared" ca="1" si="423"/>
        <v>0.217</v>
      </c>
      <c r="S3686">
        <f t="shared" ca="1" si="424"/>
        <v>213.7746927693257</v>
      </c>
      <c r="T3686" s="61">
        <f t="shared" ca="1" si="418"/>
        <v>10416</v>
      </c>
      <c r="U3686" s="61">
        <f t="shared" ca="1" si="419"/>
        <v>25308.467550705616</v>
      </c>
      <c r="V3686" s="39">
        <f t="shared" ca="1" si="420"/>
        <v>0.16650307599148431</v>
      </c>
      <c r="W3686" s="48">
        <f t="shared" ca="1" si="421"/>
        <v>2.4875373873986257</v>
      </c>
    </row>
    <row r="3687" spans="17:23" x14ac:dyDescent="0.2">
      <c r="Q3687">
        <f t="shared" si="422"/>
        <v>3671</v>
      </c>
      <c r="R3687" s="48">
        <f t="shared" ca="1" si="423"/>
        <v>0.3</v>
      </c>
      <c r="S3687">
        <f t="shared" ca="1" si="424"/>
        <v>202.53506954883241</v>
      </c>
      <c r="T3687" s="61">
        <f t="shared" ca="1" si="418"/>
        <v>14400</v>
      </c>
      <c r="U3687" s="61">
        <f t="shared" ca="1" si="419"/>
        <v>21419.63894734615</v>
      </c>
      <c r="V3687" s="39">
        <f t="shared" ca="1" si="420"/>
        <v>0.14091867728517204</v>
      </c>
      <c r="W3687" s="48">
        <f t="shared" ca="1" si="421"/>
        <v>1.9133935223292982</v>
      </c>
    </row>
    <row r="3688" spans="17:23" x14ac:dyDescent="0.2">
      <c r="Q3688">
        <f t="shared" si="422"/>
        <v>3672</v>
      </c>
      <c r="R3688" s="48">
        <f t="shared" ca="1" si="423"/>
        <v>0.5</v>
      </c>
      <c r="S3688">
        <f t="shared" ca="1" si="424"/>
        <v>186.63602643205104</v>
      </c>
      <c r="T3688" s="61">
        <f t="shared" ca="1" si="418"/>
        <v>24000</v>
      </c>
      <c r="U3688" s="61">
        <f t="shared" ca="1" si="419"/>
        <v>22654.410572820416</v>
      </c>
      <c r="V3688" s="39">
        <f t="shared" ca="1" si="420"/>
        <v>0.14904217482118695</v>
      </c>
      <c r="W3688" s="48">
        <f t="shared" ca="1" si="421"/>
        <v>2.0859703734905142</v>
      </c>
    </row>
    <row r="3689" spans="17:23" x14ac:dyDescent="0.2">
      <c r="Q3689">
        <f t="shared" si="422"/>
        <v>3673</v>
      </c>
      <c r="R3689" s="48">
        <f t="shared" ca="1" si="423"/>
        <v>0.3</v>
      </c>
      <c r="S3689">
        <f t="shared" ca="1" si="424"/>
        <v>182.37428830232753</v>
      </c>
      <c r="T3689" s="61">
        <f t="shared" ca="1" si="418"/>
        <v>14400</v>
      </c>
      <c r="U3689" s="61">
        <f t="shared" ca="1" si="419"/>
        <v>10129.601449303416</v>
      </c>
      <c r="V3689" s="39">
        <f t="shared" ca="1" si="420"/>
        <v>6.6642114798048796E-2</v>
      </c>
      <c r="W3689" s="48">
        <f t="shared" ca="1" si="421"/>
        <v>0.687574713150501</v>
      </c>
    </row>
    <row r="3690" spans="17:23" x14ac:dyDescent="0.2">
      <c r="Q3690">
        <f t="shared" si="422"/>
        <v>3674</v>
      </c>
      <c r="R3690" s="48">
        <f t="shared" ca="1" si="423"/>
        <v>0.4</v>
      </c>
      <c r="S3690">
        <f t="shared" ca="1" si="424"/>
        <v>197.45732948917728</v>
      </c>
      <c r="T3690" s="61">
        <f t="shared" ca="1" si="418"/>
        <v>19200</v>
      </c>
      <c r="U3690" s="61">
        <f t="shared" ca="1" si="419"/>
        <v>22779.518154805097</v>
      </c>
      <c r="V3690" s="39">
        <f t="shared" ca="1" si="420"/>
        <v>0.14986525101845458</v>
      </c>
      <c r="W3690" s="48">
        <f t="shared" ca="1" si="421"/>
        <v>2.1039459358020229</v>
      </c>
    </row>
    <row r="3691" spans="17:23" x14ac:dyDescent="0.2">
      <c r="Q3691">
        <f t="shared" si="422"/>
        <v>3675</v>
      </c>
      <c r="R3691" s="48">
        <f t="shared" ca="1" si="423"/>
        <v>0.35</v>
      </c>
      <c r="S3691">
        <f t="shared" ca="1" si="424"/>
        <v>191.86353645277478</v>
      </c>
      <c r="T3691" s="61">
        <f t="shared" ca="1" si="418"/>
        <v>16800</v>
      </c>
      <c r="U3691" s="61">
        <f t="shared" ca="1" si="419"/>
        <v>17769.038955442888</v>
      </c>
      <c r="V3691" s="39">
        <f t="shared" ca="1" si="420"/>
        <v>0.11690157207528215</v>
      </c>
      <c r="W3691" s="48">
        <f t="shared" ca="1" si="421"/>
        <v>1.4516259346602238</v>
      </c>
    </row>
    <row r="3692" spans="17:23" x14ac:dyDescent="0.2">
      <c r="Q3692">
        <f t="shared" si="422"/>
        <v>3676</v>
      </c>
      <c r="R3692" s="48">
        <f t="shared" ca="1" si="423"/>
        <v>0.217</v>
      </c>
      <c r="S3692">
        <f t="shared" ca="1" si="424"/>
        <v>165.427400706003</v>
      </c>
      <c r="T3692" s="61">
        <f t="shared" ca="1" si="418"/>
        <v>10416</v>
      </c>
      <c r="U3692" s="61">
        <f t="shared" ca="1" si="419"/>
        <v>-4976.2761977597202</v>
      </c>
      <c r="V3692" s="39">
        <f t="shared" ca="1" si="420"/>
        <v>-3.2738659195787632E-2</v>
      </c>
      <c r="W3692" s="48">
        <f t="shared" ca="1" si="421"/>
        <v>-0.23661362924339624</v>
      </c>
    </row>
    <row r="3693" spans="17:23" x14ac:dyDescent="0.2">
      <c r="Q3693">
        <f t="shared" si="422"/>
        <v>3677</v>
      </c>
      <c r="R3693" s="48">
        <f t="shared" ca="1" si="423"/>
        <v>0.45</v>
      </c>
      <c r="S3693">
        <f t="shared" ca="1" si="424"/>
        <v>163.89618533896956</v>
      </c>
      <c r="T3693" s="61">
        <f t="shared" ca="1" si="418"/>
        <v>21600</v>
      </c>
      <c r="U3693" s="61">
        <f t="shared" ca="1" si="419"/>
        <v>10114.321549146605</v>
      </c>
      <c r="V3693" s="39">
        <f t="shared" ca="1" si="420"/>
        <v>6.6541589139122406E-2</v>
      </c>
      <c r="W3693" s="48">
        <f t="shared" ca="1" si="421"/>
        <v>0.68628511014783555</v>
      </c>
    </row>
    <row r="3694" spans="17:23" x14ac:dyDescent="0.2">
      <c r="Q3694">
        <f t="shared" si="422"/>
        <v>3678</v>
      </c>
      <c r="R3694" s="48">
        <f t="shared" ca="1" si="423"/>
        <v>0.217</v>
      </c>
      <c r="S3694">
        <f t="shared" ca="1" si="424"/>
        <v>158.3015543697542</v>
      </c>
      <c r="T3694" s="61">
        <f t="shared" ca="1" si="418"/>
        <v>10416</v>
      </c>
      <c r="U3694" s="61">
        <f t="shared" ca="1" si="419"/>
        <v>-9439.9063427859692</v>
      </c>
      <c r="V3694" s="39">
        <f t="shared" ca="1" si="420"/>
        <v>-6.2104646992012957E-2</v>
      </c>
      <c r="W3694" s="48">
        <f t="shared" ca="1" si="421"/>
        <v>-0.40551470681006918</v>
      </c>
    </row>
    <row r="3695" spans="17:23" x14ac:dyDescent="0.2">
      <c r="Q3695">
        <f t="shared" si="422"/>
        <v>3679</v>
      </c>
      <c r="R3695" s="48">
        <f t="shared" ca="1" si="423"/>
        <v>0.3</v>
      </c>
      <c r="S3695">
        <f t="shared" ca="1" si="424"/>
        <v>158.62622673232823</v>
      </c>
      <c r="T3695" s="61">
        <f t="shared" ca="1" si="418"/>
        <v>14400</v>
      </c>
      <c r="U3695" s="61">
        <f t="shared" ca="1" si="419"/>
        <v>-3169.3130298961878</v>
      </c>
      <c r="V3695" s="39">
        <f t="shared" ca="1" si="420"/>
        <v>-2.0850743617738077E-2</v>
      </c>
      <c r="W3695" s="48">
        <f t="shared" ca="1" si="421"/>
        <v>-0.15710321307625885</v>
      </c>
    </row>
    <row r="3696" spans="17:23" x14ac:dyDescent="0.2">
      <c r="Q3696">
        <f t="shared" si="422"/>
        <v>3680</v>
      </c>
      <c r="R3696" s="48">
        <f t="shared" ca="1" si="423"/>
        <v>0.3</v>
      </c>
      <c r="S3696">
        <f t="shared" ca="1" si="424"/>
        <v>199.17499592150992</v>
      </c>
      <c r="T3696" s="61">
        <f t="shared" ca="1" si="418"/>
        <v>14400</v>
      </c>
      <c r="U3696" s="61">
        <f t="shared" ca="1" si="419"/>
        <v>19537.997716045553</v>
      </c>
      <c r="V3696" s="39">
        <f t="shared" ca="1" si="420"/>
        <v>0.12853945865819444</v>
      </c>
      <c r="W3696" s="48">
        <f t="shared" ca="1" si="421"/>
        <v>1.6666694301627127</v>
      </c>
    </row>
    <row r="3697" spans="17:23" x14ac:dyDescent="0.2">
      <c r="Q3697">
        <f t="shared" si="422"/>
        <v>3681</v>
      </c>
      <c r="R3697" s="48">
        <f t="shared" ca="1" si="423"/>
        <v>0.5</v>
      </c>
      <c r="S3697">
        <f t="shared" ca="1" si="424"/>
        <v>156.74872873908851</v>
      </c>
      <c r="T3697" s="61">
        <f t="shared" ca="1" si="418"/>
        <v>24000</v>
      </c>
      <c r="U3697" s="61">
        <f t="shared" ca="1" si="419"/>
        <v>10699.491495635402</v>
      </c>
      <c r="V3697" s="39">
        <f t="shared" ca="1" si="420"/>
        <v>7.0391391418653956E-2</v>
      </c>
      <c r="W3697" s="48">
        <f t="shared" ca="1" si="421"/>
        <v>0.73629443419845075</v>
      </c>
    </row>
    <row r="3698" spans="17:23" x14ac:dyDescent="0.2">
      <c r="Q3698">
        <f t="shared" si="422"/>
        <v>3682</v>
      </c>
      <c r="R3698" s="48">
        <f t="shared" ca="1" si="423"/>
        <v>0.35</v>
      </c>
      <c r="S3698">
        <f t="shared" ca="1" si="424"/>
        <v>195.18175504196944</v>
      </c>
      <c r="T3698" s="61">
        <f t="shared" ca="1" si="418"/>
        <v>16800</v>
      </c>
      <c r="U3698" s="61">
        <f t="shared" ca="1" si="419"/>
        <v>19494.512621824109</v>
      </c>
      <c r="V3698" s="39">
        <f t="shared" ca="1" si="420"/>
        <v>0.12825337251200072</v>
      </c>
      <c r="W3698" s="48">
        <f t="shared" ca="1" si="421"/>
        <v>1.6611912262757658</v>
      </c>
    </row>
    <row r="3699" spans="17:23" x14ac:dyDescent="0.2">
      <c r="Q3699">
        <f t="shared" si="422"/>
        <v>3683</v>
      </c>
      <c r="R3699" s="48">
        <f t="shared" ca="1" si="423"/>
        <v>0.3</v>
      </c>
      <c r="S3699">
        <f t="shared" ca="1" si="424"/>
        <v>157.14315483823202</v>
      </c>
      <c r="T3699" s="61">
        <f t="shared" ca="1" si="418"/>
        <v>14400</v>
      </c>
      <c r="U3699" s="61">
        <f t="shared" ca="1" si="419"/>
        <v>-3999.8332905900679</v>
      </c>
      <c r="V3699" s="39">
        <f t="shared" ca="1" si="420"/>
        <v>-2.6314692701250447E-2</v>
      </c>
      <c r="W3699" s="48">
        <f t="shared" ca="1" si="421"/>
        <v>-0.19450636534624244</v>
      </c>
    </row>
    <row r="3700" spans="17:23" x14ac:dyDescent="0.2">
      <c r="Q3700">
        <f t="shared" si="422"/>
        <v>3684</v>
      </c>
      <c r="R3700" s="48">
        <f t="shared" ca="1" si="423"/>
        <v>0.3</v>
      </c>
      <c r="S3700">
        <f t="shared" ca="1" si="424"/>
        <v>169.93390134225055</v>
      </c>
      <c r="T3700" s="61">
        <f t="shared" ca="1" si="418"/>
        <v>14400</v>
      </c>
      <c r="U3700" s="61">
        <f t="shared" ca="1" si="419"/>
        <v>3162.9847516603077</v>
      </c>
      <c r="V3700" s="39">
        <f t="shared" ca="1" si="420"/>
        <v>2.0809110208291497E-2</v>
      </c>
      <c r="W3700" s="48">
        <f t="shared" ca="1" si="421"/>
        <v>0.1818167350981974</v>
      </c>
    </row>
    <row r="3701" spans="17:23" x14ac:dyDescent="0.2">
      <c r="Q3701">
        <f t="shared" si="422"/>
        <v>3685</v>
      </c>
      <c r="R3701" s="48">
        <f t="shared" ca="1" si="423"/>
        <v>0.217</v>
      </c>
      <c r="S3701">
        <f t="shared" ca="1" si="424"/>
        <v>205.58209778921557</v>
      </c>
      <c r="T3701" s="61">
        <f t="shared" ca="1" si="418"/>
        <v>10416</v>
      </c>
      <c r="U3701" s="61">
        <f t="shared" ca="1" si="419"/>
        <v>20176.62605516463</v>
      </c>
      <c r="V3701" s="39">
        <f t="shared" ca="1" si="420"/>
        <v>0.13274096088924098</v>
      </c>
      <c r="W3701" s="48">
        <f t="shared" ca="1" si="421"/>
        <v>1.7482697254009389</v>
      </c>
    </row>
    <row r="3702" spans="17:23" x14ac:dyDescent="0.2">
      <c r="Q3702">
        <f t="shared" si="422"/>
        <v>3686</v>
      </c>
      <c r="R3702" s="48">
        <f t="shared" ca="1" si="423"/>
        <v>0.3</v>
      </c>
      <c r="S3702">
        <f t="shared" ca="1" si="424"/>
        <v>220.03500794055549</v>
      </c>
      <c r="T3702" s="61">
        <f t="shared" ca="1" si="418"/>
        <v>14400</v>
      </c>
      <c r="U3702" s="61">
        <f t="shared" ca="1" si="419"/>
        <v>31219.604446711073</v>
      </c>
      <c r="V3702" s="39">
        <f t="shared" ca="1" si="420"/>
        <v>0.205392134517836</v>
      </c>
      <c r="W3702" s="48">
        <f t="shared" ca="1" si="421"/>
        <v>3.5503110752703506</v>
      </c>
    </row>
    <row r="3703" spans="17:23" x14ac:dyDescent="0.2">
      <c r="Q3703">
        <f t="shared" si="422"/>
        <v>3687</v>
      </c>
      <c r="R3703" s="48">
        <f t="shared" ca="1" si="423"/>
        <v>0.35</v>
      </c>
      <c r="S3703">
        <f t="shared" ca="1" si="424"/>
        <v>207.67760213648504</v>
      </c>
      <c r="T3703" s="61">
        <f t="shared" ca="1" si="418"/>
        <v>16800</v>
      </c>
      <c r="U3703" s="61">
        <f t="shared" ca="1" si="419"/>
        <v>25992.353110972217</v>
      </c>
      <c r="V3703" s="39">
        <f t="shared" ca="1" si="420"/>
        <v>0.17100232309850144</v>
      </c>
      <c r="W3703" s="48">
        <f t="shared" ca="1" si="421"/>
        <v>2.5981526298861191</v>
      </c>
    </row>
    <row r="3704" spans="17:23" x14ac:dyDescent="0.2">
      <c r="Q3704">
        <f t="shared" si="422"/>
        <v>3688</v>
      </c>
      <c r="R3704" s="48">
        <f t="shared" ca="1" si="423"/>
        <v>0.35</v>
      </c>
      <c r="S3704">
        <f t="shared" ca="1" si="424"/>
        <v>157.4734643917723</v>
      </c>
      <c r="T3704" s="61">
        <f t="shared" ca="1" si="418"/>
        <v>16800</v>
      </c>
      <c r="U3704" s="61">
        <f t="shared" ca="1" si="419"/>
        <v>-113.79851627840617</v>
      </c>
      <c r="V3704" s="39">
        <f t="shared" ca="1" si="420"/>
        <v>-7.4867444920004062E-4</v>
      </c>
      <c r="W3704" s="48">
        <f t="shared" ca="1" si="421"/>
        <v>-6.0564413421652086E-3</v>
      </c>
    </row>
    <row r="3705" spans="17:23" x14ac:dyDescent="0.2">
      <c r="Q3705">
        <f t="shared" si="422"/>
        <v>3689</v>
      </c>
      <c r="R3705" s="48">
        <f t="shared" ca="1" si="423"/>
        <v>0.217</v>
      </c>
      <c r="S3705">
        <f t="shared" ca="1" si="424"/>
        <v>186.28154902726325</v>
      </c>
      <c r="T3705" s="61">
        <f t="shared" ref="T3705:T3768" ca="1" si="425">($B$8-$B$7)*($E$6*R3705)</f>
        <v>10416</v>
      </c>
      <c r="U3705" s="61">
        <f t="shared" ref="U3705:U3768" ca="1" si="426">T3705+((S3705-$B$7)*($E$6*(1-R3705)))</f>
        <v>8086.7623106777019</v>
      </c>
      <c r="V3705" s="39">
        <f t="shared" ref="V3705:V3768" ca="1" si="427">U3705/$E$4</f>
        <v>5.3202383622879615E-2</v>
      </c>
      <c r="W3705" s="48">
        <f t="shared" ref="W3705:W3768" ca="1" si="428">(1+V3705)^($J$29/$J$30)-1</f>
        <v>0.52263560668042341</v>
      </c>
    </row>
    <row r="3706" spans="17:23" x14ac:dyDescent="0.2">
      <c r="Q3706">
        <f t="shared" si="422"/>
        <v>3690</v>
      </c>
      <c r="R3706" s="48">
        <f t="shared" ca="1" si="423"/>
        <v>0.3</v>
      </c>
      <c r="S3706">
        <f t="shared" ca="1" si="424"/>
        <v>196.87992473769938</v>
      </c>
      <c r="T3706" s="61">
        <f t="shared" ca="1" si="425"/>
        <v>14400</v>
      </c>
      <c r="U3706" s="61">
        <f t="shared" ca="1" si="426"/>
        <v>18252.757853111656</v>
      </c>
      <c r="V3706" s="39">
        <f t="shared" ca="1" si="427"/>
        <v>0.12008393324415563</v>
      </c>
      <c r="W3706" s="48">
        <f t="shared" ca="1" si="428"/>
        <v>1.5088623056561965</v>
      </c>
    </row>
    <row r="3707" spans="17:23" x14ac:dyDescent="0.2">
      <c r="Q3707">
        <f t="shared" si="422"/>
        <v>3691</v>
      </c>
      <c r="R3707" s="48">
        <f t="shared" ca="1" si="423"/>
        <v>0.3</v>
      </c>
      <c r="S3707">
        <f t="shared" ca="1" si="424"/>
        <v>164.74091826949362</v>
      </c>
      <c r="T3707" s="61">
        <f t="shared" ca="1" si="425"/>
        <v>14400</v>
      </c>
      <c r="U3707" s="61">
        <f t="shared" ca="1" si="426"/>
        <v>254.91423091642719</v>
      </c>
      <c r="V3707" s="39">
        <f t="shared" ca="1" si="427"/>
        <v>1.6770673086607053E-3</v>
      </c>
      <c r="W3707" s="48">
        <f t="shared" ca="1" si="428"/>
        <v>1.3684269667366911E-2</v>
      </c>
    </row>
    <row r="3708" spans="17:23" x14ac:dyDescent="0.2">
      <c r="Q3708">
        <f t="shared" si="422"/>
        <v>3692</v>
      </c>
      <c r="R3708" s="48">
        <f t="shared" ca="1" si="423"/>
        <v>0.45</v>
      </c>
      <c r="S3708">
        <f t="shared" ca="1" si="424"/>
        <v>179.25390385168052</v>
      </c>
      <c r="T3708" s="61">
        <f t="shared" ca="1" si="425"/>
        <v>21600</v>
      </c>
      <c r="U3708" s="61">
        <f t="shared" ca="1" si="426"/>
        <v>16871.717694739429</v>
      </c>
      <c r="V3708" s="39">
        <f t="shared" ca="1" si="427"/>
        <v>0.11099814272854888</v>
      </c>
      <c r="W3708" s="48">
        <f t="shared" ca="1" si="428"/>
        <v>1.3484748984770931</v>
      </c>
    </row>
    <row r="3709" spans="17:23" x14ac:dyDescent="0.2">
      <c r="Q3709">
        <f t="shared" si="422"/>
        <v>3693</v>
      </c>
      <c r="R3709" s="48">
        <f t="shared" ca="1" si="423"/>
        <v>0.4</v>
      </c>
      <c r="S3709">
        <f t="shared" ca="1" si="424"/>
        <v>203.64330719460443</v>
      </c>
      <c r="T3709" s="61">
        <f t="shared" ca="1" si="425"/>
        <v>19200</v>
      </c>
      <c r="U3709" s="61">
        <f t="shared" ca="1" si="426"/>
        <v>25748.787453410128</v>
      </c>
      <c r="V3709" s="39">
        <f t="shared" ca="1" si="427"/>
        <v>0.16939991745664559</v>
      </c>
      <c r="W3709" s="48">
        <f t="shared" ca="1" si="428"/>
        <v>2.5584094732437723</v>
      </c>
    </row>
    <row r="3710" spans="17:23" x14ac:dyDescent="0.2">
      <c r="Q3710">
        <f t="shared" si="422"/>
        <v>3694</v>
      </c>
      <c r="R3710" s="48">
        <f t="shared" ca="1" si="423"/>
        <v>0.35</v>
      </c>
      <c r="S3710">
        <f t="shared" ca="1" si="424"/>
        <v>217.28801416892776</v>
      </c>
      <c r="T3710" s="61">
        <f t="shared" ca="1" si="425"/>
        <v>16800</v>
      </c>
      <c r="U3710" s="61">
        <f t="shared" ca="1" si="426"/>
        <v>30989.767367842433</v>
      </c>
      <c r="V3710" s="39">
        <f t="shared" ca="1" si="427"/>
        <v>0.2038800484726476</v>
      </c>
      <c r="W3710" s="48">
        <f t="shared" ca="1" si="428"/>
        <v>3.5042182662886328</v>
      </c>
    </row>
    <row r="3711" spans="17:23" x14ac:dyDescent="0.2">
      <c r="Q3711">
        <f t="shared" si="422"/>
        <v>3695</v>
      </c>
      <c r="R3711" s="48">
        <f t="shared" ca="1" si="423"/>
        <v>0.3</v>
      </c>
      <c r="S3711">
        <f t="shared" ca="1" si="424"/>
        <v>156.10320539992333</v>
      </c>
      <c r="T3711" s="61">
        <f t="shared" ca="1" si="425"/>
        <v>14400</v>
      </c>
      <c r="U3711" s="61">
        <f t="shared" ca="1" si="426"/>
        <v>-4582.2049760429363</v>
      </c>
      <c r="V3711" s="39">
        <f t="shared" ca="1" si="427"/>
        <v>-3.0146085368703529E-2</v>
      </c>
      <c r="W3711" s="48">
        <f t="shared" ca="1" si="428"/>
        <v>-0.21985826928652719</v>
      </c>
    </row>
    <row r="3712" spans="17:23" x14ac:dyDescent="0.2">
      <c r="Q3712">
        <f t="shared" si="422"/>
        <v>3696</v>
      </c>
      <c r="R3712" s="48">
        <f t="shared" ca="1" si="423"/>
        <v>0.5</v>
      </c>
      <c r="S3712">
        <f t="shared" ca="1" si="424"/>
        <v>180.88072203768922</v>
      </c>
      <c r="T3712" s="61">
        <f t="shared" ca="1" si="425"/>
        <v>24000</v>
      </c>
      <c r="U3712" s="61">
        <f t="shared" ca="1" si="426"/>
        <v>20352.288815075692</v>
      </c>
      <c r="V3712" s="39">
        <f t="shared" ca="1" si="427"/>
        <v>0.13389663694128745</v>
      </c>
      <c r="W3712" s="48">
        <f t="shared" ca="1" si="428"/>
        <v>1.7710952649671947</v>
      </c>
    </row>
    <row r="3713" spans="17:23" x14ac:dyDescent="0.2">
      <c r="Q3713">
        <f t="shared" si="422"/>
        <v>3697</v>
      </c>
      <c r="R3713" s="48">
        <f t="shared" ca="1" si="423"/>
        <v>0.35</v>
      </c>
      <c r="S3713">
        <f t="shared" ca="1" si="424"/>
        <v>182.2445020065972</v>
      </c>
      <c r="T3713" s="61">
        <f t="shared" ca="1" si="425"/>
        <v>16800</v>
      </c>
      <c r="U3713" s="61">
        <f t="shared" ca="1" si="426"/>
        <v>12767.141043430545</v>
      </c>
      <c r="V3713" s="39">
        <f t="shared" ca="1" si="427"/>
        <v>8.3994348969937793E-2</v>
      </c>
      <c r="W3713" s="48">
        <f t="shared" ca="1" si="428"/>
        <v>0.92357018169368921</v>
      </c>
    </row>
    <row r="3714" spans="17:23" x14ac:dyDescent="0.2">
      <c r="Q3714">
        <f t="shared" si="422"/>
        <v>3698</v>
      </c>
      <c r="R3714" s="48">
        <f t="shared" ca="1" si="423"/>
        <v>0.3</v>
      </c>
      <c r="S3714">
        <f t="shared" ca="1" si="424"/>
        <v>141.50832687164606</v>
      </c>
      <c r="T3714" s="61">
        <f t="shared" ca="1" si="425"/>
        <v>14400</v>
      </c>
      <c r="U3714" s="61">
        <f t="shared" ca="1" si="426"/>
        <v>-12755.336951878206</v>
      </c>
      <c r="V3714" s="39">
        <f t="shared" ca="1" si="427"/>
        <v>-8.3916690472882929E-2</v>
      </c>
      <c r="W3714" s="48">
        <f t="shared" ca="1" si="428"/>
        <v>-0.50880909424737375</v>
      </c>
    </row>
    <row r="3715" spans="17:23" x14ac:dyDescent="0.2">
      <c r="Q3715">
        <f t="shared" si="422"/>
        <v>3699</v>
      </c>
      <c r="R3715" s="48">
        <f t="shared" ca="1" si="423"/>
        <v>0.3</v>
      </c>
      <c r="S3715">
        <f t="shared" ca="1" si="424"/>
        <v>170.28440388804256</v>
      </c>
      <c r="T3715" s="61">
        <f t="shared" ca="1" si="425"/>
        <v>14400</v>
      </c>
      <c r="U3715" s="61">
        <f t="shared" ca="1" si="426"/>
        <v>3359.2661773038344</v>
      </c>
      <c r="V3715" s="39">
        <f t="shared" ca="1" si="427"/>
        <v>2.2100435376998909E-2</v>
      </c>
      <c r="W3715" s="48">
        <f t="shared" ca="1" si="428"/>
        <v>0.19399752820171923</v>
      </c>
    </row>
    <row r="3716" spans="17:23" x14ac:dyDescent="0.2">
      <c r="Q3716">
        <f t="shared" si="422"/>
        <v>3700</v>
      </c>
      <c r="R3716" s="48">
        <f t="shared" ca="1" si="423"/>
        <v>0.4</v>
      </c>
      <c r="S3716">
        <f t="shared" ca="1" si="424"/>
        <v>239.43424380274848</v>
      </c>
      <c r="T3716" s="61">
        <f t="shared" ca="1" si="425"/>
        <v>19200</v>
      </c>
      <c r="U3716" s="61">
        <f t="shared" ca="1" si="426"/>
        <v>42928.437025319276</v>
      </c>
      <c r="V3716" s="39">
        <f t="shared" ca="1" si="427"/>
        <v>0.28242392779815312</v>
      </c>
      <c r="W3716" s="48">
        <f t="shared" ca="1" si="428"/>
        <v>6.5206679333700874</v>
      </c>
    </row>
    <row r="3717" spans="17:23" x14ac:dyDescent="0.2">
      <c r="Q3717">
        <f t="shared" si="422"/>
        <v>3701</v>
      </c>
      <c r="R3717" s="48">
        <f t="shared" ca="1" si="423"/>
        <v>0.3</v>
      </c>
      <c r="S3717">
        <f t="shared" ca="1" si="424"/>
        <v>200.72560452310015</v>
      </c>
      <c r="T3717" s="61">
        <f t="shared" ca="1" si="425"/>
        <v>14400</v>
      </c>
      <c r="U3717" s="61">
        <f t="shared" ca="1" si="426"/>
        <v>20406.338532936083</v>
      </c>
      <c r="V3717" s="39">
        <f t="shared" ca="1" si="427"/>
        <v>0.13425222719036897</v>
      </c>
      <c r="W3717" s="48">
        <f t="shared" ca="1" si="428"/>
        <v>1.7781518157413179</v>
      </c>
    </row>
    <row r="3718" spans="17:23" x14ac:dyDescent="0.2">
      <c r="Q3718">
        <f t="shared" si="422"/>
        <v>3702</v>
      </c>
      <c r="R3718" s="48">
        <f t="shared" ca="1" si="423"/>
        <v>0.3</v>
      </c>
      <c r="S3718">
        <f t="shared" ca="1" si="424"/>
        <v>204.96366419249711</v>
      </c>
      <c r="T3718" s="61">
        <f t="shared" ca="1" si="425"/>
        <v>14400</v>
      </c>
      <c r="U3718" s="61">
        <f t="shared" ca="1" si="426"/>
        <v>22779.651947798378</v>
      </c>
      <c r="V3718" s="39">
        <f t="shared" ca="1" si="427"/>
        <v>0.14986613123551565</v>
      </c>
      <c r="W3718" s="48">
        <f t="shared" ca="1" si="428"/>
        <v>2.103965208322387</v>
      </c>
    </row>
    <row r="3719" spans="17:23" x14ac:dyDescent="0.2">
      <c r="Q3719">
        <f t="shared" si="422"/>
        <v>3703</v>
      </c>
      <c r="R3719" s="48">
        <f t="shared" ca="1" si="423"/>
        <v>0.217</v>
      </c>
      <c r="S3719">
        <f t="shared" ca="1" si="424"/>
        <v>177.18844902545285</v>
      </c>
      <c r="T3719" s="61">
        <f t="shared" ca="1" si="425"/>
        <v>10416</v>
      </c>
      <c r="U3719" s="61">
        <f t="shared" ca="1" si="426"/>
        <v>2390.8444695436683</v>
      </c>
      <c r="V3719" s="39">
        <f t="shared" ca="1" si="427"/>
        <v>1.5729239931208346E-2</v>
      </c>
      <c r="W3719" s="48">
        <f t="shared" ca="1" si="428"/>
        <v>0.13495003837069186</v>
      </c>
    </row>
    <row r="3720" spans="17:23" x14ac:dyDescent="0.2">
      <c r="Q3720">
        <f t="shared" si="422"/>
        <v>3704</v>
      </c>
      <c r="R3720" s="48">
        <f t="shared" ca="1" si="423"/>
        <v>0.3</v>
      </c>
      <c r="S3720">
        <f t="shared" ca="1" si="424"/>
        <v>200.90374423224523</v>
      </c>
      <c r="T3720" s="61">
        <f t="shared" ca="1" si="425"/>
        <v>14400</v>
      </c>
      <c r="U3720" s="61">
        <f t="shared" ca="1" si="426"/>
        <v>20506.096770057331</v>
      </c>
      <c r="V3720" s="39">
        <f t="shared" ca="1" si="427"/>
        <v>0.13490853138195613</v>
      </c>
      <c r="W3720" s="48">
        <f t="shared" ca="1" si="428"/>
        <v>1.7912172991137552</v>
      </c>
    </row>
    <row r="3721" spans="17:23" x14ac:dyDescent="0.2">
      <c r="Q3721">
        <f t="shared" si="422"/>
        <v>3705</v>
      </c>
      <c r="R3721" s="48">
        <f t="shared" ca="1" si="423"/>
        <v>0.3</v>
      </c>
      <c r="S3721">
        <f t="shared" ca="1" si="424"/>
        <v>215.60230046022252</v>
      </c>
      <c r="T3721" s="61">
        <f t="shared" ca="1" si="425"/>
        <v>14400</v>
      </c>
      <c r="U3721" s="61">
        <f t="shared" ca="1" si="426"/>
        <v>28737.288257724613</v>
      </c>
      <c r="V3721" s="39">
        <f t="shared" ca="1" si="427"/>
        <v>0.18906110695871456</v>
      </c>
      <c r="W3721" s="48">
        <f t="shared" ca="1" si="428"/>
        <v>3.0737034538948347</v>
      </c>
    </row>
    <row r="3722" spans="17:23" x14ac:dyDescent="0.2">
      <c r="Q3722">
        <f t="shared" si="422"/>
        <v>3706</v>
      </c>
      <c r="R3722" s="48">
        <f t="shared" ca="1" si="423"/>
        <v>0.3</v>
      </c>
      <c r="S3722">
        <f t="shared" ca="1" si="424"/>
        <v>230.4186563231396</v>
      </c>
      <c r="T3722" s="61">
        <f t="shared" ca="1" si="425"/>
        <v>14400</v>
      </c>
      <c r="U3722" s="61">
        <f t="shared" ca="1" si="426"/>
        <v>37034.447540958179</v>
      </c>
      <c r="V3722" s="39">
        <f t="shared" ca="1" si="427"/>
        <v>0.24364768119051433</v>
      </c>
      <c r="W3722" s="48">
        <f t="shared" ca="1" si="428"/>
        <v>4.862742840284902</v>
      </c>
    </row>
    <row r="3723" spans="17:23" x14ac:dyDescent="0.2">
      <c r="Q3723">
        <f t="shared" si="422"/>
        <v>3707</v>
      </c>
      <c r="R3723" s="48">
        <f t="shared" ca="1" si="423"/>
        <v>0.4</v>
      </c>
      <c r="S3723">
        <f t="shared" ca="1" si="424"/>
        <v>169.30798537420264</v>
      </c>
      <c r="T3723" s="61">
        <f t="shared" ca="1" si="425"/>
        <v>19200</v>
      </c>
      <c r="U3723" s="61">
        <f t="shared" ca="1" si="426"/>
        <v>9267.8329796172693</v>
      </c>
      <c r="V3723" s="39">
        <f t="shared" ca="1" si="427"/>
        <v>6.0972585392218878E-2</v>
      </c>
      <c r="W3723" s="48">
        <f t="shared" ca="1" si="428"/>
        <v>0.61617846655957176</v>
      </c>
    </row>
    <row r="3724" spans="17:23" x14ac:dyDescent="0.2">
      <c r="Q3724">
        <f t="shared" si="422"/>
        <v>3708</v>
      </c>
      <c r="R3724" s="48">
        <f t="shared" ca="1" si="423"/>
        <v>0.3</v>
      </c>
      <c r="S3724">
        <f t="shared" ca="1" si="424"/>
        <v>192.54286825353154</v>
      </c>
      <c r="T3724" s="61">
        <f t="shared" ca="1" si="425"/>
        <v>14400</v>
      </c>
      <c r="U3724" s="61">
        <f t="shared" ca="1" si="426"/>
        <v>15824.006221977661</v>
      </c>
      <c r="V3724" s="39">
        <f t="shared" ca="1" si="427"/>
        <v>0.1041053040919583</v>
      </c>
      <c r="W3724" s="48">
        <f t="shared" ca="1" si="428"/>
        <v>1.2328673012035316</v>
      </c>
    </row>
    <row r="3725" spans="17:23" x14ac:dyDescent="0.2">
      <c r="Q3725">
        <f t="shared" si="422"/>
        <v>3709</v>
      </c>
      <c r="R3725" s="48">
        <f t="shared" ca="1" si="423"/>
        <v>0.3</v>
      </c>
      <c r="S3725">
        <f t="shared" ca="1" si="424"/>
        <v>183.90310626174218</v>
      </c>
      <c r="T3725" s="61">
        <f t="shared" ca="1" si="425"/>
        <v>14400</v>
      </c>
      <c r="U3725" s="61">
        <f t="shared" ca="1" si="426"/>
        <v>10985.739506575621</v>
      </c>
      <c r="V3725" s="39">
        <f t="shared" ca="1" si="427"/>
        <v>7.2274602016944869E-2</v>
      </c>
      <c r="W3725" s="48">
        <f t="shared" ca="1" si="428"/>
        <v>0.76122763193403387</v>
      </c>
    </row>
    <row r="3726" spans="17:23" x14ac:dyDescent="0.2">
      <c r="Q3726">
        <f t="shared" si="422"/>
        <v>3710</v>
      </c>
      <c r="R3726" s="48">
        <f t="shared" ca="1" si="423"/>
        <v>0.45</v>
      </c>
      <c r="S3726">
        <f t="shared" ca="1" si="424"/>
        <v>196.73940670657788</v>
      </c>
      <c r="T3726" s="61">
        <f t="shared" ca="1" si="425"/>
        <v>21600</v>
      </c>
      <c r="U3726" s="61">
        <f t="shared" ca="1" si="426"/>
        <v>24565.338950894267</v>
      </c>
      <c r="V3726" s="39">
        <f t="shared" ca="1" si="427"/>
        <v>0.16161407204535702</v>
      </c>
      <c r="W3726" s="48">
        <f t="shared" ca="1" si="428"/>
        <v>2.3707303564079565</v>
      </c>
    </row>
    <row r="3727" spans="17:23" x14ac:dyDescent="0.2">
      <c r="Q3727">
        <f t="shared" si="422"/>
        <v>3711</v>
      </c>
      <c r="R3727" s="48">
        <f t="shared" ca="1" si="423"/>
        <v>0.35</v>
      </c>
      <c r="S3727">
        <f t="shared" ca="1" si="424"/>
        <v>201.87518562002197</v>
      </c>
      <c r="T3727" s="61">
        <f t="shared" ca="1" si="425"/>
        <v>16800</v>
      </c>
      <c r="U3727" s="61">
        <f t="shared" ca="1" si="426"/>
        <v>22975.096522411422</v>
      </c>
      <c r="V3727" s="39">
        <f t="shared" ca="1" si="427"/>
        <v>0.1511519508053383</v>
      </c>
      <c r="W3727" s="48">
        <f t="shared" ca="1" si="428"/>
        <v>2.1322307410112491</v>
      </c>
    </row>
    <row r="3728" spans="17:23" x14ac:dyDescent="0.2">
      <c r="Q3728">
        <f t="shared" si="422"/>
        <v>3712</v>
      </c>
      <c r="R3728" s="48">
        <f t="shared" ca="1" si="423"/>
        <v>0.217</v>
      </c>
      <c r="S3728">
        <f t="shared" ca="1" si="424"/>
        <v>201.3870195438605</v>
      </c>
      <c r="T3728" s="61">
        <f t="shared" ca="1" si="425"/>
        <v>10416</v>
      </c>
      <c r="U3728" s="61">
        <f t="shared" ca="1" si="426"/>
        <v>17548.829042274221</v>
      </c>
      <c r="V3728" s="39">
        <f t="shared" ca="1" si="427"/>
        <v>0.11545282264654093</v>
      </c>
      <c r="W3728" s="48">
        <f t="shared" ca="1" si="428"/>
        <v>1.4259509225046441</v>
      </c>
    </row>
    <row r="3729" spans="17:23" x14ac:dyDescent="0.2">
      <c r="Q3729">
        <f t="shared" si="422"/>
        <v>3713</v>
      </c>
      <c r="R3729" s="48">
        <f t="shared" ca="1" si="423"/>
        <v>0.3</v>
      </c>
      <c r="S3729">
        <f t="shared" ca="1" si="424"/>
        <v>216.82985016616249</v>
      </c>
      <c r="T3729" s="61">
        <f t="shared" ca="1" si="425"/>
        <v>14400</v>
      </c>
      <c r="U3729" s="61">
        <f t="shared" ca="1" si="426"/>
        <v>29424.716093050993</v>
      </c>
      <c r="V3729" s="39">
        <f t="shared" ca="1" si="427"/>
        <v>0.19358365850691442</v>
      </c>
      <c r="W3729" s="48">
        <f t="shared" ca="1" si="428"/>
        <v>3.2010913072809668</v>
      </c>
    </row>
    <row r="3730" spans="17:23" x14ac:dyDescent="0.2">
      <c r="Q3730">
        <f t="shared" si="422"/>
        <v>3714</v>
      </c>
      <c r="R3730" s="48">
        <f t="shared" ca="1" si="423"/>
        <v>0.217</v>
      </c>
      <c r="S3730">
        <f t="shared" ca="1" si="424"/>
        <v>204.30673034435287</v>
      </c>
      <c r="T3730" s="61">
        <f t="shared" ca="1" si="425"/>
        <v>10416</v>
      </c>
      <c r="U3730" s="61">
        <f t="shared" ca="1" si="426"/>
        <v>19377.735887702638</v>
      </c>
      <c r="V3730" s="39">
        <f t="shared" ca="1" si="427"/>
        <v>0.12748510452435946</v>
      </c>
      <c r="W3730" s="48">
        <f t="shared" ca="1" si="428"/>
        <v>1.6465286176013176</v>
      </c>
    </row>
    <row r="3731" spans="17:23" x14ac:dyDescent="0.2">
      <c r="Q3731">
        <f t="shared" ref="Q3731:Q3794" si="429">Q3730+1</f>
        <v>3715</v>
      </c>
      <c r="R3731" s="48">
        <f t="shared" ref="R3731:R3794" ca="1" si="430">LOOKUP(RAND(),$U$6:$U$12,$S$6:$S$12)</f>
        <v>0.3</v>
      </c>
      <c r="S3731">
        <f t="shared" ref="S3731:S3794" ca="1" si="431">_xlfn.NORM.INV(RAND(),$Q$5,$Q$10)</f>
        <v>172.74934380841208</v>
      </c>
      <c r="T3731" s="61">
        <f t="shared" ca="1" si="425"/>
        <v>14400</v>
      </c>
      <c r="U3731" s="61">
        <f t="shared" ca="1" si="426"/>
        <v>4739.6325327107643</v>
      </c>
      <c r="V3731" s="39">
        <f t="shared" ca="1" si="427"/>
        <v>3.1181792978360292E-2</v>
      </c>
      <c r="W3731" s="48">
        <f t="shared" ca="1" si="428"/>
        <v>0.28281368228720227</v>
      </c>
    </row>
    <row r="3732" spans="17:23" x14ac:dyDescent="0.2">
      <c r="Q3732">
        <f t="shared" si="429"/>
        <v>3716</v>
      </c>
      <c r="R3732" s="48">
        <f t="shared" ca="1" si="430"/>
        <v>0.4</v>
      </c>
      <c r="S3732">
        <f t="shared" ca="1" si="431"/>
        <v>215.5206032543187</v>
      </c>
      <c r="T3732" s="61">
        <f t="shared" ca="1" si="425"/>
        <v>19200</v>
      </c>
      <c r="U3732" s="61">
        <f t="shared" ca="1" si="426"/>
        <v>31449.889562072975</v>
      </c>
      <c r="V3732" s="39">
        <f t="shared" ca="1" si="427"/>
        <v>0.20690716817153273</v>
      </c>
      <c r="W3732" s="48">
        <f t="shared" ca="1" si="428"/>
        <v>3.5969079530847878</v>
      </c>
    </row>
    <row r="3733" spans="17:23" x14ac:dyDescent="0.2">
      <c r="Q3733">
        <f t="shared" si="429"/>
        <v>3717</v>
      </c>
      <c r="R3733" s="48">
        <f t="shared" ca="1" si="430"/>
        <v>0.217</v>
      </c>
      <c r="S3733">
        <f t="shared" ca="1" si="431"/>
        <v>216.1934673384095</v>
      </c>
      <c r="T3733" s="61">
        <f t="shared" ca="1" si="425"/>
        <v>10416</v>
      </c>
      <c r="U3733" s="61">
        <f t="shared" ca="1" si="426"/>
        <v>26823.587940779715</v>
      </c>
      <c r="V3733" s="39">
        <f t="shared" ca="1" si="427"/>
        <v>0.17647097329460337</v>
      </c>
      <c r="W3733" s="48">
        <f t="shared" ca="1" si="428"/>
        <v>2.7367331842931919</v>
      </c>
    </row>
    <row r="3734" spans="17:23" x14ac:dyDescent="0.2">
      <c r="Q3734">
        <f t="shared" si="429"/>
        <v>3718</v>
      </c>
      <c r="R3734" s="48">
        <f t="shared" ca="1" si="430"/>
        <v>0.45</v>
      </c>
      <c r="S3734">
        <f t="shared" ca="1" si="431"/>
        <v>187.99512898038961</v>
      </c>
      <c r="T3734" s="61">
        <f t="shared" ca="1" si="425"/>
        <v>21600</v>
      </c>
      <c r="U3734" s="61">
        <f t="shared" ca="1" si="426"/>
        <v>20717.856751371426</v>
      </c>
      <c r="V3734" s="39">
        <f t="shared" ca="1" si="427"/>
        <v>0.13630168915375937</v>
      </c>
      <c r="W3734" s="48">
        <f t="shared" ca="1" si="428"/>
        <v>1.8191304957203718</v>
      </c>
    </row>
    <row r="3735" spans="17:23" x14ac:dyDescent="0.2">
      <c r="Q3735">
        <f t="shared" si="429"/>
        <v>3719</v>
      </c>
      <c r="R3735" s="48">
        <f t="shared" ca="1" si="430"/>
        <v>0.4</v>
      </c>
      <c r="S3735">
        <f t="shared" ca="1" si="431"/>
        <v>193.54306780768025</v>
      </c>
      <c r="T3735" s="61">
        <f t="shared" ca="1" si="425"/>
        <v>19200</v>
      </c>
      <c r="U3735" s="61">
        <f t="shared" ca="1" si="426"/>
        <v>20900.672547686518</v>
      </c>
      <c r="V3735" s="39">
        <f t="shared" ca="1" si="427"/>
        <v>0.13750442465583235</v>
      </c>
      <c r="W3735" s="48">
        <f t="shared" ca="1" si="428"/>
        <v>1.8434249357618526</v>
      </c>
    </row>
    <row r="3736" spans="17:23" x14ac:dyDescent="0.2">
      <c r="Q3736">
        <f t="shared" si="429"/>
        <v>3720</v>
      </c>
      <c r="R3736" s="48">
        <f t="shared" ca="1" si="430"/>
        <v>0.3</v>
      </c>
      <c r="S3736">
        <f t="shared" ca="1" si="431"/>
        <v>202.5218928350638</v>
      </c>
      <c r="T3736" s="61">
        <f t="shared" ca="1" si="425"/>
        <v>14400</v>
      </c>
      <c r="U3736" s="61">
        <f t="shared" ca="1" si="426"/>
        <v>21412.259987635727</v>
      </c>
      <c r="V3736" s="39">
        <f t="shared" ca="1" si="427"/>
        <v>0.14087013149760347</v>
      </c>
      <c r="W3736" s="48">
        <f t="shared" ca="1" si="428"/>
        <v>1.9123881876601598</v>
      </c>
    </row>
    <row r="3737" spans="17:23" x14ac:dyDescent="0.2">
      <c r="Q3737">
        <f t="shared" si="429"/>
        <v>3721</v>
      </c>
      <c r="R3737" s="48">
        <f t="shared" ca="1" si="430"/>
        <v>0.4</v>
      </c>
      <c r="S3737">
        <f t="shared" ca="1" si="431"/>
        <v>186.49248809552736</v>
      </c>
      <c r="T3737" s="61">
        <f t="shared" ca="1" si="425"/>
        <v>19200</v>
      </c>
      <c r="U3737" s="61">
        <f t="shared" ca="1" si="426"/>
        <v>17516.394285853134</v>
      </c>
      <c r="V3737" s="39">
        <f t="shared" ca="1" si="427"/>
        <v>0.11523943609113904</v>
      </c>
      <c r="W3737" s="48">
        <f t="shared" ca="1" si="428"/>
        <v>1.4221892340506237</v>
      </c>
    </row>
    <row r="3738" spans="17:23" x14ac:dyDescent="0.2">
      <c r="Q3738">
        <f t="shared" si="429"/>
        <v>3722</v>
      </c>
      <c r="R3738" s="48">
        <f t="shared" ca="1" si="430"/>
        <v>0.3</v>
      </c>
      <c r="S3738">
        <f t="shared" ca="1" si="431"/>
        <v>204.20963151311847</v>
      </c>
      <c r="T3738" s="61">
        <f t="shared" ca="1" si="425"/>
        <v>14400</v>
      </c>
      <c r="U3738" s="61">
        <f t="shared" ca="1" si="426"/>
        <v>22357.39364734634</v>
      </c>
      <c r="V3738" s="39">
        <f t="shared" ca="1" si="427"/>
        <v>0.14708811610096276</v>
      </c>
      <c r="W3738" s="48">
        <f t="shared" ca="1" si="428"/>
        <v>2.0436597999202308</v>
      </c>
    </row>
    <row r="3739" spans="17:23" x14ac:dyDescent="0.2">
      <c r="Q3739">
        <f t="shared" si="429"/>
        <v>3723</v>
      </c>
      <c r="R3739" s="48">
        <f t="shared" ca="1" si="430"/>
        <v>0.35</v>
      </c>
      <c r="S3739">
        <f t="shared" ca="1" si="431"/>
        <v>204.85435956401523</v>
      </c>
      <c r="T3739" s="61">
        <f t="shared" ca="1" si="425"/>
        <v>16800</v>
      </c>
      <c r="U3739" s="61">
        <f t="shared" ca="1" si="426"/>
        <v>24524.266973287919</v>
      </c>
      <c r="V3739" s="39">
        <f t="shared" ca="1" si="427"/>
        <v>0.16134386166636788</v>
      </c>
      <c r="W3739" s="48">
        <f t="shared" ca="1" si="428"/>
        <v>2.3643757983740472</v>
      </c>
    </row>
    <row r="3740" spans="17:23" x14ac:dyDescent="0.2">
      <c r="Q3740">
        <f t="shared" si="429"/>
        <v>3724</v>
      </c>
      <c r="R3740" s="48">
        <f t="shared" ca="1" si="430"/>
        <v>0.5</v>
      </c>
      <c r="S3740">
        <f t="shared" ca="1" si="431"/>
        <v>207.24548411197736</v>
      </c>
      <c r="T3740" s="61">
        <f t="shared" ca="1" si="425"/>
        <v>24000</v>
      </c>
      <c r="U3740" s="61">
        <f t="shared" ca="1" si="426"/>
        <v>30898.193644790947</v>
      </c>
      <c r="V3740" s="39">
        <f t="shared" ca="1" si="427"/>
        <v>0.20327758976836149</v>
      </c>
      <c r="W3740" s="48">
        <f t="shared" ca="1" si="428"/>
        <v>3.4859679161700381</v>
      </c>
    </row>
    <row r="3741" spans="17:23" x14ac:dyDescent="0.2">
      <c r="Q3741">
        <f t="shared" si="429"/>
        <v>3725</v>
      </c>
      <c r="R3741" s="48">
        <f t="shared" ca="1" si="430"/>
        <v>0.3</v>
      </c>
      <c r="S3741">
        <f t="shared" ca="1" si="431"/>
        <v>207.87308398603562</v>
      </c>
      <c r="T3741" s="61">
        <f t="shared" ca="1" si="425"/>
        <v>14400</v>
      </c>
      <c r="U3741" s="61">
        <f t="shared" ca="1" si="426"/>
        <v>24408.927032179949</v>
      </c>
      <c r="V3741" s="39">
        <f t="shared" ca="1" si="427"/>
        <v>0.16058504626434178</v>
      </c>
      <c r="W3741" s="48">
        <f t="shared" ca="1" si="428"/>
        <v>2.3465868044605775</v>
      </c>
    </row>
    <row r="3742" spans="17:23" x14ac:dyDescent="0.2">
      <c r="Q3742">
        <f t="shared" si="429"/>
        <v>3726</v>
      </c>
      <c r="R3742" s="48">
        <f t="shared" ca="1" si="430"/>
        <v>0.45</v>
      </c>
      <c r="S3742">
        <f t="shared" ca="1" si="431"/>
        <v>184.38979487329118</v>
      </c>
      <c r="T3742" s="61">
        <f t="shared" ca="1" si="425"/>
        <v>21600</v>
      </c>
      <c r="U3742" s="61">
        <f t="shared" ca="1" si="426"/>
        <v>19131.50974424812</v>
      </c>
      <c r="V3742" s="39">
        <f t="shared" ca="1" si="427"/>
        <v>0.1258651956858429</v>
      </c>
      <c r="W3742" s="48">
        <f t="shared" ca="1" si="428"/>
        <v>1.6158441230598424</v>
      </c>
    </row>
    <row r="3743" spans="17:23" x14ac:dyDescent="0.2">
      <c r="Q3743">
        <f t="shared" si="429"/>
        <v>3727</v>
      </c>
      <c r="R3743" s="48">
        <f t="shared" ca="1" si="430"/>
        <v>0.45</v>
      </c>
      <c r="S3743">
        <f t="shared" ca="1" si="431"/>
        <v>178.32586534777235</v>
      </c>
      <c r="T3743" s="61">
        <f t="shared" ca="1" si="425"/>
        <v>21600</v>
      </c>
      <c r="U3743" s="61">
        <f t="shared" ca="1" si="426"/>
        <v>16463.380753019832</v>
      </c>
      <c r="V3743" s="39">
        <f t="shared" ca="1" si="427"/>
        <v>0.10831171548039363</v>
      </c>
      <c r="W3743" s="48">
        <f t="shared" ca="1" si="428"/>
        <v>1.3028085219793533</v>
      </c>
    </row>
    <row r="3744" spans="17:23" x14ac:dyDescent="0.2">
      <c r="Q3744">
        <f t="shared" si="429"/>
        <v>3728</v>
      </c>
      <c r="R3744" s="48">
        <f t="shared" ca="1" si="430"/>
        <v>0.15</v>
      </c>
      <c r="S3744">
        <f t="shared" ca="1" si="431"/>
        <v>185.24958534452605</v>
      </c>
      <c r="T3744" s="61">
        <f t="shared" ca="1" si="425"/>
        <v>7200</v>
      </c>
      <c r="U3744" s="61">
        <f t="shared" ca="1" si="426"/>
        <v>3969.7180342777165</v>
      </c>
      <c r="V3744" s="39">
        <f t="shared" ca="1" si="427"/>
        <v>2.6116566014984976E-2</v>
      </c>
      <c r="W3744" s="48">
        <f t="shared" ca="1" si="428"/>
        <v>0.23258724799227348</v>
      </c>
    </row>
    <row r="3745" spans="17:23" x14ac:dyDescent="0.2">
      <c r="Q3745">
        <f t="shared" si="429"/>
        <v>3729</v>
      </c>
      <c r="R3745" s="48">
        <f t="shared" ca="1" si="430"/>
        <v>0.35</v>
      </c>
      <c r="S3745">
        <f t="shared" ca="1" si="431"/>
        <v>194.01863173222586</v>
      </c>
      <c r="T3745" s="61">
        <f t="shared" ca="1" si="425"/>
        <v>16800</v>
      </c>
      <c r="U3745" s="61">
        <f t="shared" ca="1" si="426"/>
        <v>18889.688500757446</v>
      </c>
      <c r="V3745" s="39">
        <f t="shared" ca="1" si="427"/>
        <v>0.12427426645235161</v>
      </c>
      <c r="W3745" s="48">
        <f t="shared" ca="1" si="428"/>
        <v>1.5860125967933105</v>
      </c>
    </row>
    <row r="3746" spans="17:23" x14ac:dyDescent="0.2">
      <c r="Q3746">
        <f t="shared" si="429"/>
        <v>3730</v>
      </c>
      <c r="R3746" s="48">
        <f t="shared" ca="1" si="430"/>
        <v>0.35</v>
      </c>
      <c r="S3746">
        <f t="shared" ca="1" si="431"/>
        <v>224.62136499690473</v>
      </c>
      <c r="T3746" s="61">
        <f t="shared" ca="1" si="425"/>
        <v>16800</v>
      </c>
      <c r="U3746" s="61">
        <f t="shared" ca="1" si="426"/>
        <v>34803.109798390462</v>
      </c>
      <c r="V3746" s="39">
        <f t="shared" ca="1" si="427"/>
        <v>0.22896782762098988</v>
      </c>
      <c r="W3746" s="48">
        <f t="shared" ca="1" si="428"/>
        <v>4.3244292095278754</v>
      </c>
    </row>
    <row r="3747" spans="17:23" x14ac:dyDescent="0.2">
      <c r="Q3747">
        <f t="shared" si="429"/>
        <v>3731</v>
      </c>
      <c r="R3747" s="48">
        <f t="shared" ca="1" si="430"/>
        <v>0.217</v>
      </c>
      <c r="S3747">
        <f t="shared" ca="1" si="431"/>
        <v>209.25760459912024</v>
      </c>
      <c r="T3747" s="61">
        <f t="shared" ca="1" si="425"/>
        <v>10416</v>
      </c>
      <c r="U3747" s="61">
        <f t="shared" ca="1" si="426"/>
        <v>22478.963520888919</v>
      </c>
      <c r="V3747" s="39">
        <f t="shared" ca="1" si="427"/>
        <v>0.147887917900585</v>
      </c>
      <c r="W3747" s="48">
        <f t="shared" ca="1" si="428"/>
        <v>2.0609157512387277</v>
      </c>
    </row>
    <row r="3748" spans="17:23" x14ac:dyDescent="0.2">
      <c r="Q3748">
        <f t="shared" si="429"/>
        <v>3732</v>
      </c>
      <c r="R3748" s="48">
        <f t="shared" ca="1" si="430"/>
        <v>0.4</v>
      </c>
      <c r="S3748">
        <f t="shared" ca="1" si="431"/>
        <v>198.52712500467464</v>
      </c>
      <c r="T3748" s="61">
        <f t="shared" ca="1" si="425"/>
        <v>19200</v>
      </c>
      <c r="U3748" s="61">
        <f t="shared" ca="1" si="426"/>
        <v>23293.020002243829</v>
      </c>
      <c r="V3748" s="39">
        <f t="shared" ca="1" si="427"/>
        <v>0.15324355264634099</v>
      </c>
      <c r="W3748" s="48">
        <f t="shared" ca="1" si="428"/>
        <v>2.1786916238203977</v>
      </c>
    </row>
    <row r="3749" spans="17:23" x14ac:dyDescent="0.2">
      <c r="Q3749">
        <f t="shared" si="429"/>
        <v>3733</v>
      </c>
      <c r="R3749" s="48">
        <f t="shared" ca="1" si="430"/>
        <v>0.4</v>
      </c>
      <c r="S3749">
        <f t="shared" ca="1" si="431"/>
        <v>182.22573570388818</v>
      </c>
      <c r="T3749" s="61">
        <f t="shared" ca="1" si="425"/>
        <v>19200</v>
      </c>
      <c r="U3749" s="61">
        <f t="shared" ca="1" si="426"/>
        <v>15468.353137866325</v>
      </c>
      <c r="V3749" s="39">
        <f t="shared" ca="1" si="427"/>
        <v>0.10176548117017319</v>
      </c>
      <c r="W3749" s="48">
        <f t="shared" ca="1" si="428"/>
        <v>1.1947743009571514</v>
      </c>
    </row>
    <row r="3750" spans="17:23" x14ac:dyDescent="0.2">
      <c r="Q3750">
        <f t="shared" si="429"/>
        <v>3734</v>
      </c>
      <c r="R3750" s="48">
        <f t="shared" ca="1" si="430"/>
        <v>0.3</v>
      </c>
      <c r="S3750">
        <f t="shared" ca="1" si="431"/>
        <v>198.38765635077934</v>
      </c>
      <c r="T3750" s="61">
        <f t="shared" ca="1" si="425"/>
        <v>14400</v>
      </c>
      <c r="U3750" s="61">
        <f t="shared" ca="1" si="426"/>
        <v>19097.087556436429</v>
      </c>
      <c r="V3750" s="39">
        <f t="shared" ca="1" si="427"/>
        <v>0.12563873392392388</v>
      </c>
      <c r="W3750" s="48">
        <f t="shared" ca="1" si="428"/>
        <v>1.6115794070471088</v>
      </c>
    </row>
    <row r="3751" spans="17:23" x14ac:dyDescent="0.2">
      <c r="Q3751">
        <f t="shared" si="429"/>
        <v>3735</v>
      </c>
      <c r="R3751" s="48">
        <f t="shared" ca="1" si="430"/>
        <v>0.217</v>
      </c>
      <c r="S3751">
        <f t="shared" ca="1" si="431"/>
        <v>193.28329368112404</v>
      </c>
      <c r="T3751" s="61">
        <f t="shared" ca="1" si="425"/>
        <v>10416</v>
      </c>
      <c r="U3751" s="61">
        <f t="shared" ca="1" si="426"/>
        <v>12472.655161856095</v>
      </c>
      <c r="V3751" s="39">
        <f t="shared" ca="1" si="427"/>
        <v>8.2056941854316418E-2</v>
      </c>
      <c r="W3751" s="48">
        <f t="shared" ca="1" si="428"/>
        <v>0.89586100062059582</v>
      </c>
    </row>
    <row r="3752" spans="17:23" x14ac:dyDescent="0.2">
      <c r="Q3752">
        <f t="shared" si="429"/>
        <v>3736</v>
      </c>
      <c r="R3752" s="48">
        <f t="shared" ca="1" si="430"/>
        <v>0.35</v>
      </c>
      <c r="S3752">
        <f t="shared" ca="1" si="431"/>
        <v>196.16737641344255</v>
      </c>
      <c r="T3752" s="61">
        <f t="shared" ca="1" si="425"/>
        <v>16800</v>
      </c>
      <c r="U3752" s="61">
        <f t="shared" ca="1" si="426"/>
        <v>20007.035734990128</v>
      </c>
      <c r="V3752" s="39">
        <f t="shared" ca="1" si="427"/>
        <v>0.13162523509861926</v>
      </c>
      <c r="W3752" s="48">
        <f t="shared" ca="1" si="428"/>
        <v>1.7263897919180327</v>
      </c>
    </row>
    <row r="3753" spans="17:23" x14ac:dyDescent="0.2">
      <c r="Q3753">
        <f t="shared" si="429"/>
        <v>3737</v>
      </c>
      <c r="R3753" s="48">
        <f t="shared" ca="1" si="430"/>
        <v>0.4</v>
      </c>
      <c r="S3753">
        <f t="shared" ca="1" si="431"/>
        <v>209.4534378203453</v>
      </c>
      <c r="T3753" s="61">
        <f t="shared" ca="1" si="425"/>
        <v>19200</v>
      </c>
      <c r="U3753" s="61">
        <f t="shared" ca="1" si="426"/>
        <v>28537.650153765746</v>
      </c>
      <c r="V3753" s="39">
        <f t="shared" ca="1" si="427"/>
        <v>0.1877476983800378</v>
      </c>
      <c r="W3753" s="48">
        <f t="shared" ca="1" si="428"/>
        <v>3.0373487773020686</v>
      </c>
    </row>
    <row r="3754" spans="17:23" x14ac:dyDescent="0.2">
      <c r="Q3754">
        <f t="shared" si="429"/>
        <v>3738</v>
      </c>
      <c r="R3754" s="48">
        <f t="shared" ca="1" si="430"/>
        <v>0.217</v>
      </c>
      <c r="S3754">
        <f t="shared" ca="1" si="431"/>
        <v>134.78281321930675</v>
      </c>
      <c r="T3754" s="61">
        <f t="shared" ca="1" si="425"/>
        <v>10416</v>
      </c>
      <c r="U3754" s="61">
        <f t="shared" ca="1" si="426"/>
        <v>-24172.045799426254</v>
      </c>
      <c r="V3754" s="39">
        <f t="shared" ca="1" si="427"/>
        <v>-0.15902661710148852</v>
      </c>
      <c r="W3754" s="48">
        <f t="shared" ca="1" si="428"/>
        <v>-0.75458535480740152</v>
      </c>
    </row>
    <row r="3755" spans="17:23" x14ac:dyDescent="0.2">
      <c r="Q3755">
        <f t="shared" si="429"/>
        <v>3739</v>
      </c>
      <c r="R3755" s="48">
        <f t="shared" ca="1" si="430"/>
        <v>0.3</v>
      </c>
      <c r="S3755">
        <f t="shared" ca="1" si="431"/>
        <v>220.20360427353657</v>
      </c>
      <c r="T3755" s="61">
        <f t="shared" ca="1" si="425"/>
        <v>14400</v>
      </c>
      <c r="U3755" s="61">
        <f t="shared" ca="1" si="426"/>
        <v>31314.018393180479</v>
      </c>
      <c r="V3755" s="39">
        <f t="shared" ca="1" si="427"/>
        <v>0.20601327890250315</v>
      </c>
      <c r="W3755" s="48">
        <f t="shared" ca="1" si="428"/>
        <v>3.5693648693249429</v>
      </c>
    </row>
    <row r="3756" spans="17:23" x14ac:dyDescent="0.2">
      <c r="Q3756">
        <f t="shared" si="429"/>
        <v>3740</v>
      </c>
      <c r="R3756" s="48">
        <f t="shared" ca="1" si="430"/>
        <v>0.35</v>
      </c>
      <c r="S3756">
        <f t="shared" ca="1" si="431"/>
        <v>190.36720618729822</v>
      </c>
      <c r="T3756" s="61">
        <f t="shared" ca="1" si="425"/>
        <v>16800</v>
      </c>
      <c r="U3756" s="61">
        <f t="shared" ca="1" si="426"/>
        <v>16990.947217395074</v>
      </c>
      <c r="V3756" s="39">
        <f t="shared" ca="1" si="427"/>
        <v>0.11178254748286233</v>
      </c>
      <c r="W3756" s="48">
        <f t="shared" ca="1" si="428"/>
        <v>1.3619578070107439</v>
      </c>
    </row>
    <row r="3757" spans="17:23" x14ac:dyDescent="0.2">
      <c r="Q3757">
        <f t="shared" si="429"/>
        <v>3741</v>
      </c>
      <c r="R3757" s="48">
        <f t="shared" ca="1" si="430"/>
        <v>0.3</v>
      </c>
      <c r="S3757">
        <f t="shared" ca="1" si="431"/>
        <v>180.17292408073629</v>
      </c>
      <c r="T3757" s="61">
        <f t="shared" ca="1" si="425"/>
        <v>14400</v>
      </c>
      <c r="U3757" s="61">
        <f t="shared" ca="1" si="426"/>
        <v>8896.8374852123252</v>
      </c>
      <c r="V3757" s="39">
        <f t="shared" ca="1" si="427"/>
        <v>5.8531825560607403E-2</v>
      </c>
      <c r="W3757" s="48">
        <f t="shared" ca="1" si="428"/>
        <v>0.58626681770698807</v>
      </c>
    </row>
    <row r="3758" spans="17:23" x14ac:dyDescent="0.2">
      <c r="Q3758">
        <f t="shared" si="429"/>
        <v>3742</v>
      </c>
      <c r="R3758" s="48">
        <f t="shared" ca="1" si="430"/>
        <v>0.217</v>
      </c>
      <c r="S3758">
        <f t="shared" ca="1" si="431"/>
        <v>205.01191957388104</v>
      </c>
      <c r="T3758" s="61">
        <f t="shared" ca="1" si="425"/>
        <v>10416</v>
      </c>
      <c r="U3758" s="61">
        <f t="shared" ca="1" si="426"/>
        <v>19819.466421079087</v>
      </c>
      <c r="V3758" s="39">
        <f t="shared" ca="1" si="427"/>
        <v>0.13039122645446768</v>
      </c>
      <c r="W3758" s="48">
        <f t="shared" ca="1" si="428"/>
        <v>1.702368271754493</v>
      </c>
    </row>
    <row r="3759" spans="17:23" x14ac:dyDescent="0.2">
      <c r="Q3759">
        <f t="shared" si="429"/>
        <v>3743</v>
      </c>
      <c r="R3759" s="48">
        <f t="shared" ca="1" si="430"/>
        <v>0.5</v>
      </c>
      <c r="S3759">
        <f t="shared" ca="1" si="431"/>
        <v>206.36716937428881</v>
      </c>
      <c r="T3759" s="61">
        <f t="shared" ca="1" si="425"/>
        <v>24000</v>
      </c>
      <c r="U3759" s="61">
        <f t="shared" ca="1" si="426"/>
        <v>30546.867749715522</v>
      </c>
      <c r="V3759" s="39">
        <f t="shared" ca="1" si="427"/>
        <v>0.20096623519549686</v>
      </c>
      <c r="W3759" s="48">
        <f t="shared" ca="1" si="428"/>
        <v>3.4165498366172855</v>
      </c>
    </row>
    <row r="3760" spans="17:23" x14ac:dyDescent="0.2">
      <c r="Q3760">
        <f t="shared" si="429"/>
        <v>3744</v>
      </c>
      <c r="R3760" s="48">
        <f t="shared" ca="1" si="430"/>
        <v>0.35</v>
      </c>
      <c r="S3760">
        <f t="shared" ca="1" si="431"/>
        <v>187.65569236548896</v>
      </c>
      <c r="T3760" s="61">
        <f t="shared" ca="1" si="425"/>
        <v>16800</v>
      </c>
      <c r="U3760" s="61">
        <f t="shared" ca="1" si="426"/>
        <v>15580.960030054259</v>
      </c>
      <c r="V3760" s="39">
        <f t="shared" ca="1" si="427"/>
        <v>0.10250631598719907</v>
      </c>
      <c r="W3760" s="48">
        <f t="shared" ca="1" si="428"/>
        <v>1.2067731868597469</v>
      </c>
    </row>
    <row r="3761" spans="17:23" x14ac:dyDescent="0.2">
      <c r="Q3761">
        <f t="shared" si="429"/>
        <v>3745</v>
      </c>
      <c r="R3761" s="48">
        <f t="shared" ca="1" si="430"/>
        <v>0.217</v>
      </c>
      <c r="S3761">
        <f t="shared" ca="1" si="431"/>
        <v>181.72565696926682</v>
      </c>
      <c r="T3761" s="61">
        <f t="shared" ca="1" si="425"/>
        <v>10416</v>
      </c>
      <c r="U3761" s="61">
        <f t="shared" ca="1" si="426"/>
        <v>5232.9515255487377</v>
      </c>
      <c r="V3761" s="39">
        <f t="shared" ca="1" si="427"/>
        <v>3.4427312668083798E-2</v>
      </c>
      <c r="W3761" s="48">
        <f t="shared" ca="1" si="428"/>
        <v>0.31593113629431513</v>
      </c>
    </row>
    <row r="3762" spans="17:23" x14ac:dyDescent="0.2">
      <c r="Q3762">
        <f t="shared" si="429"/>
        <v>3746</v>
      </c>
      <c r="R3762" s="48">
        <f t="shared" ca="1" si="430"/>
        <v>0.3</v>
      </c>
      <c r="S3762">
        <f t="shared" ca="1" si="431"/>
        <v>201.29078488494801</v>
      </c>
      <c r="T3762" s="61">
        <f t="shared" ca="1" si="425"/>
        <v>14400</v>
      </c>
      <c r="U3762" s="61">
        <f t="shared" ca="1" si="426"/>
        <v>20722.839535570885</v>
      </c>
      <c r="V3762" s="39">
        <f t="shared" ca="1" si="427"/>
        <v>0.13633447062875584</v>
      </c>
      <c r="W3762" s="48">
        <f t="shared" ca="1" si="428"/>
        <v>1.8197902389115246</v>
      </c>
    </row>
    <row r="3763" spans="17:23" x14ac:dyDescent="0.2">
      <c r="Q3763">
        <f t="shared" si="429"/>
        <v>3747</v>
      </c>
      <c r="R3763" s="48">
        <f t="shared" ca="1" si="430"/>
        <v>0.217</v>
      </c>
      <c r="S3763">
        <f t="shared" ca="1" si="431"/>
        <v>178.7526328891405</v>
      </c>
      <c r="T3763" s="61">
        <f t="shared" ca="1" si="425"/>
        <v>10416</v>
      </c>
      <c r="U3763" s="61">
        <f t="shared" ca="1" si="426"/>
        <v>3370.6492417576092</v>
      </c>
      <c r="V3763" s="39">
        <f t="shared" ca="1" si="427"/>
        <v>2.2175323958931639E-2</v>
      </c>
      <c r="W3763" s="48">
        <f t="shared" ca="1" si="428"/>
        <v>0.19470730035030037</v>
      </c>
    </row>
    <row r="3764" spans="17:23" x14ac:dyDescent="0.2">
      <c r="Q3764">
        <f t="shared" si="429"/>
        <v>3748</v>
      </c>
      <c r="R3764" s="48">
        <f t="shared" ca="1" si="430"/>
        <v>0.35</v>
      </c>
      <c r="S3764">
        <f t="shared" ca="1" si="431"/>
        <v>185.32038065969874</v>
      </c>
      <c r="T3764" s="61">
        <f t="shared" ca="1" si="425"/>
        <v>16800</v>
      </c>
      <c r="U3764" s="61">
        <f t="shared" ca="1" si="426"/>
        <v>14366.597943043345</v>
      </c>
      <c r="V3764" s="39">
        <f t="shared" ca="1" si="427"/>
        <v>9.4517091730548328E-2</v>
      </c>
      <c r="W3764" s="48">
        <f t="shared" ca="1" si="428"/>
        <v>1.0803597531286191</v>
      </c>
    </row>
    <row r="3765" spans="17:23" x14ac:dyDescent="0.2">
      <c r="Q3765">
        <f t="shared" si="429"/>
        <v>3749</v>
      </c>
      <c r="R3765" s="48">
        <f t="shared" ca="1" si="430"/>
        <v>0.35</v>
      </c>
      <c r="S3765">
        <f t="shared" ca="1" si="431"/>
        <v>175.01487824864842</v>
      </c>
      <c r="T3765" s="61">
        <f t="shared" ca="1" si="425"/>
        <v>16800</v>
      </c>
      <c r="U3765" s="61">
        <f t="shared" ca="1" si="426"/>
        <v>9007.7366892971768</v>
      </c>
      <c r="V3765" s="39">
        <f t="shared" ca="1" si="427"/>
        <v>5.9261425587481424E-2</v>
      </c>
      <c r="W3765" s="48">
        <f t="shared" ca="1" si="428"/>
        <v>0.59515682306556905</v>
      </c>
    </row>
    <row r="3766" spans="17:23" x14ac:dyDescent="0.2">
      <c r="Q3766">
        <f t="shared" si="429"/>
        <v>3750</v>
      </c>
      <c r="R3766" s="48">
        <f t="shared" ca="1" si="430"/>
        <v>0.3</v>
      </c>
      <c r="S3766">
        <f t="shared" ca="1" si="431"/>
        <v>209.08996887553482</v>
      </c>
      <c r="T3766" s="61">
        <f t="shared" ca="1" si="425"/>
        <v>14400</v>
      </c>
      <c r="U3766" s="61">
        <f t="shared" ca="1" si="426"/>
        <v>25090.382570299502</v>
      </c>
      <c r="V3766" s="39">
        <f t="shared" ca="1" si="427"/>
        <v>0.16506830638354936</v>
      </c>
      <c r="W3766" s="48">
        <f t="shared" ca="1" si="428"/>
        <v>2.4528958758313681</v>
      </c>
    </row>
    <row r="3767" spans="17:23" x14ac:dyDescent="0.2">
      <c r="Q3767">
        <f t="shared" si="429"/>
        <v>3751</v>
      </c>
      <c r="R3767" s="48">
        <f t="shared" ca="1" si="430"/>
        <v>0.15</v>
      </c>
      <c r="S3767">
        <f t="shared" ca="1" si="431"/>
        <v>159.44859221585799</v>
      </c>
      <c r="T3767" s="61">
        <f t="shared" ca="1" si="425"/>
        <v>7200</v>
      </c>
      <c r="U3767" s="61">
        <f t="shared" ca="1" si="426"/>
        <v>-13574.957293216568</v>
      </c>
      <c r="V3767" s="39">
        <f t="shared" ca="1" si="427"/>
        <v>-8.9308929560635325E-2</v>
      </c>
      <c r="W3767" s="48">
        <f t="shared" ca="1" si="428"/>
        <v>-0.53177532036036523</v>
      </c>
    </row>
    <row r="3768" spans="17:23" x14ac:dyDescent="0.2">
      <c r="Q3768">
        <f t="shared" si="429"/>
        <v>3752</v>
      </c>
      <c r="R3768" s="48">
        <f t="shared" ca="1" si="430"/>
        <v>0.217</v>
      </c>
      <c r="S3768">
        <f t="shared" ca="1" si="431"/>
        <v>203.05442466618462</v>
      </c>
      <c r="T3768" s="61">
        <f t="shared" ca="1" si="425"/>
        <v>10416</v>
      </c>
      <c r="U3768" s="61">
        <f t="shared" ca="1" si="426"/>
        <v>18593.291610898043</v>
      </c>
      <c r="V3768" s="39">
        <f t="shared" ca="1" si="427"/>
        <v>0.12232428691380291</v>
      </c>
      <c r="W3768" s="48">
        <f t="shared" ca="1" si="428"/>
        <v>1.5498556510031913</v>
      </c>
    </row>
    <row r="3769" spans="17:23" x14ac:dyDescent="0.2">
      <c r="Q3769">
        <f t="shared" si="429"/>
        <v>3753</v>
      </c>
      <c r="R3769" s="48">
        <f t="shared" ca="1" si="430"/>
        <v>0.4</v>
      </c>
      <c r="S3769">
        <f t="shared" ca="1" si="431"/>
        <v>197.45281028143356</v>
      </c>
      <c r="T3769" s="61">
        <f t="shared" ref="T3769:T3832" ca="1" si="432">($B$8-$B$7)*($E$6*R3769)</f>
        <v>19200</v>
      </c>
      <c r="U3769" s="61">
        <f t="shared" ref="U3769:U3832" ca="1" si="433">T3769+((S3769-$B$7)*($E$6*(1-R3769)))</f>
        <v>22777.348935088106</v>
      </c>
      <c r="V3769" s="39">
        <f t="shared" ref="V3769:V3832" ca="1" si="434">U3769/$E$4</f>
        <v>0.14985097983610596</v>
      </c>
      <c r="W3769" s="48">
        <f t="shared" ref="W3769:W3832" ca="1" si="435">(1+V3769)^($J$29/$J$30)-1</f>
        <v>2.1036334801826668</v>
      </c>
    </row>
    <row r="3770" spans="17:23" x14ac:dyDescent="0.2">
      <c r="Q3770">
        <f t="shared" si="429"/>
        <v>3754</v>
      </c>
      <c r="R3770" s="48">
        <f t="shared" ca="1" si="430"/>
        <v>0.35</v>
      </c>
      <c r="S3770">
        <f t="shared" ca="1" si="431"/>
        <v>210.73682190967</v>
      </c>
      <c r="T3770" s="61">
        <f t="shared" ca="1" si="432"/>
        <v>16800</v>
      </c>
      <c r="U3770" s="61">
        <f t="shared" ca="1" si="433"/>
        <v>27583.147393028397</v>
      </c>
      <c r="V3770" s="39">
        <f t="shared" ca="1" si="434"/>
        <v>0.1814680749541342</v>
      </c>
      <c r="W3770" s="48">
        <f t="shared" ca="1" si="435"/>
        <v>2.867433141665404</v>
      </c>
    </row>
    <row r="3771" spans="17:23" x14ac:dyDescent="0.2">
      <c r="Q3771">
        <f t="shared" si="429"/>
        <v>3755</v>
      </c>
      <c r="R3771" s="48">
        <f t="shared" ca="1" si="430"/>
        <v>0.4</v>
      </c>
      <c r="S3771">
        <f t="shared" ca="1" si="431"/>
        <v>176.90270814451063</v>
      </c>
      <c r="T3771" s="61">
        <f t="shared" ca="1" si="432"/>
        <v>19200</v>
      </c>
      <c r="U3771" s="61">
        <f t="shared" ca="1" si="433"/>
        <v>12913.299909365101</v>
      </c>
      <c r="V3771" s="39">
        <f t="shared" ca="1" si="434"/>
        <v>8.4955920456349351E-2</v>
      </c>
      <c r="W3771" s="48">
        <f t="shared" ca="1" si="435"/>
        <v>0.93745413120899168</v>
      </c>
    </row>
    <row r="3772" spans="17:23" x14ac:dyDescent="0.2">
      <c r="Q3772">
        <f t="shared" si="429"/>
        <v>3756</v>
      </c>
      <c r="R3772" s="48">
        <f t="shared" ca="1" si="430"/>
        <v>0.217</v>
      </c>
      <c r="S3772">
        <f t="shared" ca="1" si="431"/>
        <v>168.8800772470276</v>
      </c>
      <c r="T3772" s="61">
        <f t="shared" ca="1" si="432"/>
        <v>10416</v>
      </c>
      <c r="U3772" s="61">
        <f t="shared" ca="1" si="433"/>
        <v>-2813.5196124619106</v>
      </c>
      <c r="V3772" s="39">
        <f t="shared" ca="1" si="434"/>
        <v>-1.8509997450407305E-2</v>
      </c>
      <c r="W3772" s="48">
        <f t="shared" ca="1" si="435"/>
        <v>-0.14061954342464122</v>
      </c>
    </row>
    <row r="3773" spans="17:23" x14ac:dyDescent="0.2">
      <c r="Q3773">
        <f t="shared" si="429"/>
        <v>3757</v>
      </c>
      <c r="R3773" s="48">
        <f t="shared" ca="1" si="430"/>
        <v>0.217</v>
      </c>
      <c r="S3773">
        <f t="shared" ca="1" si="431"/>
        <v>151.55383536453195</v>
      </c>
      <c r="T3773" s="61">
        <f t="shared" ca="1" si="432"/>
        <v>10416</v>
      </c>
      <c r="U3773" s="61">
        <f t="shared" ca="1" si="433"/>
        <v>-13666.677527657186</v>
      </c>
      <c r="V3773" s="39">
        <f t="shared" ca="1" si="434"/>
        <v>-8.9912352155639377E-2</v>
      </c>
      <c r="W3773" s="48">
        <f t="shared" ca="1" si="435"/>
        <v>-0.53428583154643139</v>
      </c>
    </row>
    <row r="3774" spans="17:23" x14ac:dyDescent="0.2">
      <c r="Q3774">
        <f t="shared" si="429"/>
        <v>3758</v>
      </c>
      <c r="R3774" s="48">
        <f t="shared" ca="1" si="430"/>
        <v>0.4</v>
      </c>
      <c r="S3774">
        <f t="shared" ca="1" si="431"/>
        <v>182.84182123156037</v>
      </c>
      <c r="T3774" s="61">
        <f t="shared" ca="1" si="432"/>
        <v>19200</v>
      </c>
      <c r="U3774" s="61">
        <f t="shared" ca="1" si="433"/>
        <v>15764.074191148979</v>
      </c>
      <c r="V3774" s="39">
        <f t="shared" ca="1" si="434"/>
        <v>0.1037110144154538</v>
      </c>
      <c r="W3774" s="48">
        <f t="shared" ca="1" si="435"/>
        <v>1.2264078326597008</v>
      </c>
    </row>
    <row r="3775" spans="17:23" x14ac:dyDescent="0.2">
      <c r="Q3775">
        <f t="shared" si="429"/>
        <v>3759</v>
      </c>
      <c r="R3775" s="48">
        <f t="shared" ca="1" si="430"/>
        <v>0.45</v>
      </c>
      <c r="S3775">
        <f t="shared" ca="1" si="431"/>
        <v>187.86527447655342</v>
      </c>
      <c r="T3775" s="61">
        <f t="shared" ca="1" si="432"/>
        <v>21600</v>
      </c>
      <c r="U3775" s="61">
        <f t="shared" ca="1" si="433"/>
        <v>20660.720769683507</v>
      </c>
      <c r="V3775" s="39">
        <f t="shared" ca="1" si="434"/>
        <v>0.13592579453739148</v>
      </c>
      <c r="W3775" s="48">
        <f t="shared" ca="1" si="435"/>
        <v>1.8115751000698364</v>
      </c>
    </row>
    <row r="3776" spans="17:23" x14ac:dyDescent="0.2">
      <c r="Q3776">
        <f t="shared" si="429"/>
        <v>3760</v>
      </c>
      <c r="R3776" s="48">
        <f t="shared" ca="1" si="430"/>
        <v>0.3</v>
      </c>
      <c r="S3776">
        <f t="shared" ca="1" si="431"/>
        <v>189.28395802217145</v>
      </c>
      <c r="T3776" s="61">
        <f t="shared" ca="1" si="432"/>
        <v>14400</v>
      </c>
      <c r="U3776" s="61">
        <f t="shared" ca="1" si="433"/>
        <v>13999.016492416011</v>
      </c>
      <c r="V3776" s="39">
        <f t="shared" ca="1" si="434"/>
        <v>9.2098792713263225E-2</v>
      </c>
      <c r="W3776" s="48">
        <f t="shared" ca="1" si="435"/>
        <v>1.0433687216986227</v>
      </c>
    </row>
    <row r="3777" spans="17:23" x14ac:dyDescent="0.2">
      <c r="Q3777">
        <f t="shared" si="429"/>
        <v>3761</v>
      </c>
      <c r="R3777" s="48">
        <f t="shared" ca="1" si="430"/>
        <v>0.4</v>
      </c>
      <c r="S3777">
        <f t="shared" ca="1" si="431"/>
        <v>210.29210595182531</v>
      </c>
      <c r="T3777" s="61">
        <f t="shared" ca="1" si="432"/>
        <v>19200</v>
      </c>
      <c r="U3777" s="61">
        <f t="shared" ca="1" si="433"/>
        <v>28940.210856876147</v>
      </c>
      <c r="V3777" s="39">
        <f t="shared" ca="1" si="434"/>
        <v>0.1903961240583957</v>
      </c>
      <c r="W3777" s="48">
        <f t="shared" ca="1" si="435"/>
        <v>3.1109500527855776</v>
      </c>
    </row>
    <row r="3778" spans="17:23" x14ac:dyDescent="0.2">
      <c r="Q3778">
        <f t="shared" si="429"/>
        <v>3762</v>
      </c>
      <c r="R3778" s="48">
        <f t="shared" ca="1" si="430"/>
        <v>0.3</v>
      </c>
      <c r="S3778">
        <f t="shared" ca="1" si="431"/>
        <v>197.22836041158737</v>
      </c>
      <c r="T3778" s="61">
        <f t="shared" ca="1" si="432"/>
        <v>14400</v>
      </c>
      <c r="U3778" s="61">
        <f t="shared" ca="1" si="433"/>
        <v>18447.881830488928</v>
      </c>
      <c r="V3778" s="39">
        <f t="shared" ca="1" si="434"/>
        <v>0.12136764362163768</v>
      </c>
      <c r="W3778" s="48">
        <f t="shared" ca="1" si="435"/>
        <v>1.5322799885903851</v>
      </c>
    </row>
    <row r="3779" spans="17:23" x14ac:dyDescent="0.2">
      <c r="Q3779">
        <f t="shared" si="429"/>
        <v>3763</v>
      </c>
      <c r="R3779" s="48">
        <f t="shared" ca="1" si="430"/>
        <v>0.3</v>
      </c>
      <c r="S3779">
        <f t="shared" ca="1" si="431"/>
        <v>202.15222300172866</v>
      </c>
      <c r="T3779" s="61">
        <f t="shared" ca="1" si="432"/>
        <v>14400</v>
      </c>
      <c r="U3779" s="61">
        <f t="shared" ca="1" si="433"/>
        <v>21205.24488096805</v>
      </c>
      <c r="V3779" s="39">
        <f t="shared" ca="1" si="434"/>
        <v>0.13950819000636874</v>
      </c>
      <c r="W3779" s="48">
        <f t="shared" ca="1" si="435"/>
        <v>1.8843074153967785</v>
      </c>
    </row>
    <row r="3780" spans="17:23" x14ac:dyDescent="0.2">
      <c r="Q3780">
        <f t="shared" si="429"/>
        <v>3764</v>
      </c>
      <c r="R3780" s="48">
        <f t="shared" ca="1" si="430"/>
        <v>0.217</v>
      </c>
      <c r="S3780">
        <f t="shared" ca="1" si="431"/>
        <v>191.16932862674483</v>
      </c>
      <c r="T3780" s="61">
        <f t="shared" ca="1" si="432"/>
        <v>10416</v>
      </c>
      <c r="U3780" s="61">
        <f t="shared" ca="1" si="433"/>
        <v>11148.46745179296</v>
      </c>
      <c r="V3780" s="39">
        <f t="shared" ca="1" si="434"/>
        <v>7.334518060390105E-2</v>
      </c>
      <c r="W3780" s="48">
        <f t="shared" ca="1" si="435"/>
        <v>0.77554128506742726</v>
      </c>
    </row>
    <row r="3781" spans="17:23" x14ac:dyDescent="0.2">
      <c r="Q3781">
        <f t="shared" si="429"/>
        <v>3765</v>
      </c>
      <c r="R3781" s="48">
        <f t="shared" ca="1" si="430"/>
        <v>0.3</v>
      </c>
      <c r="S3781">
        <f t="shared" ca="1" si="431"/>
        <v>189.24097860180044</v>
      </c>
      <c r="T3781" s="61">
        <f t="shared" ca="1" si="432"/>
        <v>14400</v>
      </c>
      <c r="U3781" s="61">
        <f t="shared" ca="1" si="433"/>
        <v>13974.948017008244</v>
      </c>
      <c r="V3781" s="39">
        <f t="shared" ca="1" si="434"/>
        <v>9.1940447480317392E-2</v>
      </c>
      <c r="W3781" s="48">
        <f t="shared" ca="1" si="435"/>
        <v>1.0409668695133654</v>
      </c>
    </row>
    <row r="3782" spans="17:23" x14ac:dyDescent="0.2">
      <c r="Q3782">
        <f t="shared" si="429"/>
        <v>3766</v>
      </c>
      <c r="R3782" s="48">
        <f t="shared" ca="1" si="430"/>
        <v>0.45</v>
      </c>
      <c r="S3782">
        <f t="shared" ca="1" si="431"/>
        <v>160.40781397590874</v>
      </c>
      <c r="T3782" s="61">
        <f t="shared" ca="1" si="432"/>
        <v>21600</v>
      </c>
      <c r="U3782" s="61">
        <f t="shared" ca="1" si="433"/>
        <v>8579.4381493998426</v>
      </c>
      <c r="V3782" s="39">
        <f t="shared" ca="1" si="434"/>
        <v>5.6443672035525277E-2</v>
      </c>
      <c r="W3782" s="48">
        <f t="shared" ca="1" si="435"/>
        <v>0.56106275706186404</v>
      </c>
    </row>
    <row r="3783" spans="17:23" x14ac:dyDescent="0.2">
      <c r="Q3783">
        <f t="shared" si="429"/>
        <v>3767</v>
      </c>
      <c r="R3783" s="48">
        <f t="shared" ca="1" si="430"/>
        <v>0.3</v>
      </c>
      <c r="S3783">
        <f t="shared" ca="1" si="431"/>
        <v>207.39151478249369</v>
      </c>
      <c r="T3783" s="61">
        <f t="shared" ca="1" si="432"/>
        <v>14400</v>
      </c>
      <c r="U3783" s="61">
        <f t="shared" ca="1" si="433"/>
        <v>24139.248278196465</v>
      </c>
      <c r="V3783" s="39">
        <f t="shared" ca="1" si="434"/>
        <v>0.15881084393550304</v>
      </c>
      <c r="W3783" s="48">
        <f t="shared" ca="1" si="435"/>
        <v>2.305315425333887</v>
      </c>
    </row>
    <row r="3784" spans="17:23" x14ac:dyDescent="0.2">
      <c r="Q3784">
        <f t="shared" si="429"/>
        <v>3768</v>
      </c>
      <c r="R3784" s="48">
        <f t="shared" ca="1" si="430"/>
        <v>0.4</v>
      </c>
      <c r="S3784">
        <f t="shared" ca="1" si="431"/>
        <v>167.16950107213316</v>
      </c>
      <c r="T3784" s="61">
        <f t="shared" ca="1" si="432"/>
        <v>19200</v>
      </c>
      <c r="U3784" s="61">
        <f t="shared" ca="1" si="433"/>
        <v>8241.360514623917</v>
      </c>
      <c r="V3784" s="39">
        <f t="shared" ca="1" si="434"/>
        <v>5.421947706989419E-2</v>
      </c>
      <c r="W3784" s="48">
        <f t="shared" ca="1" si="435"/>
        <v>0.53460347893010285</v>
      </c>
    </row>
    <row r="3785" spans="17:23" x14ac:dyDescent="0.2">
      <c r="Q3785">
        <f t="shared" si="429"/>
        <v>3769</v>
      </c>
      <c r="R3785" s="48">
        <f t="shared" ca="1" si="430"/>
        <v>0.4</v>
      </c>
      <c r="S3785">
        <f t="shared" ca="1" si="431"/>
        <v>201.32982682994628</v>
      </c>
      <c r="T3785" s="61">
        <f t="shared" ca="1" si="432"/>
        <v>19200</v>
      </c>
      <c r="U3785" s="61">
        <f t="shared" ca="1" si="433"/>
        <v>24638.316878374215</v>
      </c>
      <c r="V3785" s="39">
        <f t="shared" ca="1" si="434"/>
        <v>0.16209418998930405</v>
      </c>
      <c r="W3785" s="48">
        <f t="shared" ca="1" si="435"/>
        <v>2.3820472891626543</v>
      </c>
    </row>
    <row r="3786" spans="17:23" x14ac:dyDescent="0.2">
      <c r="Q3786">
        <f t="shared" si="429"/>
        <v>3770</v>
      </c>
      <c r="R3786" s="48">
        <f t="shared" ca="1" si="430"/>
        <v>0.3</v>
      </c>
      <c r="S3786">
        <f t="shared" ca="1" si="431"/>
        <v>165.92622599057088</v>
      </c>
      <c r="T3786" s="61">
        <f t="shared" ca="1" si="432"/>
        <v>14400</v>
      </c>
      <c r="U3786" s="61">
        <f t="shared" ca="1" si="433"/>
        <v>918.68655471969578</v>
      </c>
      <c r="V3786" s="39">
        <f t="shared" ca="1" si="434"/>
        <v>6.0439904915769458E-3</v>
      </c>
      <c r="W3786" s="48">
        <f t="shared" ca="1" si="435"/>
        <v>5.0090051641083155E-2</v>
      </c>
    </row>
    <row r="3787" spans="17:23" x14ac:dyDescent="0.2">
      <c r="Q3787">
        <f t="shared" si="429"/>
        <v>3771</v>
      </c>
      <c r="R3787" s="48">
        <f t="shared" ca="1" si="430"/>
        <v>0.35</v>
      </c>
      <c r="S3787">
        <f t="shared" ca="1" si="431"/>
        <v>193.81264352263906</v>
      </c>
      <c r="T3787" s="61">
        <f t="shared" ca="1" si="432"/>
        <v>16800</v>
      </c>
      <c r="U3787" s="61">
        <f t="shared" ca="1" si="433"/>
        <v>18782.574631772313</v>
      </c>
      <c r="V3787" s="39">
        <f t="shared" ca="1" si="434"/>
        <v>0.12356956994587048</v>
      </c>
      <c r="W3787" s="48">
        <f t="shared" ca="1" si="435"/>
        <v>1.5728944310961626</v>
      </c>
    </row>
    <row r="3788" spans="17:23" x14ac:dyDescent="0.2">
      <c r="Q3788">
        <f t="shared" si="429"/>
        <v>3772</v>
      </c>
      <c r="R3788" s="48">
        <f t="shared" ca="1" si="430"/>
        <v>0.45</v>
      </c>
      <c r="S3788">
        <f t="shared" ca="1" si="431"/>
        <v>191.57939874137213</v>
      </c>
      <c r="T3788" s="61">
        <f t="shared" ca="1" si="432"/>
        <v>21600</v>
      </c>
      <c r="U3788" s="61">
        <f t="shared" ca="1" si="433"/>
        <v>22294.935446203737</v>
      </c>
      <c r="V3788" s="39">
        <f t="shared" ca="1" si="434"/>
        <v>0.14667720688291933</v>
      </c>
      <c r="W3788" s="48">
        <f t="shared" ca="1" si="435"/>
        <v>2.0348275272838268</v>
      </c>
    </row>
    <row r="3789" spans="17:23" x14ac:dyDescent="0.2">
      <c r="Q3789">
        <f t="shared" si="429"/>
        <v>3773</v>
      </c>
      <c r="R3789" s="48">
        <f t="shared" ca="1" si="430"/>
        <v>0.3</v>
      </c>
      <c r="S3789">
        <f t="shared" ca="1" si="431"/>
        <v>196.54311684505814</v>
      </c>
      <c r="T3789" s="61">
        <f t="shared" ca="1" si="432"/>
        <v>14400</v>
      </c>
      <c r="U3789" s="61">
        <f t="shared" ca="1" si="433"/>
        <v>18064.145433232556</v>
      </c>
      <c r="V3789" s="39">
        <f t="shared" ca="1" si="434"/>
        <v>0.1188430620607405</v>
      </c>
      <c r="W3789" s="48">
        <f t="shared" ca="1" si="435"/>
        <v>1.4864067852492444</v>
      </c>
    </row>
    <row r="3790" spans="17:23" x14ac:dyDescent="0.2">
      <c r="Q3790">
        <f t="shared" si="429"/>
        <v>3774</v>
      </c>
      <c r="R3790" s="48">
        <f t="shared" ca="1" si="430"/>
        <v>0.3</v>
      </c>
      <c r="S3790">
        <f t="shared" ca="1" si="431"/>
        <v>192.07730941359773</v>
      </c>
      <c r="T3790" s="61">
        <f t="shared" ca="1" si="432"/>
        <v>14400</v>
      </c>
      <c r="U3790" s="61">
        <f t="shared" ca="1" si="433"/>
        <v>15563.29327161473</v>
      </c>
      <c r="V3790" s="39">
        <f t="shared" ca="1" si="434"/>
        <v>0.1023900873132548</v>
      </c>
      <c r="W3790" s="48">
        <f t="shared" ca="1" si="435"/>
        <v>1.2048869012053682</v>
      </c>
    </row>
    <row r="3791" spans="17:23" x14ac:dyDescent="0.2">
      <c r="Q3791">
        <f t="shared" si="429"/>
        <v>3775</v>
      </c>
      <c r="R3791" s="48">
        <f t="shared" ca="1" si="430"/>
        <v>0.45</v>
      </c>
      <c r="S3791">
        <f t="shared" ca="1" si="431"/>
        <v>201.63911789097412</v>
      </c>
      <c r="T3791" s="61">
        <f t="shared" ca="1" si="432"/>
        <v>21600</v>
      </c>
      <c r="U3791" s="61">
        <f t="shared" ca="1" si="433"/>
        <v>26721.211872028613</v>
      </c>
      <c r="V3791" s="39">
        <f t="shared" ca="1" si="434"/>
        <v>0.17579744652650403</v>
      </c>
      <c r="W3791" s="48">
        <f t="shared" ca="1" si="435"/>
        <v>2.7194166017147285</v>
      </c>
    </row>
    <row r="3792" spans="17:23" x14ac:dyDescent="0.2">
      <c r="Q3792">
        <f t="shared" si="429"/>
        <v>3776</v>
      </c>
      <c r="R3792" s="48">
        <f t="shared" ca="1" si="430"/>
        <v>0.217</v>
      </c>
      <c r="S3792">
        <f t="shared" ca="1" si="431"/>
        <v>177.71697646536796</v>
      </c>
      <c r="T3792" s="61">
        <f t="shared" ca="1" si="432"/>
        <v>10416</v>
      </c>
      <c r="U3792" s="61">
        <f t="shared" ca="1" si="433"/>
        <v>2721.9140579064924</v>
      </c>
      <c r="V3792" s="39">
        <f t="shared" ca="1" si="434"/>
        <v>1.7907329328332187E-2</v>
      </c>
      <c r="W3792" s="48">
        <f t="shared" ca="1" si="435"/>
        <v>0.15484155542500844</v>
      </c>
    </row>
    <row r="3793" spans="17:23" x14ac:dyDescent="0.2">
      <c r="Q3793">
        <f t="shared" si="429"/>
        <v>3777</v>
      </c>
      <c r="R3793" s="48">
        <f t="shared" ca="1" si="430"/>
        <v>0.45</v>
      </c>
      <c r="S3793">
        <f t="shared" ca="1" si="431"/>
        <v>148.17156090419667</v>
      </c>
      <c r="T3793" s="61">
        <f t="shared" ca="1" si="432"/>
        <v>21600</v>
      </c>
      <c r="U3793" s="61">
        <f t="shared" ca="1" si="433"/>
        <v>3195.48679784653</v>
      </c>
      <c r="V3793" s="39">
        <f t="shared" ca="1" si="434"/>
        <v>2.1022939459516644E-2</v>
      </c>
      <c r="W3793" s="48">
        <f t="shared" ca="1" si="435"/>
        <v>0.18382618201050427</v>
      </c>
    </row>
    <row r="3794" spans="17:23" x14ac:dyDescent="0.2">
      <c r="Q3794">
        <f t="shared" si="429"/>
        <v>3778</v>
      </c>
      <c r="R3794" s="48">
        <f t="shared" ca="1" si="430"/>
        <v>0.3</v>
      </c>
      <c r="S3794">
        <f t="shared" ca="1" si="431"/>
        <v>191.21421198822992</v>
      </c>
      <c r="T3794" s="61">
        <f t="shared" ca="1" si="432"/>
        <v>14400</v>
      </c>
      <c r="U3794" s="61">
        <f t="shared" ca="1" si="433"/>
        <v>15079.958713408756</v>
      </c>
      <c r="V3794" s="39">
        <f t="shared" ca="1" si="434"/>
        <v>9.9210254693478661E-2</v>
      </c>
      <c r="W3794" s="48">
        <f t="shared" ca="1" si="435"/>
        <v>1.1538264242082019</v>
      </c>
    </row>
    <row r="3795" spans="17:23" x14ac:dyDescent="0.2">
      <c r="Q3795">
        <f t="shared" ref="Q3795:Q3858" si="436">Q3794+1</f>
        <v>3779</v>
      </c>
      <c r="R3795" s="48">
        <f t="shared" ref="R3795:R3858" ca="1" si="437">LOOKUP(RAND(),$U$6:$U$12,$S$6:$S$12)</f>
        <v>0.45</v>
      </c>
      <c r="S3795">
        <f t="shared" ref="S3795:S3858" ca="1" si="438">_xlfn.NORM.INV(RAND(),$Q$5,$Q$10)</f>
        <v>184.02741323232519</v>
      </c>
      <c r="T3795" s="61">
        <f t="shared" ca="1" si="432"/>
        <v>21600</v>
      </c>
      <c r="U3795" s="61">
        <f t="shared" ca="1" si="433"/>
        <v>18972.061822223084</v>
      </c>
      <c r="V3795" s="39">
        <f t="shared" ca="1" si="434"/>
        <v>0.12481619619883608</v>
      </c>
      <c r="W3795" s="48">
        <f t="shared" ca="1" si="435"/>
        <v>1.5961406535017626</v>
      </c>
    </row>
    <row r="3796" spans="17:23" x14ac:dyDescent="0.2">
      <c r="Q3796">
        <f t="shared" si="436"/>
        <v>3780</v>
      </c>
      <c r="R3796" s="48">
        <f t="shared" ca="1" si="437"/>
        <v>0.217</v>
      </c>
      <c r="S3796">
        <f t="shared" ca="1" si="438"/>
        <v>183.67686705413044</v>
      </c>
      <c r="T3796" s="61">
        <f t="shared" ca="1" si="432"/>
        <v>10416</v>
      </c>
      <c r="U3796" s="61">
        <f t="shared" ca="1" si="433"/>
        <v>6455.1895227073073</v>
      </c>
      <c r="V3796" s="39">
        <f t="shared" ca="1" si="434"/>
        <v>4.2468352123074392E-2</v>
      </c>
      <c r="W3796" s="48">
        <f t="shared" ca="1" si="435"/>
        <v>0.40123191617993803</v>
      </c>
    </row>
    <row r="3797" spans="17:23" x14ac:dyDescent="0.2">
      <c r="Q3797">
        <f t="shared" si="436"/>
        <v>3781</v>
      </c>
      <c r="R3797" s="48">
        <f t="shared" ca="1" si="437"/>
        <v>0.4</v>
      </c>
      <c r="S3797">
        <f t="shared" ca="1" si="438"/>
        <v>210.4521127895668</v>
      </c>
      <c r="T3797" s="61">
        <f t="shared" ca="1" si="432"/>
        <v>19200</v>
      </c>
      <c r="U3797" s="61">
        <f t="shared" ca="1" si="433"/>
        <v>29017.014138992061</v>
      </c>
      <c r="V3797" s="39">
        <f t="shared" ca="1" si="434"/>
        <v>0.19090140880915829</v>
      </c>
      <c r="W3797" s="48">
        <f t="shared" ca="1" si="435"/>
        <v>3.1251250426103585</v>
      </c>
    </row>
    <row r="3798" spans="17:23" x14ac:dyDescent="0.2">
      <c r="Q3798">
        <f t="shared" si="436"/>
        <v>3782</v>
      </c>
      <c r="R3798" s="48">
        <f t="shared" ca="1" si="437"/>
        <v>0.217</v>
      </c>
      <c r="S3798">
        <f t="shared" ca="1" si="438"/>
        <v>134.72427049120557</v>
      </c>
      <c r="T3798" s="61">
        <f t="shared" ca="1" si="432"/>
        <v>10416</v>
      </c>
      <c r="U3798" s="61">
        <f t="shared" ca="1" si="433"/>
        <v>-24208.716964308827</v>
      </c>
      <c r="V3798" s="39">
        <f t="shared" ca="1" si="434"/>
        <v>-0.15926787476518967</v>
      </c>
      <c r="W3798" s="48">
        <f t="shared" ca="1" si="435"/>
        <v>-0.75515582996923769</v>
      </c>
    </row>
    <row r="3799" spans="17:23" x14ac:dyDescent="0.2">
      <c r="Q3799">
        <f t="shared" si="436"/>
        <v>3783</v>
      </c>
      <c r="R3799" s="48">
        <f t="shared" ca="1" si="437"/>
        <v>0.4</v>
      </c>
      <c r="S3799">
        <f t="shared" ca="1" si="438"/>
        <v>176.80987321227005</v>
      </c>
      <c r="T3799" s="61">
        <f t="shared" ca="1" si="432"/>
        <v>19200</v>
      </c>
      <c r="U3799" s="61">
        <f t="shared" ca="1" si="433"/>
        <v>12868.739141889622</v>
      </c>
      <c r="V3799" s="39">
        <f t="shared" ca="1" si="434"/>
        <v>8.4662757512431727E-2</v>
      </c>
      <c r="W3799" s="48">
        <f t="shared" ca="1" si="435"/>
        <v>0.93321192723140034</v>
      </c>
    </row>
    <row r="3800" spans="17:23" x14ac:dyDescent="0.2">
      <c r="Q3800">
        <f t="shared" si="436"/>
        <v>3784</v>
      </c>
      <c r="R3800" s="48">
        <f t="shared" ca="1" si="437"/>
        <v>0.4</v>
      </c>
      <c r="S3800">
        <f t="shared" ca="1" si="438"/>
        <v>181.1086173955735</v>
      </c>
      <c r="T3800" s="61">
        <f t="shared" ca="1" si="432"/>
        <v>19200</v>
      </c>
      <c r="U3800" s="61">
        <f t="shared" ca="1" si="433"/>
        <v>14932.136349875282</v>
      </c>
      <c r="V3800" s="39">
        <f t="shared" ca="1" si="434"/>
        <v>9.8237739143916328E-2</v>
      </c>
      <c r="W3800" s="48">
        <f t="shared" ca="1" si="435"/>
        <v>1.1384186122658355</v>
      </c>
    </row>
    <row r="3801" spans="17:23" x14ac:dyDescent="0.2">
      <c r="Q3801">
        <f t="shared" si="436"/>
        <v>3785</v>
      </c>
      <c r="R3801" s="48">
        <f t="shared" ca="1" si="437"/>
        <v>0.45</v>
      </c>
      <c r="S3801">
        <f t="shared" ca="1" si="438"/>
        <v>203.53468132921554</v>
      </c>
      <c r="T3801" s="61">
        <f t="shared" ca="1" si="432"/>
        <v>21600</v>
      </c>
      <c r="U3801" s="61">
        <f t="shared" ca="1" si="433"/>
        <v>27555.259784854839</v>
      </c>
      <c r="V3801" s="39">
        <f t="shared" ca="1" si="434"/>
        <v>0.18128460384772921</v>
      </c>
      <c r="W3801" s="48">
        <f t="shared" ca="1" si="435"/>
        <v>2.8625644858854558</v>
      </c>
    </row>
    <row r="3802" spans="17:23" x14ac:dyDescent="0.2">
      <c r="Q3802">
        <f t="shared" si="436"/>
        <v>3786</v>
      </c>
      <c r="R3802" s="48">
        <f t="shared" ca="1" si="437"/>
        <v>0.217</v>
      </c>
      <c r="S3802">
        <f t="shared" ca="1" si="438"/>
        <v>170.36774338448089</v>
      </c>
      <c r="T3802" s="61">
        <f t="shared" ca="1" si="432"/>
        <v>10416</v>
      </c>
      <c r="U3802" s="61">
        <f t="shared" ca="1" si="433"/>
        <v>-1881.6455439611709</v>
      </c>
      <c r="V3802" s="39">
        <f t="shared" ca="1" si="434"/>
        <v>-1.2379246999744546E-2</v>
      </c>
      <c r="W3802" s="48">
        <f t="shared" ca="1" si="435"/>
        <v>-9.6099618185277902E-2</v>
      </c>
    </row>
    <row r="3803" spans="17:23" x14ac:dyDescent="0.2">
      <c r="Q3803">
        <f t="shared" si="436"/>
        <v>3787</v>
      </c>
      <c r="R3803" s="48">
        <f t="shared" ca="1" si="437"/>
        <v>0.217</v>
      </c>
      <c r="S3803">
        <f t="shared" ca="1" si="438"/>
        <v>165.02888901970672</v>
      </c>
      <c r="T3803" s="61">
        <f t="shared" ca="1" si="432"/>
        <v>10416</v>
      </c>
      <c r="U3803" s="61">
        <f t="shared" ca="1" si="433"/>
        <v>-5225.9039180557065</v>
      </c>
      <c r="V3803" s="39">
        <f t="shared" ca="1" si="434"/>
        <v>-3.4380946829313856E-2</v>
      </c>
      <c r="W3803" s="48">
        <f t="shared" ca="1" si="435"/>
        <v>-0.24706346625216236</v>
      </c>
    </row>
    <row r="3804" spans="17:23" x14ac:dyDescent="0.2">
      <c r="Q3804">
        <f t="shared" si="436"/>
        <v>3788</v>
      </c>
      <c r="R3804" s="48">
        <f t="shared" ca="1" si="437"/>
        <v>0.217</v>
      </c>
      <c r="S3804">
        <f t="shared" ca="1" si="438"/>
        <v>188.74400092792439</v>
      </c>
      <c r="T3804" s="61">
        <f t="shared" ca="1" si="432"/>
        <v>10416</v>
      </c>
      <c r="U3804" s="61">
        <f t="shared" ca="1" si="433"/>
        <v>9629.2421812518369</v>
      </c>
      <c r="V3804" s="39">
        <f t="shared" ca="1" si="434"/>
        <v>6.3350277508235769E-2</v>
      </c>
      <c r="W3804" s="48">
        <f t="shared" ca="1" si="435"/>
        <v>0.64579155204806593</v>
      </c>
    </row>
    <row r="3805" spans="17:23" x14ac:dyDescent="0.2">
      <c r="Q3805">
        <f t="shared" si="436"/>
        <v>3789</v>
      </c>
      <c r="R3805" s="48">
        <f t="shared" ca="1" si="437"/>
        <v>0.3</v>
      </c>
      <c r="S3805">
        <f t="shared" ca="1" si="438"/>
        <v>148.68709141362871</v>
      </c>
      <c r="T3805" s="61">
        <f t="shared" ca="1" si="432"/>
        <v>14400</v>
      </c>
      <c r="U3805" s="61">
        <f t="shared" ca="1" si="433"/>
        <v>-8735.2288083679232</v>
      </c>
      <c r="V3805" s="39">
        <f t="shared" ca="1" si="434"/>
        <v>-5.7468610581367915E-2</v>
      </c>
      <c r="W3805" s="48">
        <f t="shared" ca="1" si="435"/>
        <v>-0.38125662656345216</v>
      </c>
    </row>
    <row r="3806" spans="17:23" x14ac:dyDescent="0.2">
      <c r="Q3806">
        <f t="shared" si="436"/>
        <v>3790</v>
      </c>
      <c r="R3806" s="48">
        <f t="shared" ca="1" si="437"/>
        <v>0.35</v>
      </c>
      <c r="S3806">
        <f t="shared" ca="1" si="438"/>
        <v>210.63622153227772</v>
      </c>
      <c r="T3806" s="61">
        <f t="shared" ca="1" si="432"/>
        <v>16800</v>
      </c>
      <c r="U3806" s="61">
        <f t="shared" ca="1" si="433"/>
        <v>27530.835196784414</v>
      </c>
      <c r="V3806" s="39">
        <f t="shared" ca="1" si="434"/>
        <v>0.18112391576831852</v>
      </c>
      <c r="W3806" s="48">
        <f t="shared" ca="1" si="435"/>
        <v>2.8583048236038207</v>
      </c>
    </row>
    <row r="3807" spans="17:23" x14ac:dyDescent="0.2">
      <c r="Q3807">
        <f t="shared" si="436"/>
        <v>3791</v>
      </c>
      <c r="R3807" s="48">
        <f t="shared" ca="1" si="437"/>
        <v>0.217</v>
      </c>
      <c r="S3807">
        <f t="shared" ca="1" si="438"/>
        <v>204.21569890334663</v>
      </c>
      <c r="T3807" s="61">
        <f t="shared" ca="1" si="432"/>
        <v>10416</v>
      </c>
      <c r="U3807" s="61">
        <f t="shared" ca="1" si="433"/>
        <v>19320.713793056333</v>
      </c>
      <c r="V3807" s="39">
        <f t="shared" ca="1" si="434"/>
        <v>0.1271099591648443</v>
      </c>
      <c r="W3807" s="48">
        <f t="shared" ca="1" si="435"/>
        <v>1.6393946362258105</v>
      </c>
    </row>
    <row r="3808" spans="17:23" x14ac:dyDescent="0.2">
      <c r="Q3808">
        <f t="shared" si="436"/>
        <v>3792</v>
      </c>
      <c r="R3808" s="48">
        <f t="shared" ca="1" si="437"/>
        <v>0.5</v>
      </c>
      <c r="S3808">
        <f t="shared" ca="1" si="438"/>
        <v>173.36453467594984</v>
      </c>
      <c r="T3808" s="61">
        <f t="shared" ca="1" si="432"/>
        <v>24000</v>
      </c>
      <c r="U3808" s="61">
        <f t="shared" ca="1" si="433"/>
        <v>17345.813870379934</v>
      </c>
      <c r="V3808" s="39">
        <f t="shared" ca="1" si="434"/>
        <v>0.11411719651565747</v>
      </c>
      <c r="W3808" s="48">
        <f t="shared" ca="1" si="435"/>
        <v>1.4024898595099824</v>
      </c>
    </row>
    <row r="3809" spans="17:23" x14ac:dyDescent="0.2">
      <c r="Q3809">
        <f t="shared" si="436"/>
        <v>3793</v>
      </c>
      <c r="R3809" s="48">
        <f t="shared" ca="1" si="437"/>
        <v>0.217</v>
      </c>
      <c r="S3809">
        <f t="shared" ca="1" si="438"/>
        <v>208.89953670817994</v>
      </c>
      <c r="T3809" s="61">
        <f t="shared" ca="1" si="432"/>
        <v>10416</v>
      </c>
      <c r="U3809" s="61">
        <f t="shared" ca="1" si="433"/>
        <v>22254.669794003912</v>
      </c>
      <c r="V3809" s="39">
        <f t="shared" ca="1" si="434"/>
        <v>0.14641230127634153</v>
      </c>
      <c r="W3809" s="48">
        <f t="shared" ca="1" si="435"/>
        <v>2.0291454436065033</v>
      </c>
    </row>
    <row r="3810" spans="17:23" x14ac:dyDescent="0.2">
      <c r="Q3810">
        <f t="shared" si="436"/>
        <v>3794</v>
      </c>
      <c r="R3810" s="48">
        <f t="shared" ca="1" si="437"/>
        <v>0.4</v>
      </c>
      <c r="S3810">
        <f t="shared" ca="1" si="438"/>
        <v>180.6173593636565</v>
      </c>
      <c r="T3810" s="61">
        <f t="shared" ca="1" si="432"/>
        <v>19200</v>
      </c>
      <c r="U3810" s="61">
        <f t="shared" ca="1" si="433"/>
        <v>14696.332494555121</v>
      </c>
      <c r="V3810" s="39">
        <f t="shared" ca="1" si="434"/>
        <v>9.6686397990494222E-2</v>
      </c>
      <c r="W3810" s="48">
        <f t="shared" ca="1" si="435"/>
        <v>1.1140403025232186</v>
      </c>
    </row>
    <row r="3811" spans="17:23" x14ac:dyDescent="0.2">
      <c r="Q3811">
        <f t="shared" si="436"/>
        <v>3795</v>
      </c>
      <c r="R3811" s="48">
        <f t="shared" ca="1" si="437"/>
        <v>0.5</v>
      </c>
      <c r="S3811">
        <f t="shared" ca="1" si="438"/>
        <v>178.31314655622495</v>
      </c>
      <c r="T3811" s="61">
        <f t="shared" ca="1" si="432"/>
        <v>24000</v>
      </c>
      <c r="U3811" s="61">
        <f t="shared" ca="1" si="433"/>
        <v>19325.258622489979</v>
      </c>
      <c r="V3811" s="39">
        <f t="shared" ca="1" si="434"/>
        <v>0.12713985935848671</v>
      </c>
      <c r="W3811" s="48">
        <f t="shared" ca="1" si="435"/>
        <v>1.6399626166375336</v>
      </c>
    </row>
    <row r="3812" spans="17:23" x14ac:dyDescent="0.2">
      <c r="Q3812">
        <f t="shared" si="436"/>
        <v>3796</v>
      </c>
      <c r="R3812" s="48">
        <f t="shared" ca="1" si="437"/>
        <v>0.4</v>
      </c>
      <c r="S3812">
        <f t="shared" ca="1" si="438"/>
        <v>175.03158556147059</v>
      </c>
      <c r="T3812" s="61">
        <f t="shared" ca="1" si="432"/>
        <v>19200</v>
      </c>
      <c r="U3812" s="61">
        <f t="shared" ca="1" si="433"/>
        <v>12015.161069505884</v>
      </c>
      <c r="V3812" s="39">
        <f t="shared" ca="1" si="434"/>
        <v>7.9047112299380815E-2</v>
      </c>
      <c r="W3812" s="48">
        <f t="shared" ca="1" si="435"/>
        <v>0.85350777026623281</v>
      </c>
    </row>
    <row r="3813" spans="17:23" x14ac:dyDescent="0.2">
      <c r="Q3813">
        <f t="shared" si="436"/>
        <v>3797</v>
      </c>
      <c r="R3813" s="48">
        <f t="shared" ca="1" si="437"/>
        <v>0.45</v>
      </c>
      <c r="S3813">
        <f t="shared" ca="1" si="438"/>
        <v>180.22921114086458</v>
      </c>
      <c r="T3813" s="61">
        <f t="shared" ca="1" si="432"/>
        <v>21600</v>
      </c>
      <c r="U3813" s="61">
        <f t="shared" ca="1" si="433"/>
        <v>17300.852901980412</v>
      </c>
      <c r="V3813" s="39">
        <f t="shared" ca="1" si="434"/>
        <v>0.11382140067092376</v>
      </c>
      <c r="W3813" s="48">
        <f t="shared" ca="1" si="435"/>
        <v>1.3973210186339911</v>
      </c>
    </row>
    <row r="3814" spans="17:23" x14ac:dyDescent="0.2">
      <c r="Q3814">
        <f t="shared" si="436"/>
        <v>3798</v>
      </c>
      <c r="R3814" s="48">
        <f t="shared" ca="1" si="437"/>
        <v>0.35</v>
      </c>
      <c r="S3814">
        <f t="shared" ca="1" si="438"/>
        <v>178.17794740673074</v>
      </c>
      <c r="T3814" s="61">
        <f t="shared" ca="1" si="432"/>
        <v>16800</v>
      </c>
      <c r="U3814" s="61">
        <f t="shared" ca="1" si="433"/>
        <v>10652.532651499983</v>
      </c>
      <c r="V3814" s="39">
        <f t="shared" ca="1" si="434"/>
        <v>7.0082451654605152E-2</v>
      </c>
      <c r="W3814" s="48">
        <f t="shared" ca="1" si="435"/>
        <v>0.73223384289479232</v>
      </c>
    </row>
    <row r="3815" spans="17:23" x14ac:dyDescent="0.2">
      <c r="Q3815">
        <f t="shared" si="436"/>
        <v>3799</v>
      </c>
      <c r="R3815" s="48">
        <f t="shared" ca="1" si="437"/>
        <v>0.4</v>
      </c>
      <c r="S3815">
        <f t="shared" ca="1" si="438"/>
        <v>197.30618242048467</v>
      </c>
      <c r="T3815" s="61">
        <f t="shared" ca="1" si="432"/>
        <v>19200</v>
      </c>
      <c r="U3815" s="61">
        <f t="shared" ca="1" si="433"/>
        <v>22706.967561832644</v>
      </c>
      <c r="V3815" s="39">
        <f t="shared" ca="1" si="434"/>
        <v>0.14938794448574108</v>
      </c>
      <c r="W3815" s="48">
        <f t="shared" ca="1" si="435"/>
        <v>2.0935106578851821</v>
      </c>
    </row>
    <row r="3816" spans="17:23" x14ac:dyDescent="0.2">
      <c r="Q3816">
        <f t="shared" si="436"/>
        <v>3800</v>
      </c>
      <c r="R3816" s="48">
        <f t="shared" ca="1" si="437"/>
        <v>0.3</v>
      </c>
      <c r="S3816">
        <f t="shared" ca="1" si="438"/>
        <v>192.827430745501</v>
      </c>
      <c r="T3816" s="61">
        <f t="shared" ca="1" si="432"/>
        <v>14400</v>
      </c>
      <c r="U3816" s="61">
        <f t="shared" ca="1" si="433"/>
        <v>15983.361217480562</v>
      </c>
      <c r="V3816" s="39">
        <f t="shared" ca="1" si="434"/>
        <v>0.10515369222026685</v>
      </c>
      <c r="W3816" s="48">
        <f t="shared" ca="1" si="435"/>
        <v>1.2501225592114795</v>
      </c>
    </row>
    <row r="3817" spans="17:23" x14ac:dyDescent="0.2">
      <c r="Q3817">
        <f t="shared" si="436"/>
        <v>3801</v>
      </c>
      <c r="R3817" s="48">
        <f t="shared" ca="1" si="437"/>
        <v>0.4</v>
      </c>
      <c r="S3817">
        <f t="shared" ca="1" si="438"/>
        <v>218.02025035384483</v>
      </c>
      <c r="T3817" s="61">
        <f t="shared" ca="1" si="432"/>
        <v>19200</v>
      </c>
      <c r="U3817" s="61">
        <f t="shared" ca="1" si="433"/>
        <v>32649.720169845517</v>
      </c>
      <c r="V3817" s="39">
        <f t="shared" ca="1" si="434"/>
        <v>0.21480079059108892</v>
      </c>
      <c r="W3817" s="48">
        <f t="shared" ca="1" si="435"/>
        <v>3.8465196604675604</v>
      </c>
    </row>
    <row r="3818" spans="17:23" x14ac:dyDescent="0.2">
      <c r="Q3818">
        <f t="shared" si="436"/>
        <v>3802</v>
      </c>
      <c r="R3818" s="48">
        <f t="shared" ca="1" si="437"/>
        <v>0.3</v>
      </c>
      <c r="S3818">
        <f t="shared" ca="1" si="438"/>
        <v>195.15335265533494</v>
      </c>
      <c r="T3818" s="61">
        <f t="shared" ca="1" si="432"/>
        <v>14400</v>
      </c>
      <c r="U3818" s="61">
        <f t="shared" ca="1" si="433"/>
        <v>17285.877486987567</v>
      </c>
      <c r="V3818" s="39">
        <f t="shared" ca="1" si="434"/>
        <v>0.11372287820386558</v>
      </c>
      <c r="W3818" s="48">
        <f t="shared" ca="1" si="435"/>
        <v>1.3956015681271787</v>
      </c>
    </row>
    <row r="3819" spans="17:23" x14ac:dyDescent="0.2">
      <c r="Q3819">
        <f t="shared" si="436"/>
        <v>3803</v>
      </c>
      <c r="R3819" s="48">
        <f t="shared" ca="1" si="437"/>
        <v>0.35</v>
      </c>
      <c r="S3819">
        <f t="shared" ca="1" si="438"/>
        <v>190.32701924500918</v>
      </c>
      <c r="T3819" s="61">
        <f t="shared" ca="1" si="432"/>
        <v>16800</v>
      </c>
      <c r="U3819" s="61">
        <f t="shared" ca="1" si="433"/>
        <v>16970.050007404774</v>
      </c>
      <c r="V3819" s="39">
        <f t="shared" ca="1" si="434"/>
        <v>0.1116450658381893</v>
      </c>
      <c r="W3819" s="48">
        <f t="shared" ca="1" si="435"/>
        <v>1.3595897813184359</v>
      </c>
    </row>
    <row r="3820" spans="17:23" x14ac:dyDescent="0.2">
      <c r="Q3820">
        <f t="shared" si="436"/>
        <v>3804</v>
      </c>
      <c r="R3820" s="48">
        <f t="shared" ca="1" si="437"/>
        <v>0.35</v>
      </c>
      <c r="S3820">
        <f t="shared" ca="1" si="438"/>
        <v>209.4002761254265</v>
      </c>
      <c r="T3820" s="61">
        <f t="shared" ca="1" si="432"/>
        <v>16800</v>
      </c>
      <c r="U3820" s="61">
        <f t="shared" ca="1" si="433"/>
        <v>26888.14358522178</v>
      </c>
      <c r="V3820" s="39">
        <f t="shared" ca="1" si="434"/>
        <v>0.17689568148172224</v>
      </c>
      <c r="W3820" s="48">
        <f t="shared" ca="1" si="435"/>
        <v>2.7476888646338589</v>
      </c>
    </row>
    <row r="3821" spans="17:23" x14ac:dyDescent="0.2">
      <c r="Q3821">
        <f t="shared" si="436"/>
        <v>3805</v>
      </c>
      <c r="R3821" s="48">
        <f t="shared" ca="1" si="437"/>
        <v>0.4</v>
      </c>
      <c r="S3821">
        <f t="shared" ca="1" si="438"/>
        <v>163.07378462612721</v>
      </c>
      <c r="T3821" s="61">
        <f t="shared" ca="1" si="432"/>
        <v>19200</v>
      </c>
      <c r="U3821" s="61">
        <f t="shared" ca="1" si="433"/>
        <v>6275.4166205410584</v>
      </c>
      <c r="V3821" s="39">
        <f t="shared" ca="1" si="434"/>
        <v>4.128563566145433E-2</v>
      </c>
      <c r="W3821" s="48">
        <f t="shared" ca="1" si="435"/>
        <v>0.38838920401543664</v>
      </c>
    </row>
    <row r="3822" spans="17:23" x14ac:dyDescent="0.2">
      <c r="Q3822">
        <f t="shared" si="436"/>
        <v>3806</v>
      </c>
      <c r="R3822" s="48">
        <f t="shared" ca="1" si="437"/>
        <v>0.3</v>
      </c>
      <c r="S3822">
        <f t="shared" ca="1" si="438"/>
        <v>201.79973944673907</v>
      </c>
      <c r="T3822" s="61">
        <f t="shared" ca="1" si="432"/>
        <v>14400</v>
      </c>
      <c r="U3822" s="61">
        <f t="shared" ca="1" si="433"/>
        <v>21007.854090173878</v>
      </c>
      <c r="V3822" s="39">
        <f t="shared" ca="1" si="434"/>
        <v>0.13820956638272289</v>
      </c>
      <c r="W3822" s="48">
        <f t="shared" ca="1" si="435"/>
        <v>1.8577535047706153</v>
      </c>
    </row>
    <row r="3823" spans="17:23" x14ac:dyDescent="0.2">
      <c r="Q3823">
        <f t="shared" si="436"/>
        <v>3807</v>
      </c>
      <c r="R3823" s="48">
        <f t="shared" ca="1" si="437"/>
        <v>0.35</v>
      </c>
      <c r="S3823">
        <f t="shared" ca="1" si="438"/>
        <v>145.83547630967144</v>
      </c>
      <c r="T3823" s="61">
        <f t="shared" ca="1" si="432"/>
        <v>16800</v>
      </c>
      <c r="U3823" s="61">
        <f t="shared" ca="1" si="433"/>
        <v>-6165.5523189708547</v>
      </c>
      <c r="V3823" s="39">
        <f t="shared" ca="1" si="434"/>
        <v>-4.0562844203755624E-2</v>
      </c>
      <c r="W3823" s="48">
        <f t="shared" ca="1" si="435"/>
        <v>-0.28528301535193756</v>
      </c>
    </row>
    <row r="3824" spans="17:23" x14ac:dyDescent="0.2">
      <c r="Q3824">
        <f t="shared" si="436"/>
        <v>3808</v>
      </c>
      <c r="R3824" s="48">
        <f t="shared" ca="1" si="437"/>
        <v>0.3</v>
      </c>
      <c r="S3824">
        <f t="shared" ca="1" si="438"/>
        <v>192.03788349134234</v>
      </c>
      <c r="T3824" s="61">
        <f t="shared" ca="1" si="432"/>
        <v>14400</v>
      </c>
      <c r="U3824" s="61">
        <f t="shared" ca="1" si="433"/>
        <v>15541.214755151712</v>
      </c>
      <c r="V3824" s="39">
        <f t="shared" ca="1" si="434"/>
        <v>0.10224483391547179</v>
      </c>
      <c r="W3824" s="48">
        <f t="shared" ca="1" si="435"/>
        <v>1.2025315579160818</v>
      </c>
    </row>
    <row r="3825" spans="17:23" x14ac:dyDescent="0.2">
      <c r="Q3825">
        <f t="shared" si="436"/>
        <v>3809</v>
      </c>
      <c r="R3825" s="48">
        <f t="shared" ca="1" si="437"/>
        <v>0.35</v>
      </c>
      <c r="S3825">
        <f t="shared" ca="1" si="438"/>
        <v>163.83986645909636</v>
      </c>
      <c r="T3825" s="61">
        <f t="shared" ca="1" si="432"/>
        <v>16800</v>
      </c>
      <c r="U3825" s="61">
        <f t="shared" ca="1" si="433"/>
        <v>3196.7305587301053</v>
      </c>
      <c r="V3825" s="39">
        <f t="shared" ca="1" si="434"/>
        <v>2.1031122096908588E-2</v>
      </c>
      <c r="W3825" s="48">
        <f t="shared" ca="1" si="435"/>
        <v>0.18390313729945484</v>
      </c>
    </row>
    <row r="3826" spans="17:23" x14ac:dyDescent="0.2">
      <c r="Q3826">
        <f t="shared" si="436"/>
        <v>3810</v>
      </c>
      <c r="R3826" s="48">
        <f t="shared" ca="1" si="437"/>
        <v>0.4</v>
      </c>
      <c r="S3826">
        <f t="shared" ca="1" si="438"/>
        <v>163.93955924855422</v>
      </c>
      <c r="T3826" s="61">
        <f t="shared" ca="1" si="432"/>
        <v>19200</v>
      </c>
      <c r="U3826" s="61">
        <f t="shared" ca="1" si="433"/>
        <v>6690.9884393060238</v>
      </c>
      <c r="V3826" s="39">
        <f t="shared" ca="1" si="434"/>
        <v>4.401966078490805E-2</v>
      </c>
      <c r="W3826" s="48">
        <f t="shared" ca="1" si="435"/>
        <v>0.41823487381679159</v>
      </c>
    </row>
    <row r="3827" spans="17:23" x14ac:dyDescent="0.2">
      <c r="Q3827">
        <f t="shared" si="436"/>
        <v>3811</v>
      </c>
      <c r="R3827" s="48">
        <f t="shared" ca="1" si="437"/>
        <v>0.3</v>
      </c>
      <c r="S3827">
        <f t="shared" ca="1" si="438"/>
        <v>184.2085378071657</v>
      </c>
      <c r="T3827" s="61">
        <f t="shared" ca="1" si="432"/>
        <v>14400</v>
      </c>
      <c r="U3827" s="61">
        <f t="shared" ca="1" si="433"/>
        <v>11156.78117201279</v>
      </c>
      <c r="V3827" s="39">
        <f t="shared" ca="1" si="434"/>
        <v>7.33998761316631E-2</v>
      </c>
      <c r="W3827" s="48">
        <f t="shared" ca="1" si="435"/>
        <v>0.77627529547960616</v>
      </c>
    </row>
    <row r="3828" spans="17:23" x14ac:dyDescent="0.2">
      <c r="Q3828">
        <f t="shared" si="436"/>
        <v>3812</v>
      </c>
      <c r="R3828" s="48">
        <f t="shared" ca="1" si="437"/>
        <v>0.45</v>
      </c>
      <c r="S3828">
        <f t="shared" ca="1" si="438"/>
        <v>203.64361415894155</v>
      </c>
      <c r="T3828" s="61">
        <f t="shared" ca="1" si="432"/>
        <v>21600</v>
      </c>
      <c r="U3828" s="61">
        <f t="shared" ca="1" si="433"/>
        <v>27603.19022993428</v>
      </c>
      <c r="V3828" s="39">
        <f t="shared" ca="1" si="434"/>
        <v>0.18159993572325184</v>
      </c>
      <c r="W3828" s="48">
        <f t="shared" ca="1" si="435"/>
        <v>2.8709355689194189</v>
      </c>
    </row>
    <row r="3829" spans="17:23" x14ac:dyDescent="0.2">
      <c r="Q3829">
        <f t="shared" si="436"/>
        <v>3813</v>
      </c>
      <c r="R3829" s="48">
        <f t="shared" ca="1" si="437"/>
        <v>0.45</v>
      </c>
      <c r="S3829">
        <f t="shared" ca="1" si="438"/>
        <v>205.05934537642293</v>
      </c>
      <c r="T3829" s="61">
        <f t="shared" ca="1" si="432"/>
        <v>21600</v>
      </c>
      <c r="U3829" s="61">
        <f t="shared" ca="1" si="433"/>
        <v>28226.111965626089</v>
      </c>
      <c r="V3829" s="39">
        <f t="shared" ca="1" si="434"/>
        <v>0.18569810503701376</v>
      </c>
      <c r="W3829" s="48">
        <f t="shared" ca="1" si="435"/>
        <v>2.9811849494900211</v>
      </c>
    </row>
    <row r="3830" spans="17:23" x14ac:dyDescent="0.2">
      <c r="Q3830">
        <f t="shared" si="436"/>
        <v>3814</v>
      </c>
      <c r="R3830" s="48">
        <f t="shared" ca="1" si="437"/>
        <v>0.3</v>
      </c>
      <c r="S3830">
        <f t="shared" ca="1" si="438"/>
        <v>194.32978316171298</v>
      </c>
      <c r="T3830" s="61">
        <f t="shared" ca="1" si="432"/>
        <v>14400</v>
      </c>
      <c r="U3830" s="61">
        <f t="shared" ca="1" si="433"/>
        <v>16824.67857055927</v>
      </c>
      <c r="V3830" s="39">
        <f t="shared" ca="1" si="434"/>
        <v>0.11068867480631099</v>
      </c>
      <c r="W3830" s="48">
        <f t="shared" ca="1" si="435"/>
        <v>1.3431741342686538</v>
      </c>
    </row>
    <row r="3831" spans="17:23" x14ac:dyDescent="0.2">
      <c r="Q3831">
        <f t="shared" si="436"/>
        <v>3815</v>
      </c>
      <c r="R3831" s="48">
        <f t="shared" ca="1" si="437"/>
        <v>0.45</v>
      </c>
      <c r="S3831">
        <f t="shared" ca="1" si="438"/>
        <v>190.75642330235107</v>
      </c>
      <c r="T3831" s="61">
        <f t="shared" ca="1" si="432"/>
        <v>21600</v>
      </c>
      <c r="U3831" s="61">
        <f t="shared" ca="1" si="433"/>
        <v>21932.826253034469</v>
      </c>
      <c r="V3831" s="39">
        <f t="shared" ca="1" si="434"/>
        <v>0.1442949095594373</v>
      </c>
      <c r="W3831" s="48">
        <f t="shared" ca="1" si="435"/>
        <v>1.9840627141375826</v>
      </c>
    </row>
    <row r="3832" spans="17:23" x14ac:dyDescent="0.2">
      <c r="Q3832">
        <f t="shared" si="436"/>
        <v>3816</v>
      </c>
      <c r="R3832" s="48">
        <f t="shared" ca="1" si="437"/>
        <v>0.4</v>
      </c>
      <c r="S3832">
        <f t="shared" ca="1" si="438"/>
        <v>219.32450849305309</v>
      </c>
      <c r="T3832" s="61">
        <f t="shared" ca="1" si="432"/>
        <v>19200</v>
      </c>
      <c r="U3832" s="61">
        <f t="shared" ca="1" si="433"/>
        <v>33275.76407666548</v>
      </c>
      <c r="V3832" s="39">
        <f t="shared" ca="1" si="434"/>
        <v>0.21891950050437817</v>
      </c>
      <c r="W3832" s="48">
        <f t="shared" ca="1" si="435"/>
        <v>3.9814179433149226</v>
      </c>
    </row>
    <row r="3833" spans="17:23" x14ac:dyDescent="0.2">
      <c r="Q3833">
        <f t="shared" si="436"/>
        <v>3817</v>
      </c>
      <c r="R3833" s="48">
        <f t="shared" ca="1" si="437"/>
        <v>0.45</v>
      </c>
      <c r="S3833">
        <f t="shared" ca="1" si="438"/>
        <v>194.4814719958064</v>
      </c>
      <c r="T3833" s="61">
        <f t="shared" ref="T3833:T3896" ca="1" si="439">($B$8-$B$7)*($E$6*R3833)</f>
        <v>21600</v>
      </c>
      <c r="U3833" s="61">
        <f t="shared" ref="U3833:U3896" ca="1" si="440">T3833+((S3833-$B$7)*($E$6*(1-R3833)))</f>
        <v>23571.847678154816</v>
      </c>
      <c r="V3833" s="39">
        <f t="shared" ref="V3833:V3896" ca="1" si="441">U3833/$E$4</f>
        <v>0.15507794525101853</v>
      </c>
      <c r="W3833" s="48">
        <f t="shared" ref="W3833:W3896" ca="1" si="442">(1+V3833)^($J$29/$J$30)-1</f>
        <v>2.2199352849686673</v>
      </c>
    </row>
    <row r="3834" spans="17:23" x14ac:dyDescent="0.2">
      <c r="Q3834">
        <f t="shared" si="436"/>
        <v>3818</v>
      </c>
      <c r="R3834" s="48">
        <f t="shared" ca="1" si="437"/>
        <v>0.35</v>
      </c>
      <c r="S3834">
        <f t="shared" ca="1" si="438"/>
        <v>224.17543254372956</v>
      </c>
      <c r="T3834" s="61">
        <f t="shared" ca="1" si="439"/>
        <v>16800</v>
      </c>
      <c r="U3834" s="61">
        <f t="shared" ca="1" si="440"/>
        <v>34571.22492273937</v>
      </c>
      <c r="V3834" s="39">
        <f t="shared" ca="1" si="441"/>
        <v>0.22744226922854849</v>
      </c>
      <c r="W3834" s="48">
        <f t="shared" ca="1" si="442"/>
        <v>4.2710557279423842</v>
      </c>
    </row>
    <row r="3835" spans="17:23" x14ac:dyDescent="0.2">
      <c r="Q3835">
        <f t="shared" si="436"/>
        <v>3819</v>
      </c>
      <c r="R3835" s="48">
        <f t="shared" ca="1" si="437"/>
        <v>0.45</v>
      </c>
      <c r="S3835">
        <f t="shared" ca="1" si="438"/>
        <v>178.99529789712315</v>
      </c>
      <c r="T3835" s="61">
        <f t="shared" ca="1" si="439"/>
        <v>21600</v>
      </c>
      <c r="U3835" s="61">
        <f t="shared" ca="1" si="440"/>
        <v>16757.931074734188</v>
      </c>
      <c r="V3835" s="39">
        <f t="shared" ca="1" si="441"/>
        <v>0.11024954654430387</v>
      </c>
      <c r="W3835" s="48">
        <f t="shared" ca="1" si="442"/>
        <v>1.3356704678999924</v>
      </c>
    </row>
    <row r="3836" spans="17:23" x14ac:dyDescent="0.2">
      <c r="Q3836">
        <f t="shared" si="436"/>
        <v>3820</v>
      </c>
      <c r="R3836" s="48">
        <f t="shared" ca="1" si="437"/>
        <v>0.45</v>
      </c>
      <c r="S3836">
        <f t="shared" ca="1" si="438"/>
        <v>217.30917698151129</v>
      </c>
      <c r="T3836" s="61">
        <f t="shared" ca="1" si="439"/>
        <v>21600</v>
      </c>
      <c r="U3836" s="61">
        <f t="shared" ca="1" si="440"/>
        <v>33616.037871864966</v>
      </c>
      <c r="V3836" s="39">
        <f t="shared" ca="1" si="441"/>
        <v>0.22115814389384847</v>
      </c>
      <c r="W3836" s="48">
        <f t="shared" ca="1" si="442"/>
        <v>4.0561110528725024</v>
      </c>
    </row>
    <row r="3837" spans="17:23" x14ac:dyDescent="0.2">
      <c r="Q3837">
        <f t="shared" si="436"/>
        <v>3821</v>
      </c>
      <c r="R3837" s="48">
        <f t="shared" ca="1" si="437"/>
        <v>0.217</v>
      </c>
      <c r="S3837">
        <f t="shared" ca="1" si="438"/>
        <v>167.04997785899911</v>
      </c>
      <c r="T3837" s="61">
        <f t="shared" ca="1" si="439"/>
        <v>10416</v>
      </c>
      <c r="U3837" s="61">
        <f t="shared" ca="1" si="440"/>
        <v>-3959.8938691229541</v>
      </c>
      <c r="V3837" s="39">
        <f t="shared" ca="1" si="441"/>
        <v>-2.6051933349493118E-2</v>
      </c>
      <c r="W3837" s="48">
        <f t="shared" ca="1" si="442"/>
        <v>-0.19274155205753041</v>
      </c>
    </row>
    <row r="3838" spans="17:23" x14ac:dyDescent="0.2">
      <c r="Q3838">
        <f t="shared" si="436"/>
        <v>3822</v>
      </c>
      <c r="R3838" s="48">
        <f t="shared" ca="1" si="437"/>
        <v>0.4</v>
      </c>
      <c r="S3838">
        <f t="shared" ca="1" si="438"/>
        <v>164.68699168538032</v>
      </c>
      <c r="T3838" s="61">
        <f t="shared" ca="1" si="439"/>
        <v>19200</v>
      </c>
      <c r="U3838" s="61">
        <f t="shared" ca="1" si="440"/>
        <v>7049.7560089825529</v>
      </c>
      <c r="V3838" s="39">
        <f t="shared" ca="1" si="441"/>
        <v>4.6379973743306269E-2</v>
      </c>
      <c r="W3838" s="48">
        <f t="shared" ca="1" si="442"/>
        <v>0.44445184313842767</v>
      </c>
    </row>
    <row r="3839" spans="17:23" x14ac:dyDescent="0.2">
      <c r="Q3839">
        <f t="shared" si="436"/>
        <v>3823</v>
      </c>
      <c r="R3839" s="48">
        <f t="shared" ca="1" si="437"/>
        <v>0.217</v>
      </c>
      <c r="S3839">
        <f t="shared" ca="1" si="438"/>
        <v>183.32019005438494</v>
      </c>
      <c r="T3839" s="61">
        <f t="shared" ca="1" si="439"/>
        <v>10416</v>
      </c>
      <c r="U3839" s="61">
        <f t="shared" ca="1" si="440"/>
        <v>6231.7670500667255</v>
      </c>
      <c r="V3839" s="39">
        <f t="shared" ca="1" si="441"/>
        <v>4.0998467434649508E-2</v>
      </c>
      <c r="W3839" s="48">
        <f t="shared" ca="1" si="442"/>
        <v>0.38528655773296649</v>
      </c>
    </row>
    <row r="3840" spans="17:23" x14ac:dyDescent="0.2">
      <c r="Q3840">
        <f t="shared" si="436"/>
        <v>3824</v>
      </c>
      <c r="R3840" s="48">
        <f t="shared" ca="1" si="437"/>
        <v>0.217</v>
      </c>
      <c r="S3840">
        <f t="shared" ca="1" si="438"/>
        <v>191.88824958861653</v>
      </c>
      <c r="T3840" s="61">
        <f t="shared" ca="1" si="439"/>
        <v>10416</v>
      </c>
      <c r="U3840" s="61">
        <f t="shared" ca="1" si="440"/>
        <v>11598.799542309396</v>
      </c>
      <c r="V3840" s="39">
        <f t="shared" ca="1" si="441"/>
        <v>7.6307891725719709E-2</v>
      </c>
      <c r="W3840" s="48">
        <f t="shared" ca="1" si="442"/>
        <v>0.81568581124124173</v>
      </c>
    </row>
    <row r="3841" spans="17:23" x14ac:dyDescent="0.2">
      <c r="Q3841">
        <f t="shared" si="436"/>
        <v>3825</v>
      </c>
      <c r="R3841" s="48">
        <f t="shared" ca="1" si="437"/>
        <v>0.35</v>
      </c>
      <c r="S3841">
        <f t="shared" ca="1" si="438"/>
        <v>200.08722235908064</v>
      </c>
      <c r="T3841" s="61">
        <f t="shared" ca="1" si="439"/>
        <v>16800</v>
      </c>
      <c r="U3841" s="61">
        <f t="shared" ca="1" si="440"/>
        <v>22045.355626721932</v>
      </c>
      <c r="V3841" s="39">
        <f t="shared" ca="1" si="441"/>
        <v>0.14503523438632851</v>
      </c>
      <c r="W3841" s="48">
        <f t="shared" ca="1" si="442"/>
        <v>1.9997580941979649</v>
      </c>
    </row>
    <row r="3842" spans="17:23" x14ac:dyDescent="0.2">
      <c r="Q3842">
        <f t="shared" si="436"/>
        <v>3826</v>
      </c>
      <c r="R3842" s="48">
        <f t="shared" ca="1" si="437"/>
        <v>0.45</v>
      </c>
      <c r="S3842">
        <f t="shared" ca="1" si="438"/>
        <v>196.32529140573291</v>
      </c>
      <c r="T3842" s="61">
        <f t="shared" ca="1" si="439"/>
        <v>21600</v>
      </c>
      <c r="U3842" s="61">
        <f t="shared" ca="1" si="440"/>
        <v>24383.128218522481</v>
      </c>
      <c r="V3842" s="39">
        <f t="shared" ca="1" si="441"/>
        <v>0.16041531722712157</v>
      </c>
      <c r="W3842" s="48">
        <f t="shared" ca="1" si="442"/>
        <v>2.3426191320619778</v>
      </c>
    </row>
    <row r="3843" spans="17:23" x14ac:dyDescent="0.2">
      <c r="Q3843">
        <f t="shared" si="436"/>
        <v>3827</v>
      </c>
      <c r="R3843" s="48">
        <f t="shared" ca="1" si="437"/>
        <v>0.45</v>
      </c>
      <c r="S3843">
        <f t="shared" ca="1" si="438"/>
        <v>233.08047811121727</v>
      </c>
      <c r="T3843" s="61">
        <f t="shared" ca="1" si="439"/>
        <v>21600</v>
      </c>
      <c r="U3843" s="61">
        <f t="shared" ca="1" si="440"/>
        <v>40555.410368935598</v>
      </c>
      <c r="V3843" s="39">
        <f t="shared" ca="1" si="441"/>
        <v>0.26681191032194473</v>
      </c>
      <c r="W3843" s="48">
        <f t="shared" ca="1" si="442"/>
        <v>5.8094112317522653</v>
      </c>
    </row>
    <row r="3844" spans="17:23" x14ac:dyDescent="0.2">
      <c r="Q3844">
        <f t="shared" si="436"/>
        <v>3828</v>
      </c>
      <c r="R3844" s="48">
        <f t="shared" ca="1" si="437"/>
        <v>0.3</v>
      </c>
      <c r="S3844">
        <f t="shared" ca="1" si="438"/>
        <v>219.17921145466406</v>
      </c>
      <c r="T3844" s="61">
        <f t="shared" ca="1" si="439"/>
        <v>14400</v>
      </c>
      <c r="U3844" s="61">
        <f t="shared" ca="1" si="440"/>
        <v>30740.358414611874</v>
      </c>
      <c r="V3844" s="39">
        <f t="shared" ca="1" si="441"/>
        <v>0.20223920009613075</v>
      </c>
      <c r="W3844" s="48">
        <f t="shared" ca="1" si="442"/>
        <v>3.4546639918108548</v>
      </c>
    </row>
    <row r="3845" spans="17:23" x14ac:dyDescent="0.2">
      <c r="Q3845">
        <f t="shared" si="436"/>
        <v>3829</v>
      </c>
      <c r="R3845" s="48">
        <f t="shared" ca="1" si="437"/>
        <v>0.35</v>
      </c>
      <c r="S3845">
        <f t="shared" ca="1" si="438"/>
        <v>185.6759412528686</v>
      </c>
      <c r="T3845" s="61">
        <f t="shared" ca="1" si="439"/>
        <v>16800</v>
      </c>
      <c r="U3845" s="61">
        <f t="shared" ca="1" si="440"/>
        <v>14551.48945149167</v>
      </c>
      <c r="V3845" s="39">
        <f t="shared" ca="1" si="441"/>
        <v>9.5733483233497826E-2</v>
      </c>
      <c r="W3845" s="48">
        <f t="shared" ca="1" si="442"/>
        <v>1.0991869739983513</v>
      </c>
    </row>
    <row r="3846" spans="17:23" x14ac:dyDescent="0.2">
      <c r="Q3846">
        <f t="shared" si="436"/>
        <v>3830</v>
      </c>
      <c r="R3846" s="48">
        <f t="shared" ca="1" si="437"/>
        <v>0.35</v>
      </c>
      <c r="S3846">
        <f t="shared" ca="1" si="438"/>
        <v>214.79377996145638</v>
      </c>
      <c r="T3846" s="61">
        <f t="shared" ca="1" si="439"/>
        <v>16800</v>
      </c>
      <c r="U3846" s="61">
        <f t="shared" ca="1" si="440"/>
        <v>29692.765579957319</v>
      </c>
      <c r="V3846" s="39">
        <f t="shared" ca="1" si="441"/>
        <v>0.19534714197340342</v>
      </c>
      <c r="W3846" s="48">
        <f t="shared" ca="1" si="442"/>
        <v>3.2517021207565531</v>
      </c>
    </row>
    <row r="3847" spans="17:23" x14ac:dyDescent="0.2">
      <c r="Q3847">
        <f t="shared" si="436"/>
        <v>3831</v>
      </c>
      <c r="R3847" s="48">
        <f t="shared" ca="1" si="437"/>
        <v>0.45</v>
      </c>
      <c r="S3847">
        <f t="shared" ca="1" si="438"/>
        <v>179.35100753932943</v>
      </c>
      <c r="T3847" s="61">
        <f t="shared" ca="1" si="439"/>
        <v>21600</v>
      </c>
      <c r="U3847" s="61">
        <f t="shared" ca="1" si="440"/>
        <v>16914.443317304947</v>
      </c>
      <c r="V3847" s="39">
        <f t="shared" ca="1" si="441"/>
        <v>0.11127923235069044</v>
      </c>
      <c r="W3847" s="48">
        <f t="shared" ca="1" si="442"/>
        <v>1.3532986892179122</v>
      </c>
    </row>
    <row r="3848" spans="17:23" x14ac:dyDescent="0.2">
      <c r="Q3848">
        <f t="shared" si="436"/>
        <v>3832</v>
      </c>
      <c r="R3848" s="48">
        <f t="shared" ca="1" si="437"/>
        <v>0.4</v>
      </c>
      <c r="S3848">
        <f t="shared" ca="1" si="438"/>
        <v>213.29559718419884</v>
      </c>
      <c r="T3848" s="61">
        <f t="shared" ca="1" si="439"/>
        <v>19200</v>
      </c>
      <c r="U3848" s="61">
        <f t="shared" ca="1" si="440"/>
        <v>30381.886648415442</v>
      </c>
      <c r="V3848" s="39">
        <f t="shared" ca="1" si="441"/>
        <v>0.1998808332132595</v>
      </c>
      <c r="W3848" s="48">
        <f t="shared" ca="1" si="442"/>
        <v>3.3842776749447703</v>
      </c>
    </row>
    <row r="3849" spans="17:23" x14ac:dyDescent="0.2">
      <c r="Q3849">
        <f t="shared" si="436"/>
        <v>3833</v>
      </c>
      <c r="R3849" s="48">
        <f t="shared" ca="1" si="437"/>
        <v>0.3</v>
      </c>
      <c r="S3849">
        <f t="shared" ca="1" si="438"/>
        <v>201.36274375693355</v>
      </c>
      <c r="T3849" s="61">
        <f t="shared" ca="1" si="439"/>
        <v>14400</v>
      </c>
      <c r="U3849" s="61">
        <f t="shared" ca="1" si="440"/>
        <v>20763.13650388279</v>
      </c>
      <c r="V3849" s="39">
        <f t="shared" ca="1" si="441"/>
        <v>0.13659958226238678</v>
      </c>
      <c r="W3849" s="48">
        <f t="shared" ca="1" si="442"/>
        <v>1.8251307157835979</v>
      </c>
    </row>
    <row r="3850" spans="17:23" x14ac:dyDescent="0.2">
      <c r="Q3850">
        <f t="shared" si="436"/>
        <v>3834</v>
      </c>
      <c r="R3850" s="48">
        <f t="shared" ca="1" si="437"/>
        <v>0.3</v>
      </c>
      <c r="S3850">
        <f t="shared" ca="1" si="438"/>
        <v>195.53416029722356</v>
      </c>
      <c r="T3850" s="61">
        <f t="shared" ca="1" si="439"/>
        <v>14400</v>
      </c>
      <c r="U3850" s="61">
        <f t="shared" ca="1" si="440"/>
        <v>17499.129766445196</v>
      </c>
      <c r="V3850" s="39">
        <f t="shared" ca="1" si="441"/>
        <v>0.11512585372661313</v>
      </c>
      <c r="W3850" s="48">
        <f t="shared" ca="1" si="442"/>
        <v>1.4201890316428836</v>
      </c>
    </row>
    <row r="3851" spans="17:23" x14ac:dyDescent="0.2">
      <c r="Q3851">
        <f t="shared" si="436"/>
        <v>3835</v>
      </c>
      <c r="R3851" s="48">
        <f t="shared" ca="1" si="437"/>
        <v>0.35</v>
      </c>
      <c r="S3851">
        <f t="shared" ca="1" si="438"/>
        <v>199.64615920255898</v>
      </c>
      <c r="T3851" s="61">
        <f t="shared" ca="1" si="439"/>
        <v>16800</v>
      </c>
      <c r="U3851" s="61">
        <f t="shared" ca="1" si="440"/>
        <v>21816.002785330667</v>
      </c>
      <c r="V3851" s="39">
        <f t="shared" ca="1" si="441"/>
        <v>0.14352633411401755</v>
      </c>
      <c r="W3851" s="48">
        <f t="shared" ca="1" si="442"/>
        <v>1.9678446180139608</v>
      </c>
    </row>
    <row r="3852" spans="17:23" x14ac:dyDescent="0.2">
      <c r="Q3852">
        <f t="shared" si="436"/>
        <v>3836</v>
      </c>
      <c r="R3852" s="48">
        <f t="shared" ca="1" si="437"/>
        <v>0.3</v>
      </c>
      <c r="S3852">
        <f t="shared" ca="1" si="438"/>
        <v>195.90210122648139</v>
      </c>
      <c r="T3852" s="61">
        <f t="shared" ca="1" si="439"/>
        <v>14400</v>
      </c>
      <c r="U3852" s="61">
        <f t="shared" ca="1" si="440"/>
        <v>17705.176686829578</v>
      </c>
      <c r="V3852" s="39">
        <f t="shared" ca="1" si="441"/>
        <v>0.11648142557124723</v>
      </c>
      <c r="W3852" s="48">
        <f t="shared" ca="1" si="442"/>
        <v>1.4441556079124309</v>
      </c>
    </row>
    <row r="3853" spans="17:23" x14ac:dyDescent="0.2">
      <c r="Q3853">
        <f t="shared" si="436"/>
        <v>3837</v>
      </c>
      <c r="R3853" s="48">
        <f t="shared" ca="1" si="437"/>
        <v>0.15</v>
      </c>
      <c r="S3853">
        <f t="shared" ca="1" si="438"/>
        <v>174.45372814375648</v>
      </c>
      <c r="T3853" s="61">
        <f t="shared" ca="1" si="439"/>
        <v>7200</v>
      </c>
      <c r="U3853" s="61">
        <f t="shared" ca="1" si="440"/>
        <v>-3371.4648622455952</v>
      </c>
      <c r="V3853" s="39">
        <f t="shared" ca="1" si="441"/>
        <v>-2.2180689883194705E-2</v>
      </c>
      <c r="W3853" s="48">
        <f t="shared" ca="1" si="442"/>
        <v>-0.16634473090748447</v>
      </c>
    </row>
    <row r="3854" spans="17:23" x14ac:dyDescent="0.2">
      <c r="Q3854">
        <f t="shared" si="436"/>
        <v>3838</v>
      </c>
      <c r="R3854" s="48">
        <f t="shared" ca="1" si="437"/>
        <v>0.4</v>
      </c>
      <c r="S3854">
        <f t="shared" ca="1" si="438"/>
        <v>182.12989453930842</v>
      </c>
      <c r="T3854" s="61">
        <f t="shared" ca="1" si="439"/>
        <v>19200</v>
      </c>
      <c r="U3854" s="61">
        <f t="shared" ca="1" si="440"/>
        <v>15422.349378868043</v>
      </c>
      <c r="V3854" s="39">
        <f t="shared" ca="1" si="441"/>
        <v>0.10146282486097397</v>
      </c>
      <c r="W3854" s="48">
        <f t="shared" ca="1" si="442"/>
        <v>1.1898888277577133</v>
      </c>
    </row>
    <row r="3855" spans="17:23" x14ac:dyDescent="0.2">
      <c r="Q3855">
        <f t="shared" si="436"/>
        <v>3839</v>
      </c>
      <c r="R3855" s="48">
        <f t="shared" ca="1" si="437"/>
        <v>0.4</v>
      </c>
      <c r="S3855">
        <f t="shared" ca="1" si="438"/>
        <v>181.08488570469393</v>
      </c>
      <c r="T3855" s="61">
        <f t="shared" ca="1" si="439"/>
        <v>19200</v>
      </c>
      <c r="U3855" s="61">
        <f t="shared" ca="1" si="440"/>
        <v>14920.745138253087</v>
      </c>
      <c r="V3855" s="39">
        <f t="shared" ca="1" si="441"/>
        <v>9.8162796962191365E-2</v>
      </c>
      <c r="W3855" s="48">
        <f t="shared" ca="1" si="442"/>
        <v>1.1372353046058685</v>
      </c>
    </row>
    <row r="3856" spans="17:23" x14ac:dyDescent="0.2">
      <c r="Q3856">
        <f t="shared" si="436"/>
        <v>3840</v>
      </c>
      <c r="R3856" s="48">
        <f t="shared" ca="1" si="437"/>
        <v>0.3</v>
      </c>
      <c r="S3856">
        <f t="shared" ca="1" si="438"/>
        <v>204.10094953371711</v>
      </c>
      <c r="T3856" s="61">
        <f t="shared" ca="1" si="439"/>
        <v>14400</v>
      </c>
      <c r="U3856" s="61">
        <f t="shared" ca="1" si="440"/>
        <v>22296.531738881582</v>
      </c>
      <c r="V3856" s="39">
        <f t="shared" ca="1" si="441"/>
        <v>0.14668770880843146</v>
      </c>
      <c r="W3856" s="48">
        <f t="shared" ca="1" si="442"/>
        <v>2.0350529804098372</v>
      </c>
    </row>
    <row r="3857" spans="17:23" x14ac:dyDescent="0.2">
      <c r="Q3857">
        <f t="shared" si="436"/>
        <v>3841</v>
      </c>
      <c r="R3857" s="48">
        <f t="shared" ca="1" si="437"/>
        <v>0.217</v>
      </c>
      <c r="S3857">
        <f t="shared" ca="1" si="438"/>
        <v>198.39893808416994</v>
      </c>
      <c r="T3857" s="61">
        <f t="shared" ca="1" si="439"/>
        <v>10416</v>
      </c>
      <c r="U3857" s="61">
        <f t="shared" ca="1" si="440"/>
        <v>15677.094815924051</v>
      </c>
      <c r="V3857" s="39">
        <f t="shared" ca="1" si="441"/>
        <v>0.10313878168371086</v>
      </c>
      <c r="W3857" s="48">
        <f t="shared" ca="1" si="442"/>
        <v>1.2170623462383539</v>
      </c>
    </row>
    <row r="3858" spans="17:23" x14ac:dyDescent="0.2">
      <c r="Q3858">
        <f t="shared" si="436"/>
        <v>3842</v>
      </c>
      <c r="R3858" s="48">
        <f t="shared" ca="1" si="437"/>
        <v>0.217</v>
      </c>
      <c r="S3858">
        <f t="shared" ca="1" si="438"/>
        <v>199.6744277483551</v>
      </c>
      <c r="T3858" s="61">
        <f t="shared" ca="1" si="439"/>
        <v>10416</v>
      </c>
      <c r="U3858" s="61">
        <f t="shared" ca="1" si="440"/>
        <v>16476.061541569634</v>
      </c>
      <c r="V3858" s="39">
        <f t="shared" ca="1" si="441"/>
        <v>0.10839514172085285</v>
      </c>
      <c r="W3858" s="48">
        <f t="shared" ca="1" si="442"/>
        <v>1.3042148776336635</v>
      </c>
    </row>
    <row r="3859" spans="17:23" x14ac:dyDescent="0.2">
      <c r="Q3859">
        <f t="shared" ref="Q3859:Q3922" si="443">Q3858+1</f>
        <v>3843</v>
      </c>
      <c r="R3859" s="48">
        <f t="shared" ref="R3859:R3922" ca="1" si="444">LOOKUP(RAND(),$U$6:$U$12,$S$6:$S$12)</f>
        <v>0.3</v>
      </c>
      <c r="S3859">
        <f t="shared" ref="S3859:S3922" ca="1" si="445">_xlfn.NORM.INV(RAND(),$Q$5,$Q$10)</f>
        <v>202.1689286541631</v>
      </c>
      <c r="T3859" s="61">
        <f t="shared" ca="1" si="439"/>
        <v>14400</v>
      </c>
      <c r="U3859" s="61">
        <f t="shared" ca="1" si="440"/>
        <v>21214.600046331332</v>
      </c>
      <c r="V3859" s="39">
        <f t="shared" ca="1" si="441"/>
        <v>0.13956973714691667</v>
      </c>
      <c r="W3859" s="48">
        <f t="shared" ca="1" si="442"/>
        <v>1.8855712659740238</v>
      </c>
    </row>
    <row r="3860" spans="17:23" x14ac:dyDescent="0.2">
      <c r="Q3860">
        <f t="shared" si="443"/>
        <v>3844</v>
      </c>
      <c r="R3860" s="48">
        <f t="shared" ca="1" si="444"/>
        <v>0.4</v>
      </c>
      <c r="S3860">
        <f t="shared" ca="1" si="445"/>
        <v>200.13342690770844</v>
      </c>
      <c r="T3860" s="61">
        <f t="shared" ca="1" si="439"/>
        <v>19200</v>
      </c>
      <c r="U3860" s="61">
        <f t="shared" ca="1" si="440"/>
        <v>24064.044915700051</v>
      </c>
      <c r="V3860" s="39">
        <f t="shared" ca="1" si="441"/>
        <v>0.15831608497171087</v>
      </c>
      <c r="W3860" s="48">
        <f t="shared" ca="1" si="442"/>
        <v>2.293886242762913</v>
      </c>
    </row>
    <row r="3861" spans="17:23" x14ac:dyDescent="0.2">
      <c r="Q3861">
        <f t="shared" si="443"/>
        <v>3845</v>
      </c>
      <c r="R3861" s="48">
        <f t="shared" ca="1" si="444"/>
        <v>0.4</v>
      </c>
      <c r="S3861">
        <f t="shared" ca="1" si="445"/>
        <v>174.10581926212498</v>
      </c>
      <c r="T3861" s="61">
        <f t="shared" ca="1" si="439"/>
        <v>19200</v>
      </c>
      <c r="U3861" s="61">
        <f t="shared" ca="1" si="440"/>
        <v>11570.79324581999</v>
      </c>
      <c r="V3861" s="39">
        <f t="shared" ca="1" si="441"/>
        <v>7.6123639775131521E-2</v>
      </c>
      <c r="W3861" s="48">
        <f t="shared" ca="1" si="442"/>
        <v>0.81316620724166722</v>
      </c>
    </row>
    <row r="3862" spans="17:23" x14ac:dyDescent="0.2">
      <c r="Q3862">
        <f t="shared" si="443"/>
        <v>3846</v>
      </c>
      <c r="R3862" s="48">
        <f t="shared" ca="1" si="444"/>
        <v>0.45</v>
      </c>
      <c r="S3862">
        <f t="shared" ca="1" si="445"/>
        <v>195.57486263784102</v>
      </c>
      <c r="T3862" s="61">
        <f t="shared" ca="1" si="439"/>
        <v>21600</v>
      </c>
      <c r="U3862" s="61">
        <f t="shared" ca="1" si="440"/>
        <v>24052.939560650051</v>
      </c>
      <c r="V3862" s="39">
        <f t="shared" ca="1" si="441"/>
        <v>0.15824302342532928</v>
      </c>
      <c r="W3862" s="48">
        <f t="shared" ca="1" si="442"/>
        <v>2.2922014234868868</v>
      </c>
    </row>
    <row r="3863" spans="17:23" x14ac:dyDescent="0.2">
      <c r="Q3863">
        <f t="shared" si="443"/>
        <v>3847</v>
      </c>
      <c r="R3863" s="48">
        <f t="shared" ca="1" si="444"/>
        <v>0.4</v>
      </c>
      <c r="S3863">
        <f t="shared" ca="1" si="445"/>
        <v>206.92441974456599</v>
      </c>
      <c r="T3863" s="61">
        <f t="shared" ca="1" si="439"/>
        <v>19200</v>
      </c>
      <c r="U3863" s="61">
        <f t="shared" ca="1" si="440"/>
        <v>27323.721477391678</v>
      </c>
      <c r="V3863" s="39">
        <f t="shared" ca="1" si="441"/>
        <v>0.17976132550915577</v>
      </c>
      <c r="W3863" s="48">
        <f t="shared" ca="1" si="442"/>
        <v>2.8223492818828824</v>
      </c>
    </row>
    <row r="3864" spans="17:23" x14ac:dyDescent="0.2">
      <c r="Q3864">
        <f t="shared" si="443"/>
        <v>3848</v>
      </c>
      <c r="R3864" s="48">
        <f t="shared" ca="1" si="444"/>
        <v>0.3</v>
      </c>
      <c r="S3864">
        <f t="shared" ca="1" si="445"/>
        <v>148.22395195272992</v>
      </c>
      <c r="T3864" s="61">
        <f t="shared" ca="1" si="439"/>
        <v>14400</v>
      </c>
      <c r="U3864" s="61">
        <f t="shared" ca="1" si="440"/>
        <v>-8994.586906471246</v>
      </c>
      <c r="V3864" s="39">
        <f t="shared" ca="1" si="441"/>
        <v>-5.9174913858363459E-2</v>
      </c>
      <c r="W3864" s="48">
        <f t="shared" ca="1" si="442"/>
        <v>-0.39028391204193036</v>
      </c>
    </row>
    <row r="3865" spans="17:23" x14ac:dyDescent="0.2">
      <c r="Q3865">
        <f t="shared" si="443"/>
        <v>3849</v>
      </c>
      <c r="R3865" s="48">
        <f t="shared" ca="1" si="444"/>
        <v>0.3</v>
      </c>
      <c r="S3865">
        <f t="shared" ca="1" si="445"/>
        <v>176.83308087545529</v>
      </c>
      <c r="T3865" s="61">
        <f t="shared" ca="1" si="439"/>
        <v>14400</v>
      </c>
      <c r="U3865" s="61">
        <f t="shared" ca="1" si="440"/>
        <v>7026.5252902549655</v>
      </c>
      <c r="V3865" s="39">
        <f t="shared" ca="1" si="441"/>
        <v>4.6227140067466879E-2</v>
      </c>
      <c r="W3865" s="48">
        <f t="shared" ca="1" si="442"/>
        <v>0.44274148315480844</v>
      </c>
    </row>
    <row r="3866" spans="17:23" x14ac:dyDescent="0.2">
      <c r="Q3866">
        <f t="shared" si="443"/>
        <v>3850</v>
      </c>
      <c r="R3866" s="48">
        <f t="shared" ca="1" si="444"/>
        <v>0.217</v>
      </c>
      <c r="S3866">
        <f t="shared" ca="1" si="445"/>
        <v>196.13872562299599</v>
      </c>
      <c r="T3866" s="61">
        <f t="shared" ca="1" si="439"/>
        <v>10416</v>
      </c>
      <c r="U3866" s="61">
        <f t="shared" ca="1" si="440"/>
        <v>14261.297730244689</v>
      </c>
      <c r="V3866" s="39">
        <f t="shared" ca="1" si="441"/>
        <v>9.3824327172662425E-2</v>
      </c>
      <c r="W3866" s="48">
        <f t="shared" ca="1" si="442"/>
        <v>1.0697034956159395</v>
      </c>
    </row>
    <row r="3867" spans="17:23" x14ac:dyDescent="0.2">
      <c r="Q3867">
        <f t="shared" si="443"/>
        <v>3851</v>
      </c>
      <c r="R3867" s="48">
        <f t="shared" ca="1" si="444"/>
        <v>0.3</v>
      </c>
      <c r="S3867">
        <f t="shared" ca="1" si="445"/>
        <v>200.93823408785371</v>
      </c>
      <c r="T3867" s="61">
        <f t="shared" ca="1" si="439"/>
        <v>14400</v>
      </c>
      <c r="U3867" s="61">
        <f t="shared" ca="1" si="440"/>
        <v>20525.411089198082</v>
      </c>
      <c r="V3867" s="39">
        <f t="shared" ca="1" si="441"/>
        <v>0.13503559927104</v>
      </c>
      <c r="W3867" s="48">
        <f t="shared" ca="1" si="442"/>
        <v>1.7937531391079182</v>
      </c>
    </row>
    <row r="3868" spans="17:23" x14ac:dyDescent="0.2">
      <c r="Q3868">
        <f t="shared" si="443"/>
        <v>3852</v>
      </c>
      <c r="R3868" s="48">
        <f t="shared" ca="1" si="444"/>
        <v>0.5</v>
      </c>
      <c r="S3868">
        <f t="shared" ca="1" si="445"/>
        <v>174.96316736245436</v>
      </c>
      <c r="T3868" s="61">
        <f t="shared" ca="1" si="439"/>
        <v>24000</v>
      </c>
      <c r="U3868" s="61">
        <f t="shared" ca="1" si="440"/>
        <v>17985.26694498174</v>
      </c>
      <c r="V3868" s="39">
        <f t="shared" ca="1" si="441"/>
        <v>0.11832412463803776</v>
      </c>
      <c r="W3868" s="48">
        <f t="shared" ca="1" si="442"/>
        <v>1.4770681754119419</v>
      </c>
    </row>
    <row r="3869" spans="17:23" x14ac:dyDescent="0.2">
      <c r="Q3869">
        <f t="shared" si="443"/>
        <v>3853</v>
      </c>
      <c r="R3869" s="48">
        <f t="shared" ca="1" si="444"/>
        <v>0.217</v>
      </c>
      <c r="S3869">
        <f t="shared" ca="1" si="445"/>
        <v>210.39185188143051</v>
      </c>
      <c r="T3869" s="61">
        <f t="shared" ca="1" si="439"/>
        <v>10416</v>
      </c>
      <c r="U3869" s="61">
        <f t="shared" ca="1" si="440"/>
        <v>23189.456018528072</v>
      </c>
      <c r="V3869" s="39">
        <f t="shared" ca="1" si="441"/>
        <v>0.15256221064821099</v>
      </c>
      <c r="W3869" s="48">
        <f t="shared" ca="1" si="442"/>
        <v>2.1634910243289447</v>
      </c>
    </row>
    <row r="3870" spans="17:23" x14ac:dyDescent="0.2">
      <c r="Q3870">
        <f t="shared" si="443"/>
        <v>3854</v>
      </c>
      <c r="R3870" s="48">
        <f t="shared" ca="1" si="444"/>
        <v>0.4</v>
      </c>
      <c r="S3870">
        <f t="shared" ca="1" si="445"/>
        <v>194.9965503424533</v>
      </c>
      <c r="T3870" s="61">
        <f t="shared" ca="1" si="439"/>
        <v>19200</v>
      </c>
      <c r="U3870" s="61">
        <f t="shared" ca="1" si="440"/>
        <v>21598.344164377588</v>
      </c>
      <c r="V3870" s="39">
        <f t="shared" ca="1" si="441"/>
        <v>0.14209436950248414</v>
      </c>
      <c r="W3870" s="48">
        <f t="shared" ca="1" si="442"/>
        <v>1.9378340231381186</v>
      </c>
    </row>
    <row r="3871" spans="17:23" x14ac:dyDescent="0.2">
      <c r="Q3871">
        <f t="shared" si="443"/>
        <v>3855</v>
      </c>
      <c r="R3871" s="48">
        <f t="shared" ca="1" si="444"/>
        <v>0.35</v>
      </c>
      <c r="S3871">
        <f t="shared" ca="1" si="445"/>
        <v>177.33658145274603</v>
      </c>
      <c r="T3871" s="61">
        <f t="shared" ca="1" si="439"/>
        <v>16800</v>
      </c>
      <c r="U3871" s="61">
        <f t="shared" ca="1" si="440"/>
        <v>10215.022355427936</v>
      </c>
      <c r="V3871" s="39">
        <f t="shared" ca="1" si="441"/>
        <v>6.7204094443604839E-2</v>
      </c>
      <c r="W3871" s="48">
        <f t="shared" ca="1" si="442"/>
        <v>0.69480006328402699</v>
      </c>
    </row>
    <row r="3872" spans="17:23" x14ac:dyDescent="0.2">
      <c r="Q3872">
        <f t="shared" si="443"/>
        <v>3856</v>
      </c>
      <c r="R3872" s="48">
        <f t="shared" ca="1" si="444"/>
        <v>0.15</v>
      </c>
      <c r="S3872">
        <f t="shared" ca="1" si="445"/>
        <v>182.25415752110965</v>
      </c>
      <c r="T3872" s="61">
        <f t="shared" ca="1" si="439"/>
        <v>7200</v>
      </c>
      <c r="U3872" s="61">
        <f t="shared" ca="1" si="440"/>
        <v>1932.8271143545599</v>
      </c>
      <c r="V3872" s="39">
        <f t="shared" ca="1" si="441"/>
        <v>1.2715967857595788E-2</v>
      </c>
      <c r="W3872" s="48">
        <f t="shared" ca="1" si="442"/>
        <v>0.10792663072461073</v>
      </c>
    </row>
    <row r="3873" spans="17:23" x14ac:dyDescent="0.2">
      <c r="Q3873">
        <f t="shared" si="443"/>
        <v>3857</v>
      </c>
      <c r="R3873" s="48">
        <f t="shared" ca="1" si="444"/>
        <v>0.217</v>
      </c>
      <c r="S3873">
        <f t="shared" ca="1" si="445"/>
        <v>210.21961136610088</v>
      </c>
      <c r="T3873" s="61">
        <f t="shared" ca="1" si="439"/>
        <v>10416</v>
      </c>
      <c r="U3873" s="61">
        <f t="shared" ca="1" si="440"/>
        <v>23081.56455972559</v>
      </c>
      <c r="V3873" s="39">
        <f t="shared" ca="1" si="441"/>
        <v>0.1518523984192473</v>
      </c>
      <c r="W3873" s="48">
        <f t="shared" ca="1" si="442"/>
        <v>2.1477230744243592</v>
      </c>
    </row>
    <row r="3874" spans="17:23" x14ac:dyDescent="0.2">
      <c r="Q3874">
        <f t="shared" si="443"/>
        <v>3858</v>
      </c>
      <c r="R3874" s="48">
        <f t="shared" ca="1" si="444"/>
        <v>0.35</v>
      </c>
      <c r="S3874">
        <f t="shared" ca="1" si="445"/>
        <v>187.32011344717131</v>
      </c>
      <c r="T3874" s="61">
        <f t="shared" ca="1" si="439"/>
        <v>16800</v>
      </c>
      <c r="U3874" s="61">
        <f t="shared" ca="1" si="440"/>
        <v>15406.45899252908</v>
      </c>
      <c r="V3874" s="39">
        <f t="shared" ca="1" si="441"/>
        <v>0.10135828284558605</v>
      </c>
      <c r="W3874" s="48">
        <f t="shared" ca="1" si="442"/>
        <v>1.1882035290513846</v>
      </c>
    </row>
    <row r="3875" spans="17:23" x14ac:dyDescent="0.2">
      <c r="Q3875">
        <f t="shared" si="443"/>
        <v>3859</v>
      </c>
      <c r="R3875" s="48">
        <f t="shared" ca="1" si="444"/>
        <v>0.3</v>
      </c>
      <c r="S3875">
        <f t="shared" ca="1" si="445"/>
        <v>187.72300548595896</v>
      </c>
      <c r="T3875" s="61">
        <f t="shared" ca="1" si="439"/>
        <v>14400</v>
      </c>
      <c r="U3875" s="61">
        <f t="shared" ca="1" si="440"/>
        <v>13124.88307213702</v>
      </c>
      <c r="V3875" s="39">
        <f t="shared" ca="1" si="441"/>
        <v>8.6347914948269863E-2</v>
      </c>
      <c r="W3875" s="48">
        <f t="shared" ca="1" si="442"/>
        <v>0.95770851382563804</v>
      </c>
    </row>
    <row r="3876" spans="17:23" x14ac:dyDescent="0.2">
      <c r="Q3876">
        <f t="shared" si="443"/>
        <v>3860</v>
      </c>
      <c r="R3876" s="48">
        <f t="shared" ca="1" si="444"/>
        <v>0.4</v>
      </c>
      <c r="S3876">
        <f t="shared" ca="1" si="445"/>
        <v>186.93913986389103</v>
      </c>
      <c r="T3876" s="61">
        <f t="shared" ca="1" si="439"/>
        <v>19200</v>
      </c>
      <c r="U3876" s="61">
        <f t="shared" ca="1" si="440"/>
        <v>17730.787134667695</v>
      </c>
      <c r="V3876" s="39">
        <f t="shared" ca="1" si="441"/>
        <v>0.11664991535965588</v>
      </c>
      <c r="W3876" s="48">
        <f t="shared" ca="1" si="442"/>
        <v>1.4471490049562585</v>
      </c>
    </row>
    <row r="3877" spans="17:23" x14ac:dyDescent="0.2">
      <c r="Q3877">
        <f t="shared" si="443"/>
        <v>3861</v>
      </c>
      <c r="R3877" s="48">
        <f t="shared" ca="1" si="444"/>
        <v>0.35</v>
      </c>
      <c r="S3877">
        <f t="shared" ca="1" si="445"/>
        <v>165.5787318830736</v>
      </c>
      <c r="T3877" s="61">
        <f t="shared" ca="1" si="439"/>
        <v>16800</v>
      </c>
      <c r="U3877" s="61">
        <f t="shared" ca="1" si="440"/>
        <v>4100.9405791982717</v>
      </c>
      <c r="V3877" s="39">
        <f t="shared" ca="1" si="441"/>
        <v>2.6979872231567576E-2</v>
      </c>
      <c r="W3877" s="48">
        <f t="shared" ca="1" si="442"/>
        <v>0.24102381237422388</v>
      </c>
    </row>
    <row r="3878" spans="17:23" x14ac:dyDescent="0.2">
      <c r="Q3878">
        <f t="shared" si="443"/>
        <v>3862</v>
      </c>
      <c r="R3878" s="48">
        <f t="shared" ca="1" si="444"/>
        <v>0.3</v>
      </c>
      <c r="S3878">
        <f t="shared" ca="1" si="445"/>
        <v>211.85826051057197</v>
      </c>
      <c r="T3878" s="61">
        <f t="shared" ca="1" si="439"/>
        <v>14400</v>
      </c>
      <c r="U3878" s="61">
        <f t="shared" ca="1" si="440"/>
        <v>26640.625885920301</v>
      </c>
      <c r="V3878" s="39">
        <f t="shared" ca="1" si="441"/>
        <v>0.17526727556526514</v>
      </c>
      <c r="W3878" s="48">
        <f t="shared" ca="1" si="442"/>
        <v>2.7058352681667448</v>
      </c>
    </row>
    <row r="3879" spans="17:23" x14ac:dyDescent="0.2">
      <c r="Q3879">
        <f t="shared" si="443"/>
        <v>3863</v>
      </c>
      <c r="R3879" s="48">
        <f t="shared" ca="1" si="444"/>
        <v>0.35</v>
      </c>
      <c r="S3879">
        <f t="shared" ca="1" si="445"/>
        <v>183.53463981527898</v>
      </c>
      <c r="T3879" s="61">
        <f t="shared" ca="1" si="439"/>
        <v>16800</v>
      </c>
      <c r="U3879" s="61">
        <f t="shared" ca="1" si="440"/>
        <v>13438.012703945069</v>
      </c>
      <c r="V3879" s="39">
        <f t="shared" ca="1" si="441"/>
        <v>8.8407978315428085E-2</v>
      </c>
      <c r="W3879" s="48">
        <f t="shared" ca="1" si="442"/>
        <v>0.98802435881083395</v>
      </c>
    </row>
    <row r="3880" spans="17:23" x14ac:dyDescent="0.2">
      <c r="Q3880">
        <f t="shared" si="443"/>
        <v>3864</v>
      </c>
      <c r="R3880" s="48">
        <f t="shared" ca="1" si="444"/>
        <v>0.35</v>
      </c>
      <c r="S3880">
        <f t="shared" ca="1" si="445"/>
        <v>186.39312574114814</v>
      </c>
      <c r="T3880" s="61">
        <f t="shared" ca="1" si="439"/>
        <v>16800</v>
      </c>
      <c r="U3880" s="61">
        <f t="shared" ca="1" si="440"/>
        <v>14924.425385397033</v>
      </c>
      <c r="V3880" s="39">
        <f t="shared" ca="1" si="441"/>
        <v>9.818700911445416E-2</v>
      </c>
      <c r="W3880" s="48">
        <f t="shared" ca="1" si="442"/>
        <v>1.1376175422057906</v>
      </c>
    </row>
    <row r="3881" spans="17:23" x14ac:dyDescent="0.2">
      <c r="Q3881">
        <f t="shared" si="443"/>
        <v>3865</v>
      </c>
      <c r="R3881" s="48">
        <f t="shared" ca="1" si="444"/>
        <v>0.35</v>
      </c>
      <c r="S3881">
        <f t="shared" ca="1" si="445"/>
        <v>198.33645361439252</v>
      </c>
      <c r="T3881" s="61">
        <f t="shared" ca="1" si="439"/>
        <v>16800</v>
      </c>
      <c r="U3881" s="61">
        <f t="shared" ca="1" si="440"/>
        <v>21134.955879484114</v>
      </c>
      <c r="V3881" s="39">
        <f t="shared" ca="1" si="441"/>
        <v>0.13904576236502705</v>
      </c>
      <c r="W3881" s="48">
        <f t="shared" ca="1" si="442"/>
        <v>1.8748271246197601</v>
      </c>
    </row>
    <row r="3882" spans="17:23" x14ac:dyDescent="0.2">
      <c r="Q3882">
        <f t="shared" si="443"/>
        <v>3866</v>
      </c>
      <c r="R3882" s="48">
        <f t="shared" ca="1" si="444"/>
        <v>0.45</v>
      </c>
      <c r="S3882">
        <f t="shared" ca="1" si="445"/>
        <v>182.3746753344968</v>
      </c>
      <c r="T3882" s="61">
        <f t="shared" ca="1" si="439"/>
        <v>21600</v>
      </c>
      <c r="U3882" s="61">
        <f t="shared" ca="1" si="440"/>
        <v>18244.857147178591</v>
      </c>
      <c r="V3882" s="39">
        <f t="shared" ca="1" si="441"/>
        <v>0.12003195491564862</v>
      </c>
      <c r="W3882" s="48">
        <f t="shared" ca="1" si="442"/>
        <v>1.5079181202963459</v>
      </c>
    </row>
    <row r="3883" spans="17:23" x14ac:dyDescent="0.2">
      <c r="Q3883">
        <f t="shared" si="443"/>
        <v>3867</v>
      </c>
      <c r="R3883" s="48">
        <f t="shared" ca="1" si="444"/>
        <v>0.45</v>
      </c>
      <c r="S3883">
        <f t="shared" ca="1" si="445"/>
        <v>193.60277578574443</v>
      </c>
      <c r="T3883" s="61">
        <f t="shared" ca="1" si="439"/>
        <v>21600</v>
      </c>
      <c r="U3883" s="61">
        <f t="shared" ca="1" si="440"/>
        <v>23185.221345727547</v>
      </c>
      <c r="V3883" s="39">
        <f t="shared" ca="1" si="441"/>
        <v>0.15253435095873386</v>
      </c>
      <c r="W3883" s="48">
        <f t="shared" ca="1" si="442"/>
        <v>2.1628708389441389</v>
      </c>
    </row>
    <row r="3884" spans="17:23" x14ac:dyDescent="0.2">
      <c r="Q3884">
        <f t="shared" si="443"/>
        <v>3868</v>
      </c>
      <c r="R3884" s="48">
        <f t="shared" ca="1" si="444"/>
        <v>0.5</v>
      </c>
      <c r="S3884">
        <f t="shared" ca="1" si="445"/>
        <v>188.80960536724416</v>
      </c>
      <c r="T3884" s="61">
        <f t="shared" ca="1" si="439"/>
        <v>24000</v>
      </c>
      <c r="U3884" s="61">
        <f t="shared" ca="1" si="440"/>
        <v>23523.842146897663</v>
      </c>
      <c r="V3884" s="39">
        <f t="shared" ca="1" si="441"/>
        <v>0.15476211938748463</v>
      </c>
      <c r="W3884" s="48">
        <f t="shared" ca="1" si="442"/>
        <v>2.2128011435369941</v>
      </c>
    </row>
    <row r="3885" spans="17:23" x14ac:dyDescent="0.2">
      <c r="Q3885">
        <f t="shared" si="443"/>
        <v>3869</v>
      </c>
      <c r="R3885" s="48">
        <f t="shared" ca="1" si="444"/>
        <v>0.35</v>
      </c>
      <c r="S3885">
        <f t="shared" ca="1" si="445"/>
        <v>196.81770786188869</v>
      </c>
      <c r="T3885" s="61">
        <f t="shared" ca="1" si="439"/>
        <v>16800</v>
      </c>
      <c r="U3885" s="61">
        <f t="shared" ca="1" si="440"/>
        <v>20345.20808818212</v>
      </c>
      <c r="V3885" s="39">
        <f t="shared" ca="1" si="441"/>
        <v>0.13385005321172447</v>
      </c>
      <c r="W3885" s="48">
        <f t="shared" ca="1" si="442"/>
        <v>1.770171994045322</v>
      </c>
    </row>
    <row r="3886" spans="17:23" x14ac:dyDescent="0.2">
      <c r="Q3886">
        <f t="shared" si="443"/>
        <v>3870</v>
      </c>
      <c r="R3886" s="48">
        <f t="shared" ca="1" si="444"/>
        <v>0.35</v>
      </c>
      <c r="S3886">
        <f t="shared" ca="1" si="445"/>
        <v>210.20066891966772</v>
      </c>
      <c r="T3886" s="61">
        <f t="shared" ca="1" si="439"/>
        <v>16800</v>
      </c>
      <c r="U3886" s="61">
        <f t="shared" ca="1" si="440"/>
        <v>27304.347838227215</v>
      </c>
      <c r="V3886" s="39">
        <f t="shared" ca="1" si="441"/>
        <v>0.17963386735675799</v>
      </c>
      <c r="W3886" s="48">
        <f t="shared" ca="1" si="442"/>
        <v>2.8190010358556097</v>
      </c>
    </row>
    <row r="3887" spans="17:23" x14ac:dyDescent="0.2">
      <c r="Q3887">
        <f t="shared" si="443"/>
        <v>3871</v>
      </c>
      <c r="R3887" s="48">
        <f t="shared" ca="1" si="444"/>
        <v>0.45</v>
      </c>
      <c r="S3887">
        <f t="shared" ca="1" si="445"/>
        <v>177.08797423369697</v>
      </c>
      <c r="T3887" s="61">
        <f t="shared" ca="1" si="439"/>
        <v>21600</v>
      </c>
      <c r="U3887" s="61">
        <f t="shared" ca="1" si="440"/>
        <v>15918.708662826666</v>
      </c>
      <c r="V3887" s="39">
        <f t="shared" ca="1" si="441"/>
        <v>0.10472834646596491</v>
      </c>
      <c r="W3887" s="48">
        <f t="shared" ca="1" si="442"/>
        <v>1.2431078172586272</v>
      </c>
    </row>
    <row r="3888" spans="17:23" x14ac:dyDescent="0.2">
      <c r="Q3888">
        <f t="shared" si="443"/>
        <v>3872</v>
      </c>
      <c r="R3888" s="48">
        <f t="shared" ca="1" si="444"/>
        <v>0.3</v>
      </c>
      <c r="S3888">
        <f t="shared" ca="1" si="445"/>
        <v>198.5068984310517</v>
      </c>
      <c r="T3888" s="61">
        <f t="shared" ca="1" si="439"/>
        <v>14400</v>
      </c>
      <c r="U3888" s="61">
        <f t="shared" ca="1" si="440"/>
        <v>19163.863121388949</v>
      </c>
      <c r="V3888" s="39">
        <f t="shared" ca="1" si="441"/>
        <v>0.12607804685124308</v>
      </c>
      <c r="W3888" s="48">
        <f t="shared" ca="1" si="442"/>
        <v>1.6198580900473334</v>
      </c>
    </row>
    <row r="3889" spans="17:23" x14ac:dyDescent="0.2">
      <c r="Q3889">
        <f t="shared" si="443"/>
        <v>3873</v>
      </c>
      <c r="R3889" s="48">
        <f t="shared" ca="1" si="444"/>
        <v>0.4</v>
      </c>
      <c r="S3889">
        <f t="shared" ca="1" si="445"/>
        <v>178.80110675351932</v>
      </c>
      <c r="T3889" s="61">
        <f t="shared" ca="1" si="439"/>
        <v>19200</v>
      </c>
      <c r="U3889" s="61">
        <f t="shared" ca="1" si="440"/>
        <v>13824.531241689274</v>
      </c>
      <c r="V3889" s="39">
        <f t="shared" ca="1" si="441"/>
        <v>9.0950863432166282E-2</v>
      </c>
      <c r="W3889" s="48">
        <f t="shared" ca="1" si="442"/>
        <v>1.0260124019247336</v>
      </c>
    </row>
    <row r="3890" spans="17:23" x14ac:dyDescent="0.2">
      <c r="Q3890">
        <f t="shared" si="443"/>
        <v>3874</v>
      </c>
      <c r="R3890" s="48">
        <f t="shared" ca="1" si="444"/>
        <v>0.3</v>
      </c>
      <c r="S3890">
        <f t="shared" ca="1" si="445"/>
        <v>183.14920215269788</v>
      </c>
      <c r="T3890" s="61">
        <f t="shared" ca="1" si="439"/>
        <v>14400</v>
      </c>
      <c r="U3890" s="61">
        <f t="shared" ca="1" si="440"/>
        <v>10563.553205510814</v>
      </c>
      <c r="V3890" s="39">
        <f t="shared" ca="1" si="441"/>
        <v>6.9497060562571142E-2</v>
      </c>
      <c r="W3890" s="48">
        <f t="shared" ca="1" si="442"/>
        <v>0.72456250483088458</v>
      </c>
    </row>
    <row r="3891" spans="17:23" x14ac:dyDescent="0.2">
      <c r="Q3891">
        <f t="shared" si="443"/>
        <v>3875</v>
      </c>
      <c r="R3891" s="48">
        <f t="shared" ca="1" si="444"/>
        <v>0.35</v>
      </c>
      <c r="S3891">
        <f t="shared" ca="1" si="445"/>
        <v>201.46679259884178</v>
      </c>
      <c r="T3891" s="61">
        <f t="shared" ca="1" si="439"/>
        <v>16800</v>
      </c>
      <c r="U3891" s="61">
        <f t="shared" ca="1" si="440"/>
        <v>22762.732151397722</v>
      </c>
      <c r="V3891" s="39">
        <f t="shared" ca="1" si="441"/>
        <v>0.14975481678551134</v>
      </c>
      <c r="W3891" s="48">
        <f t="shared" ca="1" si="442"/>
        <v>2.1015287893242216</v>
      </c>
    </row>
    <row r="3892" spans="17:23" x14ac:dyDescent="0.2">
      <c r="Q3892">
        <f t="shared" si="443"/>
        <v>3876</v>
      </c>
      <c r="R3892" s="48">
        <f t="shared" ca="1" si="444"/>
        <v>0.3</v>
      </c>
      <c r="S3892">
        <f t="shared" ca="1" si="445"/>
        <v>187.75806736587072</v>
      </c>
      <c r="T3892" s="61">
        <f t="shared" ca="1" si="439"/>
        <v>14400</v>
      </c>
      <c r="U3892" s="61">
        <f t="shared" ca="1" si="440"/>
        <v>13144.517724887601</v>
      </c>
      <c r="V3892" s="39">
        <f t="shared" ca="1" si="441"/>
        <v>8.6477090295313169E-2</v>
      </c>
      <c r="W3892" s="48">
        <f t="shared" ca="1" si="442"/>
        <v>0.95959747355932512</v>
      </c>
    </row>
    <row r="3893" spans="17:23" x14ac:dyDescent="0.2">
      <c r="Q3893">
        <f t="shared" si="443"/>
        <v>3877</v>
      </c>
      <c r="R3893" s="48">
        <f t="shared" ca="1" si="444"/>
        <v>0.3</v>
      </c>
      <c r="S3893">
        <f t="shared" ca="1" si="445"/>
        <v>179.049403902991</v>
      </c>
      <c r="T3893" s="61">
        <f t="shared" ca="1" si="439"/>
        <v>14400</v>
      </c>
      <c r="U3893" s="61">
        <f t="shared" ca="1" si="440"/>
        <v>8267.6661856749615</v>
      </c>
      <c r="V3893" s="39">
        <f t="shared" ca="1" si="441"/>
        <v>5.4392540695230009E-2</v>
      </c>
      <c r="W3893" s="48">
        <f t="shared" ca="1" si="442"/>
        <v>0.53664806216135053</v>
      </c>
    </row>
    <row r="3894" spans="17:23" x14ac:dyDescent="0.2">
      <c r="Q3894">
        <f t="shared" si="443"/>
        <v>3878</v>
      </c>
      <c r="R3894" s="48">
        <f t="shared" ca="1" si="444"/>
        <v>0.3</v>
      </c>
      <c r="S3894">
        <f t="shared" ca="1" si="445"/>
        <v>188.1842825209458</v>
      </c>
      <c r="T3894" s="61">
        <f t="shared" ca="1" si="439"/>
        <v>14400</v>
      </c>
      <c r="U3894" s="61">
        <f t="shared" ca="1" si="440"/>
        <v>13383.198211729648</v>
      </c>
      <c r="V3894" s="39">
        <f t="shared" ca="1" si="441"/>
        <v>8.8047356656116113E-2</v>
      </c>
      <c r="W3894" s="48">
        <f t="shared" ca="1" si="442"/>
        <v>0.98268793194822224</v>
      </c>
    </row>
    <row r="3895" spans="17:23" x14ac:dyDescent="0.2">
      <c r="Q3895">
        <f t="shared" si="443"/>
        <v>3879</v>
      </c>
      <c r="R3895" s="48">
        <f t="shared" ca="1" si="444"/>
        <v>0.217</v>
      </c>
      <c r="S3895">
        <f t="shared" ca="1" si="445"/>
        <v>175.24177206621826</v>
      </c>
      <c r="T3895" s="61">
        <f t="shared" ca="1" si="439"/>
        <v>10416</v>
      </c>
      <c r="U3895" s="61">
        <f t="shared" ca="1" si="440"/>
        <v>1171.4460222791186</v>
      </c>
      <c r="V3895" s="39">
        <f t="shared" ca="1" si="441"/>
        <v>7.7068817255205166E-3</v>
      </c>
      <c r="W3895" s="48">
        <f t="shared" ca="1" si="442"/>
        <v>6.425148454386953E-2</v>
      </c>
    </row>
    <row r="3896" spans="17:23" x14ac:dyDescent="0.2">
      <c r="Q3896">
        <f t="shared" si="443"/>
        <v>3880</v>
      </c>
      <c r="R3896" s="48">
        <f t="shared" ca="1" si="444"/>
        <v>0.35</v>
      </c>
      <c r="S3896">
        <f t="shared" ca="1" si="445"/>
        <v>190.24889195785741</v>
      </c>
      <c r="T3896" s="61">
        <f t="shared" ca="1" si="439"/>
        <v>16800</v>
      </c>
      <c r="U3896" s="61">
        <f t="shared" ca="1" si="440"/>
        <v>16929.423818085852</v>
      </c>
      <c r="V3896" s="39">
        <f t="shared" ca="1" si="441"/>
        <v>0.11137778827688061</v>
      </c>
      <c r="W3896" s="48">
        <f t="shared" ca="1" si="442"/>
        <v>1.354992067161259</v>
      </c>
    </row>
    <row r="3897" spans="17:23" x14ac:dyDescent="0.2">
      <c r="Q3897">
        <f t="shared" si="443"/>
        <v>3881</v>
      </c>
      <c r="R3897" s="48">
        <f t="shared" ca="1" si="444"/>
        <v>0.3</v>
      </c>
      <c r="S3897">
        <f t="shared" ca="1" si="445"/>
        <v>195.51322074790335</v>
      </c>
      <c r="T3897" s="61">
        <f t="shared" ref="T3897:T3960" ca="1" si="446">($B$8-$B$7)*($E$6*R3897)</f>
        <v>14400</v>
      </c>
      <c r="U3897" s="61">
        <f t="shared" ref="U3897:U3960" ca="1" si="447">T3897+((S3897-$B$7)*($E$6*(1-R3897)))</f>
        <v>17487.403618825876</v>
      </c>
      <c r="V3897" s="39">
        <f t="shared" ref="V3897:V3960" ca="1" si="448">U3897/$E$4</f>
        <v>0.11504870801859129</v>
      </c>
      <c r="W3897" s="48">
        <f t="shared" ref="W3897:W3960" ca="1" si="449">(1+V3897)^($J$29/$J$30)-1</f>
        <v>1.4188313101322367</v>
      </c>
    </row>
    <row r="3898" spans="17:23" x14ac:dyDescent="0.2">
      <c r="Q3898">
        <f t="shared" si="443"/>
        <v>3882</v>
      </c>
      <c r="R3898" s="48">
        <f t="shared" ca="1" si="444"/>
        <v>0.4</v>
      </c>
      <c r="S3898">
        <f t="shared" ca="1" si="445"/>
        <v>193.92966096121012</v>
      </c>
      <c r="T3898" s="61">
        <f t="shared" ca="1" si="446"/>
        <v>19200</v>
      </c>
      <c r="U3898" s="61">
        <f t="shared" ca="1" si="447"/>
        <v>21086.237261380855</v>
      </c>
      <c r="V3898" s="39">
        <f t="shared" ca="1" si="448"/>
        <v>0.13872524514066351</v>
      </c>
      <c r="W3898" s="48">
        <f t="shared" ca="1" si="449"/>
        <v>1.8682721984487176</v>
      </c>
    </row>
    <row r="3899" spans="17:23" x14ac:dyDescent="0.2">
      <c r="Q3899">
        <f t="shared" si="443"/>
        <v>3883</v>
      </c>
      <c r="R3899" s="48">
        <f t="shared" ca="1" si="444"/>
        <v>0.4</v>
      </c>
      <c r="S3899">
        <f t="shared" ca="1" si="445"/>
        <v>166.81169987365956</v>
      </c>
      <c r="T3899" s="61">
        <f t="shared" ca="1" si="446"/>
        <v>19200</v>
      </c>
      <c r="U3899" s="61">
        <f t="shared" ca="1" si="447"/>
        <v>8069.6159393565904</v>
      </c>
      <c r="V3899" s="39">
        <f t="shared" ca="1" si="448"/>
        <v>5.3089578548398624E-2</v>
      </c>
      <c r="W3899" s="48">
        <f t="shared" ca="1" si="449"/>
        <v>0.52131331352376975</v>
      </c>
    </row>
    <row r="3900" spans="17:23" x14ac:dyDescent="0.2">
      <c r="Q3900">
        <f t="shared" si="443"/>
        <v>3884</v>
      </c>
      <c r="R3900" s="48">
        <f t="shared" ca="1" si="444"/>
        <v>0.217</v>
      </c>
      <c r="S3900">
        <f t="shared" ca="1" si="445"/>
        <v>145.88288241838097</v>
      </c>
      <c r="T3900" s="61">
        <f t="shared" ca="1" si="446"/>
        <v>10416</v>
      </c>
      <c r="U3900" s="61">
        <f t="shared" ca="1" si="447"/>
        <v>-17218.962453126158</v>
      </c>
      <c r="V3900" s="39">
        <f t="shared" ca="1" si="448"/>
        <v>-0.11328264771793525</v>
      </c>
      <c r="W3900" s="48">
        <f t="shared" ca="1" si="449"/>
        <v>-0.62287960952647881</v>
      </c>
    </row>
    <row r="3901" spans="17:23" x14ac:dyDescent="0.2">
      <c r="Q3901">
        <f t="shared" si="443"/>
        <v>3885</v>
      </c>
      <c r="R3901" s="48">
        <f t="shared" ca="1" si="444"/>
        <v>0.3</v>
      </c>
      <c r="S3901">
        <f t="shared" ca="1" si="445"/>
        <v>206.50623902467765</v>
      </c>
      <c r="T3901" s="61">
        <f t="shared" ca="1" si="446"/>
        <v>14400</v>
      </c>
      <c r="U3901" s="61">
        <f t="shared" ca="1" si="447"/>
        <v>23643.493853819487</v>
      </c>
      <c r="V3901" s="39">
        <f t="shared" ca="1" si="448"/>
        <v>0.15554930166986505</v>
      </c>
      <c r="W3901" s="48">
        <f t="shared" ca="1" si="449"/>
        <v>2.2306085138850258</v>
      </c>
    </row>
    <row r="3902" spans="17:23" x14ac:dyDescent="0.2">
      <c r="Q3902">
        <f t="shared" si="443"/>
        <v>3886</v>
      </c>
      <c r="R3902" s="48">
        <f t="shared" ca="1" si="444"/>
        <v>0.4</v>
      </c>
      <c r="S3902">
        <f t="shared" ca="1" si="445"/>
        <v>168.06135696755413</v>
      </c>
      <c r="T3902" s="61">
        <f t="shared" ca="1" si="446"/>
        <v>19200</v>
      </c>
      <c r="U3902" s="61">
        <f t="shared" ca="1" si="447"/>
        <v>8669.4513444259828</v>
      </c>
      <c r="V3902" s="39">
        <f t="shared" ca="1" si="448"/>
        <v>5.7035864108065673E-2</v>
      </c>
      <c r="W3902" s="48">
        <f t="shared" ca="1" si="449"/>
        <v>0.56817460830360433</v>
      </c>
    </row>
    <row r="3903" spans="17:23" x14ac:dyDescent="0.2">
      <c r="Q3903">
        <f t="shared" si="443"/>
        <v>3887</v>
      </c>
      <c r="R3903" s="48">
        <f t="shared" ca="1" si="444"/>
        <v>0.35</v>
      </c>
      <c r="S3903">
        <f t="shared" ca="1" si="445"/>
        <v>186.0537076405468</v>
      </c>
      <c r="T3903" s="61">
        <f t="shared" ca="1" si="446"/>
        <v>16800</v>
      </c>
      <c r="U3903" s="61">
        <f t="shared" ca="1" si="447"/>
        <v>14747.927973084337</v>
      </c>
      <c r="V3903" s="39">
        <f t="shared" ca="1" si="448"/>
        <v>9.7025841928186432E-2</v>
      </c>
      <c r="W3903" s="48">
        <f t="shared" ca="1" si="449"/>
        <v>1.1193535151456384</v>
      </c>
    </row>
    <row r="3904" spans="17:23" x14ac:dyDescent="0.2">
      <c r="Q3904">
        <f t="shared" si="443"/>
        <v>3888</v>
      </c>
      <c r="R3904" s="48">
        <f t="shared" ca="1" si="444"/>
        <v>0.35</v>
      </c>
      <c r="S3904">
        <f t="shared" ca="1" si="445"/>
        <v>173.00527340607584</v>
      </c>
      <c r="T3904" s="61">
        <f t="shared" ca="1" si="446"/>
        <v>16800</v>
      </c>
      <c r="U3904" s="61">
        <f t="shared" ca="1" si="447"/>
        <v>7962.7421711594397</v>
      </c>
      <c r="V3904" s="39">
        <f t="shared" ca="1" si="448"/>
        <v>5.2386461652364734E-2</v>
      </c>
      <c r="W3904" s="48">
        <f t="shared" ca="1" si="449"/>
        <v>0.51309409692163777</v>
      </c>
    </row>
    <row r="3905" spans="17:23" x14ac:dyDescent="0.2">
      <c r="Q3905">
        <f t="shared" si="443"/>
        <v>3889</v>
      </c>
      <c r="R3905" s="48">
        <f t="shared" ca="1" si="444"/>
        <v>0.4</v>
      </c>
      <c r="S3905">
        <f t="shared" ca="1" si="445"/>
        <v>203.54271884105427</v>
      </c>
      <c r="T3905" s="61">
        <f t="shared" ca="1" si="446"/>
        <v>19200</v>
      </c>
      <c r="U3905" s="61">
        <f t="shared" ca="1" si="447"/>
        <v>25700.505043706049</v>
      </c>
      <c r="V3905" s="39">
        <f t="shared" ca="1" si="448"/>
        <v>0.16908227002438189</v>
      </c>
      <c r="W3905" s="48">
        <f t="shared" ca="1" si="449"/>
        <v>2.5505769958862397</v>
      </c>
    </row>
    <row r="3906" spans="17:23" x14ac:dyDescent="0.2">
      <c r="Q3906">
        <f t="shared" si="443"/>
        <v>3890</v>
      </c>
      <c r="R3906" s="48">
        <f t="shared" ca="1" si="444"/>
        <v>0.45</v>
      </c>
      <c r="S3906">
        <f t="shared" ca="1" si="445"/>
        <v>179.34203851767148</v>
      </c>
      <c r="T3906" s="61">
        <f t="shared" ca="1" si="446"/>
        <v>21600</v>
      </c>
      <c r="U3906" s="61">
        <f t="shared" ca="1" si="447"/>
        <v>16910.496947775453</v>
      </c>
      <c r="V3906" s="39">
        <f t="shared" ca="1" si="448"/>
        <v>0.11125326939325957</v>
      </c>
      <c r="W3906" s="48">
        <f t="shared" ca="1" si="449"/>
        <v>1.3528527740036131</v>
      </c>
    </row>
    <row r="3907" spans="17:23" x14ac:dyDescent="0.2">
      <c r="Q3907">
        <f t="shared" si="443"/>
        <v>3891</v>
      </c>
      <c r="R3907" s="48">
        <f t="shared" ca="1" si="444"/>
        <v>0.4</v>
      </c>
      <c r="S3907">
        <f t="shared" ca="1" si="445"/>
        <v>182.56661046805172</v>
      </c>
      <c r="T3907" s="61">
        <f t="shared" ca="1" si="446"/>
        <v>19200</v>
      </c>
      <c r="U3907" s="61">
        <f t="shared" ca="1" si="447"/>
        <v>15631.973024664825</v>
      </c>
      <c r="V3907" s="39">
        <f t="shared" ca="1" si="448"/>
        <v>0.10284192779384753</v>
      </c>
      <c r="W3907" s="48">
        <f t="shared" ca="1" si="449"/>
        <v>1.2122278041523984</v>
      </c>
    </row>
    <row r="3908" spans="17:23" x14ac:dyDescent="0.2">
      <c r="Q3908">
        <f t="shared" si="443"/>
        <v>3892</v>
      </c>
      <c r="R3908" s="48">
        <f t="shared" ca="1" si="444"/>
        <v>0.4</v>
      </c>
      <c r="S3908">
        <f t="shared" ca="1" si="445"/>
        <v>221.83946782704646</v>
      </c>
      <c r="T3908" s="61">
        <f t="shared" ca="1" si="446"/>
        <v>19200</v>
      </c>
      <c r="U3908" s="61">
        <f t="shared" ca="1" si="447"/>
        <v>34482.9445569823</v>
      </c>
      <c r="V3908" s="39">
        <f t="shared" ca="1" si="448"/>
        <v>0.22686147734856776</v>
      </c>
      <c r="W3908" s="48">
        <f t="shared" ca="1" si="449"/>
        <v>4.2508596584672196</v>
      </c>
    </row>
    <row r="3909" spans="17:23" x14ac:dyDescent="0.2">
      <c r="Q3909">
        <f t="shared" si="443"/>
        <v>3893</v>
      </c>
      <c r="R3909" s="48">
        <f t="shared" ca="1" si="444"/>
        <v>0.4</v>
      </c>
      <c r="S3909">
        <f t="shared" ca="1" si="445"/>
        <v>156.09389307417271</v>
      </c>
      <c r="T3909" s="61">
        <f t="shared" ca="1" si="446"/>
        <v>19200</v>
      </c>
      <c r="U3909" s="61">
        <f t="shared" ca="1" si="447"/>
        <v>2925.0686756029027</v>
      </c>
      <c r="V3909" s="39">
        <f t="shared" ca="1" si="448"/>
        <v>1.9243872865808569E-2</v>
      </c>
      <c r="W3909" s="48">
        <f t="shared" ca="1" si="449"/>
        <v>0.16719835032539265</v>
      </c>
    </row>
    <row r="3910" spans="17:23" x14ac:dyDescent="0.2">
      <c r="Q3910">
        <f t="shared" si="443"/>
        <v>3894</v>
      </c>
      <c r="R3910" s="48">
        <f t="shared" ca="1" si="444"/>
        <v>0.5</v>
      </c>
      <c r="S3910">
        <f t="shared" ca="1" si="445"/>
        <v>224.52587972160825</v>
      </c>
      <c r="T3910" s="61">
        <f t="shared" ca="1" si="446"/>
        <v>24000</v>
      </c>
      <c r="U3910" s="61">
        <f t="shared" ca="1" si="447"/>
        <v>37810.351888643301</v>
      </c>
      <c r="V3910" s="39">
        <f t="shared" ca="1" si="448"/>
        <v>0.24875231505686382</v>
      </c>
      <c r="W3910" s="48">
        <f t="shared" ca="1" si="449"/>
        <v>5.0608012222544945</v>
      </c>
    </row>
    <row r="3911" spans="17:23" x14ac:dyDescent="0.2">
      <c r="Q3911">
        <f t="shared" si="443"/>
        <v>3895</v>
      </c>
      <c r="R3911" s="48">
        <f t="shared" ca="1" si="444"/>
        <v>0.3</v>
      </c>
      <c r="S3911">
        <f t="shared" ca="1" si="445"/>
        <v>199.09940458276935</v>
      </c>
      <c r="T3911" s="61">
        <f t="shared" ca="1" si="446"/>
        <v>14400</v>
      </c>
      <c r="U3911" s="61">
        <f t="shared" ca="1" si="447"/>
        <v>19495.666566350839</v>
      </c>
      <c r="V3911" s="39">
        <f t="shared" ca="1" si="448"/>
        <v>0.12826096425230815</v>
      </c>
      <c r="W3911" s="48">
        <f t="shared" ca="1" si="449"/>
        <v>1.6613364713882341</v>
      </c>
    </row>
    <row r="3912" spans="17:23" x14ac:dyDescent="0.2">
      <c r="Q3912">
        <f t="shared" si="443"/>
        <v>3896</v>
      </c>
      <c r="R3912" s="48">
        <f t="shared" ca="1" si="444"/>
        <v>0.217</v>
      </c>
      <c r="S3912">
        <f t="shared" ca="1" si="445"/>
        <v>187.60126266685177</v>
      </c>
      <c r="T3912" s="61">
        <f t="shared" ca="1" si="446"/>
        <v>10416</v>
      </c>
      <c r="U3912" s="61">
        <f t="shared" ca="1" si="447"/>
        <v>8913.4309345159472</v>
      </c>
      <c r="V3912" s="39">
        <f t="shared" ca="1" si="448"/>
        <v>5.8640992990236493E-2</v>
      </c>
      <c r="W3912" s="48">
        <f t="shared" ca="1" si="449"/>
        <v>0.58759422747744394</v>
      </c>
    </row>
    <row r="3913" spans="17:23" x14ac:dyDescent="0.2">
      <c r="Q3913">
        <f t="shared" si="443"/>
        <v>3897</v>
      </c>
      <c r="R3913" s="48">
        <f t="shared" ca="1" si="444"/>
        <v>0.4</v>
      </c>
      <c r="S3913">
        <f t="shared" ca="1" si="445"/>
        <v>224.81611480752954</v>
      </c>
      <c r="T3913" s="61">
        <f t="shared" ca="1" si="446"/>
        <v>19200</v>
      </c>
      <c r="U3913" s="61">
        <f t="shared" ca="1" si="447"/>
        <v>35911.735107614179</v>
      </c>
      <c r="V3913" s="39">
        <f t="shared" ca="1" si="448"/>
        <v>0.23626141518167224</v>
      </c>
      <c r="W3913" s="48">
        <f t="shared" ca="1" si="449"/>
        <v>4.5862066480635004</v>
      </c>
    </row>
    <row r="3914" spans="17:23" x14ac:dyDescent="0.2">
      <c r="Q3914">
        <f t="shared" si="443"/>
        <v>3898</v>
      </c>
      <c r="R3914" s="48">
        <f t="shared" ca="1" si="444"/>
        <v>0.35</v>
      </c>
      <c r="S3914">
        <f t="shared" ca="1" si="445"/>
        <v>189.44521185292763</v>
      </c>
      <c r="T3914" s="61">
        <f t="shared" ca="1" si="446"/>
        <v>16800</v>
      </c>
      <c r="U3914" s="61">
        <f t="shared" ca="1" si="447"/>
        <v>16511.510163522365</v>
      </c>
      <c r="V3914" s="39">
        <f t="shared" ca="1" si="448"/>
        <v>0.10862835633896294</v>
      </c>
      <c r="W3914" s="48">
        <f t="shared" ca="1" si="449"/>
        <v>1.3081502823577265</v>
      </c>
    </row>
    <row r="3915" spans="17:23" x14ac:dyDescent="0.2">
      <c r="Q3915">
        <f t="shared" si="443"/>
        <v>3899</v>
      </c>
      <c r="R3915" s="48">
        <f t="shared" ca="1" si="444"/>
        <v>0.35</v>
      </c>
      <c r="S3915">
        <f t="shared" ca="1" si="445"/>
        <v>202.67216398260794</v>
      </c>
      <c r="T3915" s="61">
        <f t="shared" ca="1" si="446"/>
        <v>16800</v>
      </c>
      <c r="U3915" s="61">
        <f t="shared" ca="1" si="447"/>
        <v>23389.525270956128</v>
      </c>
      <c r="V3915" s="39">
        <f t="shared" ca="1" si="448"/>
        <v>0.15387845572997452</v>
      </c>
      <c r="W3915" s="48">
        <f t="shared" ca="1" si="449"/>
        <v>2.192913778132429</v>
      </c>
    </row>
    <row r="3916" spans="17:23" x14ac:dyDescent="0.2">
      <c r="Q3916">
        <f t="shared" si="443"/>
        <v>3900</v>
      </c>
      <c r="R3916" s="48">
        <f t="shared" ca="1" si="444"/>
        <v>0.45</v>
      </c>
      <c r="S3916">
        <f t="shared" ca="1" si="445"/>
        <v>197.41496933932689</v>
      </c>
      <c r="T3916" s="61">
        <f t="shared" ca="1" si="446"/>
        <v>21600</v>
      </c>
      <c r="U3916" s="61">
        <f t="shared" ca="1" si="447"/>
        <v>24862.58650930383</v>
      </c>
      <c r="V3916" s="39">
        <f t="shared" ca="1" si="448"/>
        <v>0.16356964808752519</v>
      </c>
      <c r="W3916" s="48">
        <f t="shared" ca="1" si="449"/>
        <v>2.4170342942633147</v>
      </c>
    </row>
    <row r="3917" spans="17:23" x14ac:dyDescent="0.2">
      <c r="Q3917">
        <f t="shared" si="443"/>
        <v>3901</v>
      </c>
      <c r="R3917" s="48">
        <f t="shared" ca="1" si="444"/>
        <v>0.217</v>
      </c>
      <c r="S3917">
        <f t="shared" ca="1" si="445"/>
        <v>190.10787470039236</v>
      </c>
      <c r="T3917" s="61">
        <f t="shared" ca="1" si="446"/>
        <v>10416</v>
      </c>
      <c r="U3917" s="61">
        <f t="shared" ca="1" si="447"/>
        <v>10483.572712325773</v>
      </c>
      <c r="V3917" s="39">
        <f t="shared" ca="1" si="448"/>
        <v>6.8970873107406405E-2</v>
      </c>
      <c r="W3917" s="48">
        <f t="shared" ca="1" si="449"/>
        <v>0.71769244430433665</v>
      </c>
    </row>
    <row r="3918" spans="17:23" x14ac:dyDescent="0.2">
      <c r="Q3918">
        <f t="shared" si="443"/>
        <v>3902</v>
      </c>
      <c r="R3918" s="48">
        <f t="shared" ca="1" si="444"/>
        <v>0.3</v>
      </c>
      <c r="S3918">
        <f t="shared" ca="1" si="445"/>
        <v>201.95400352530052</v>
      </c>
      <c r="T3918" s="61">
        <f t="shared" ca="1" si="446"/>
        <v>14400</v>
      </c>
      <c r="U3918" s="61">
        <f t="shared" ca="1" si="447"/>
        <v>21094.24197416829</v>
      </c>
      <c r="V3918" s="39">
        <f t="shared" ca="1" si="448"/>
        <v>0.13877790772479137</v>
      </c>
      <c r="W3918" s="48">
        <f t="shared" ca="1" si="449"/>
        <v>1.8693483051714863</v>
      </c>
    </row>
    <row r="3919" spans="17:23" x14ac:dyDescent="0.2">
      <c r="Q3919">
        <f t="shared" si="443"/>
        <v>3903</v>
      </c>
      <c r="R3919" s="48">
        <f t="shared" ca="1" si="444"/>
        <v>0.4</v>
      </c>
      <c r="S3919">
        <f t="shared" ca="1" si="445"/>
        <v>193.99097024259706</v>
      </c>
      <c r="T3919" s="61">
        <f t="shared" ca="1" si="446"/>
        <v>19200</v>
      </c>
      <c r="U3919" s="61">
        <f t="shared" ca="1" si="447"/>
        <v>21115.665716446587</v>
      </c>
      <c r="V3919" s="39">
        <f t="shared" ca="1" si="448"/>
        <v>0.1389188533976749</v>
      </c>
      <c r="W3919" s="48">
        <f t="shared" ca="1" si="449"/>
        <v>1.8722301292111476</v>
      </c>
    </row>
    <row r="3920" spans="17:23" x14ac:dyDescent="0.2">
      <c r="Q3920">
        <f t="shared" si="443"/>
        <v>3904</v>
      </c>
      <c r="R3920" s="48">
        <f t="shared" ca="1" si="444"/>
        <v>0.4</v>
      </c>
      <c r="S3920">
        <f t="shared" ca="1" si="445"/>
        <v>179.46311688227772</v>
      </c>
      <c r="T3920" s="61">
        <f t="shared" ca="1" si="446"/>
        <v>19200</v>
      </c>
      <c r="U3920" s="61">
        <f t="shared" ca="1" si="447"/>
        <v>14142.296103493303</v>
      </c>
      <c r="V3920" s="39">
        <f t="shared" ca="1" si="448"/>
        <v>9.3041421733508572E-2</v>
      </c>
      <c r="W3920" s="48">
        <f t="shared" ca="1" si="449"/>
        <v>1.0577182982750841</v>
      </c>
    </row>
    <row r="3921" spans="17:23" x14ac:dyDescent="0.2">
      <c r="Q3921">
        <f t="shared" si="443"/>
        <v>3905</v>
      </c>
      <c r="R3921" s="48">
        <f t="shared" ca="1" si="444"/>
        <v>0.45</v>
      </c>
      <c r="S3921">
        <f t="shared" ca="1" si="445"/>
        <v>192.62770664051578</v>
      </c>
      <c r="T3921" s="61">
        <f t="shared" ca="1" si="446"/>
        <v>21600</v>
      </c>
      <c r="U3921" s="61">
        <f t="shared" ca="1" si="447"/>
        <v>22756.190921826943</v>
      </c>
      <c r="V3921" s="39">
        <f t="shared" ca="1" si="448"/>
        <v>0.14971178238044042</v>
      </c>
      <c r="W3921" s="48">
        <f t="shared" ca="1" si="449"/>
        <v>2.100587314010002</v>
      </c>
    </row>
    <row r="3922" spans="17:23" x14ac:dyDescent="0.2">
      <c r="Q3922">
        <f t="shared" si="443"/>
        <v>3906</v>
      </c>
      <c r="R3922" s="48">
        <f t="shared" ca="1" si="444"/>
        <v>0.4</v>
      </c>
      <c r="S3922">
        <f t="shared" ca="1" si="445"/>
        <v>195.40127974011887</v>
      </c>
      <c r="T3922" s="61">
        <f t="shared" ca="1" si="446"/>
        <v>19200</v>
      </c>
      <c r="U3922" s="61">
        <f t="shared" ca="1" si="447"/>
        <v>21792.614275257056</v>
      </c>
      <c r="V3922" s="39">
        <f t="shared" ca="1" si="448"/>
        <v>0.14337246233721748</v>
      </c>
      <c r="W3922" s="48">
        <f t="shared" ca="1" si="449"/>
        <v>1.9646069930836703</v>
      </c>
    </row>
    <row r="3923" spans="17:23" x14ac:dyDescent="0.2">
      <c r="Q3923">
        <f t="shared" ref="Q3923:Q3986" si="450">Q3922+1</f>
        <v>3907</v>
      </c>
      <c r="R3923" s="48">
        <f t="shared" ref="R3923:R3986" ca="1" si="451">LOOKUP(RAND(),$U$6:$U$12,$S$6:$S$12)</f>
        <v>0.4</v>
      </c>
      <c r="S3923">
        <f t="shared" ref="S3923:S3986" ca="1" si="452">_xlfn.NORM.INV(RAND(),$Q$5,$Q$10)</f>
        <v>214.21430492784989</v>
      </c>
      <c r="T3923" s="61">
        <f t="shared" ca="1" si="446"/>
        <v>19200</v>
      </c>
      <c r="U3923" s="61">
        <f t="shared" ca="1" si="447"/>
        <v>30822.86636536795</v>
      </c>
      <c r="V3923" s="39">
        <f t="shared" ca="1" si="448"/>
        <v>0.20278201556163125</v>
      </c>
      <c r="W3923" s="48">
        <f t="shared" ca="1" si="449"/>
        <v>3.4710040615281983</v>
      </c>
    </row>
    <row r="3924" spans="17:23" x14ac:dyDescent="0.2">
      <c r="Q3924">
        <f t="shared" si="450"/>
        <v>3908</v>
      </c>
      <c r="R3924" s="48">
        <f t="shared" ca="1" si="451"/>
        <v>0.3</v>
      </c>
      <c r="S3924">
        <f t="shared" ca="1" si="452"/>
        <v>189.4904815700163</v>
      </c>
      <c r="T3924" s="61">
        <f t="shared" ca="1" si="446"/>
        <v>14400</v>
      </c>
      <c r="U3924" s="61">
        <f t="shared" ca="1" si="447"/>
        <v>14114.669679209128</v>
      </c>
      <c r="V3924" s="39">
        <f t="shared" ca="1" si="448"/>
        <v>9.285966894216531E-2</v>
      </c>
      <c r="W3924" s="48">
        <f t="shared" ca="1" si="449"/>
        <v>1.0549446334094892</v>
      </c>
    </row>
    <row r="3925" spans="17:23" x14ac:dyDescent="0.2">
      <c r="Q3925">
        <f t="shared" si="450"/>
        <v>3909</v>
      </c>
      <c r="R3925" s="48">
        <f t="shared" ca="1" si="451"/>
        <v>0.45</v>
      </c>
      <c r="S3925">
        <f t="shared" ca="1" si="452"/>
        <v>222.36135123889193</v>
      </c>
      <c r="T3925" s="61">
        <f t="shared" ca="1" si="446"/>
        <v>21600</v>
      </c>
      <c r="U3925" s="61">
        <f t="shared" ca="1" si="447"/>
        <v>35838.994545112451</v>
      </c>
      <c r="V3925" s="39">
        <f t="shared" ca="1" si="448"/>
        <v>0.23578285884942402</v>
      </c>
      <c r="W3925" s="48">
        <f t="shared" ca="1" si="449"/>
        <v>4.56869115297724</v>
      </c>
    </row>
    <row r="3926" spans="17:23" x14ac:dyDescent="0.2">
      <c r="Q3926">
        <f t="shared" si="450"/>
        <v>3910</v>
      </c>
      <c r="R3926" s="48">
        <f t="shared" ca="1" si="451"/>
        <v>0.4</v>
      </c>
      <c r="S3926">
        <f t="shared" ca="1" si="452"/>
        <v>189.52362017655258</v>
      </c>
      <c r="T3926" s="61">
        <f t="shared" ca="1" si="446"/>
        <v>19200</v>
      </c>
      <c r="U3926" s="61">
        <f t="shared" ca="1" si="447"/>
        <v>18971.337684745238</v>
      </c>
      <c r="V3926" s="39">
        <f t="shared" ca="1" si="448"/>
        <v>0.12481143213648183</v>
      </c>
      <c r="W3926" s="48">
        <f t="shared" ca="1" si="449"/>
        <v>1.5960514672515878</v>
      </c>
    </row>
    <row r="3927" spans="17:23" x14ac:dyDescent="0.2">
      <c r="Q3927">
        <f t="shared" si="450"/>
        <v>3911</v>
      </c>
      <c r="R3927" s="48">
        <f t="shared" ca="1" si="451"/>
        <v>0.5</v>
      </c>
      <c r="S3927">
        <f t="shared" ca="1" si="452"/>
        <v>209.21213690795946</v>
      </c>
      <c r="T3927" s="61">
        <f t="shared" ca="1" si="446"/>
        <v>24000</v>
      </c>
      <c r="U3927" s="61">
        <f t="shared" ca="1" si="447"/>
        <v>31684.854763183786</v>
      </c>
      <c r="V3927" s="39">
        <f t="shared" ca="1" si="448"/>
        <v>0.20845299186305122</v>
      </c>
      <c r="W3927" s="48">
        <f t="shared" ca="1" si="449"/>
        <v>3.644882478323316</v>
      </c>
    </row>
    <row r="3928" spans="17:23" x14ac:dyDescent="0.2">
      <c r="Q3928">
        <f t="shared" si="450"/>
        <v>3912</v>
      </c>
      <c r="R3928" s="48">
        <f t="shared" ca="1" si="451"/>
        <v>0.45</v>
      </c>
      <c r="S3928">
        <f t="shared" ca="1" si="452"/>
        <v>159.00028300831104</v>
      </c>
      <c r="T3928" s="61">
        <f t="shared" ca="1" si="446"/>
        <v>21600</v>
      </c>
      <c r="U3928" s="61">
        <f t="shared" ca="1" si="447"/>
        <v>7960.1245236568575</v>
      </c>
      <c r="V3928" s="39">
        <f t="shared" ca="1" si="448"/>
        <v>5.2369240287216165E-2</v>
      </c>
      <c r="W3928" s="48">
        <f t="shared" ca="1" si="449"/>
        <v>0.51289327397193052</v>
      </c>
    </row>
    <row r="3929" spans="17:23" x14ac:dyDescent="0.2">
      <c r="Q3929">
        <f t="shared" si="450"/>
        <v>3913</v>
      </c>
      <c r="R3929" s="48">
        <f t="shared" ca="1" si="451"/>
        <v>0.3</v>
      </c>
      <c r="S3929">
        <f t="shared" ca="1" si="452"/>
        <v>219.17732902512776</v>
      </c>
      <c r="T3929" s="61">
        <f t="shared" ca="1" si="446"/>
        <v>14400</v>
      </c>
      <c r="U3929" s="61">
        <f t="shared" ca="1" si="447"/>
        <v>30739.304254071547</v>
      </c>
      <c r="V3929" s="39">
        <f t="shared" ca="1" si="448"/>
        <v>0.20223226482941808</v>
      </c>
      <c r="W3929" s="48">
        <f t="shared" ca="1" si="449"/>
        <v>3.4544555625551583</v>
      </c>
    </row>
    <row r="3930" spans="17:23" x14ac:dyDescent="0.2">
      <c r="Q3930">
        <f t="shared" si="450"/>
        <v>3914</v>
      </c>
      <c r="R3930" s="48">
        <f t="shared" ca="1" si="451"/>
        <v>0.45</v>
      </c>
      <c r="S3930">
        <f t="shared" ca="1" si="452"/>
        <v>191.50667078746619</v>
      </c>
      <c r="T3930" s="61">
        <f t="shared" ca="1" si="446"/>
        <v>21600</v>
      </c>
      <c r="U3930" s="61">
        <f t="shared" ca="1" si="447"/>
        <v>22262.935146485124</v>
      </c>
      <c r="V3930" s="39">
        <f t="shared" ca="1" si="448"/>
        <v>0.14646667859529686</v>
      </c>
      <c r="W3930" s="48">
        <f t="shared" ca="1" si="449"/>
        <v>2.0303110466560854</v>
      </c>
    </row>
    <row r="3931" spans="17:23" x14ac:dyDescent="0.2">
      <c r="Q3931">
        <f t="shared" si="450"/>
        <v>3915</v>
      </c>
      <c r="R3931" s="48">
        <f t="shared" ca="1" si="451"/>
        <v>0.3</v>
      </c>
      <c r="S3931">
        <f t="shared" ca="1" si="452"/>
        <v>179.72570047723687</v>
      </c>
      <c r="T3931" s="61">
        <f t="shared" ca="1" si="446"/>
        <v>14400</v>
      </c>
      <c r="U3931" s="61">
        <f t="shared" ca="1" si="447"/>
        <v>8646.3922672526478</v>
      </c>
      <c r="V3931" s="39">
        <f t="shared" ca="1" si="448"/>
        <v>5.6884159652977946E-2</v>
      </c>
      <c r="W3931" s="48">
        <f t="shared" ca="1" si="449"/>
        <v>0.56635003308082177</v>
      </c>
    </row>
    <row r="3932" spans="17:23" x14ac:dyDescent="0.2">
      <c r="Q3932">
        <f t="shared" si="450"/>
        <v>3916</v>
      </c>
      <c r="R3932" s="48">
        <f t="shared" ca="1" si="451"/>
        <v>0.35</v>
      </c>
      <c r="S3932">
        <f t="shared" ca="1" si="452"/>
        <v>193.14052144473899</v>
      </c>
      <c r="T3932" s="61">
        <f t="shared" ca="1" si="446"/>
        <v>16800</v>
      </c>
      <c r="U3932" s="61">
        <f t="shared" ca="1" si="447"/>
        <v>18433.071151264277</v>
      </c>
      <c r="V3932" s="39">
        <f t="shared" ca="1" si="448"/>
        <v>0.12127020494252815</v>
      </c>
      <c r="W3932" s="48">
        <f t="shared" ca="1" si="449"/>
        <v>1.5304957979042437</v>
      </c>
    </row>
    <row r="3933" spans="17:23" x14ac:dyDescent="0.2">
      <c r="Q3933">
        <f t="shared" si="450"/>
        <v>3917</v>
      </c>
      <c r="R3933" s="48">
        <f t="shared" ca="1" si="451"/>
        <v>0.4</v>
      </c>
      <c r="S3933">
        <f t="shared" ca="1" si="452"/>
        <v>190.48355148470188</v>
      </c>
      <c r="T3933" s="61">
        <f t="shared" ca="1" si="446"/>
        <v>19200</v>
      </c>
      <c r="U3933" s="61">
        <f t="shared" ca="1" si="447"/>
        <v>19432.104712656903</v>
      </c>
      <c r="V3933" s="39">
        <f t="shared" ca="1" si="448"/>
        <v>0.12784279416221647</v>
      </c>
      <c r="W3933" s="48">
        <f t="shared" ca="1" si="449"/>
        <v>1.6533463885848971</v>
      </c>
    </row>
    <row r="3934" spans="17:23" x14ac:dyDescent="0.2">
      <c r="Q3934">
        <f t="shared" si="450"/>
        <v>3918</v>
      </c>
      <c r="R3934" s="48">
        <f t="shared" ca="1" si="451"/>
        <v>0.217</v>
      </c>
      <c r="S3934">
        <f t="shared" ca="1" si="452"/>
        <v>162.8954410192332</v>
      </c>
      <c r="T3934" s="61">
        <f t="shared" ca="1" si="446"/>
        <v>10416</v>
      </c>
      <c r="U3934" s="61">
        <f t="shared" ca="1" si="447"/>
        <v>-6562.295745552321</v>
      </c>
      <c r="V3934" s="39">
        <f t="shared" ca="1" si="448"/>
        <v>-4.3172998326002111E-2</v>
      </c>
      <c r="W3934" s="48">
        <f t="shared" ca="1" si="449"/>
        <v>-0.30090248047183332</v>
      </c>
    </row>
    <row r="3935" spans="17:23" x14ac:dyDescent="0.2">
      <c r="Q3935">
        <f t="shared" si="450"/>
        <v>3919</v>
      </c>
      <c r="R3935" s="48">
        <f t="shared" ca="1" si="451"/>
        <v>0.35</v>
      </c>
      <c r="S3935">
        <f t="shared" ca="1" si="452"/>
        <v>184.91614775341068</v>
      </c>
      <c r="T3935" s="61">
        <f t="shared" ca="1" si="446"/>
        <v>16800</v>
      </c>
      <c r="U3935" s="61">
        <f t="shared" ca="1" si="447"/>
        <v>14156.396831773556</v>
      </c>
      <c r="V3935" s="39">
        <f t="shared" ca="1" si="448"/>
        <v>9.3134189682720761E-2</v>
      </c>
      <c r="W3935" s="48">
        <f t="shared" ca="1" si="449"/>
        <v>1.0591352617764129</v>
      </c>
    </row>
    <row r="3936" spans="17:23" x14ac:dyDescent="0.2">
      <c r="Q3936">
        <f t="shared" si="450"/>
        <v>3920</v>
      </c>
      <c r="R3936" s="48">
        <f t="shared" ca="1" si="451"/>
        <v>0.3</v>
      </c>
      <c r="S3936">
        <f t="shared" ca="1" si="452"/>
        <v>210.71521545689305</v>
      </c>
      <c r="T3936" s="61">
        <f t="shared" ca="1" si="446"/>
        <v>14400</v>
      </c>
      <c r="U3936" s="61">
        <f t="shared" ca="1" si="447"/>
        <v>26000.520655860106</v>
      </c>
      <c r="V3936" s="39">
        <f t="shared" ca="1" si="448"/>
        <v>0.17105605694644807</v>
      </c>
      <c r="W3936" s="48">
        <f t="shared" ca="1" si="449"/>
        <v>2.599492062827319</v>
      </c>
    </row>
    <row r="3937" spans="17:23" x14ac:dyDescent="0.2">
      <c r="Q3937">
        <f t="shared" si="450"/>
        <v>3921</v>
      </c>
      <c r="R3937" s="48">
        <f t="shared" ca="1" si="451"/>
        <v>0.35</v>
      </c>
      <c r="S3937">
        <f t="shared" ca="1" si="452"/>
        <v>223.74080158819277</v>
      </c>
      <c r="T3937" s="61">
        <f t="shared" ca="1" si="446"/>
        <v>16800</v>
      </c>
      <c r="U3937" s="61">
        <f t="shared" ca="1" si="447"/>
        <v>34345.21682586024</v>
      </c>
      <c r="V3937" s="39">
        <f t="shared" ca="1" si="448"/>
        <v>0.22595537385434369</v>
      </c>
      <c r="W3937" s="48">
        <f t="shared" ca="1" si="449"/>
        <v>4.2194868924080513</v>
      </c>
    </row>
    <row r="3938" spans="17:23" x14ac:dyDescent="0.2">
      <c r="Q3938">
        <f t="shared" si="450"/>
        <v>3922</v>
      </c>
      <c r="R3938" s="48">
        <f t="shared" ca="1" si="451"/>
        <v>0.45</v>
      </c>
      <c r="S3938">
        <f t="shared" ca="1" si="452"/>
        <v>170.51350686079914</v>
      </c>
      <c r="T3938" s="61">
        <f t="shared" ca="1" si="446"/>
        <v>21600</v>
      </c>
      <c r="U3938" s="61">
        <f t="shared" ca="1" si="447"/>
        <v>13025.943018751621</v>
      </c>
      <c r="V3938" s="39">
        <f t="shared" ca="1" si="448"/>
        <v>8.5696993544418565E-2</v>
      </c>
      <c r="W3938" s="48">
        <f t="shared" ca="1" si="449"/>
        <v>0.94821421475816514</v>
      </c>
    </row>
    <row r="3939" spans="17:23" x14ac:dyDescent="0.2">
      <c r="Q3939">
        <f t="shared" si="450"/>
        <v>3923</v>
      </c>
      <c r="R3939" s="48">
        <f t="shared" ca="1" si="451"/>
        <v>0.4</v>
      </c>
      <c r="S3939">
        <f t="shared" ca="1" si="452"/>
        <v>219.51105805383736</v>
      </c>
      <c r="T3939" s="61">
        <f t="shared" ca="1" si="446"/>
        <v>19200</v>
      </c>
      <c r="U3939" s="61">
        <f t="shared" ca="1" si="447"/>
        <v>33365.307865841933</v>
      </c>
      <c r="V3939" s="39">
        <f t="shared" ca="1" si="448"/>
        <v>0.21950860438053904</v>
      </c>
      <c r="W3939" s="48">
        <f t="shared" ca="1" si="449"/>
        <v>4.0009791918891109</v>
      </c>
    </row>
    <row r="3940" spans="17:23" x14ac:dyDescent="0.2">
      <c r="Q3940">
        <f t="shared" si="450"/>
        <v>3924</v>
      </c>
      <c r="R3940" s="48">
        <f t="shared" ca="1" si="451"/>
        <v>0.5</v>
      </c>
      <c r="S3940">
        <f t="shared" ca="1" si="452"/>
        <v>182.38641746982586</v>
      </c>
      <c r="T3940" s="61">
        <f t="shared" ca="1" si="446"/>
        <v>24000</v>
      </c>
      <c r="U3940" s="61">
        <f t="shared" ca="1" si="447"/>
        <v>20954.566987930342</v>
      </c>
      <c r="V3940" s="39">
        <f t="shared" ca="1" si="448"/>
        <v>0.137858993341647</v>
      </c>
      <c r="W3940" s="48">
        <f t="shared" ca="1" si="449"/>
        <v>1.8506219235538666</v>
      </c>
    </row>
    <row r="3941" spans="17:23" x14ac:dyDescent="0.2">
      <c r="Q3941">
        <f t="shared" si="450"/>
        <v>3925</v>
      </c>
      <c r="R3941" s="48">
        <f t="shared" ca="1" si="451"/>
        <v>0.4</v>
      </c>
      <c r="S3941">
        <f t="shared" ca="1" si="452"/>
        <v>185.06616273354103</v>
      </c>
      <c r="T3941" s="61">
        <f t="shared" ca="1" si="446"/>
        <v>19200</v>
      </c>
      <c r="U3941" s="61">
        <f t="shared" ca="1" si="447"/>
        <v>16831.758112099698</v>
      </c>
      <c r="V3941" s="39">
        <f t="shared" ca="1" si="448"/>
        <v>0.11073525073749801</v>
      </c>
      <c r="W3941" s="48">
        <f t="shared" ca="1" si="449"/>
        <v>1.343971245396546</v>
      </c>
    </row>
    <row r="3942" spans="17:23" x14ac:dyDescent="0.2">
      <c r="Q3942">
        <f t="shared" si="450"/>
        <v>3926</v>
      </c>
      <c r="R3942" s="48">
        <f t="shared" ca="1" si="451"/>
        <v>0.35</v>
      </c>
      <c r="S3942">
        <f t="shared" ca="1" si="452"/>
        <v>140.30165831885165</v>
      </c>
      <c r="T3942" s="61">
        <f t="shared" ca="1" si="446"/>
        <v>16800</v>
      </c>
      <c r="U3942" s="61">
        <f t="shared" ca="1" si="447"/>
        <v>-9043.1376741971399</v>
      </c>
      <c r="V3942" s="39">
        <f t="shared" ca="1" si="448"/>
        <v>-5.9494326803928549E-2</v>
      </c>
      <c r="W3942" s="48">
        <f t="shared" ca="1" si="449"/>
        <v>-0.39196089029155989</v>
      </c>
    </row>
    <row r="3943" spans="17:23" x14ac:dyDescent="0.2">
      <c r="Q3943">
        <f t="shared" si="450"/>
        <v>3927</v>
      </c>
      <c r="R3943" s="48">
        <f t="shared" ca="1" si="451"/>
        <v>0.35</v>
      </c>
      <c r="S3943">
        <f t="shared" ca="1" si="452"/>
        <v>213.58477448625084</v>
      </c>
      <c r="T3943" s="61">
        <f t="shared" ca="1" si="446"/>
        <v>16800</v>
      </c>
      <c r="U3943" s="61">
        <f t="shared" ca="1" si="447"/>
        <v>29064.082732850435</v>
      </c>
      <c r="V3943" s="39">
        <f t="shared" ca="1" si="448"/>
        <v>0.19121107061085812</v>
      </c>
      <c r="W3943" s="48">
        <f t="shared" ca="1" si="449"/>
        <v>3.1338332916254288</v>
      </c>
    </row>
    <row r="3944" spans="17:23" x14ac:dyDescent="0.2">
      <c r="Q3944">
        <f t="shared" si="450"/>
        <v>3928</v>
      </c>
      <c r="R3944" s="48">
        <f t="shared" ca="1" si="451"/>
        <v>0.3</v>
      </c>
      <c r="S3944">
        <f t="shared" ca="1" si="452"/>
        <v>167.45088855270183</v>
      </c>
      <c r="T3944" s="61">
        <f t="shared" ca="1" si="446"/>
        <v>14400</v>
      </c>
      <c r="U3944" s="61">
        <f t="shared" ca="1" si="447"/>
        <v>1772.4975895130228</v>
      </c>
      <c r="V3944" s="39">
        <f t="shared" ca="1" si="448"/>
        <v>1.166116835205936E-2</v>
      </c>
      <c r="W3944" s="48">
        <f t="shared" ca="1" si="449"/>
        <v>9.8601268262679787E-2</v>
      </c>
    </row>
    <row r="3945" spans="17:23" x14ac:dyDescent="0.2">
      <c r="Q3945">
        <f t="shared" si="450"/>
        <v>3929</v>
      </c>
      <c r="R3945" s="48">
        <f t="shared" ca="1" si="451"/>
        <v>0.3</v>
      </c>
      <c r="S3945">
        <f t="shared" ca="1" si="452"/>
        <v>214.31044690881058</v>
      </c>
      <c r="T3945" s="61">
        <f t="shared" ca="1" si="446"/>
        <v>14400</v>
      </c>
      <c r="U3945" s="61">
        <f t="shared" ca="1" si="447"/>
        <v>28013.850268933922</v>
      </c>
      <c r="V3945" s="39">
        <f t="shared" ca="1" si="448"/>
        <v>0.18430164650614422</v>
      </c>
      <c r="W3945" s="48">
        <f t="shared" ca="1" si="449"/>
        <v>2.9433120511006927</v>
      </c>
    </row>
    <row r="3946" spans="17:23" x14ac:dyDescent="0.2">
      <c r="Q3946">
        <f t="shared" si="450"/>
        <v>3930</v>
      </c>
      <c r="R3946" s="48">
        <f t="shared" ca="1" si="451"/>
        <v>0.217</v>
      </c>
      <c r="S3946">
        <f t="shared" ca="1" si="452"/>
        <v>180.83419266278943</v>
      </c>
      <c r="T3946" s="61">
        <f t="shared" ca="1" si="446"/>
        <v>10416</v>
      </c>
      <c r="U3946" s="61">
        <f t="shared" ca="1" si="447"/>
        <v>4674.538283971302</v>
      </c>
      <c r="V3946" s="39">
        <f t="shared" ca="1" si="448"/>
        <v>3.0753541341916459E-2</v>
      </c>
      <c r="W3946" s="48">
        <f t="shared" ca="1" si="449"/>
        <v>0.27849882430159756</v>
      </c>
    </row>
    <row r="3947" spans="17:23" x14ac:dyDescent="0.2">
      <c r="Q3947">
        <f t="shared" si="450"/>
        <v>3931</v>
      </c>
      <c r="R3947" s="48">
        <f t="shared" ca="1" si="451"/>
        <v>0.35</v>
      </c>
      <c r="S3947">
        <f t="shared" ca="1" si="452"/>
        <v>186.99011100215253</v>
      </c>
      <c r="T3947" s="61">
        <f t="shared" ca="1" si="446"/>
        <v>16800</v>
      </c>
      <c r="U3947" s="61">
        <f t="shared" ca="1" si="447"/>
        <v>15234.857721119317</v>
      </c>
      <c r="V3947" s="39">
        <f t="shared" ca="1" si="448"/>
        <v>0.10022932711262708</v>
      </c>
      <c r="W3947" s="48">
        <f t="shared" ca="1" si="449"/>
        <v>1.1700761955000996</v>
      </c>
    </row>
    <row r="3948" spans="17:23" x14ac:dyDescent="0.2">
      <c r="Q3948">
        <f t="shared" si="450"/>
        <v>3932</v>
      </c>
      <c r="R3948" s="48">
        <f t="shared" ca="1" si="451"/>
        <v>0.217</v>
      </c>
      <c r="S3948">
        <f t="shared" ca="1" si="452"/>
        <v>193.03474584741215</v>
      </c>
      <c r="T3948" s="61">
        <f t="shared" ca="1" si="446"/>
        <v>10416</v>
      </c>
      <c r="U3948" s="61">
        <f t="shared" ca="1" si="447"/>
        <v>12316.964798818974</v>
      </c>
      <c r="V3948" s="39">
        <f t="shared" ca="1" si="448"/>
        <v>8.103266315012482E-2</v>
      </c>
      <c r="W3948" s="48">
        <f t="shared" ca="1" si="449"/>
        <v>0.88135346901389555</v>
      </c>
    </row>
    <row r="3949" spans="17:23" x14ac:dyDescent="0.2">
      <c r="Q3949">
        <f t="shared" si="450"/>
        <v>3933</v>
      </c>
      <c r="R3949" s="48">
        <f t="shared" ca="1" si="451"/>
        <v>0.4</v>
      </c>
      <c r="S3949">
        <f t="shared" ca="1" si="452"/>
        <v>161.62115003338974</v>
      </c>
      <c r="T3949" s="61">
        <f t="shared" ca="1" si="446"/>
        <v>19200</v>
      </c>
      <c r="U3949" s="61">
        <f t="shared" ca="1" si="447"/>
        <v>5578.1520160270738</v>
      </c>
      <c r="V3949" s="39">
        <f t="shared" ca="1" si="448"/>
        <v>3.6698368526493906E-2</v>
      </c>
      <c r="W3949" s="48">
        <f t="shared" ca="1" si="449"/>
        <v>0.33954860937160225</v>
      </c>
    </row>
    <row r="3950" spans="17:23" x14ac:dyDescent="0.2">
      <c r="Q3950">
        <f t="shared" si="450"/>
        <v>3934</v>
      </c>
      <c r="R3950" s="48">
        <f t="shared" ca="1" si="451"/>
        <v>0.35</v>
      </c>
      <c r="S3950">
        <f t="shared" ca="1" si="452"/>
        <v>203.95427679591671</v>
      </c>
      <c r="T3950" s="61">
        <f t="shared" ca="1" si="446"/>
        <v>16800</v>
      </c>
      <c r="U3950" s="61">
        <f t="shared" ca="1" si="447"/>
        <v>24056.223933876689</v>
      </c>
      <c r="V3950" s="39">
        <f t="shared" ca="1" si="448"/>
        <v>0.15826463114392558</v>
      </c>
      <c r="W3950" s="48">
        <f t="shared" ca="1" si="449"/>
        <v>2.2926996246976996</v>
      </c>
    </row>
    <row r="3951" spans="17:23" x14ac:dyDescent="0.2">
      <c r="Q3951">
        <f t="shared" si="450"/>
        <v>3935</v>
      </c>
      <c r="R3951" s="48">
        <f t="shared" ca="1" si="451"/>
        <v>0.4</v>
      </c>
      <c r="S3951">
        <f t="shared" ca="1" si="452"/>
        <v>163.35876803070576</v>
      </c>
      <c r="T3951" s="61">
        <f t="shared" ca="1" si="446"/>
        <v>19200</v>
      </c>
      <c r="U3951" s="61">
        <f t="shared" ca="1" si="447"/>
        <v>6412.2086547387662</v>
      </c>
      <c r="V3951" s="39">
        <f t="shared" ca="1" si="448"/>
        <v>4.2185583254860305E-2</v>
      </c>
      <c r="W3951" s="48">
        <f t="shared" ca="1" si="449"/>
        <v>0.39815199031256387</v>
      </c>
    </row>
    <row r="3952" spans="17:23" x14ac:dyDescent="0.2">
      <c r="Q3952">
        <f t="shared" si="450"/>
        <v>3936</v>
      </c>
      <c r="R3952" s="48">
        <f t="shared" ca="1" si="451"/>
        <v>0.4</v>
      </c>
      <c r="S3952">
        <f t="shared" ca="1" si="452"/>
        <v>165.65758518441814</v>
      </c>
      <c r="T3952" s="61">
        <f t="shared" ca="1" si="446"/>
        <v>19200</v>
      </c>
      <c r="U3952" s="61">
        <f t="shared" ca="1" si="447"/>
        <v>7515.6408885207056</v>
      </c>
      <c r="V3952" s="39">
        <f t="shared" ca="1" si="448"/>
        <v>4.9445005845530958E-2</v>
      </c>
      <c r="W3952" s="48">
        <f t="shared" ca="1" si="449"/>
        <v>0.47912996410797759</v>
      </c>
    </row>
    <row r="3953" spans="17:23" x14ac:dyDescent="0.2">
      <c r="Q3953">
        <f t="shared" si="450"/>
        <v>3937</v>
      </c>
      <c r="R3953" s="48">
        <f t="shared" ca="1" si="451"/>
        <v>0.35</v>
      </c>
      <c r="S3953">
        <f t="shared" ca="1" si="452"/>
        <v>139.15086966599958</v>
      </c>
      <c r="T3953" s="61">
        <f t="shared" ca="1" si="446"/>
        <v>16800</v>
      </c>
      <c r="U3953" s="61">
        <f t="shared" ca="1" si="447"/>
        <v>-9641.5477736802204</v>
      </c>
      <c r="V3953" s="39">
        <f t="shared" ca="1" si="448"/>
        <v>-6.3431235353159351E-2</v>
      </c>
      <c r="W3953" s="48">
        <f t="shared" ca="1" si="449"/>
        <v>-0.4123008022290725</v>
      </c>
    </row>
    <row r="3954" spans="17:23" x14ac:dyDescent="0.2">
      <c r="Q3954">
        <f t="shared" si="450"/>
        <v>3938</v>
      </c>
      <c r="R3954" s="48">
        <f t="shared" ca="1" si="451"/>
        <v>0.35</v>
      </c>
      <c r="S3954">
        <f t="shared" ca="1" si="452"/>
        <v>172.07305247130503</v>
      </c>
      <c r="T3954" s="61">
        <f t="shared" ca="1" si="446"/>
        <v>16800</v>
      </c>
      <c r="U3954" s="61">
        <f t="shared" ca="1" si="447"/>
        <v>7477.9872850786178</v>
      </c>
      <c r="V3954" s="39">
        <f t="shared" ca="1" si="448"/>
        <v>4.9197284770254063E-2</v>
      </c>
      <c r="W3954" s="48">
        <f t="shared" ca="1" si="449"/>
        <v>0.47630036127597752</v>
      </c>
    </row>
    <row r="3955" spans="17:23" x14ac:dyDescent="0.2">
      <c r="Q3955">
        <f t="shared" si="450"/>
        <v>3939</v>
      </c>
      <c r="R3955" s="48">
        <f t="shared" ca="1" si="451"/>
        <v>0.3</v>
      </c>
      <c r="S3955">
        <f t="shared" ca="1" si="452"/>
        <v>175.55958810256288</v>
      </c>
      <c r="T3955" s="61">
        <f t="shared" ca="1" si="446"/>
        <v>14400</v>
      </c>
      <c r="U3955" s="61">
        <f t="shared" ca="1" si="447"/>
        <v>6313.3693374352151</v>
      </c>
      <c r="V3955" s="39">
        <f t="shared" ca="1" si="448"/>
        <v>4.1535324588389572E-2</v>
      </c>
      <c r="W3955" s="48">
        <f t="shared" ca="1" si="449"/>
        <v>0.3910918631779281</v>
      </c>
    </row>
    <row r="3956" spans="17:23" x14ac:dyDescent="0.2">
      <c r="Q3956">
        <f t="shared" si="450"/>
        <v>3940</v>
      </c>
      <c r="R3956" s="48">
        <f t="shared" ca="1" si="451"/>
        <v>0.3</v>
      </c>
      <c r="S3956">
        <f t="shared" ca="1" si="452"/>
        <v>214.73565904959091</v>
      </c>
      <c r="T3956" s="61">
        <f t="shared" ca="1" si="446"/>
        <v>14400</v>
      </c>
      <c r="U3956" s="61">
        <f t="shared" ca="1" si="447"/>
        <v>28251.969067770908</v>
      </c>
      <c r="V3956" s="39">
        <f t="shared" ca="1" si="448"/>
        <v>0.1858682175511244</v>
      </c>
      <c r="W3956" s="48">
        <f t="shared" ca="1" si="449"/>
        <v>2.9858202339444406</v>
      </c>
    </row>
    <row r="3957" spans="17:23" x14ac:dyDescent="0.2">
      <c r="Q3957">
        <f t="shared" si="450"/>
        <v>3941</v>
      </c>
      <c r="R3957" s="48">
        <f t="shared" ca="1" si="451"/>
        <v>0.5</v>
      </c>
      <c r="S3957">
        <f t="shared" ca="1" si="452"/>
        <v>196.09045505175729</v>
      </c>
      <c r="T3957" s="61">
        <f t="shared" ca="1" si="446"/>
        <v>24000</v>
      </c>
      <c r="U3957" s="61">
        <f t="shared" ca="1" si="447"/>
        <v>26436.182020702916</v>
      </c>
      <c r="V3957" s="39">
        <f t="shared" ca="1" si="448"/>
        <v>0.17392225013620338</v>
      </c>
      <c r="W3957" s="48">
        <f t="shared" ca="1" si="449"/>
        <v>2.6715747728114776</v>
      </c>
    </row>
    <row r="3958" spans="17:23" x14ac:dyDescent="0.2">
      <c r="Q3958">
        <f t="shared" si="450"/>
        <v>3942</v>
      </c>
      <c r="R3958" s="48">
        <f t="shared" ca="1" si="451"/>
        <v>0.217</v>
      </c>
      <c r="S3958">
        <f t="shared" ca="1" si="452"/>
        <v>185.24224531918881</v>
      </c>
      <c r="T3958" s="61">
        <f t="shared" ca="1" si="446"/>
        <v>10416</v>
      </c>
      <c r="U3958" s="61">
        <f t="shared" ca="1" si="447"/>
        <v>7435.7424679398719</v>
      </c>
      <c r="V3958" s="39">
        <f t="shared" ca="1" si="448"/>
        <v>4.8919358341709684E-2</v>
      </c>
      <c r="W3958" s="48">
        <f t="shared" ca="1" si="449"/>
        <v>0.47313138670208565</v>
      </c>
    </row>
    <row r="3959" spans="17:23" x14ac:dyDescent="0.2">
      <c r="Q3959">
        <f t="shared" si="450"/>
        <v>3943</v>
      </c>
      <c r="R3959" s="48">
        <f t="shared" ca="1" si="451"/>
        <v>0.35</v>
      </c>
      <c r="S3959">
        <f t="shared" ca="1" si="452"/>
        <v>195.85487122789431</v>
      </c>
      <c r="T3959" s="61">
        <f t="shared" ca="1" si="446"/>
        <v>16800</v>
      </c>
      <c r="U3959" s="61">
        <f t="shared" ca="1" si="447"/>
        <v>19844.53303850504</v>
      </c>
      <c r="V3959" s="39">
        <f t="shared" ca="1" si="448"/>
        <v>0.13055613841121738</v>
      </c>
      <c r="W3959" s="48">
        <f t="shared" ca="1" si="449"/>
        <v>1.7055677085510199</v>
      </c>
    </row>
    <row r="3960" spans="17:23" x14ac:dyDescent="0.2">
      <c r="Q3960">
        <f t="shared" si="450"/>
        <v>3944</v>
      </c>
      <c r="R3960" s="48">
        <f t="shared" ca="1" si="451"/>
        <v>0.4</v>
      </c>
      <c r="S3960">
        <f t="shared" ca="1" si="452"/>
        <v>182.71411982223242</v>
      </c>
      <c r="T3960" s="61">
        <f t="shared" ca="1" si="446"/>
        <v>19200</v>
      </c>
      <c r="U3960" s="61">
        <f t="shared" ca="1" si="447"/>
        <v>15702.777514671561</v>
      </c>
      <c r="V3960" s="39">
        <f t="shared" ca="1" si="448"/>
        <v>0.10330774680704974</v>
      </c>
      <c r="W3960" s="48">
        <f t="shared" ca="1" si="449"/>
        <v>1.2198182350906537</v>
      </c>
    </row>
    <row r="3961" spans="17:23" x14ac:dyDescent="0.2">
      <c r="Q3961">
        <f t="shared" si="450"/>
        <v>3945</v>
      </c>
      <c r="R3961" s="48">
        <f t="shared" ca="1" si="451"/>
        <v>0.15</v>
      </c>
      <c r="S3961">
        <f t="shared" ca="1" si="452"/>
        <v>192.2501239835039</v>
      </c>
      <c r="T3961" s="61">
        <f t="shared" ref="T3961:T4024" ca="1" si="453">($B$8-$B$7)*($E$6*R3961)</f>
        <v>7200</v>
      </c>
      <c r="U3961" s="61">
        <f t="shared" ref="U3961:U4024" ca="1" si="454">T3961+((S3961-$B$7)*($E$6*(1-R3961)))</f>
        <v>8730.0843087826506</v>
      </c>
      <c r="V3961" s="39">
        <f t="shared" ref="V3961:V4024" ca="1" si="455">U3961/$E$4</f>
        <v>5.7434765189359541E-2</v>
      </c>
      <c r="W3961" s="48">
        <f t="shared" ref="W3961:W4024" ca="1" si="456">(1+V3961)^($J$29/$J$30)-1</f>
        <v>0.57298115367162072</v>
      </c>
    </row>
    <row r="3962" spans="17:23" x14ac:dyDescent="0.2">
      <c r="Q3962">
        <f t="shared" si="450"/>
        <v>3946</v>
      </c>
      <c r="R3962" s="48">
        <f t="shared" ca="1" si="451"/>
        <v>0.35</v>
      </c>
      <c r="S3962">
        <f t="shared" ca="1" si="452"/>
        <v>153.42743339348823</v>
      </c>
      <c r="T3962" s="61">
        <f t="shared" ca="1" si="453"/>
        <v>16800</v>
      </c>
      <c r="U3962" s="61">
        <f t="shared" ca="1" si="454"/>
        <v>-2217.7346353861212</v>
      </c>
      <c r="V3962" s="39">
        <f t="shared" ca="1" si="455"/>
        <v>-1.4590359443329745E-2</v>
      </c>
      <c r="W3962" s="48">
        <f t="shared" ca="1" si="456"/>
        <v>-0.1123838191094324</v>
      </c>
    </row>
    <row r="3963" spans="17:23" x14ac:dyDescent="0.2">
      <c r="Q3963">
        <f t="shared" si="450"/>
        <v>3947</v>
      </c>
      <c r="R3963" s="48">
        <f t="shared" ca="1" si="451"/>
        <v>0.4</v>
      </c>
      <c r="S3963">
        <f t="shared" ca="1" si="452"/>
        <v>172.68080334702944</v>
      </c>
      <c r="T3963" s="61">
        <f t="shared" ca="1" si="453"/>
        <v>19200</v>
      </c>
      <c r="U3963" s="61">
        <f t="shared" ca="1" si="454"/>
        <v>10886.785606574131</v>
      </c>
      <c r="V3963" s="39">
        <f t="shared" ca="1" si="455"/>
        <v>7.1623589516935066E-2</v>
      </c>
      <c r="W3963" s="48">
        <f t="shared" ca="1" si="456"/>
        <v>0.75257313578989393</v>
      </c>
    </row>
    <row r="3964" spans="17:23" x14ac:dyDescent="0.2">
      <c r="Q3964">
        <f t="shared" si="450"/>
        <v>3948</v>
      </c>
      <c r="R3964" s="48">
        <f t="shared" ca="1" si="451"/>
        <v>0.217</v>
      </c>
      <c r="S3964">
        <f t="shared" ca="1" si="452"/>
        <v>168.91446398213944</v>
      </c>
      <c r="T3964" s="61">
        <f t="shared" ca="1" si="453"/>
        <v>10416</v>
      </c>
      <c r="U3964" s="61">
        <f t="shared" ca="1" si="454"/>
        <v>-2791.979761587856</v>
      </c>
      <c r="V3964" s="39">
        <f t="shared" ca="1" si="455"/>
        <v>-1.8368287905183262E-2</v>
      </c>
      <c r="W3964" s="48">
        <f t="shared" ca="1" si="456"/>
        <v>-0.13961260710743451</v>
      </c>
    </row>
    <row r="3965" spans="17:23" x14ac:dyDescent="0.2">
      <c r="Q3965">
        <f t="shared" si="450"/>
        <v>3949</v>
      </c>
      <c r="R3965" s="48">
        <f t="shared" ca="1" si="451"/>
        <v>0.3</v>
      </c>
      <c r="S3965">
        <f t="shared" ca="1" si="452"/>
        <v>203.70018363008967</v>
      </c>
      <c r="T3965" s="61">
        <f t="shared" ca="1" si="453"/>
        <v>14400</v>
      </c>
      <c r="U3965" s="61">
        <f t="shared" ca="1" si="454"/>
        <v>22072.102832850214</v>
      </c>
      <c r="V3965" s="39">
        <f t="shared" ca="1" si="455"/>
        <v>0.14521120284769878</v>
      </c>
      <c r="W3965" s="48">
        <f t="shared" ca="1" si="456"/>
        <v>2.0034993713816767</v>
      </c>
    </row>
    <row r="3966" spans="17:23" x14ac:dyDescent="0.2">
      <c r="Q3966">
        <f t="shared" si="450"/>
        <v>3950</v>
      </c>
      <c r="R3966" s="48">
        <f t="shared" ca="1" si="451"/>
        <v>0.35</v>
      </c>
      <c r="S3966">
        <f t="shared" ca="1" si="452"/>
        <v>189.50988095727891</v>
      </c>
      <c r="T3966" s="61">
        <f t="shared" ca="1" si="453"/>
        <v>16800</v>
      </c>
      <c r="U3966" s="61">
        <f t="shared" ca="1" si="454"/>
        <v>16545.138097785031</v>
      </c>
      <c r="V3966" s="39">
        <f t="shared" ca="1" si="455"/>
        <v>0.10884959274858573</v>
      </c>
      <c r="W3966" s="48">
        <f t="shared" ca="1" si="456"/>
        <v>1.3118890047400988</v>
      </c>
    </row>
    <row r="3967" spans="17:23" x14ac:dyDescent="0.2">
      <c r="Q3967">
        <f t="shared" si="450"/>
        <v>3951</v>
      </c>
      <c r="R3967" s="48">
        <f t="shared" ca="1" si="451"/>
        <v>0.4</v>
      </c>
      <c r="S3967">
        <f t="shared" ca="1" si="452"/>
        <v>159.67020645157552</v>
      </c>
      <c r="T3967" s="61">
        <f t="shared" ca="1" si="453"/>
        <v>19200</v>
      </c>
      <c r="U3967" s="61">
        <f t="shared" ca="1" si="454"/>
        <v>4641.6990967562524</v>
      </c>
      <c r="V3967" s="39">
        <f t="shared" ca="1" si="455"/>
        <v>3.0537494057606925E-2</v>
      </c>
      <c r="W3967" s="48">
        <f t="shared" ca="1" si="456"/>
        <v>0.27632686831754127</v>
      </c>
    </row>
    <row r="3968" spans="17:23" x14ac:dyDescent="0.2">
      <c r="Q3968">
        <f t="shared" si="450"/>
        <v>3952</v>
      </c>
      <c r="R3968" s="48">
        <f t="shared" ca="1" si="451"/>
        <v>0.4</v>
      </c>
      <c r="S3968">
        <f t="shared" ca="1" si="452"/>
        <v>184.03940738082881</v>
      </c>
      <c r="T3968" s="61">
        <f t="shared" ca="1" si="453"/>
        <v>19200</v>
      </c>
      <c r="U3968" s="61">
        <f t="shared" ca="1" si="454"/>
        <v>16338.915542797826</v>
      </c>
      <c r="V3968" s="39">
        <f t="shared" ca="1" si="455"/>
        <v>0.1074928654131436</v>
      </c>
      <c r="W3968" s="48">
        <f t="shared" ca="1" si="456"/>
        <v>1.2890446698708509</v>
      </c>
    </row>
    <row r="3969" spans="17:23" x14ac:dyDescent="0.2">
      <c r="Q3969">
        <f t="shared" si="450"/>
        <v>3953</v>
      </c>
      <c r="R3969" s="48">
        <f t="shared" ca="1" si="451"/>
        <v>0.35</v>
      </c>
      <c r="S3969">
        <f t="shared" ca="1" si="452"/>
        <v>187.73141522566627</v>
      </c>
      <c r="T3969" s="61">
        <f t="shared" ca="1" si="453"/>
        <v>16800</v>
      </c>
      <c r="U3969" s="61">
        <f t="shared" ca="1" si="454"/>
        <v>15620.33591734646</v>
      </c>
      <c r="V3969" s="39">
        <f t="shared" ca="1" si="455"/>
        <v>0.10276536787727934</v>
      </c>
      <c r="W3969" s="48">
        <f t="shared" ca="1" si="456"/>
        <v>1.2109824548396184</v>
      </c>
    </row>
    <row r="3970" spans="17:23" x14ac:dyDescent="0.2">
      <c r="Q3970">
        <f t="shared" si="450"/>
        <v>3954</v>
      </c>
      <c r="R3970" s="48">
        <f t="shared" ca="1" si="451"/>
        <v>0.45</v>
      </c>
      <c r="S3970">
        <f t="shared" ca="1" si="452"/>
        <v>211.58600490175345</v>
      </c>
      <c r="T3970" s="61">
        <f t="shared" ca="1" si="453"/>
        <v>21600</v>
      </c>
      <c r="U3970" s="61">
        <f t="shared" ca="1" si="454"/>
        <v>31097.84215677152</v>
      </c>
      <c r="V3970" s="39">
        <f t="shared" ca="1" si="455"/>
        <v>0.20459106682086525</v>
      </c>
      <c r="W3970" s="48">
        <f t="shared" ca="1" si="456"/>
        <v>3.5258409450968928</v>
      </c>
    </row>
    <row r="3971" spans="17:23" x14ac:dyDescent="0.2">
      <c r="Q3971">
        <f t="shared" si="450"/>
        <v>3955</v>
      </c>
      <c r="R3971" s="48">
        <f t="shared" ca="1" si="451"/>
        <v>0.4</v>
      </c>
      <c r="S3971">
        <f t="shared" ca="1" si="452"/>
        <v>179.61192105031898</v>
      </c>
      <c r="T3971" s="61">
        <f t="shared" ca="1" si="453"/>
        <v>19200</v>
      </c>
      <c r="U3971" s="61">
        <f t="shared" ca="1" si="454"/>
        <v>14213.722104153112</v>
      </c>
      <c r="V3971" s="39">
        <f t="shared" ca="1" si="455"/>
        <v>9.3511329632586265E-2</v>
      </c>
      <c r="W3971" s="48">
        <f t="shared" ca="1" si="456"/>
        <v>1.0649046143750707</v>
      </c>
    </row>
    <row r="3972" spans="17:23" x14ac:dyDescent="0.2">
      <c r="Q3972">
        <f t="shared" si="450"/>
        <v>3956</v>
      </c>
      <c r="R3972" s="48">
        <f t="shared" ca="1" si="451"/>
        <v>0.5</v>
      </c>
      <c r="S3972">
        <f t="shared" ca="1" si="452"/>
        <v>125.70547612068989</v>
      </c>
      <c r="T3972" s="61">
        <f t="shared" ca="1" si="453"/>
        <v>24000</v>
      </c>
      <c r="U3972" s="61">
        <f t="shared" ca="1" si="454"/>
        <v>-1717.8095517240436</v>
      </c>
      <c r="V3972" s="39">
        <f t="shared" ca="1" si="455"/>
        <v>-1.1301378629763445E-2</v>
      </c>
      <c r="W3972" s="48">
        <f t="shared" ca="1" si="456"/>
        <v>-8.8066906514169485E-2</v>
      </c>
    </row>
    <row r="3973" spans="17:23" x14ac:dyDescent="0.2">
      <c r="Q3973">
        <f t="shared" si="450"/>
        <v>3957</v>
      </c>
      <c r="R3973" s="48">
        <f t="shared" ca="1" si="451"/>
        <v>0.217</v>
      </c>
      <c r="S3973">
        <f t="shared" ca="1" si="452"/>
        <v>195.23476907346711</v>
      </c>
      <c r="T3973" s="61">
        <f t="shared" ca="1" si="453"/>
        <v>10416</v>
      </c>
      <c r="U3973" s="61">
        <f t="shared" ca="1" si="454"/>
        <v>13695.059347619796</v>
      </c>
      <c r="V3973" s="39">
        <f t="shared" ca="1" si="455"/>
        <v>9.0099074655393394E-2</v>
      </c>
      <c r="W3973" s="48">
        <f t="shared" ca="1" si="456"/>
        <v>1.0132172992483772</v>
      </c>
    </row>
    <row r="3974" spans="17:23" x14ac:dyDescent="0.2">
      <c r="Q3974">
        <f t="shared" si="450"/>
        <v>3958</v>
      </c>
      <c r="R3974" s="48">
        <f t="shared" ca="1" si="451"/>
        <v>0.45</v>
      </c>
      <c r="S3974">
        <f t="shared" ca="1" si="452"/>
        <v>211.66355875383397</v>
      </c>
      <c r="T3974" s="61">
        <f t="shared" ca="1" si="453"/>
        <v>21600</v>
      </c>
      <c r="U3974" s="61">
        <f t="shared" ca="1" si="454"/>
        <v>31131.965851686946</v>
      </c>
      <c r="V3974" s="39">
        <f t="shared" ca="1" si="455"/>
        <v>0.20481556481372989</v>
      </c>
      <c r="W3974" s="48">
        <f t="shared" ca="1" si="456"/>
        <v>3.5326869981250679</v>
      </c>
    </row>
    <row r="3975" spans="17:23" x14ac:dyDescent="0.2">
      <c r="Q3975">
        <f t="shared" si="450"/>
        <v>3959</v>
      </c>
      <c r="R3975" s="48">
        <f t="shared" ca="1" si="451"/>
        <v>0.3</v>
      </c>
      <c r="S3975">
        <f t="shared" ca="1" si="452"/>
        <v>185.17304213181151</v>
      </c>
      <c r="T3975" s="61">
        <f t="shared" ca="1" si="453"/>
        <v>14400</v>
      </c>
      <c r="U3975" s="61">
        <f t="shared" ca="1" si="454"/>
        <v>11696.903593814448</v>
      </c>
      <c r="V3975" s="39">
        <f t="shared" ca="1" si="455"/>
        <v>7.6953313117200314E-2</v>
      </c>
      <c r="W3975" s="48">
        <f t="shared" ca="1" si="456"/>
        <v>0.82453602985526842</v>
      </c>
    </row>
    <row r="3976" spans="17:23" x14ac:dyDescent="0.2">
      <c r="Q3976">
        <f t="shared" si="450"/>
        <v>3960</v>
      </c>
      <c r="R3976" s="48">
        <f t="shared" ca="1" si="451"/>
        <v>0.35</v>
      </c>
      <c r="S3976">
        <f t="shared" ca="1" si="452"/>
        <v>202.86028389564876</v>
      </c>
      <c r="T3976" s="61">
        <f t="shared" ca="1" si="453"/>
        <v>16800</v>
      </c>
      <c r="U3976" s="61">
        <f t="shared" ca="1" si="454"/>
        <v>23487.347625737355</v>
      </c>
      <c r="V3976" s="39">
        <f t="shared" ca="1" si="455"/>
        <v>0.15452202385353522</v>
      </c>
      <c r="W3976" s="48">
        <f t="shared" ca="1" si="456"/>
        <v>2.207386938374126</v>
      </c>
    </row>
    <row r="3977" spans="17:23" x14ac:dyDescent="0.2">
      <c r="Q3977">
        <f t="shared" si="450"/>
        <v>3961</v>
      </c>
      <c r="R3977" s="48">
        <f t="shared" ca="1" si="451"/>
        <v>0.3</v>
      </c>
      <c r="S3977">
        <f t="shared" ca="1" si="452"/>
        <v>195.00295390080555</v>
      </c>
      <c r="T3977" s="61">
        <f t="shared" ca="1" si="453"/>
        <v>14400</v>
      </c>
      <c r="U3977" s="61">
        <f t="shared" ca="1" si="454"/>
        <v>17201.654184451108</v>
      </c>
      <c r="V3977" s="39">
        <f t="shared" ca="1" si="455"/>
        <v>0.11316877752928362</v>
      </c>
      <c r="W3977" s="48">
        <f t="shared" ca="1" si="456"/>
        <v>1.3859513234447665</v>
      </c>
    </row>
    <row r="3978" spans="17:23" x14ac:dyDescent="0.2">
      <c r="Q3978">
        <f t="shared" si="450"/>
        <v>3962</v>
      </c>
      <c r="R3978" s="48">
        <f t="shared" ca="1" si="451"/>
        <v>0.3</v>
      </c>
      <c r="S3978">
        <f t="shared" ca="1" si="452"/>
        <v>184.94648339182328</v>
      </c>
      <c r="T3978" s="61">
        <f t="shared" ca="1" si="453"/>
        <v>14400</v>
      </c>
      <c r="U3978" s="61">
        <f t="shared" ca="1" si="454"/>
        <v>11570.030699421037</v>
      </c>
      <c r="V3978" s="39">
        <f t="shared" ca="1" si="455"/>
        <v>7.6118623022506826E-2</v>
      </c>
      <c r="W3978" s="48">
        <f t="shared" ca="1" si="456"/>
        <v>0.81309764716682076</v>
      </c>
    </row>
    <row r="3979" spans="17:23" x14ac:dyDescent="0.2">
      <c r="Q3979">
        <f t="shared" si="450"/>
        <v>3963</v>
      </c>
      <c r="R3979" s="48">
        <f t="shared" ca="1" si="451"/>
        <v>0.5</v>
      </c>
      <c r="S3979">
        <f t="shared" ca="1" si="452"/>
        <v>206.18594461012199</v>
      </c>
      <c r="T3979" s="61">
        <f t="shared" ca="1" si="453"/>
        <v>24000</v>
      </c>
      <c r="U3979" s="61">
        <f t="shared" ca="1" si="454"/>
        <v>30474.377844048795</v>
      </c>
      <c r="V3979" s="39">
        <f t="shared" ca="1" si="455"/>
        <v>0.20048932792137364</v>
      </c>
      <c r="W3979" s="48">
        <f t="shared" ca="1" si="456"/>
        <v>3.4023444352647294</v>
      </c>
    </row>
    <row r="3980" spans="17:23" x14ac:dyDescent="0.2">
      <c r="Q3980">
        <f t="shared" si="450"/>
        <v>3964</v>
      </c>
      <c r="R3980" s="48">
        <f t="shared" ca="1" si="451"/>
        <v>0.15</v>
      </c>
      <c r="S3980">
        <f t="shared" ca="1" si="452"/>
        <v>206.37925152573797</v>
      </c>
      <c r="T3980" s="61">
        <f t="shared" ca="1" si="453"/>
        <v>7200</v>
      </c>
      <c r="U3980" s="61">
        <f t="shared" ca="1" si="454"/>
        <v>18337.89103750182</v>
      </c>
      <c r="V3980" s="39">
        <f t="shared" ca="1" si="455"/>
        <v>0.12064401998356461</v>
      </c>
      <c r="W3980" s="48">
        <f t="shared" ca="1" si="456"/>
        <v>1.5190560594686184</v>
      </c>
    </row>
    <row r="3981" spans="17:23" x14ac:dyDescent="0.2">
      <c r="Q3981">
        <f t="shared" si="450"/>
        <v>3965</v>
      </c>
      <c r="R3981" s="48">
        <f t="shared" ca="1" si="451"/>
        <v>0.35</v>
      </c>
      <c r="S3981">
        <f t="shared" ca="1" si="452"/>
        <v>169.7949215558898</v>
      </c>
      <c r="T3981" s="61">
        <f t="shared" ca="1" si="453"/>
        <v>16800</v>
      </c>
      <c r="U3981" s="61">
        <f t="shared" ca="1" si="454"/>
        <v>6293.3592090626953</v>
      </c>
      <c r="V3981" s="39">
        <f t="shared" ca="1" si="455"/>
        <v>4.1403679006991413E-2</v>
      </c>
      <c r="W3981" s="48">
        <f t="shared" ca="1" si="456"/>
        <v>0.3896663433076113</v>
      </c>
    </row>
    <row r="3982" spans="17:23" x14ac:dyDescent="0.2">
      <c r="Q3982">
        <f t="shared" si="450"/>
        <v>3966</v>
      </c>
      <c r="R3982" s="48">
        <f t="shared" ca="1" si="451"/>
        <v>0.4</v>
      </c>
      <c r="S3982">
        <f t="shared" ca="1" si="452"/>
        <v>178.62327609955318</v>
      </c>
      <c r="T3982" s="61">
        <f t="shared" ca="1" si="453"/>
        <v>19200</v>
      </c>
      <c r="U3982" s="61">
        <f t="shared" ca="1" si="454"/>
        <v>13739.172527785526</v>
      </c>
      <c r="V3982" s="39">
        <f t="shared" ca="1" si="455"/>
        <v>9.0389292945957406E-2</v>
      </c>
      <c r="W3982" s="48">
        <f t="shared" ca="1" si="456"/>
        <v>1.0175688188511343</v>
      </c>
    </row>
    <row r="3983" spans="17:23" x14ac:dyDescent="0.2">
      <c r="Q3983">
        <f t="shared" si="450"/>
        <v>3967</v>
      </c>
      <c r="R3983" s="48">
        <f t="shared" ca="1" si="451"/>
        <v>0.35</v>
      </c>
      <c r="S3983">
        <f t="shared" ca="1" si="452"/>
        <v>195.68493330096913</v>
      </c>
      <c r="T3983" s="61">
        <f t="shared" ca="1" si="453"/>
        <v>16800</v>
      </c>
      <c r="U3983" s="61">
        <f t="shared" ca="1" si="454"/>
        <v>19756.16531650395</v>
      </c>
      <c r="V3983" s="39">
        <f t="shared" ca="1" si="455"/>
        <v>0.12997477181910494</v>
      </c>
      <c r="W3983" s="48">
        <f t="shared" ca="1" si="456"/>
        <v>1.6943034463931208</v>
      </c>
    </row>
    <row r="3984" spans="17:23" x14ac:dyDescent="0.2">
      <c r="Q3984">
        <f t="shared" si="450"/>
        <v>3968</v>
      </c>
      <c r="R3984" s="48">
        <f t="shared" ca="1" si="451"/>
        <v>0.4</v>
      </c>
      <c r="S3984">
        <f t="shared" ca="1" si="452"/>
        <v>193.87793352227314</v>
      </c>
      <c r="T3984" s="61">
        <f t="shared" ca="1" si="453"/>
        <v>19200</v>
      </c>
      <c r="U3984" s="61">
        <f t="shared" ca="1" si="454"/>
        <v>21061.408090691108</v>
      </c>
      <c r="V3984" s="39">
        <f t="shared" ca="1" si="455"/>
        <v>0.13856189533349414</v>
      </c>
      <c r="W3984" s="48">
        <f t="shared" ca="1" si="456"/>
        <v>1.8649365606193498</v>
      </c>
    </row>
    <row r="3985" spans="17:23" x14ac:dyDescent="0.2">
      <c r="Q3985">
        <f t="shared" si="450"/>
        <v>3969</v>
      </c>
      <c r="R3985" s="48">
        <f t="shared" ca="1" si="451"/>
        <v>0.45</v>
      </c>
      <c r="S3985">
        <f t="shared" ca="1" si="452"/>
        <v>161.11390298547167</v>
      </c>
      <c r="T3985" s="61">
        <f t="shared" ca="1" si="453"/>
        <v>21600</v>
      </c>
      <c r="U3985" s="61">
        <f t="shared" ca="1" si="454"/>
        <v>8890.1173136075322</v>
      </c>
      <c r="V3985" s="39">
        <f t="shared" ca="1" si="455"/>
        <v>5.8487613905312714E-2</v>
      </c>
      <c r="W3985" s="48">
        <f t="shared" ca="1" si="456"/>
        <v>0.58572950767223664</v>
      </c>
    </row>
    <row r="3986" spans="17:23" x14ac:dyDescent="0.2">
      <c r="Q3986">
        <f t="shared" si="450"/>
        <v>3970</v>
      </c>
      <c r="R3986" s="48">
        <f t="shared" ca="1" si="451"/>
        <v>0.3</v>
      </c>
      <c r="S3986">
        <f t="shared" ca="1" si="452"/>
        <v>197.42535835306708</v>
      </c>
      <c r="T3986" s="61">
        <f t="shared" ca="1" si="453"/>
        <v>14400</v>
      </c>
      <c r="U3986" s="61">
        <f t="shared" ca="1" si="454"/>
        <v>18558.200677717567</v>
      </c>
      <c r="V3986" s="39">
        <f t="shared" ca="1" si="455"/>
        <v>0.12209342551129979</v>
      </c>
      <c r="W3986" s="48">
        <f t="shared" ca="1" si="456"/>
        <v>1.5456044533304087</v>
      </c>
    </row>
    <row r="3987" spans="17:23" x14ac:dyDescent="0.2">
      <c r="Q3987">
        <f t="shared" ref="Q3987:Q4050" si="457">Q3986+1</f>
        <v>3971</v>
      </c>
      <c r="R3987" s="48">
        <f t="shared" ref="R3987:R4050" ca="1" si="458">LOOKUP(RAND(),$U$6:$U$12,$S$6:$S$12)</f>
        <v>0.45</v>
      </c>
      <c r="S3987">
        <f t="shared" ref="S3987:S4050" ca="1" si="459">_xlfn.NORM.INV(RAND(),$Q$5,$Q$10)</f>
        <v>188.99299219846483</v>
      </c>
      <c r="T3987" s="61">
        <f t="shared" ca="1" si="453"/>
        <v>21600</v>
      </c>
      <c r="U3987" s="61">
        <f t="shared" ca="1" si="454"/>
        <v>21156.916567324526</v>
      </c>
      <c r="V3987" s="39">
        <f t="shared" ca="1" si="455"/>
        <v>0.13919024057450347</v>
      </c>
      <c r="W3987" s="48">
        <f t="shared" ca="1" si="456"/>
        <v>1.877786153012388</v>
      </c>
    </row>
    <row r="3988" spans="17:23" x14ac:dyDescent="0.2">
      <c r="Q3988">
        <f t="shared" si="457"/>
        <v>3972</v>
      </c>
      <c r="R3988" s="48">
        <f t="shared" ca="1" si="458"/>
        <v>0.217</v>
      </c>
      <c r="S3988">
        <f t="shared" ca="1" si="459"/>
        <v>192.40134436643709</v>
      </c>
      <c r="T3988" s="61">
        <f t="shared" ca="1" si="453"/>
        <v>10416</v>
      </c>
      <c r="U3988" s="61">
        <f t="shared" ca="1" si="454"/>
        <v>11920.202111136192</v>
      </c>
      <c r="V3988" s="39">
        <f t="shared" ca="1" si="455"/>
        <v>7.8422382310106523E-2</v>
      </c>
      <c r="W3988" s="48">
        <f t="shared" ca="1" si="456"/>
        <v>0.84482151014885432</v>
      </c>
    </row>
    <row r="3989" spans="17:23" x14ac:dyDescent="0.2">
      <c r="Q3989">
        <f t="shared" si="457"/>
        <v>3973</v>
      </c>
      <c r="R3989" s="48">
        <f t="shared" ca="1" si="458"/>
        <v>0.3</v>
      </c>
      <c r="S3989">
        <f t="shared" ca="1" si="459"/>
        <v>191.62233512418652</v>
      </c>
      <c r="T3989" s="61">
        <f t="shared" ca="1" si="453"/>
        <v>14400</v>
      </c>
      <c r="U3989" s="61">
        <f t="shared" ca="1" si="454"/>
        <v>15308.507669544451</v>
      </c>
      <c r="V3989" s="39">
        <f t="shared" ca="1" si="455"/>
        <v>0.10071386624700297</v>
      </c>
      <c r="W3989" s="48">
        <f t="shared" ca="1" si="456"/>
        <v>1.1778401163263896</v>
      </c>
    </row>
    <row r="3990" spans="17:23" x14ac:dyDescent="0.2">
      <c r="Q3990">
        <f t="shared" si="457"/>
        <v>3974</v>
      </c>
      <c r="R3990" s="48">
        <f t="shared" ca="1" si="458"/>
        <v>0.35</v>
      </c>
      <c r="S3990">
        <f t="shared" ca="1" si="459"/>
        <v>154.95831120165684</v>
      </c>
      <c r="T3990" s="61">
        <f t="shared" ca="1" si="453"/>
        <v>16800</v>
      </c>
      <c r="U3990" s="61">
        <f t="shared" ca="1" si="454"/>
        <v>-1421.6781751384442</v>
      </c>
      <c r="V3990" s="39">
        <f t="shared" ca="1" si="455"/>
        <v>-9.3531458890687112E-3</v>
      </c>
      <c r="W3990" s="48">
        <f t="shared" ca="1" si="456"/>
        <v>-7.3388985298550868E-2</v>
      </c>
    </row>
    <row r="3991" spans="17:23" x14ac:dyDescent="0.2">
      <c r="Q3991">
        <f t="shared" si="457"/>
        <v>3975</v>
      </c>
      <c r="R3991" s="48">
        <f t="shared" ca="1" si="458"/>
        <v>0.35</v>
      </c>
      <c r="S3991">
        <f t="shared" ca="1" si="459"/>
        <v>200.04024344106776</v>
      </c>
      <c r="T3991" s="61">
        <f t="shared" ca="1" si="453"/>
        <v>16800</v>
      </c>
      <c r="U3991" s="61">
        <f t="shared" ca="1" si="454"/>
        <v>22020.926589355237</v>
      </c>
      <c r="V3991" s="39">
        <f t="shared" ca="1" si="455"/>
        <v>0.14487451703523183</v>
      </c>
      <c r="W3991" s="48">
        <f t="shared" ca="1" si="456"/>
        <v>1.9963446424412301</v>
      </c>
    </row>
    <row r="3992" spans="17:23" x14ac:dyDescent="0.2">
      <c r="Q3992">
        <f t="shared" si="457"/>
        <v>3976</v>
      </c>
      <c r="R3992" s="48">
        <f t="shared" ca="1" si="458"/>
        <v>0.35</v>
      </c>
      <c r="S3992">
        <f t="shared" ca="1" si="459"/>
        <v>202.03186798427464</v>
      </c>
      <c r="T3992" s="61">
        <f t="shared" ca="1" si="453"/>
        <v>16800</v>
      </c>
      <c r="U3992" s="61">
        <f t="shared" ca="1" si="454"/>
        <v>23056.571351822815</v>
      </c>
      <c r="V3992" s="39">
        <f t="shared" ca="1" si="455"/>
        <v>0.15168796941988694</v>
      </c>
      <c r="W3992" s="48">
        <f t="shared" ca="1" si="456"/>
        <v>2.144080251775454</v>
      </c>
    </row>
    <row r="3993" spans="17:23" x14ac:dyDescent="0.2">
      <c r="Q3993">
        <f t="shared" si="457"/>
        <v>3977</v>
      </c>
      <c r="R3993" s="48">
        <f t="shared" ca="1" si="458"/>
        <v>0.3</v>
      </c>
      <c r="S3993">
        <f t="shared" ca="1" si="459"/>
        <v>154.92601853821282</v>
      </c>
      <c r="T3993" s="61">
        <f t="shared" ca="1" si="453"/>
        <v>14400</v>
      </c>
      <c r="U3993" s="61">
        <f t="shared" ca="1" si="454"/>
        <v>-5241.4296186008214</v>
      </c>
      <c r="V3993" s="39">
        <f t="shared" ca="1" si="455"/>
        <v>-3.4483089596058038E-2</v>
      </c>
      <c r="W3993" s="48">
        <f t="shared" ca="1" si="456"/>
        <v>-0.24770923522703969</v>
      </c>
    </row>
    <row r="3994" spans="17:23" x14ac:dyDescent="0.2">
      <c r="Q3994">
        <f t="shared" si="457"/>
        <v>3978</v>
      </c>
      <c r="R3994" s="48">
        <f t="shared" ca="1" si="458"/>
        <v>0.4</v>
      </c>
      <c r="S3994">
        <f t="shared" ca="1" si="459"/>
        <v>189.31587173572268</v>
      </c>
      <c r="T3994" s="61">
        <f t="shared" ca="1" si="453"/>
        <v>19200</v>
      </c>
      <c r="U3994" s="61">
        <f t="shared" ca="1" si="454"/>
        <v>18871.618433146887</v>
      </c>
      <c r="V3994" s="39">
        <f t="shared" ca="1" si="455"/>
        <v>0.12415538442859794</v>
      </c>
      <c r="W3994" s="48">
        <f t="shared" ca="1" si="456"/>
        <v>1.5837954643881815</v>
      </c>
    </row>
    <row r="3995" spans="17:23" x14ac:dyDescent="0.2">
      <c r="Q3995">
        <f t="shared" si="457"/>
        <v>3979</v>
      </c>
      <c r="R3995" s="48">
        <f t="shared" ca="1" si="458"/>
        <v>0.3</v>
      </c>
      <c r="S3995">
        <f t="shared" ca="1" si="459"/>
        <v>190.13724168258867</v>
      </c>
      <c r="T3995" s="61">
        <f t="shared" ca="1" si="453"/>
        <v>14400</v>
      </c>
      <c r="U3995" s="61">
        <f t="shared" ca="1" si="454"/>
        <v>14476.855342249653</v>
      </c>
      <c r="V3995" s="39">
        <f t="shared" ca="1" si="455"/>
        <v>9.5242469356905612E-2</v>
      </c>
      <c r="W3995" s="48">
        <f t="shared" ca="1" si="456"/>
        <v>1.091569193974717</v>
      </c>
    </row>
    <row r="3996" spans="17:23" x14ac:dyDescent="0.2">
      <c r="Q3996">
        <f t="shared" si="457"/>
        <v>3980</v>
      </c>
      <c r="R3996" s="48">
        <f t="shared" ca="1" si="458"/>
        <v>0.217</v>
      </c>
      <c r="S3996">
        <f t="shared" ca="1" si="459"/>
        <v>174.79053612476972</v>
      </c>
      <c r="T3996" s="61">
        <f t="shared" ca="1" si="453"/>
        <v>10416</v>
      </c>
      <c r="U3996" s="61">
        <f t="shared" ca="1" si="454"/>
        <v>888.79182855574982</v>
      </c>
      <c r="V3996" s="39">
        <f t="shared" ca="1" si="455"/>
        <v>5.847314661550986E-3</v>
      </c>
      <c r="W3996" s="48">
        <f t="shared" ca="1" si="456"/>
        <v>4.8426106298312455E-2</v>
      </c>
    </row>
    <row r="3997" spans="17:23" x14ac:dyDescent="0.2">
      <c r="Q3997">
        <f t="shared" si="457"/>
        <v>3981</v>
      </c>
      <c r="R3997" s="48">
        <f t="shared" ca="1" si="458"/>
        <v>0.3</v>
      </c>
      <c r="S3997">
        <f t="shared" ca="1" si="459"/>
        <v>147.38216742696136</v>
      </c>
      <c r="T3997" s="61">
        <f t="shared" ca="1" si="453"/>
        <v>14400</v>
      </c>
      <c r="U3997" s="61">
        <f t="shared" ca="1" si="454"/>
        <v>-9465.9862409016387</v>
      </c>
      <c r="V3997" s="39">
        <f t="shared" ca="1" si="455"/>
        <v>-6.2276225269089727E-2</v>
      </c>
      <c r="W3997" s="48">
        <f t="shared" ca="1" si="456"/>
        <v>-0.40639625672914836</v>
      </c>
    </row>
    <row r="3998" spans="17:23" x14ac:dyDescent="0.2">
      <c r="Q3998">
        <f t="shared" si="457"/>
        <v>3982</v>
      </c>
      <c r="R3998" s="48">
        <f t="shared" ca="1" si="458"/>
        <v>0.4</v>
      </c>
      <c r="S3998">
        <f t="shared" ca="1" si="459"/>
        <v>195.92869720180954</v>
      </c>
      <c r="T3998" s="61">
        <f t="shared" ca="1" si="453"/>
        <v>19200</v>
      </c>
      <c r="U3998" s="61">
        <f t="shared" ca="1" si="454"/>
        <v>22045.77465686858</v>
      </c>
      <c r="V3998" s="39">
        <f t="shared" ca="1" si="455"/>
        <v>0.14503799116360908</v>
      </c>
      <c r="W3998" s="48">
        <f t="shared" ca="1" si="456"/>
        <v>1.9998166747058232</v>
      </c>
    </row>
    <row r="3999" spans="17:23" x14ac:dyDescent="0.2">
      <c r="Q3999">
        <f t="shared" si="457"/>
        <v>3983</v>
      </c>
      <c r="R3999" s="48">
        <f t="shared" ca="1" si="458"/>
        <v>0.35</v>
      </c>
      <c r="S3999">
        <f t="shared" ca="1" si="459"/>
        <v>211.31812571659049</v>
      </c>
      <c r="T3999" s="61">
        <f t="shared" ca="1" si="453"/>
        <v>16800</v>
      </c>
      <c r="U3999" s="61">
        <f t="shared" ca="1" si="454"/>
        <v>27885.425372627054</v>
      </c>
      <c r="V3999" s="39">
        <f t="shared" ca="1" si="455"/>
        <v>0.1834567458725464</v>
      </c>
      <c r="W3999" s="48">
        <f t="shared" ca="1" si="456"/>
        <v>2.9205514684661025</v>
      </c>
    </row>
    <row r="4000" spans="17:23" x14ac:dyDescent="0.2">
      <c r="Q4000">
        <f t="shared" si="457"/>
        <v>3984</v>
      </c>
      <c r="R4000" s="48">
        <f t="shared" ca="1" si="458"/>
        <v>0.35</v>
      </c>
      <c r="S4000">
        <f t="shared" ca="1" si="459"/>
        <v>175.13321244239486</v>
      </c>
      <c r="T4000" s="61">
        <f t="shared" ca="1" si="453"/>
        <v>16800</v>
      </c>
      <c r="U4000" s="61">
        <f t="shared" ca="1" si="454"/>
        <v>9069.2704700453287</v>
      </c>
      <c r="V4000" s="39">
        <f t="shared" ca="1" si="455"/>
        <v>5.9666253092403476E-2</v>
      </c>
      <c r="W4000" s="48">
        <f t="shared" ca="1" si="456"/>
        <v>0.60010836879738649</v>
      </c>
    </row>
    <row r="4001" spans="17:23" x14ac:dyDescent="0.2">
      <c r="Q4001">
        <f t="shared" si="457"/>
        <v>3985</v>
      </c>
      <c r="R4001" s="48">
        <f t="shared" ca="1" si="458"/>
        <v>0.45</v>
      </c>
      <c r="S4001">
        <f t="shared" ca="1" si="459"/>
        <v>184.40571080881563</v>
      </c>
      <c r="T4001" s="61">
        <f t="shared" ca="1" si="453"/>
        <v>21600</v>
      </c>
      <c r="U4001" s="61">
        <f t="shared" ca="1" si="454"/>
        <v>19138.512755878874</v>
      </c>
      <c r="V4001" s="39">
        <f t="shared" ca="1" si="455"/>
        <v>0.12591126813078207</v>
      </c>
      <c r="W4001" s="48">
        <f t="shared" ca="1" si="456"/>
        <v>1.6167125039706103</v>
      </c>
    </row>
    <row r="4002" spans="17:23" x14ac:dyDescent="0.2">
      <c r="Q4002">
        <f t="shared" si="457"/>
        <v>3986</v>
      </c>
      <c r="R4002" s="48">
        <f t="shared" ca="1" si="458"/>
        <v>0.45</v>
      </c>
      <c r="S4002">
        <f t="shared" ca="1" si="459"/>
        <v>176.9959561191763</v>
      </c>
      <c r="T4002" s="61">
        <f t="shared" ca="1" si="453"/>
        <v>21600</v>
      </c>
      <c r="U4002" s="61">
        <f t="shared" ca="1" si="454"/>
        <v>15878.220692437571</v>
      </c>
      <c r="V4002" s="39">
        <f t="shared" ca="1" si="455"/>
        <v>0.10446197823972087</v>
      </c>
      <c r="W4002" s="48">
        <f t="shared" ca="1" si="456"/>
        <v>1.2387246794861557</v>
      </c>
    </row>
    <row r="4003" spans="17:23" x14ac:dyDescent="0.2">
      <c r="Q4003">
        <f t="shared" si="457"/>
        <v>3987</v>
      </c>
      <c r="R4003" s="48">
        <f t="shared" ca="1" si="458"/>
        <v>0.3</v>
      </c>
      <c r="S4003">
        <f t="shared" ca="1" si="459"/>
        <v>188.00014507076011</v>
      </c>
      <c r="T4003" s="61">
        <f t="shared" ca="1" si="453"/>
        <v>14400</v>
      </c>
      <c r="U4003" s="61">
        <f t="shared" ca="1" si="454"/>
        <v>13280.081239625662</v>
      </c>
      <c r="V4003" s="39">
        <f t="shared" ca="1" si="455"/>
        <v>8.7368955523853042E-2</v>
      </c>
      <c r="W4003" s="48">
        <f t="shared" ca="1" si="456"/>
        <v>0.97268307581918623</v>
      </c>
    </row>
    <row r="4004" spans="17:23" x14ac:dyDescent="0.2">
      <c r="Q4004">
        <f t="shared" si="457"/>
        <v>3988</v>
      </c>
      <c r="R4004" s="48">
        <f t="shared" ca="1" si="458"/>
        <v>0.4</v>
      </c>
      <c r="S4004">
        <f t="shared" ca="1" si="459"/>
        <v>204.83059965333371</v>
      </c>
      <c r="T4004" s="61">
        <f t="shared" ca="1" si="453"/>
        <v>19200</v>
      </c>
      <c r="U4004" s="61">
        <f t="shared" ca="1" si="454"/>
        <v>26318.687833600179</v>
      </c>
      <c r="V4004" s="39">
        <f t="shared" ca="1" si="455"/>
        <v>0.17314926206315906</v>
      </c>
      <c r="W4004" s="48">
        <f t="shared" ca="1" si="456"/>
        <v>2.6520111363272441</v>
      </c>
    </row>
    <row r="4005" spans="17:23" x14ac:dyDescent="0.2">
      <c r="Q4005">
        <f t="shared" si="457"/>
        <v>3989</v>
      </c>
      <c r="R4005" s="48">
        <f t="shared" ca="1" si="458"/>
        <v>0.3</v>
      </c>
      <c r="S4005">
        <f t="shared" ca="1" si="459"/>
        <v>188.50210834460927</v>
      </c>
      <c r="T4005" s="61">
        <f t="shared" ca="1" si="453"/>
        <v>14400</v>
      </c>
      <c r="U4005" s="61">
        <f t="shared" ca="1" si="454"/>
        <v>13561.180672981191</v>
      </c>
      <c r="V4005" s="39">
        <f t="shared" ca="1" si="455"/>
        <v>8.9218293901192042E-2</v>
      </c>
      <c r="W4005" s="48">
        <f t="shared" ca="1" si="456"/>
        <v>1.0000612509597104</v>
      </c>
    </row>
    <row r="4006" spans="17:23" x14ac:dyDescent="0.2">
      <c r="Q4006">
        <f t="shared" si="457"/>
        <v>3990</v>
      </c>
      <c r="R4006" s="48">
        <f t="shared" ca="1" si="458"/>
        <v>0.3</v>
      </c>
      <c r="S4006">
        <f t="shared" ca="1" si="459"/>
        <v>185.7269953613266</v>
      </c>
      <c r="T4006" s="61">
        <f t="shared" ca="1" si="453"/>
        <v>14400</v>
      </c>
      <c r="U4006" s="61">
        <f t="shared" ca="1" si="454"/>
        <v>12007.117402342898</v>
      </c>
      <c r="V4006" s="39">
        <f t="shared" ca="1" si="455"/>
        <v>7.8994193436466437E-2</v>
      </c>
      <c r="W4006" s="48">
        <f t="shared" ca="1" si="456"/>
        <v>0.85277059775767428</v>
      </c>
    </row>
    <row r="4007" spans="17:23" x14ac:dyDescent="0.2">
      <c r="Q4007">
        <f t="shared" si="457"/>
        <v>3991</v>
      </c>
      <c r="R4007" s="48">
        <f t="shared" ca="1" si="458"/>
        <v>0.35</v>
      </c>
      <c r="S4007">
        <f t="shared" ca="1" si="459"/>
        <v>191.16542905972611</v>
      </c>
      <c r="T4007" s="61">
        <f t="shared" ca="1" si="453"/>
        <v>16800</v>
      </c>
      <c r="U4007" s="61">
        <f t="shared" ca="1" si="454"/>
        <v>17406.023111057577</v>
      </c>
      <c r="V4007" s="39">
        <f t="shared" ca="1" si="455"/>
        <v>0.11451330994116828</v>
      </c>
      <c r="W4007" s="48">
        <f t="shared" ca="1" si="456"/>
        <v>1.4094269867341649</v>
      </c>
    </row>
    <row r="4008" spans="17:23" x14ac:dyDescent="0.2">
      <c r="Q4008">
        <f t="shared" si="457"/>
        <v>3992</v>
      </c>
      <c r="R4008" s="48">
        <f t="shared" ca="1" si="458"/>
        <v>0.45</v>
      </c>
      <c r="S4008">
        <f t="shared" ca="1" si="459"/>
        <v>225.71413722325167</v>
      </c>
      <c r="T4008" s="61">
        <f t="shared" ca="1" si="453"/>
        <v>21600</v>
      </c>
      <c r="U4008" s="61">
        <f t="shared" ca="1" si="454"/>
        <v>37314.220378230733</v>
      </c>
      <c r="V4008" s="39">
        <f t="shared" ca="1" si="455"/>
        <v>0.2454882919620443</v>
      </c>
      <c r="W4008" s="48">
        <f t="shared" ca="1" si="456"/>
        <v>4.933493750990336</v>
      </c>
    </row>
    <row r="4009" spans="17:23" x14ac:dyDescent="0.2">
      <c r="Q4009">
        <f t="shared" si="457"/>
        <v>3993</v>
      </c>
      <c r="R4009" s="48">
        <f t="shared" ca="1" si="458"/>
        <v>0.4</v>
      </c>
      <c r="S4009">
        <f t="shared" ca="1" si="459"/>
        <v>199.06947536355349</v>
      </c>
      <c r="T4009" s="61">
        <f t="shared" ca="1" si="453"/>
        <v>19200</v>
      </c>
      <c r="U4009" s="61">
        <f t="shared" ca="1" si="454"/>
        <v>23553.348174505678</v>
      </c>
      <c r="V4009" s="39">
        <f t="shared" ca="1" si="455"/>
        <v>0.15495623799016894</v>
      </c>
      <c r="W4009" s="48">
        <f t="shared" ca="1" si="456"/>
        <v>2.2171844154475977</v>
      </c>
    </row>
    <row r="4010" spans="17:23" x14ac:dyDescent="0.2">
      <c r="Q4010">
        <f t="shared" si="457"/>
        <v>3994</v>
      </c>
      <c r="R4010" s="48">
        <f t="shared" ca="1" si="458"/>
        <v>0.35</v>
      </c>
      <c r="S4010">
        <f t="shared" ca="1" si="459"/>
        <v>183.19692318064259</v>
      </c>
      <c r="T4010" s="61">
        <f t="shared" ca="1" si="453"/>
        <v>16800</v>
      </c>
      <c r="U4010" s="61">
        <f t="shared" ca="1" si="454"/>
        <v>13262.400053934143</v>
      </c>
      <c r="V4010" s="39">
        <f t="shared" ca="1" si="455"/>
        <v>8.7252631933777261E-2</v>
      </c>
      <c r="W4010" s="48">
        <f t="shared" ca="1" si="456"/>
        <v>0.97097202325305854</v>
      </c>
    </row>
    <row r="4011" spans="17:23" x14ac:dyDescent="0.2">
      <c r="Q4011">
        <f t="shared" si="457"/>
        <v>3995</v>
      </c>
      <c r="R4011" s="48">
        <f t="shared" ca="1" si="458"/>
        <v>0.5</v>
      </c>
      <c r="S4011">
        <f t="shared" ca="1" si="459"/>
        <v>136.77531362642026</v>
      </c>
      <c r="T4011" s="61">
        <f t="shared" ca="1" si="453"/>
        <v>24000</v>
      </c>
      <c r="U4011" s="61">
        <f t="shared" ca="1" si="454"/>
        <v>2710.1254505681027</v>
      </c>
      <c r="V4011" s="39">
        <f t="shared" ca="1" si="455"/>
        <v>1.7829772701105938E-2</v>
      </c>
      <c r="W4011" s="48">
        <f t="shared" ca="1" si="456"/>
        <v>0.1541280524702513</v>
      </c>
    </row>
    <row r="4012" spans="17:23" x14ac:dyDescent="0.2">
      <c r="Q4012">
        <f t="shared" si="457"/>
        <v>3996</v>
      </c>
      <c r="R4012" s="48">
        <f t="shared" ca="1" si="458"/>
        <v>0.217</v>
      </c>
      <c r="S4012">
        <f t="shared" ca="1" si="459"/>
        <v>176.60429939589545</v>
      </c>
      <c r="T4012" s="61">
        <f t="shared" ca="1" si="453"/>
        <v>10416</v>
      </c>
      <c r="U4012" s="61">
        <f t="shared" ca="1" si="454"/>
        <v>2024.9331415889119</v>
      </c>
      <c r="V4012" s="39">
        <f t="shared" ca="1" si="455"/>
        <v>1.3321928563084947E-2</v>
      </c>
      <c r="W4012" s="48">
        <f t="shared" ca="1" si="456"/>
        <v>0.11331518486108094</v>
      </c>
    </row>
    <row r="4013" spans="17:23" x14ac:dyDescent="0.2">
      <c r="Q4013">
        <f t="shared" si="457"/>
        <v>3997</v>
      </c>
      <c r="R4013" s="48">
        <f t="shared" ca="1" si="458"/>
        <v>0.4</v>
      </c>
      <c r="S4013">
        <f t="shared" ca="1" si="459"/>
        <v>223.37549785856459</v>
      </c>
      <c r="T4013" s="61">
        <f t="shared" ca="1" si="453"/>
        <v>19200</v>
      </c>
      <c r="U4013" s="61">
        <f t="shared" ca="1" si="454"/>
        <v>35220.238972111001</v>
      </c>
      <c r="V4013" s="39">
        <f t="shared" ca="1" si="455"/>
        <v>0.23171209850073027</v>
      </c>
      <c r="W4013" s="48">
        <f t="shared" ca="1" si="456"/>
        <v>4.4216345100654619</v>
      </c>
    </row>
    <row r="4014" spans="17:23" x14ac:dyDescent="0.2">
      <c r="Q4014">
        <f t="shared" si="457"/>
        <v>3998</v>
      </c>
      <c r="R4014" s="48">
        <f t="shared" ca="1" si="458"/>
        <v>0.3</v>
      </c>
      <c r="S4014">
        <f t="shared" ca="1" si="459"/>
        <v>178.04572117885886</v>
      </c>
      <c r="T4014" s="61">
        <f t="shared" ca="1" si="453"/>
        <v>14400</v>
      </c>
      <c r="U4014" s="61">
        <f t="shared" ca="1" si="454"/>
        <v>7705.6038601609589</v>
      </c>
      <c r="V4014" s="39">
        <f t="shared" ca="1" si="455"/>
        <v>5.0694762237901043E-2</v>
      </c>
      <c r="W4014" s="48">
        <f t="shared" ca="1" si="456"/>
        <v>0.49347797941352645</v>
      </c>
    </row>
    <row r="4015" spans="17:23" x14ac:dyDescent="0.2">
      <c r="Q4015">
        <f t="shared" si="457"/>
        <v>3999</v>
      </c>
      <c r="R4015" s="48">
        <f t="shared" ca="1" si="458"/>
        <v>0.45</v>
      </c>
      <c r="S4015">
        <f t="shared" ca="1" si="459"/>
        <v>181.00277863853722</v>
      </c>
      <c r="T4015" s="61">
        <f t="shared" ca="1" si="453"/>
        <v>21600</v>
      </c>
      <c r="U4015" s="61">
        <f t="shared" ca="1" si="454"/>
        <v>17641.222600956378</v>
      </c>
      <c r="V4015" s="39">
        <f t="shared" ca="1" si="455"/>
        <v>0.11606067500629197</v>
      </c>
      <c r="W4015" s="48">
        <f t="shared" ca="1" si="456"/>
        <v>1.4366945477365904</v>
      </c>
    </row>
    <row r="4016" spans="17:23" x14ac:dyDescent="0.2">
      <c r="Q4016">
        <f t="shared" si="457"/>
        <v>4000</v>
      </c>
      <c r="R4016" s="48">
        <f t="shared" ca="1" si="458"/>
        <v>0.3</v>
      </c>
      <c r="S4016">
        <f t="shared" ca="1" si="459"/>
        <v>197.59414502640556</v>
      </c>
      <c r="T4016" s="61">
        <f t="shared" ca="1" si="453"/>
        <v>14400</v>
      </c>
      <c r="U4016" s="61">
        <f t="shared" ca="1" si="454"/>
        <v>18652.721214787111</v>
      </c>
      <c r="V4016" s="39">
        <f t="shared" ca="1" si="455"/>
        <v>0.12271527114991521</v>
      </c>
      <c r="W4016" s="48">
        <f t="shared" ca="1" si="456"/>
        <v>1.5570696291070933</v>
      </c>
    </row>
    <row r="4017" spans="17:23" x14ac:dyDescent="0.2">
      <c r="Q4017">
        <f t="shared" si="457"/>
        <v>4001</v>
      </c>
      <c r="R4017" s="48">
        <f t="shared" ca="1" si="458"/>
        <v>0.45</v>
      </c>
      <c r="S4017">
        <f t="shared" ca="1" si="459"/>
        <v>188.50048154424363</v>
      </c>
      <c r="T4017" s="61">
        <f t="shared" ca="1" si="453"/>
        <v>21600</v>
      </c>
      <c r="U4017" s="61">
        <f t="shared" ca="1" si="454"/>
        <v>20940.211879467195</v>
      </c>
      <c r="V4017" s="39">
        <f t="shared" ca="1" si="455"/>
        <v>0.13776455183859998</v>
      </c>
      <c r="W4017" s="48">
        <f t="shared" ca="1" si="456"/>
        <v>1.8487034038930346</v>
      </c>
    </row>
    <row r="4018" spans="17:23" x14ac:dyDescent="0.2">
      <c r="Q4018">
        <f t="shared" si="457"/>
        <v>4002</v>
      </c>
      <c r="R4018" s="48">
        <f t="shared" ca="1" si="458"/>
        <v>0.35</v>
      </c>
      <c r="S4018">
        <f t="shared" ca="1" si="459"/>
        <v>195.68180207795547</v>
      </c>
      <c r="T4018" s="61">
        <f t="shared" ca="1" si="453"/>
        <v>16800</v>
      </c>
      <c r="U4018" s="61">
        <f t="shared" ca="1" si="454"/>
        <v>19754.537080536844</v>
      </c>
      <c r="V4018" s="39">
        <f t="shared" ca="1" si="455"/>
        <v>0.12996405974037398</v>
      </c>
      <c r="W4018" s="48">
        <f t="shared" ca="1" si="456"/>
        <v>1.6940962809909523</v>
      </c>
    </row>
    <row r="4019" spans="17:23" x14ac:dyDescent="0.2">
      <c r="Q4019">
        <f t="shared" si="457"/>
        <v>4003</v>
      </c>
      <c r="R4019" s="48">
        <f t="shared" ca="1" si="458"/>
        <v>0.4</v>
      </c>
      <c r="S4019">
        <f t="shared" ca="1" si="459"/>
        <v>169.60154283330212</v>
      </c>
      <c r="T4019" s="61">
        <f t="shared" ca="1" si="453"/>
        <v>19200</v>
      </c>
      <c r="U4019" s="61">
        <f t="shared" ca="1" si="454"/>
        <v>9408.7405599850172</v>
      </c>
      <c r="V4019" s="39">
        <f t="shared" ca="1" si="455"/>
        <v>6.1899608947269848E-2</v>
      </c>
      <c r="W4019" s="48">
        <f t="shared" ca="1" si="456"/>
        <v>0.62766808973769606</v>
      </c>
    </row>
    <row r="4020" spans="17:23" x14ac:dyDescent="0.2">
      <c r="Q4020">
        <f t="shared" si="457"/>
        <v>4004</v>
      </c>
      <c r="R4020" s="48">
        <f t="shared" ca="1" si="458"/>
        <v>0.3</v>
      </c>
      <c r="S4020">
        <f t="shared" ca="1" si="459"/>
        <v>199.35368321564363</v>
      </c>
      <c r="T4020" s="61">
        <f t="shared" ca="1" si="453"/>
        <v>14400</v>
      </c>
      <c r="U4020" s="61">
        <f t="shared" ca="1" si="454"/>
        <v>19638.06260076043</v>
      </c>
      <c r="V4020" s="39">
        <f t="shared" ca="1" si="455"/>
        <v>0.12919778026816073</v>
      </c>
      <c r="W4020" s="48">
        <f t="shared" ca="1" si="456"/>
        <v>1.6793130608076337</v>
      </c>
    </row>
    <row r="4021" spans="17:23" x14ac:dyDescent="0.2">
      <c r="Q4021">
        <f t="shared" si="457"/>
        <v>4005</v>
      </c>
      <c r="R4021" s="48">
        <f t="shared" ca="1" si="458"/>
        <v>0.35</v>
      </c>
      <c r="S4021">
        <f t="shared" ca="1" si="459"/>
        <v>203.54195620142355</v>
      </c>
      <c r="T4021" s="61">
        <f t="shared" ca="1" si="453"/>
        <v>16800</v>
      </c>
      <c r="U4021" s="61">
        <f t="shared" ca="1" si="454"/>
        <v>23841.817224740244</v>
      </c>
      <c r="V4021" s="39">
        <f t="shared" ca="1" si="455"/>
        <v>0.15685406068908056</v>
      </c>
      <c r="W4021" s="48">
        <f t="shared" ca="1" si="456"/>
        <v>2.2603149510817055</v>
      </c>
    </row>
    <row r="4022" spans="17:23" x14ac:dyDescent="0.2">
      <c r="Q4022">
        <f t="shared" si="457"/>
        <v>4006</v>
      </c>
      <c r="R4022" s="48">
        <f t="shared" ca="1" si="458"/>
        <v>0.35</v>
      </c>
      <c r="S4022">
        <f t="shared" ca="1" si="459"/>
        <v>190.01312229281632</v>
      </c>
      <c r="T4022" s="61">
        <f t="shared" ca="1" si="453"/>
        <v>16800</v>
      </c>
      <c r="U4022" s="61">
        <f t="shared" ca="1" si="454"/>
        <v>16806.823592264485</v>
      </c>
      <c r="V4022" s="39">
        <f t="shared" ca="1" si="455"/>
        <v>0.1105712078438453</v>
      </c>
      <c r="W4022" s="48">
        <f t="shared" ca="1" si="456"/>
        <v>1.3411648332522002</v>
      </c>
    </row>
    <row r="4023" spans="17:23" x14ac:dyDescent="0.2">
      <c r="Q4023">
        <f t="shared" si="457"/>
        <v>4007</v>
      </c>
      <c r="R4023" s="48">
        <f t="shared" ca="1" si="458"/>
        <v>0.35</v>
      </c>
      <c r="S4023">
        <f t="shared" ca="1" si="459"/>
        <v>217.35153663242659</v>
      </c>
      <c r="T4023" s="61">
        <f t="shared" ca="1" si="453"/>
        <v>16800</v>
      </c>
      <c r="U4023" s="61">
        <f t="shared" ca="1" si="454"/>
        <v>31022.799048861823</v>
      </c>
      <c r="V4023" s="39">
        <f t="shared" ca="1" si="455"/>
        <v>0.20409736216356464</v>
      </c>
      <c r="W4023" s="48">
        <f t="shared" ca="1" si="456"/>
        <v>3.510817331192726</v>
      </c>
    </row>
    <row r="4024" spans="17:23" x14ac:dyDescent="0.2">
      <c r="Q4024">
        <f t="shared" si="457"/>
        <v>4008</v>
      </c>
      <c r="R4024" s="48">
        <f t="shared" ca="1" si="458"/>
        <v>0.35</v>
      </c>
      <c r="S4024">
        <f t="shared" ca="1" si="459"/>
        <v>190.88127512677559</v>
      </c>
      <c r="T4024" s="61">
        <f t="shared" ca="1" si="453"/>
        <v>16800</v>
      </c>
      <c r="U4024" s="61">
        <f t="shared" ca="1" si="454"/>
        <v>17258.263065923307</v>
      </c>
      <c r="V4024" s="39">
        <f t="shared" ca="1" si="455"/>
        <v>0.11354120438107439</v>
      </c>
      <c r="W4024" s="48">
        <f t="shared" ca="1" si="456"/>
        <v>1.3924337643232478</v>
      </c>
    </row>
    <row r="4025" spans="17:23" x14ac:dyDescent="0.2">
      <c r="Q4025">
        <f t="shared" si="457"/>
        <v>4009</v>
      </c>
      <c r="R4025" s="48">
        <f t="shared" ca="1" si="458"/>
        <v>0.3</v>
      </c>
      <c r="S4025">
        <f t="shared" ca="1" si="459"/>
        <v>166.56103807180992</v>
      </c>
      <c r="T4025" s="61">
        <f t="shared" ref="T4025:T4088" ca="1" si="460">($B$8-$B$7)*($E$6*R4025)</f>
        <v>14400</v>
      </c>
      <c r="U4025" s="61">
        <f t="shared" ref="U4025:U4088" ca="1" si="461">T4025+((S4025-$B$7)*($E$6*(1-R4025)))</f>
        <v>1274.1813202135545</v>
      </c>
      <c r="V4025" s="39">
        <f t="shared" ref="V4025:V4088" ca="1" si="462">U4025/$E$4</f>
        <v>8.3827718435102276E-3</v>
      </c>
      <c r="W4025" s="48">
        <f t="shared" ref="W4025:W4088" ca="1" si="463">(1+V4025)^($J$29/$J$30)-1</f>
        <v>7.0055149954933782E-2</v>
      </c>
    </row>
    <row r="4026" spans="17:23" x14ac:dyDescent="0.2">
      <c r="Q4026">
        <f t="shared" si="457"/>
        <v>4010</v>
      </c>
      <c r="R4026" s="48">
        <f t="shared" ca="1" si="458"/>
        <v>0.15</v>
      </c>
      <c r="S4026">
        <f t="shared" ca="1" si="459"/>
        <v>195.69460009461918</v>
      </c>
      <c r="T4026" s="61">
        <f t="shared" ca="1" si="460"/>
        <v>7200</v>
      </c>
      <c r="U4026" s="61">
        <f t="shared" ca="1" si="461"/>
        <v>11072.32806434104</v>
      </c>
      <c r="V4026" s="39">
        <f t="shared" ca="1" si="462"/>
        <v>7.2844263581191046E-2</v>
      </c>
      <c r="W4026" s="48">
        <f t="shared" ca="1" si="463"/>
        <v>0.76883137107714217</v>
      </c>
    </row>
    <row r="4027" spans="17:23" x14ac:dyDescent="0.2">
      <c r="Q4027">
        <f t="shared" si="457"/>
        <v>4011</v>
      </c>
      <c r="R4027" s="48">
        <f t="shared" ca="1" si="458"/>
        <v>0.4</v>
      </c>
      <c r="S4027">
        <f t="shared" ca="1" si="459"/>
        <v>165.5695030273705</v>
      </c>
      <c r="T4027" s="61">
        <f t="shared" ca="1" si="460"/>
        <v>19200</v>
      </c>
      <c r="U4027" s="61">
        <f t="shared" ca="1" si="461"/>
        <v>7473.3614531378407</v>
      </c>
      <c r="V4027" s="39">
        <f t="shared" ca="1" si="462"/>
        <v>4.9166851665380533E-2</v>
      </c>
      <c r="W4027" s="48">
        <f t="shared" ca="1" si="463"/>
        <v>0.47595306558758455</v>
      </c>
    </row>
    <row r="4028" spans="17:23" x14ac:dyDescent="0.2">
      <c r="Q4028">
        <f t="shared" si="457"/>
        <v>4012</v>
      </c>
      <c r="R4028" s="48">
        <f t="shared" ca="1" si="458"/>
        <v>0.45</v>
      </c>
      <c r="S4028">
        <f t="shared" ca="1" si="459"/>
        <v>154.48308636881404</v>
      </c>
      <c r="T4028" s="61">
        <f t="shared" ca="1" si="460"/>
        <v>21600</v>
      </c>
      <c r="U4028" s="61">
        <f t="shared" ca="1" si="461"/>
        <v>5972.558002278176</v>
      </c>
      <c r="V4028" s="39">
        <f t="shared" ca="1" si="462"/>
        <v>3.9293144751830107E-2</v>
      </c>
      <c r="W4028" s="48">
        <f t="shared" ca="1" si="463"/>
        <v>0.36698669013975427</v>
      </c>
    </row>
    <row r="4029" spans="17:23" x14ac:dyDescent="0.2">
      <c r="Q4029">
        <f t="shared" si="457"/>
        <v>4013</v>
      </c>
      <c r="R4029" s="48">
        <f t="shared" ca="1" si="458"/>
        <v>0.3</v>
      </c>
      <c r="S4029">
        <f t="shared" ca="1" si="459"/>
        <v>149.77840276515445</v>
      </c>
      <c r="T4029" s="61">
        <f t="shared" ca="1" si="460"/>
        <v>14400</v>
      </c>
      <c r="U4029" s="61">
        <f t="shared" ca="1" si="461"/>
        <v>-8124.0944515135052</v>
      </c>
      <c r="V4029" s="39">
        <f t="shared" ca="1" si="462"/>
        <v>-5.3447989812588852E-2</v>
      </c>
      <c r="W4029" s="48">
        <f t="shared" ca="1" si="463"/>
        <v>-0.35952048490731048</v>
      </c>
    </row>
    <row r="4030" spans="17:23" x14ac:dyDescent="0.2">
      <c r="Q4030">
        <f t="shared" si="457"/>
        <v>4014</v>
      </c>
      <c r="R4030" s="48">
        <f t="shared" ca="1" si="458"/>
        <v>0.35</v>
      </c>
      <c r="S4030">
        <f t="shared" ca="1" si="459"/>
        <v>185.29231795003327</v>
      </c>
      <c r="T4030" s="61">
        <f t="shared" ca="1" si="460"/>
        <v>16800</v>
      </c>
      <c r="U4030" s="61">
        <f t="shared" ca="1" si="461"/>
        <v>14352.005334017298</v>
      </c>
      <c r="V4030" s="39">
        <f t="shared" ca="1" si="462"/>
        <v>9.4421087723798008E-2</v>
      </c>
      <c r="W4030" s="48">
        <f t="shared" ca="1" si="463"/>
        <v>1.0788801332261593</v>
      </c>
    </row>
    <row r="4031" spans="17:23" x14ac:dyDescent="0.2">
      <c r="Q4031">
        <f t="shared" si="457"/>
        <v>4015</v>
      </c>
      <c r="R4031" s="48">
        <f t="shared" ca="1" si="458"/>
        <v>0.45</v>
      </c>
      <c r="S4031">
        <f t="shared" ca="1" si="459"/>
        <v>208.50771906587781</v>
      </c>
      <c r="T4031" s="61">
        <f t="shared" ca="1" si="460"/>
        <v>21600</v>
      </c>
      <c r="U4031" s="61">
        <f t="shared" ca="1" si="461"/>
        <v>29743.396388986235</v>
      </c>
      <c r="V4031" s="39">
        <f t="shared" ca="1" si="462"/>
        <v>0.19568023940122523</v>
      </c>
      <c r="W4031" s="48">
        <f t="shared" ca="1" si="463"/>
        <v>3.2613215818126546</v>
      </c>
    </row>
    <row r="4032" spans="17:23" x14ac:dyDescent="0.2">
      <c r="Q4032">
        <f t="shared" si="457"/>
        <v>4016</v>
      </c>
      <c r="R4032" s="48">
        <f t="shared" ca="1" si="458"/>
        <v>0.35</v>
      </c>
      <c r="S4032">
        <f t="shared" ca="1" si="459"/>
        <v>165.2674693948762</v>
      </c>
      <c r="T4032" s="61">
        <f t="shared" ca="1" si="460"/>
        <v>16800</v>
      </c>
      <c r="U4032" s="61">
        <f t="shared" ca="1" si="461"/>
        <v>3939.084085335624</v>
      </c>
      <c r="V4032" s="39">
        <f t="shared" ca="1" si="462"/>
        <v>2.5915026877208053E-2</v>
      </c>
      <c r="W4032" s="48">
        <f t="shared" ca="1" si="463"/>
        <v>0.23062498394780384</v>
      </c>
    </row>
    <row r="4033" spans="17:23" x14ac:dyDescent="0.2">
      <c r="Q4033">
        <f t="shared" si="457"/>
        <v>4017</v>
      </c>
      <c r="R4033" s="48">
        <f t="shared" ca="1" si="458"/>
        <v>0.3</v>
      </c>
      <c r="S4033">
        <f t="shared" ca="1" si="459"/>
        <v>187.16547139297333</v>
      </c>
      <c r="T4033" s="61">
        <f t="shared" ca="1" si="460"/>
        <v>14400</v>
      </c>
      <c r="U4033" s="61">
        <f t="shared" ca="1" si="461"/>
        <v>12812.663980065065</v>
      </c>
      <c r="V4033" s="39">
        <f t="shared" ca="1" si="462"/>
        <v>8.4293841974112271E-2</v>
      </c>
      <c r="W4033" s="48">
        <f t="shared" ca="1" si="463"/>
        <v>0.92788512120075928</v>
      </c>
    </row>
    <row r="4034" spans="17:23" x14ac:dyDescent="0.2">
      <c r="Q4034">
        <f t="shared" si="457"/>
        <v>4018</v>
      </c>
      <c r="R4034" s="48">
        <f t="shared" ca="1" si="458"/>
        <v>0.3</v>
      </c>
      <c r="S4034">
        <f t="shared" ca="1" si="459"/>
        <v>187.05800892809594</v>
      </c>
      <c r="T4034" s="61">
        <f t="shared" ca="1" si="460"/>
        <v>14400</v>
      </c>
      <c r="U4034" s="61">
        <f t="shared" ca="1" si="461"/>
        <v>12752.48499973373</v>
      </c>
      <c r="V4034" s="39">
        <f t="shared" ca="1" si="462"/>
        <v>8.3897927629827174E-2</v>
      </c>
      <c r="W4034" s="48">
        <f t="shared" ca="1" si="463"/>
        <v>0.92218279609478393</v>
      </c>
    </row>
    <row r="4035" spans="17:23" x14ac:dyDescent="0.2">
      <c r="Q4035">
        <f t="shared" si="457"/>
        <v>4019</v>
      </c>
      <c r="R4035" s="48">
        <f t="shared" ca="1" si="458"/>
        <v>0.45</v>
      </c>
      <c r="S4035">
        <f t="shared" ca="1" si="459"/>
        <v>184.96752984671494</v>
      </c>
      <c r="T4035" s="61">
        <f t="shared" ca="1" si="460"/>
        <v>21600</v>
      </c>
      <c r="U4035" s="61">
        <f t="shared" ca="1" si="461"/>
        <v>19385.713132554574</v>
      </c>
      <c r="V4035" s="39">
        <f t="shared" ca="1" si="462"/>
        <v>0.12753758639838536</v>
      </c>
      <c r="W4035" s="48">
        <f t="shared" ca="1" si="463"/>
        <v>1.6475279899859494</v>
      </c>
    </row>
    <row r="4036" spans="17:23" x14ac:dyDescent="0.2">
      <c r="Q4036">
        <f t="shared" si="457"/>
        <v>4020</v>
      </c>
      <c r="R4036" s="48">
        <f t="shared" ca="1" si="458"/>
        <v>0.3</v>
      </c>
      <c r="S4036">
        <f t="shared" ca="1" si="459"/>
        <v>147.86514439192834</v>
      </c>
      <c r="T4036" s="61">
        <f t="shared" ca="1" si="460"/>
        <v>14400</v>
      </c>
      <c r="U4036" s="61">
        <f t="shared" ca="1" si="461"/>
        <v>-9195.5191405201294</v>
      </c>
      <c r="V4036" s="39">
        <f t="shared" ca="1" si="462"/>
        <v>-6.0496836450790327E-2</v>
      </c>
      <c r="W4036" s="48">
        <f t="shared" ca="1" si="463"/>
        <v>-0.39719802208262733</v>
      </c>
    </row>
    <row r="4037" spans="17:23" x14ac:dyDescent="0.2">
      <c r="Q4037">
        <f t="shared" si="457"/>
        <v>4021</v>
      </c>
      <c r="R4037" s="48">
        <f t="shared" ca="1" si="458"/>
        <v>0.45</v>
      </c>
      <c r="S4037">
        <f t="shared" ca="1" si="459"/>
        <v>178.49560438548286</v>
      </c>
      <c r="T4037" s="61">
        <f t="shared" ca="1" si="460"/>
        <v>21600</v>
      </c>
      <c r="U4037" s="61">
        <f t="shared" ca="1" si="461"/>
        <v>16538.065929612458</v>
      </c>
      <c r="V4037" s="39">
        <f t="shared" ca="1" si="462"/>
        <v>0.10880306532639775</v>
      </c>
      <c r="W4037" s="48">
        <f t="shared" ca="1" si="463"/>
        <v>1.3111022871002742</v>
      </c>
    </row>
    <row r="4038" spans="17:23" x14ac:dyDescent="0.2">
      <c r="Q4038">
        <f t="shared" si="457"/>
        <v>4022</v>
      </c>
      <c r="R4038" s="48">
        <f t="shared" ca="1" si="458"/>
        <v>0.35</v>
      </c>
      <c r="S4038">
        <f t="shared" ca="1" si="459"/>
        <v>192.87842404475697</v>
      </c>
      <c r="T4038" s="61">
        <f t="shared" ca="1" si="460"/>
        <v>16800</v>
      </c>
      <c r="U4038" s="61">
        <f t="shared" ca="1" si="461"/>
        <v>18296.780503273625</v>
      </c>
      <c r="V4038" s="39">
        <f t="shared" ca="1" si="462"/>
        <v>0.12037355594258964</v>
      </c>
      <c r="W4038" s="48">
        <f t="shared" ca="1" si="463"/>
        <v>1.5141290047768741</v>
      </c>
    </row>
    <row r="4039" spans="17:23" x14ac:dyDescent="0.2">
      <c r="Q4039">
        <f t="shared" si="457"/>
        <v>4023</v>
      </c>
      <c r="R4039" s="48">
        <f t="shared" ca="1" si="458"/>
        <v>0.3</v>
      </c>
      <c r="S4039">
        <f t="shared" ca="1" si="459"/>
        <v>217.27325266593473</v>
      </c>
      <c r="T4039" s="61">
        <f t="shared" ca="1" si="460"/>
        <v>14400</v>
      </c>
      <c r="U4039" s="61">
        <f t="shared" ca="1" si="461"/>
        <v>29673.02149292345</v>
      </c>
      <c r="V4039" s="39">
        <f t="shared" ca="1" si="462"/>
        <v>0.19521724666397006</v>
      </c>
      <c r="W4039" s="48">
        <f t="shared" ca="1" si="463"/>
        <v>3.2479560600868149</v>
      </c>
    </row>
    <row r="4040" spans="17:23" x14ac:dyDescent="0.2">
      <c r="Q4040">
        <f t="shared" si="457"/>
        <v>4024</v>
      </c>
      <c r="R4040" s="48">
        <f t="shared" ca="1" si="458"/>
        <v>0.4</v>
      </c>
      <c r="S4040">
        <f t="shared" ca="1" si="459"/>
        <v>199.5753192148139</v>
      </c>
      <c r="T4040" s="61">
        <f t="shared" ca="1" si="460"/>
        <v>19200</v>
      </c>
      <c r="U4040" s="61">
        <f t="shared" ca="1" si="461"/>
        <v>23796.153223110672</v>
      </c>
      <c r="V4040" s="39">
        <f t="shared" ca="1" si="462"/>
        <v>0.1565536396257281</v>
      </c>
      <c r="W4040" s="48">
        <f t="shared" ca="1" si="463"/>
        <v>2.2534538986588983</v>
      </c>
    </row>
    <row r="4041" spans="17:23" x14ac:dyDescent="0.2">
      <c r="Q4041">
        <f t="shared" si="457"/>
        <v>4025</v>
      </c>
      <c r="R4041" s="48">
        <f t="shared" ca="1" si="458"/>
        <v>0.3</v>
      </c>
      <c r="S4041">
        <f t="shared" ca="1" si="459"/>
        <v>156.65161827544077</v>
      </c>
      <c r="T4041" s="61">
        <f t="shared" ca="1" si="460"/>
        <v>14400</v>
      </c>
      <c r="U4041" s="61">
        <f t="shared" ca="1" si="461"/>
        <v>-4275.0937657531686</v>
      </c>
      <c r="V4041" s="39">
        <f t="shared" ca="1" si="462"/>
        <v>-2.8125616879955056E-2</v>
      </c>
      <c r="W4041" s="48">
        <f t="shared" ca="1" si="463"/>
        <v>-0.20657765235589687</v>
      </c>
    </row>
    <row r="4042" spans="17:23" x14ac:dyDescent="0.2">
      <c r="Q4042">
        <f t="shared" si="457"/>
        <v>4026</v>
      </c>
      <c r="R4042" s="48">
        <f t="shared" ca="1" si="458"/>
        <v>0.3</v>
      </c>
      <c r="S4042">
        <f t="shared" ca="1" si="459"/>
        <v>202.06420702507586</v>
      </c>
      <c r="T4042" s="61">
        <f t="shared" ca="1" si="460"/>
        <v>14400</v>
      </c>
      <c r="U4042" s="61">
        <f t="shared" ca="1" si="461"/>
        <v>21155.955934042482</v>
      </c>
      <c r="V4042" s="39">
        <f t="shared" ca="1" si="462"/>
        <v>0.13918392061870055</v>
      </c>
      <c r="W4042" s="48">
        <f t="shared" ca="1" si="463"/>
        <v>1.8776566594769659</v>
      </c>
    </row>
    <row r="4043" spans="17:23" x14ac:dyDescent="0.2">
      <c r="Q4043">
        <f t="shared" si="457"/>
        <v>4027</v>
      </c>
      <c r="R4043" s="48">
        <f t="shared" ca="1" si="458"/>
        <v>0.4</v>
      </c>
      <c r="S4043">
        <f t="shared" ca="1" si="459"/>
        <v>196.65440554542147</v>
      </c>
      <c r="T4043" s="61">
        <f t="shared" ca="1" si="460"/>
        <v>19200</v>
      </c>
      <c r="U4043" s="61">
        <f t="shared" ca="1" si="461"/>
        <v>22394.114661802305</v>
      </c>
      <c r="V4043" s="39">
        <f t="shared" ca="1" si="462"/>
        <v>0.14732970172238358</v>
      </c>
      <c r="W4043" s="48">
        <f t="shared" ca="1" si="463"/>
        <v>2.0488630654660627</v>
      </c>
    </row>
    <row r="4044" spans="17:23" x14ac:dyDescent="0.2">
      <c r="Q4044">
        <f t="shared" si="457"/>
        <v>4028</v>
      </c>
      <c r="R4044" s="48">
        <f t="shared" ca="1" si="458"/>
        <v>0.3</v>
      </c>
      <c r="S4044">
        <f t="shared" ca="1" si="459"/>
        <v>189.27970045348658</v>
      </c>
      <c r="T4044" s="61">
        <f t="shared" ca="1" si="460"/>
        <v>14400</v>
      </c>
      <c r="U4044" s="61">
        <f t="shared" ca="1" si="461"/>
        <v>13996.632253952486</v>
      </c>
      <c r="V4044" s="39">
        <f t="shared" ca="1" si="462"/>
        <v>9.2083106933897943E-2</v>
      </c>
      <c r="W4044" s="48">
        <f t="shared" ca="1" si="463"/>
        <v>1.0431306821663213</v>
      </c>
    </row>
    <row r="4045" spans="17:23" x14ac:dyDescent="0.2">
      <c r="Q4045">
        <f t="shared" si="457"/>
        <v>4029</v>
      </c>
      <c r="R4045" s="48">
        <f t="shared" ca="1" si="458"/>
        <v>0.35</v>
      </c>
      <c r="S4045">
        <f t="shared" ca="1" si="459"/>
        <v>218.61727998484068</v>
      </c>
      <c r="T4045" s="61">
        <f t="shared" ca="1" si="460"/>
        <v>16800</v>
      </c>
      <c r="U4045" s="61">
        <f t="shared" ca="1" si="461"/>
        <v>31680.985592117155</v>
      </c>
      <c r="V4045" s="39">
        <f t="shared" ca="1" si="462"/>
        <v>0.20842753679024445</v>
      </c>
      <c r="W4045" s="48">
        <f t="shared" ca="1" si="463"/>
        <v>3.6440889414042905</v>
      </c>
    </row>
    <row r="4046" spans="17:23" x14ac:dyDescent="0.2">
      <c r="Q4046">
        <f t="shared" si="457"/>
        <v>4030</v>
      </c>
      <c r="R4046" s="48">
        <f t="shared" ca="1" si="458"/>
        <v>0.3</v>
      </c>
      <c r="S4046">
        <f t="shared" ca="1" si="459"/>
        <v>175.77191422702299</v>
      </c>
      <c r="T4046" s="61">
        <f t="shared" ca="1" si="460"/>
        <v>14400</v>
      </c>
      <c r="U4046" s="61">
        <f t="shared" ca="1" si="461"/>
        <v>6432.2719671328741</v>
      </c>
      <c r="V4046" s="39">
        <f t="shared" ca="1" si="462"/>
        <v>4.2317578731137333E-2</v>
      </c>
      <c r="W4046" s="48">
        <f t="shared" ca="1" si="463"/>
        <v>0.39958894905894926</v>
      </c>
    </row>
    <row r="4047" spans="17:23" x14ac:dyDescent="0.2">
      <c r="Q4047">
        <f t="shared" si="457"/>
        <v>4031</v>
      </c>
      <c r="R4047" s="48">
        <f t="shared" ca="1" si="458"/>
        <v>0.3</v>
      </c>
      <c r="S4047">
        <f t="shared" ca="1" si="459"/>
        <v>179.05573702032183</v>
      </c>
      <c r="T4047" s="61">
        <f t="shared" ca="1" si="460"/>
        <v>14400</v>
      </c>
      <c r="U4047" s="61">
        <f t="shared" ca="1" si="461"/>
        <v>8271.212731380223</v>
      </c>
      <c r="V4047" s="39">
        <f t="shared" ca="1" si="462"/>
        <v>5.4415873232764624E-2</v>
      </c>
      <c r="W4047" s="48">
        <f t="shared" ca="1" si="463"/>
        <v>0.53692389665987617</v>
      </c>
    </row>
    <row r="4048" spans="17:23" x14ac:dyDescent="0.2">
      <c r="Q4048">
        <f t="shared" si="457"/>
        <v>4032</v>
      </c>
      <c r="R4048" s="48">
        <f t="shared" ca="1" si="458"/>
        <v>0.35</v>
      </c>
      <c r="S4048">
        <f t="shared" ca="1" si="459"/>
        <v>179.7412506569396</v>
      </c>
      <c r="T4048" s="61">
        <f t="shared" ca="1" si="460"/>
        <v>16800</v>
      </c>
      <c r="U4048" s="61">
        <f t="shared" ca="1" si="461"/>
        <v>11465.450341608592</v>
      </c>
      <c r="V4048" s="39">
        <f t="shared" ca="1" si="462"/>
        <v>7.5430594352688105E-2</v>
      </c>
      <c r="W4048" s="48">
        <f t="shared" ca="1" si="463"/>
        <v>0.80371639473924716</v>
      </c>
    </row>
    <row r="4049" spans="17:23" x14ac:dyDescent="0.2">
      <c r="Q4049">
        <f t="shared" si="457"/>
        <v>4033</v>
      </c>
      <c r="R4049" s="48">
        <f t="shared" ca="1" si="458"/>
        <v>0.3</v>
      </c>
      <c r="S4049">
        <f t="shared" ca="1" si="459"/>
        <v>176.16109071451427</v>
      </c>
      <c r="T4049" s="61">
        <f t="shared" ca="1" si="460"/>
        <v>14400</v>
      </c>
      <c r="U4049" s="61">
        <f t="shared" ca="1" si="461"/>
        <v>6650.210800127993</v>
      </c>
      <c r="V4049" s="39">
        <f t="shared" ca="1" si="462"/>
        <v>4.3751386842947319E-2</v>
      </c>
      <c r="W4049" s="48">
        <f t="shared" ca="1" si="463"/>
        <v>0.41528161465411162</v>
      </c>
    </row>
    <row r="4050" spans="17:23" x14ac:dyDescent="0.2">
      <c r="Q4050">
        <f t="shared" si="457"/>
        <v>4034</v>
      </c>
      <c r="R4050" s="48">
        <f t="shared" ca="1" si="458"/>
        <v>0.5</v>
      </c>
      <c r="S4050">
        <f t="shared" ca="1" si="459"/>
        <v>227.97141362355867</v>
      </c>
      <c r="T4050" s="61">
        <f t="shared" ca="1" si="460"/>
        <v>24000</v>
      </c>
      <c r="U4050" s="61">
        <f t="shared" ca="1" si="461"/>
        <v>39188.56544942347</v>
      </c>
      <c r="V4050" s="39">
        <f t="shared" ca="1" si="462"/>
        <v>0.25781950953568072</v>
      </c>
      <c r="W4050" s="48">
        <f t="shared" ca="1" si="463"/>
        <v>5.4271038278755652</v>
      </c>
    </row>
    <row r="4051" spans="17:23" x14ac:dyDescent="0.2">
      <c r="Q4051">
        <f t="shared" ref="Q4051:Q4114" si="464">Q4050+1</f>
        <v>4035</v>
      </c>
      <c r="R4051" s="48">
        <f t="shared" ref="R4051:R4114" ca="1" si="465">LOOKUP(RAND(),$U$6:$U$12,$S$6:$S$12)</f>
        <v>0.3</v>
      </c>
      <c r="S4051">
        <f t="shared" ref="S4051:S4114" ca="1" si="466">_xlfn.NORM.INV(RAND(),$Q$5,$Q$10)</f>
        <v>176.98875508322485</v>
      </c>
      <c r="T4051" s="61">
        <f t="shared" ca="1" si="460"/>
        <v>14400</v>
      </c>
      <c r="U4051" s="61">
        <f t="shared" ca="1" si="461"/>
        <v>7113.7028466059128</v>
      </c>
      <c r="V4051" s="39">
        <f t="shared" ca="1" si="462"/>
        <v>4.680067662240732E-2</v>
      </c>
      <c r="W4051" s="48">
        <f t="shared" ca="1" si="463"/>
        <v>0.44916910934253917</v>
      </c>
    </row>
    <row r="4052" spans="17:23" x14ac:dyDescent="0.2">
      <c r="Q4052">
        <f t="shared" si="464"/>
        <v>4036</v>
      </c>
      <c r="R4052" s="48">
        <f t="shared" ca="1" si="465"/>
        <v>0.45</v>
      </c>
      <c r="S4052">
        <f t="shared" ca="1" si="466"/>
        <v>180.31799676035624</v>
      </c>
      <c r="T4052" s="61">
        <f t="shared" ca="1" si="460"/>
        <v>21600</v>
      </c>
      <c r="U4052" s="61">
        <f t="shared" ca="1" si="461"/>
        <v>17339.918574556745</v>
      </c>
      <c r="V4052" s="39">
        <f t="shared" ca="1" si="462"/>
        <v>0.11407841167471543</v>
      </c>
      <c r="W4052" s="48">
        <f t="shared" ca="1" si="463"/>
        <v>1.4018115634474877</v>
      </c>
    </row>
    <row r="4053" spans="17:23" x14ac:dyDescent="0.2">
      <c r="Q4053">
        <f t="shared" si="464"/>
        <v>4037</v>
      </c>
      <c r="R4053" s="48">
        <f t="shared" ca="1" si="465"/>
        <v>0.4</v>
      </c>
      <c r="S4053">
        <f t="shared" ca="1" si="466"/>
        <v>228.50329465972766</v>
      </c>
      <c r="T4053" s="61">
        <f t="shared" ca="1" si="460"/>
        <v>19200</v>
      </c>
      <c r="U4053" s="61">
        <f t="shared" ca="1" si="461"/>
        <v>37681.581436669279</v>
      </c>
      <c r="V4053" s="39">
        <f t="shared" ca="1" si="462"/>
        <v>0.24790514103071895</v>
      </c>
      <c r="W4053" s="48">
        <f t="shared" ca="1" si="463"/>
        <v>5.0275307228977333</v>
      </c>
    </row>
    <row r="4054" spans="17:23" x14ac:dyDescent="0.2">
      <c r="Q4054">
        <f t="shared" si="464"/>
        <v>4038</v>
      </c>
      <c r="R4054" s="48">
        <f t="shared" ca="1" si="465"/>
        <v>0.3</v>
      </c>
      <c r="S4054">
        <f t="shared" ca="1" si="466"/>
        <v>170.41410171637958</v>
      </c>
      <c r="T4054" s="61">
        <f t="shared" ca="1" si="460"/>
        <v>14400</v>
      </c>
      <c r="U4054" s="61">
        <f t="shared" ca="1" si="461"/>
        <v>3431.8969611725624</v>
      </c>
      <c r="V4054" s="39">
        <f t="shared" ca="1" si="462"/>
        <v>2.2578269481398437E-2</v>
      </c>
      <c r="W4054" s="48">
        <f t="shared" ca="1" si="463"/>
        <v>0.19853265394575814</v>
      </c>
    </row>
    <row r="4055" spans="17:23" x14ac:dyDescent="0.2">
      <c r="Q4055">
        <f t="shared" si="464"/>
        <v>4039</v>
      </c>
      <c r="R4055" s="48">
        <f t="shared" ca="1" si="465"/>
        <v>0.4</v>
      </c>
      <c r="S4055">
        <f t="shared" ca="1" si="466"/>
        <v>166.02711839157402</v>
      </c>
      <c r="T4055" s="61">
        <f t="shared" ca="1" si="460"/>
        <v>19200</v>
      </c>
      <c r="U4055" s="61">
        <f t="shared" ca="1" si="461"/>
        <v>7693.0168279555292</v>
      </c>
      <c r="V4055" s="39">
        <f t="shared" ca="1" si="462"/>
        <v>5.0611952815496901E-2</v>
      </c>
      <c r="W4055" s="48">
        <f t="shared" ca="1" si="463"/>
        <v>0.492523512971623</v>
      </c>
    </row>
    <row r="4056" spans="17:23" x14ac:dyDescent="0.2">
      <c r="Q4056">
        <f t="shared" si="464"/>
        <v>4040</v>
      </c>
      <c r="R4056" s="48">
        <f t="shared" ca="1" si="465"/>
        <v>0.4</v>
      </c>
      <c r="S4056">
        <f t="shared" ca="1" si="466"/>
        <v>188.35026120844265</v>
      </c>
      <c r="T4056" s="61">
        <f t="shared" ca="1" si="460"/>
        <v>19200</v>
      </c>
      <c r="U4056" s="61">
        <f t="shared" ca="1" si="461"/>
        <v>18408.125380052472</v>
      </c>
      <c r="V4056" s="39">
        <f t="shared" ca="1" si="462"/>
        <v>0.12110608802666099</v>
      </c>
      <c r="W4056" s="48">
        <f t="shared" ca="1" si="463"/>
        <v>1.5274931595277064</v>
      </c>
    </row>
    <row r="4057" spans="17:23" x14ac:dyDescent="0.2">
      <c r="Q4057">
        <f t="shared" si="464"/>
        <v>4041</v>
      </c>
      <c r="R4057" s="48">
        <f t="shared" ca="1" si="465"/>
        <v>0.4</v>
      </c>
      <c r="S4057">
        <f t="shared" ca="1" si="466"/>
        <v>184.13652558322704</v>
      </c>
      <c r="T4057" s="61">
        <f t="shared" ca="1" si="460"/>
        <v>19200</v>
      </c>
      <c r="U4057" s="61">
        <f t="shared" ca="1" si="461"/>
        <v>16385.53227994898</v>
      </c>
      <c r="V4057" s="39">
        <f t="shared" ca="1" si="462"/>
        <v>0.10779955447334856</v>
      </c>
      <c r="W4057" s="48">
        <f t="shared" ca="1" si="463"/>
        <v>1.2941912603001056</v>
      </c>
    </row>
    <row r="4058" spans="17:23" x14ac:dyDescent="0.2">
      <c r="Q4058">
        <f t="shared" si="464"/>
        <v>4042</v>
      </c>
      <c r="R4058" s="48">
        <f t="shared" ca="1" si="465"/>
        <v>0.45</v>
      </c>
      <c r="S4058">
        <f t="shared" ca="1" si="466"/>
        <v>205.73324186909946</v>
      </c>
      <c r="T4058" s="61">
        <f t="shared" ca="1" si="460"/>
        <v>21600</v>
      </c>
      <c r="U4058" s="61">
        <f t="shared" ca="1" si="461"/>
        <v>28522.626422403762</v>
      </c>
      <c r="V4058" s="39">
        <f t="shared" ca="1" si="462"/>
        <v>0.18764885804213002</v>
      </c>
      <c r="W4058" s="48">
        <f t="shared" ca="1" si="463"/>
        <v>3.0346244571274017</v>
      </c>
    </row>
    <row r="4059" spans="17:23" x14ac:dyDescent="0.2">
      <c r="Q4059">
        <f t="shared" si="464"/>
        <v>4043</v>
      </c>
      <c r="R4059" s="48">
        <f t="shared" ca="1" si="465"/>
        <v>0.4</v>
      </c>
      <c r="S4059">
        <f t="shared" ca="1" si="466"/>
        <v>167.54955637931079</v>
      </c>
      <c r="T4059" s="61">
        <f t="shared" ca="1" si="460"/>
        <v>19200</v>
      </c>
      <c r="U4059" s="61">
        <f t="shared" ca="1" si="461"/>
        <v>8423.7870620691774</v>
      </c>
      <c r="V4059" s="39">
        <f t="shared" ca="1" si="462"/>
        <v>5.5419651724139325E-2</v>
      </c>
      <c r="W4059" s="48">
        <f t="shared" ca="1" si="463"/>
        <v>0.54883162800553564</v>
      </c>
    </row>
    <row r="4060" spans="17:23" x14ac:dyDescent="0.2">
      <c r="Q4060">
        <f t="shared" si="464"/>
        <v>4044</v>
      </c>
      <c r="R4060" s="48">
        <f t="shared" ca="1" si="465"/>
        <v>0.3</v>
      </c>
      <c r="S4060">
        <f t="shared" ca="1" si="466"/>
        <v>191.98643590161248</v>
      </c>
      <c r="T4060" s="61">
        <f t="shared" ca="1" si="460"/>
        <v>14400</v>
      </c>
      <c r="U4060" s="61">
        <f t="shared" ca="1" si="461"/>
        <v>15512.404104902989</v>
      </c>
      <c r="V4060" s="39">
        <f t="shared" ca="1" si="462"/>
        <v>0.10205529016383545</v>
      </c>
      <c r="W4060" s="48">
        <f t="shared" ca="1" si="463"/>
        <v>1.1994613459026517</v>
      </c>
    </row>
    <row r="4061" spans="17:23" x14ac:dyDescent="0.2">
      <c r="Q4061">
        <f t="shared" si="464"/>
        <v>4045</v>
      </c>
      <c r="R4061" s="48">
        <f t="shared" ca="1" si="465"/>
        <v>0.45</v>
      </c>
      <c r="S4061">
        <f t="shared" ca="1" si="466"/>
        <v>199.0351680721601</v>
      </c>
      <c r="T4061" s="61">
        <f t="shared" ca="1" si="460"/>
        <v>21600</v>
      </c>
      <c r="U4061" s="61">
        <f t="shared" ca="1" si="461"/>
        <v>25575.473951750446</v>
      </c>
      <c r="V4061" s="39">
        <f t="shared" ca="1" si="462"/>
        <v>0.16825969705098978</v>
      </c>
      <c r="W4061" s="48">
        <f t="shared" ca="1" si="463"/>
        <v>2.5303643872308559</v>
      </c>
    </row>
    <row r="4062" spans="17:23" x14ac:dyDescent="0.2">
      <c r="Q4062">
        <f t="shared" si="464"/>
        <v>4046</v>
      </c>
      <c r="R4062" s="48">
        <f t="shared" ca="1" si="465"/>
        <v>0.5</v>
      </c>
      <c r="S4062">
        <f t="shared" ca="1" si="466"/>
        <v>177.76891286686876</v>
      </c>
      <c r="T4062" s="61">
        <f t="shared" ca="1" si="460"/>
        <v>24000</v>
      </c>
      <c r="U4062" s="61">
        <f t="shared" ca="1" si="461"/>
        <v>19107.565146747504</v>
      </c>
      <c r="V4062" s="39">
        <f t="shared" ca="1" si="462"/>
        <v>0.12570766543912831</v>
      </c>
      <c r="W4062" s="48">
        <f t="shared" ca="1" si="463"/>
        <v>1.6128768759097687</v>
      </c>
    </row>
    <row r="4063" spans="17:23" x14ac:dyDescent="0.2">
      <c r="Q4063">
        <f t="shared" si="464"/>
        <v>4047</v>
      </c>
      <c r="R4063" s="48">
        <f t="shared" ca="1" si="465"/>
        <v>0.4</v>
      </c>
      <c r="S4063">
        <f t="shared" ca="1" si="466"/>
        <v>168.86746659769926</v>
      </c>
      <c r="T4063" s="61">
        <f t="shared" ca="1" si="460"/>
        <v>19200</v>
      </c>
      <c r="U4063" s="61">
        <f t="shared" ca="1" si="461"/>
        <v>9056.3839668956462</v>
      </c>
      <c r="V4063" s="39">
        <f t="shared" ca="1" si="462"/>
        <v>5.9581473466418726E-2</v>
      </c>
      <c r="W4063" s="48">
        <f t="shared" ca="1" si="463"/>
        <v>0.5990702941115198</v>
      </c>
    </row>
    <row r="4064" spans="17:23" x14ac:dyDescent="0.2">
      <c r="Q4064">
        <f t="shared" si="464"/>
        <v>4048</v>
      </c>
      <c r="R4064" s="48">
        <f t="shared" ca="1" si="465"/>
        <v>0.35</v>
      </c>
      <c r="S4064">
        <f t="shared" ca="1" si="466"/>
        <v>186.7813243028184</v>
      </c>
      <c r="T4064" s="61">
        <f t="shared" ca="1" si="460"/>
        <v>16800</v>
      </c>
      <c r="U4064" s="61">
        <f t="shared" ca="1" si="461"/>
        <v>15126.28863746557</v>
      </c>
      <c r="V4064" s="39">
        <f t="shared" ca="1" si="462"/>
        <v>9.9515056825431381E-2</v>
      </c>
      <c r="W4064" s="48">
        <f t="shared" ca="1" si="463"/>
        <v>1.1586754723279884</v>
      </c>
    </row>
    <row r="4065" spans="17:23" x14ac:dyDescent="0.2">
      <c r="Q4065">
        <f t="shared" si="464"/>
        <v>4049</v>
      </c>
      <c r="R4065" s="48">
        <f t="shared" ca="1" si="465"/>
        <v>0.35</v>
      </c>
      <c r="S4065">
        <f t="shared" ca="1" si="466"/>
        <v>164.13436413766254</v>
      </c>
      <c r="T4065" s="61">
        <f t="shared" ca="1" si="460"/>
        <v>16800</v>
      </c>
      <c r="U4065" s="61">
        <f t="shared" ca="1" si="461"/>
        <v>3349.8693515845225</v>
      </c>
      <c r="V4065" s="39">
        <f t="shared" ca="1" si="462"/>
        <v>2.2038614155161333E-2</v>
      </c>
      <c r="W4065" s="48">
        <f t="shared" ca="1" si="463"/>
        <v>0.19341188326456793</v>
      </c>
    </row>
    <row r="4066" spans="17:23" x14ac:dyDescent="0.2">
      <c r="Q4066">
        <f t="shared" si="464"/>
        <v>4050</v>
      </c>
      <c r="R4066" s="48">
        <f t="shared" ca="1" si="465"/>
        <v>0.3</v>
      </c>
      <c r="S4066">
        <f t="shared" ca="1" si="466"/>
        <v>189.89139545192515</v>
      </c>
      <c r="T4066" s="61">
        <f t="shared" ca="1" si="460"/>
        <v>14400</v>
      </c>
      <c r="U4066" s="61">
        <f t="shared" ca="1" si="461"/>
        <v>14339.181453078083</v>
      </c>
      <c r="V4066" s="39">
        <f t="shared" ca="1" si="462"/>
        <v>9.4336720086040021E-2</v>
      </c>
      <c r="W4066" s="48">
        <f t="shared" ca="1" si="463"/>
        <v>1.0775806155196097</v>
      </c>
    </row>
    <row r="4067" spans="17:23" x14ac:dyDescent="0.2">
      <c r="Q4067">
        <f t="shared" si="464"/>
        <v>4051</v>
      </c>
      <c r="R4067" s="48">
        <f t="shared" ca="1" si="465"/>
        <v>0.3</v>
      </c>
      <c r="S4067">
        <f t="shared" ca="1" si="466"/>
        <v>167.11975075500544</v>
      </c>
      <c r="T4067" s="61">
        <f t="shared" ca="1" si="460"/>
        <v>14400</v>
      </c>
      <c r="U4067" s="61">
        <f t="shared" ca="1" si="461"/>
        <v>1587.0604228030461</v>
      </c>
      <c r="V4067" s="39">
        <f t="shared" ca="1" si="462"/>
        <v>1.0441186992125304E-2</v>
      </c>
      <c r="W4067" s="48">
        <f t="shared" ca="1" si="463"/>
        <v>8.7901434870148787E-2</v>
      </c>
    </row>
    <row r="4068" spans="17:23" x14ac:dyDescent="0.2">
      <c r="Q4068">
        <f t="shared" si="464"/>
        <v>4052</v>
      </c>
      <c r="R4068" s="48">
        <f t="shared" ca="1" si="465"/>
        <v>0.45</v>
      </c>
      <c r="S4068">
        <f t="shared" ca="1" si="466"/>
        <v>207.50102026035913</v>
      </c>
      <c r="T4068" s="61">
        <f t="shared" ca="1" si="460"/>
        <v>21600</v>
      </c>
      <c r="U4068" s="61">
        <f t="shared" ca="1" si="461"/>
        <v>29300.448914558016</v>
      </c>
      <c r="V4068" s="39">
        <f t="shared" ca="1" si="462"/>
        <v>0.19276611127998694</v>
      </c>
      <c r="W4068" s="48">
        <f t="shared" ca="1" si="463"/>
        <v>3.1778079838446995</v>
      </c>
    </row>
    <row r="4069" spans="17:23" x14ac:dyDescent="0.2">
      <c r="Q4069">
        <f t="shared" si="464"/>
        <v>4053</v>
      </c>
      <c r="R4069" s="48">
        <f t="shared" ca="1" si="465"/>
        <v>0.3</v>
      </c>
      <c r="S4069">
        <f t="shared" ca="1" si="466"/>
        <v>173.42232971068242</v>
      </c>
      <c r="T4069" s="61">
        <f t="shared" ca="1" si="460"/>
        <v>14400</v>
      </c>
      <c r="U4069" s="61">
        <f t="shared" ca="1" si="461"/>
        <v>5116.5046379821542</v>
      </c>
      <c r="V4069" s="39">
        <f t="shared" ca="1" si="462"/>
        <v>3.3661214723566805E-2</v>
      </c>
      <c r="W4069" s="48">
        <f t="shared" ca="1" si="463"/>
        <v>0.30804699413592451</v>
      </c>
    </row>
    <row r="4070" spans="17:23" x14ac:dyDescent="0.2">
      <c r="Q4070">
        <f t="shared" si="464"/>
        <v>4054</v>
      </c>
      <c r="R4070" s="48">
        <f t="shared" ca="1" si="465"/>
        <v>0.45</v>
      </c>
      <c r="S4070">
        <f t="shared" ca="1" si="466"/>
        <v>207.90667856906657</v>
      </c>
      <c r="T4070" s="61">
        <f t="shared" ca="1" si="460"/>
        <v>21600</v>
      </c>
      <c r="U4070" s="61">
        <f t="shared" ca="1" si="461"/>
        <v>29478.938570389291</v>
      </c>
      <c r="V4070" s="39">
        <f t="shared" ca="1" si="462"/>
        <v>0.19394038533150851</v>
      </c>
      <c r="W4070" s="48">
        <f t="shared" ca="1" si="463"/>
        <v>3.2112862998612819</v>
      </c>
    </row>
    <row r="4071" spans="17:23" x14ac:dyDescent="0.2">
      <c r="Q4071">
        <f t="shared" si="464"/>
        <v>4055</v>
      </c>
      <c r="R4071" s="48">
        <f t="shared" ca="1" si="465"/>
        <v>0.217</v>
      </c>
      <c r="S4071">
        <f t="shared" ca="1" si="466"/>
        <v>219.53150988600549</v>
      </c>
      <c r="T4071" s="61">
        <f t="shared" ca="1" si="460"/>
        <v>10416</v>
      </c>
      <c r="U4071" s="61">
        <f t="shared" ca="1" si="461"/>
        <v>28914.537792593841</v>
      </c>
      <c r="V4071" s="39">
        <f t="shared" ca="1" si="462"/>
        <v>0.19022722231969633</v>
      </c>
      <c r="W4071" s="48">
        <f t="shared" ca="1" si="463"/>
        <v>3.1062213057816281</v>
      </c>
    </row>
    <row r="4072" spans="17:23" x14ac:dyDescent="0.2">
      <c r="Q4072">
        <f t="shared" si="464"/>
        <v>4056</v>
      </c>
      <c r="R4072" s="48">
        <f t="shared" ca="1" si="465"/>
        <v>0.45</v>
      </c>
      <c r="S4072">
        <f t="shared" ca="1" si="466"/>
        <v>222.41858980821885</v>
      </c>
      <c r="T4072" s="61">
        <f t="shared" ca="1" si="460"/>
        <v>21600</v>
      </c>
      <c r="U4072" s="61">
        <f t="shared" ca="1" si="461"/>
        <v>35864.179515616299</v>
      </c>
      <c r="V4072" s="39">
        <f t="shared" ca="1" si="462"/>
        <v>0.23594854944484406</v>
      </c>
      <c r="W4072" s="48">
        <f t="shared" ca="1" si="463"/>
        <v>4.5747500869291162</v>
      </c>
    </row>
    <row r="4073" spans="17:23" x14ac:dyDescent="0.2">
      <c r="Q4073">
        <f t="shared" si="464"/>
        <v>4057</v>
      </c>
      <c r="R4073" s="48">
        <f t="shared" ca="1" si="465"/>
        <v>0.35</v>
      </c>
      <c r="S4073">
        <f t="shared" ca="1" si="466"/>
        <v>156.65856570290615</v>
      </c>
      <c r="T4073" s="61">
        <f t="shared" ca="1" si="460"/>
        <v>16800</v>
      </c>
      <c r="U4073" s="61">
        <f t="shared" ca="1" si="461"/>
        <v>-537.54583448880294</v>
      </c>
      <c r="V4073" s="39">
        <f t="shared" ca="1" si="462"/>
        <v>-3.536485753215809E-3</v>
      </c>
      <c r="W4073" s="48">
        <f t="shared" ca="1" si="463"/>
        <v>-2.8326727598726786E-2</v>
      </c>
    </row>
    <row r="4074" spans="17:23" x14ac:dyDescent="0.2">
      <c r="Q4074">
        <f t="shared" si="464"/>
        <v>4058</v>
      </c>
      <c r="R4074" s="48">
        <f t="shared" ca="1" si="465"/>
        <v>0.4</v>
      </c>
      <c r="S4074">
        <f t="shared" ca="1" si="466"/>
        <v>171.07402454608965</v>
      </c>
      <c r="T4074" s="61">
        <f t="shared" ca="1" si="460"/>
        <v>19200</v>
      </c>
      <c r="U4074" s="61">
        <f t="shared" ca="1" si="461"/>
        <v>10115.531782123031</v>
      </c>
      <c r="V4074" s="39">
        <f t="shared" ca="1" si="462"/>
        <v>6.6549551198177834E-2</v>
      </c>
      <c r="W4074" s="48">
        <f t="shared" ca="1" si="463"/>
        <v>0.68638722066665703</v>
      </c>
    </row>
    <row r="4075" spans="17:23" x14ac:dyDescent="0.2">
      <c r="Q4075">
        <f t="shared" si="464"/>
        <v>4059</v>
      </c>
      <c r="R4075" s="48">
        <f t="shared" ca="1" si="465"/>
        <v>0.3</v>
      </c>
      <c r="S4075">
        <f t="shared" ca="1" si="466"/>
        <v>179.41937156308927</v>
      </c>
      <c r="T4075" s="61">
        <f t="shared" ca="1" si="460"/>
        <v>14400</v>
      </c>
      <c r="U4075" s="61">
        <f t="shared" ca="1" si="461"/>
        <v>8474.8480753299918</v>
      </c>
      <c r="V4075" s="39">
        <f t="shared" ca="1" si="462"/>
        <v>5.5755579442960473E-2</v>
      </c>
      <c r="W4075" s="48">
        <f t="shared" ca="1" si="463"/>
        <v>0.55283473088576596</v>
      </c>
    </row>
    <row r="4076" spans="17:23" x14ac:dyDescent="0.2">
      <c r="Q4076">
        <f t="shared" si="464"/>
        <v>4060</v>
      </c>
      <c r="R4076" s="48">
        <f t="shared" ca="1" si="465"/>
        <v>0.35</v>
      </c>
      <c r="S4076">
        <f t="shared" ca="1" si="466"/>
        <v>207.51784300942609</v>
      </c>
      <c r="T4076" s="61">
        <f t="shared" ca="1" si="460"/>
        <v>16800</v>
      </c>
      <c r="U4076" s="61">
        <f t="shared" ca="1" si="461"/>
        <v>25909.278364901566</v>
      </c>
      <c r="V4076" s="39">
        <f t="shared" ca="1" si="462"/>
        <v>0.17045577871645767</v>
      </c>
      <c r="W4076" s="48">
        <f t="shared" ca="1" si="463"/>
        <v>2.5845536293981302</v>
      </c>
    </row>
    <row r="4077" spans="17:23" x14ac:dyDescent="0.2">
      <c r="Q4077">
        <f t="shared" si="464"/>
        <v>4061</v>
      </c>
      <c r="R4077" s="48">
        <f t="shared" ca="1" si="465"/>
        <v>0.3</v>
      </c>
      <c r="S4077">
        <f t="shared" ca="1" si="466"/>
        <v>177.44149960151788</v>
      </c>
      <c r="T4077" s="61">
        <f t="shared" ca="1" si="460"/>
        <v>14400</v>
      </c>
      <c r="U4077" s="61">
        <f t="shared" ca="1" si="461"/>
        <v>7367.2397768500105</v>
      </c>
      <c r="V4077" s="39">
        <f t="shared" ca="1" si="462"/>
        <v>4.846868274243428E-2</v>
      </c>
      <c r="W4077" s="48">
        <f t="shared" ca="1" si="463"/>
        <v>0.46800536555837424</v>
      </c>
    </row>
    <row r="4078" spans="17:23" x14ac:dyDescent="0.2">
      <c r="Q4078">
        <f t="shared" si="464"/>
        <v>4062</v>
      </c>
      <c r="R4078" s="48">
        <f t="shared" ca="1" si="465"/>
        <v>0.5</v>
      </c>
      <c r="S4078">
        <f t="shared" ca="1" si="466"/>
        <v>186.610952766525</v>
      </c>
      <c r="T4078" s="61">
        <f t="shared" ca="1" si="460"/>
        <v>24000</v>
      </c>
      <c r="U4078" s="61">
        <f t="shared" ca="1" si="461"/>
        <v>22644.381106610002</v>
      </c>
      <c r="V4078" s="39">
        <f t="shared" ca="1" si="462"/>
        <v>0.14897619149085528</v>
      </c>
      <c r="W4078" s="48">
        <f t="shared" ca="1" si="463"/>
        <v>2.084533291013821</v>
      </c>
    </row>
    <row r="4079" spans="17:23" x14ac:dyDescent="0.2">
      <c r="Q4079">
        <f t="shared" si="464"/>
        <v>4063</v>
      </c>
      <c r="R4079" s="48">
        <f t="shared" ca="1" si="465"/>
        <v>0.45</v>
      </c>
      <c r="S4079">
        <f t="shared" ca="1" si="466"/>
        <v>191.17058193910873</v>
      </c>
      <c r="T4079" s="61">
        <f t="shared" ca="1" si="460"/>
        <v>21600</v>
      </c>
      <c r="U4079" s="61">
        <f t="shared" ca="1" si="461"/>
        <v>22115.056053207842</v>
      </c>
      <c r="V4079" s="39">
        <f t="shared" ca="1" si="462"/>
        <v>0.14549378982373579</v>
      </c>
      <c r="W4079" s="48">
        <f t="shared" ca="1" si="463"/>
        <v>2.009516031848122</v>
      </c>
    </row>
    <row r="4080" spans="17:23" x14ac:dyDescent="0.2">
      <c r="Q4080">
        <f t="shared" si="464"/>
        <v>4064</v>
      </c>
      <c r="R4080" s="48">
        <f t="shared" ca="1" si="465"/>
        <v>0.217</v>
      </c>
      <c r="S4080">
        <f t="shared" ca="1" si="466"/>
        <v>218.10432869649759</v>
      </c>
      <c r="T4080" s="61">
        <f t="shared" ca="1" si="460"/>
        <v>10416</v>
      </c>
      <c r="U4080" s="61">
        <f t="shared" ca="1" si="461"/>
        <v>28020.551495486088</v>
      </c>
      <c r="V4080" s="39">
        <f t="shared" ca="1" si="462"/>
        <v>0.18434573352293479</v>
      </c>
      <c r="W4080" s="48">
        <f t="shared" ca="1" si="463"/>
        <v>2.9445028745003881</v>
      </c>
    </row>
    <row r="4081" spans="17:23" x14ac:dyDescent="0.2">
      <c r="Q4081">
        <f t="shared" si="464"/>
        <v>4065</v>
      </c>
      <c r="R4081" s="48">
        <f t="shared" ca="1" si="465"/>
        <v>0.3</v>
      </c>
      <c r="S4081">
        <f t="shared" ca="1" si="466"/>
        <v>193.5184788852448</v>
      </c>
      <c r="T4081" s="61">
        <f t="shared" ca="1" si="460"/>
        <v>14400</v>
      </c>
      <c r="U4081" s="61">
        <f t="shared" ca="1" si="461"/>
        <v>16370.34817573709</v>
      </c>
      <c r="V4081" s="39">
        <f t="shared" ca="1" si="462"/>
        <v>0.10769965905090191</v>
      </c>
      <c r="W4081" s="48">
        <f t="shared" ca="1" si="463"/>
        <v>1.2925137888681566</v>
      </c>
    </row>
    <row r="4082" spans="17:23" x14ac:dyDescent="0.2">
      <c r="Q4082">
        <f t="shared" si="464"/>
        <v>4066</v>
      </c>
      <c r="R4082" s="48">
        <f t="shared" ca="1" si="465"/>
        <v>0.45</v>
      </c>
      <c r="S4082">
        <f t="shared" ca="1" si="466"/>
        <v>176.51342454688751</v>
      </c>
      <c r="T4082" s="61">
        <f t="shared" ca="1" si="460"/>
        <v>21600</v>
      </c>
      <c r="U4082" s="61">
        <f t="shared" ca="1" si="461"/>
        <v>15665.906800630502</v>
      </c>
      <c r="V4082" s="39">
        <f t="shared" ca="1" si="462"/>
        <v>0.10306517631993752</v>
      </c>
      <c r="W4082" s="48">
        <f t="shared" ca="1" si="463"/>
        <v>1.2158627515407465</v>
      </c>
    </row>
    <row r="4083" spans="17:23" x14ac:dyDescent="0.2">
      <c r="Q4083">
        <f t="shared" si="464"/>
        <v>4067</v>
      </c>
      <c r="R4083" s="48">
        <f t="shared" ca="1" si="465"/>
        <v>0.3</v>
      </c>
      <c r="S4083">
        <f t="shared" ca="1" si="466"/>
        <v>220.39103852368643</v>
      </c>
      <c r="T4083" s="61">
        <f t="shared" ca="1" si="460"/>
        <v>14400</v>
      </c>
      <c r="U4083" s="61">
        <f t="shared" ca="1" si="461"/>
        <v>31418.981573264402</v>
      </c>
      <c r="V4083" s="39">
        <f t="shared" ca="1" si="462"/>
        <v>0.20670382613989738</v>
      </c>
      <c r="W4083" s="48">
        <f t="shared" ca="1" si="463"/>
        <v>3.5906296930615431</v>
      </c>
    </row>
    <row r="4084" spans="17:23" x14ac:dyDescent="0.2">
      <c r="Q4084">
        <f t="shared" si="464"/>
        <v>4068</v>
      </c>
      <c r="R4084" s="48">
        <f t="shared" ca="1" si="465"/>
        <v>0.217</v>
      </c>
      <c r="S4084">
        <f t="shared" ca="1" si="466"/>
        <v>188.84083648789289</v>
      </c>
      <c r="T4084" s="61">
        <f t="shared" ca="1" si="460"/>
        <v>10416</v>
      </c>
      <c r="U4084" s="61">
        <f t="shared" ca="1" si="461"/>
        <v>9689.8999760161041</v>
      </c>
      <c r="V4084" s="39">
        <f t="shared" ca="1" si="462"/>
        <v>6.3749341947474364E-2</v>
      </c>
      <c r="W4084" s="48">
        <f t="shared" ca="1" si="463"/>
        <v>0.65080805905392136</v>
      </c>
    </row>
    <row r="4085" spans="17:23" x14ac:dyDescent="0.2">
      <c r="Q4085">
        <f t="shared" si="464"/>
        <v>4069</v>
      </c>
      <c r="R4085" s="48">
        <f t="shared" ca="1" si="465"/>
        <v>0.35</v>
      </c>
      <c r="S4085">
        <f t="shared" ca="1" si="466"/>
        <v>160.9863703617674</v>
      </c>
      <c r="T4085" s="61">
        <f t="shared" ca="1" si="460"/>
        <v>16800</v>
      </c>
      <c r="U4085" s="61">
        <f t="shared" ca="1" si="461"/>
        <v>1712.9125881190485</v>
      </c>
      <c r="V4085" s="39">
        <f t="shared" ca="1" si="462"/>
        <v>1.1269161763941108E-2</v>
      </c>
      <c r="W4085" s="48">
        <f t="shared" ca="1" si="463"/>
        <v>9.5153163521755513E-2</v>
      </c>
    </row>
    <row r="4086" spans="17:23" x14ac:dyDescent="0.2">
      <c r="Q4086">
        <f t="shared" si="464"/>
        <v>4070</v>
      </c>
      <c r="R4086" s="48">
        <f t="shared" ca="1" si="465"/>
        <v>0.35</v>
      </c>
      <c r="S4086">
        <f t="shared" ca="1" si="466"/>
        <v>182.77681793221416</v>
      </c>
      <c r="T4086" s="61">
        <f t="shared" ca="1" si="460"/>
        <v>16800</v>
      </c>
      <c r="U4086" s="61">
        <f t="shared" ca="1" si="461"/>
        <v>13043.945324751363</v>
      </c>
      <c r="V4086" s="39">
        <f t="shared" ca="1" si="462"/>
        <v>8.5815429768101067E-2</v>
      </c>
      <c r="W4086" s="48">
        <f t="shared" ca="1" si="463"/>
        <v>0.94993870772807032</v>
      </c>
    </row>
    <row r="4087" spans="17:23" x14ac:dyDescent="0.2">
      <c r="Q4087">
        <f t="shared" si="464"/>
        <v>4071</v>
      </c>
      <c r="R4087" s="48">
        <f t="shared" ca="1" si="465"/>
        <v>0.45</v>
      </c>
      <c r="S4087">
        <f t="shared" ca="1" si="466"/>
        <v>194.96079445975039</v>
      </c>
      <c r="T4087" s="61">
        <f t="shared" ca="1" si="460"/>
        <v>21600</v>
      </c>
      <c r="U4087" s="61">
        <f t="shared" ca="1" si="461"/>
        <v>23782.74956229017</v>
      </c>
      <c r="V4087" s="39">
        <f t="shared" ca="1" si="462"/>
        <v>0.15646545764664585</v>
      </c>
      <c r="W4087" s="48">
        <f t="shared" ca="1" si="463"/>
        <v>2.2514423926373004</v>
      </c>
    </row>
    <row r="4088" spans="17:23" x14ac:dyDescent="0.2">
      <c r="Q4088">
        <f t="shared" si="464"/>
        <v>4072</v>
      </c>
      <c r="R4088" s="48">
        <f t="shared" ca="1" si="465"/>
        <v>0.5</v>
      </c>
      <c r="S4088">
        <f t="shared" ca="1" si="466"/>
        <v>202.44630567898051</v>
      </c>
      <c r="T4088" s="61">
        <f t="shared" ca="1" si="460"/>
        <v>24000</v>
      </c>
      <c r="U4088" s="61">
        <f t="shared" ca="1" si="461"/>
        <v>28978.522271592203</v>
      </c>
      <c r="V4088" s="39">
        <f t="shared" ca="1" si="462"/>
        <v>0.1906481728394224</v>
      </c>
      <c r="W4088" s="48">
        <f t="shared" ca="1" si="463"/>
        <v>3.118015548198704</v>
      </c>
    </row>
    <row r="4089" spans="17:23" x14ac:dyDescent="0.2">
      <c r="Q4089">
        <f t="shared" si="464"/>
        <v>4073</v>
      </c>
      <c r="R4089" s="48">
        <f t="shared" ca="1" si="465"/>
        <v>0.3</v>
      </c>
      <c r="S4089">
        <f t="shared" ca="1" si="466"/>
        <v>209.93003235883009</v>
      </c>
      <c r="T4089" s="61">
        <f t="shared" ref="T4089:T4152" ca="1" si="467">($B$8-$B$7)*($E$6*R4089)</f>
        <v>14400</v>
      </c>
      <c r="U4089" s="61">
        <f t="shared" ref="U4089:U4152" ca="1" si="468">T4089+((S4089-$B$7)*($E$6*(1-R4089)))</f>
        <v>25560.818120944852</v>
      </c>
      <c r="V4089" s="39">
        <f t="shared" ref="V4089:V4152" ca="1" si="469">U4089/$E$4</f>
        <v>0.1681632771114793</v>
      </c>
      <c r="W4089" s="48">
        <f t="shared" ref="W4089:W4152" ca="1" si="470">(1+V4089)^($J$29/$J$30)-1</f>
        <v>2.5280017344425669</v>
      </c>
    </row>
    <row r="4090" spans="17:23" x14ac:dyDescent="0.2">
      <c r="Q4090">
        <f t="shared" si="464"/>
        <v>4074</v>
      </c>
      <c r="R4090" s="48">
        <f t="shared" ca="1" si="465"/>
        <v>0.4</v>
      </c>
      <c r="S4090">
        <f t="shared" ca="1" si="466"/>
        <v>162.94917299016086</v>
      </c>
      <c r="T4090" s="61">
        <f t="shared" ca="1" si="467"/>
        <v>19200</v>
      </c>
      <c r="U4090" s="61">
        <f t="shared" ca="1" si="468"/>
        <v>6215.6030352772141</v>
      </c>
      <c r="V4090" s="39">
        <f t="shared" ca="1" si="469"/>
        <v>4.0892125232086934E-2</v>
      </c>
      <c r="W4090" s="48">
        <f t="shared" ca="1" si="470"/>
        <v>0.3841391499433453</v>
      </c>
    </row>
    <row r="4091" spans="17:23" x14ac:dyDescent="0.2">
      <c r="Q4091">
        <f t="shared" si="464"/>
        <v>4075</v>
      </c>
      <c r="R4091" s="48">
        <f t="shared" ca="1" si="465"/>
        <v>0.35</v>
      </c>
      <c r="S4091">
        <f t="shared" ca="1" si="466"/>
        <v>147.51531499375301</v>
      </c>
      <c r="T4091" s="61">
        <f t="shared" ca="1" si="467"/>
        <v>16800</v>
      </c>
      <c r="U4091" s="61">
        <f t="shared" ca="1" si="468"/>
        <v>-5292.0362032484336</v>
      </c>
      <c r="V4091" s="39">
        <f t="shared" ca="1" si="469"/>
        <v>-3.4816027652950221E-2</v>
      </c>
      <c r="W4091" s="48">
        <f t="shared" ca="1" si="470"/>
        <v>-0.24981077306799182</v>
      </c>
    </row>
    <row r="4092" spans="17:23" x14ac:dyDescent="0.2">
      <c r="Q4092">
        <f t="shared" si="464"/>
        <v>4076</v>
      </c>
      <c r="R4092" s="48">
        <f t="shared" ca="1" si="465"/>
        <v>0.4</v>
      </c>
      <c r="S4092">
        <f t="shared" ca="1" si="466"/>
        <v>207.34267506820649</v>
      </c>
      <c r="T4092" s="61">
        <f t="shared" ca="1" si="467"/>
        <v>19200</v>
      </c>
      <c r="U4092" s="61">
        <f t="shared" ca="1" si="468"/>
        <v>27524.484032739114</v>
      </c>
      <c r="V4092" s="39">
        <f t="shared" ca="1" si="469"/>
        <v>0.18108213179433627</v>
      </c>
      <c r="W4092" s="48">
        <f t="shared" ca="1" si="470"/>
        <v>2.8571978518499321</v>
      </c>
    </row>
    <row r="4093" spans="17:23" x14ac:dyDescent="0.2">
      <c r="Q4093">
        <f t="shared" si="464"/>
        <v>4077</v>
      </c>
      <c r="R4093" s="48">
        <f t="shared" ca="1" si="465"/>
        <v>0.217</v>
      </c>
      <c r="S4093">
        <f t="shared" ca="1" si="466"/>
        <v>211.57794246377233</v>
      </c>
      <c r="T4093" s="61">
        <f t="shared" ca="1" si="467"/>
        <v>10416</v>
      </c>
      <c r="U4093" s="61">
        <f t="shared" ca="1" si="468"/>
        <v>23932.423159306985</v>
      </c>
      <c r="V4093" s="39">
        <f t="shared" ca="1" si="469"/>
        <v>0.15745015236386176</v>
      </c>
      <c r="W4093" s="48">
        <f t="shared" ca="1" si="470"/>
        <v>2.273966129761269</v>
      </c>
    </row>
    <row r="4094" spans="17:23" x14ac:dyDescent="0.2">
      <c r="Q4094">
        <f t="shared" si="464"/>
        <v>4078</v>
      </c>
      <c r="R4094" s="48">
        <f t="shared" ca="1" si="465"/>
        <v>0.35</v>
      </c>
      <c r="S4094">
        <f t="shared" ca="1" si="466"/>
        <v>214.06798361227973</v>
      </c>
      <c r="T4094" s="61">
        <f t="shared" ca="1" si="467"/>
        <v>16800</v>
      </c>
      <c r="U4094" s="61">
        <f t="shared" ca="1" si="468"/>
        <v>29315.351478385463</v>
      </c>
      <c r="V4094" s="39">
        <f t="shared" ca="1" si="469"/>
        <v>0.19286415446306227</v>
      </c>
      <c r="W4094" s="48">
        <f t="shared" ca="1" si="470"/>
        <v>3.1805942196374399</v>
      </c>
    </row>
    <row r="4095" spans="17:23" x14ac:dyDescent="0.2">
      <c r="Q4095">
        <f t="shared" si="464"/>
        <v>4079</v>
      </c>
      <c r="R4095" s="48">
        <f t="shared" ca="1" si="465"/>
        <v>0.35</v>
      </c>
      <c r="S4095">
        <f t="shared" ca="1" si="466"/>
        <v>178.98403302737219</v>
      </c>
      <c r="T4095" s="61">
        <f t="shared" ca="1" si="467"/>
        <v>16800</v>
      </c>
      <c r="U4095" s="61">
        <f t="shared" ca="1" si="468"/>
        <v>11071.697174233541</v>
      </c>
      <c r="V4095" s="39">
        <f t="shared" ca="1" si="469"/>
        <v>7.2840112988378558E-2</v>
      </c>
      <c r="W4095" s="48">
        <f t="shared" ca="1" si="470"/>
        <v>0.76877586580261159</v>
      </c>
    </row>
    <row r="4096" spans="17:23" x14ac:dyDescent="0.2">
      <c r="Q4096">
        <f t="shared" si="464"/>
        <v>4080</v>
      </c>
      <c r="R4096" s="48">
        <f t="shared" ca="1" si="465"/>
        <v>0.3</v>
      </c>
      <c r="S4096">
        <f t="shared" ca="1" si="466"/>
        <v>193.93388553675098</v>
      </c>
      <c r="T4096" s="61">
        <f t="shared" ca="1" si="467"/>
        <v>14400</v>
      </c>
      <c r="U4096" s="61">
        <f t="shared" ca="1" si="468"/>
        <v>16602.975900580546</v>
      </c>
      <c r="V4096" s="39">
        <f t="shared" ca="1" si="469"/>
        <v>0.10923010460908254</v>
      </c>
      <c r="W4096" s="48">
        <f t="shared" ca="1" si="470"/>
        <v>1.3183317776832126</v>
      </c>
    </row>
    <row r="4097" spans="17:23" x14ac:dyDescent="0.2">
      <c r="Q4097">
        <f t="shared" si="464"/>
        <v>4081</v>
      </c>
      <c r="R4097" s="48">
        <f t="shared" ca="1" si="465"/>
        <v>0.4</v>
      </c>
      <c r="S4097">
        <f t="shared" ca="1" si="466"/>
        <v>212.21468392517522</v>
      </c>
      <c r="T4097" s="61">
        <f t="shared" ca="1" si="467"/>
        <v>19200</v>
      </c>
      <c r="U4097" s="61">
        <f t="shared" ca="1" si="468"/>
        <v>29863.048284084107</v>
      </c>
      <c r="V4097" s="39">
        <f t="shared" ca="1" si="469"/>
        <v>0.19646742292160596</v>
      </c>
      <c r="W4097" s="48">
        <f t="shared" ca="1" si="470"/>
        <v>3.2841303788909837</v>
      </c>
    </row>
    <row r="4098" spans="17:23" x14ac:dyDescent="0.2">
      <c r="Q4098">
        <f t="shared" si="464"/>
        <v>4082</v>
      </c>
      <c r="R4098" s="48">
        <f t="shared" ca="1" si="465"/>
        <v>0.3</v>
      </c>
      <c r="S4098">
        <f t="shared" ca="1" si="466"/>
        <v>189.32337926643223</v>
      </c>
      <c r="T4098" s="61">
        <f t="shared" ca="1" si="467"/>
        <v>14400</v>
      </c>
      <c r="U4098" s="61">
        <f t="shared" ca="1" si="468"/>
        <v>14021.092389202047</v>
      </c>
      <c r="V4098" s="39">
        <f t="shared" ca="1" si="469"/>
        <v>9.2244028876329265E-2</v>
      </c>
      <c r="W4098" s="48">
        <f t="shared" ca="1" si="470"/>
        <v>1.0455739080389246</v>
      </c>
    </row>
    <row r="4099" spans="17:23" x14ac:dyDescent="0.2">
      <c r="Q4099">
        <f t="shared" si="464"/>
        <v>4083</v>
      </c>
      <c r="R4099" s="48">
        <f t="shared" ca="1" si="465"/>
        <v>0.3</v>
      </c>
      <c r="S4099">
        <f t="shared" ca="1" si="466"/>
        <v>203.02109426017927</v>
      </c>
      <c r="T4099" s="61">
        <f t="shared" ca="1" si="467"/>
        <v>14400</v>
      </c>
      <c r="U4099" s="61">
        <f t="shared" ca="1" si="468"/>
        <v>21691.812785700389</v>
      </c>
      <c r="V4099" s="39">
        <f t="shared" ca="1" si="469"/>
        <v>0.14270929464276572</v>
      </c>
      <c r="W4099" s="48">
        <f t="shared" ca="1" si="470"/>
        <v>1.950688647346007</v>
      </c>
    </row>
    <row r="4100" spans="17:23" x14ac:dyDescent="0.2">
      <c r="Q4100">
        <f t="shared" si="464"/>
        <v>4084</v>
      </c>
      <c r="R4100" s="48">
        <f t="shared" ca="1" si="465"/>
        <v>0.4</v>
      </c>
      <c r="S4100">
        <f t="shared" ca="1" si="466"/>
        <v>190.94239991144192</v>
      </c>
      <c r="T4100" s="61">
        <f t="shared" ca="1" si="467"/>
        <v>19200</v>
      </c>
      <c r="U4100" s="61">
        <f t="shared" ca="1" si="468"/>
        <v>19652.351957492123</v>
      </c>
      <c r="V4100" s="39">
        <f t="shared" ca="1" si="469"/>
        <v>0.12929178919402712</v>
      </c>
      <c r="W4100" s="48">
        <f t="shared" ca="1" si="470"/>
        <v>1.6811228643957707</v>
      </c>
    </row>
    <row r="4101" spans="17:23" x14ac:dyDescent="0.2">
      <c r="Q4101">
        <f t="shared" si="464"/>
        <v>4085</v>
      </c>
      <c r="R4101" s="48">
        <f t="shared" ca="1" si="465"/>
        <v>0.5</v>
      </c>
      <c r="S4101">
        <f t="shared" ca="1" si="466"/>
        <v>197.17239343066066</v>
      </c>
      <c r="T4101" s="61">
        <f t="shared" ca="1" si="467"/>
        <v>24000</v>
      </c>
      <c r="U4101" s="61">
        <f t="shared" ca="1" si="468"/>
        <v>26868.957372264264</v>
      </c>
      <c r="V4101" s="39">
        <f t="shared" ca="1" si="469"/>
        <v>0.17676945639647543</v>
      </c>
      <c r="W4101" s="48">
        <f t="shared" ca="1" si="470"/>
        <v>2.7444298525398687</v>
      </c>
    </row>
    <row r="4102" spans="17:23" x14ac:dyDescent="0.2">
      <c r="Q4102">
        <f t="shared" si="464"/>
        <v>4086</v>
      </c>
      <c r="R4102" s="48">
        <f t="shared" ca="1" si="465"/>
        <v>0.4</v>
      </c>
      <c r="S4102">
        <f t="shared" ca="1" si="466"/>
        <v>147.76148990163949</v>
      </c>
      <c r="T4102" s="61">
        <f t="shared" ca="1" si="467"/>
        <v>19200</v>
      </c>
      <c r="U4102" s="61">
        <f t="shared" ca="1" si="468"/>
        <v>-1074.4848472130434</v>
      </c>
      <c r="V4102" s="39">
        <f t="shared" ca="1" si="469"/>
        <v>-7.0689792579805488E-3</v>
      </c>
      <c r="W4102" s="48">
        <f t="shared" ca="1" si="470"/>
        <v>-5.5916718085377459E-2</v>
      </c>
    </row>
    <row r="4103" spans="17:23" x14ac:dyDescent="0.2">
      <c r="Q4103">
        <f t="shared" si="464"/>
        <v>4087</v>
      </c>
      <c r="R4103" s="48">
        <f t="shared" ca="1" si="465"/>
        <v>0.15</v>
      </c>
      <c r="S4103">
        <f t="shared" ca="1" si="466"/>
        <v>200.31564880814011</v>
      </c>
      <c r="T4103" s="61">
        <f t="shared" ca="1" si="467"/>
        <v>7200</v>
      </c>
      <c r="U4103" s="61">
        <f t="shared" ca="1" si="468"/>
        <v>14214.641189535276</v>
      </c>
      <c r="V4103" s="39">
        <f t="shared" ca="1" si="469"/>
        <v>9.3517376246942605E-2</v>
      </c>
      <c r="W4103" s="48">
        <f t="shared" ca="1" si="470"/>
        <v>1.0649972286365172</v>
      </c>
    </row>
    <row r="4104" spans="17:23" x14ac:dyDescent="0.2">
      <c r="Q4104">
        <f t="shared" si="464"/>
        <v>4088</v>
      </c>
      <c r="R4104" s="48">
        <f t="shared" ca="1" si="465"/>
        <v>0.217</v>
      </c>
      <c r="S4104">
        <f t="shared" ca="1" si="466"/>
        <v>196.22423266081674</v>
      </c>
      <c r="T4104" s="61">
        <f t="shared" ca="1" si="467"/>
        <v>10416</v>
      </c>
      <c r="U4104" s="61">
        <f t="shared" ca="1" si="468"/>
        <v>14314.859338735605</v>
      </c>
      <c r="V4104" s="39">
        <f t="shared" ca="1" si="469"/>
        <v>9.4176706175892133E-2</v>
      </c>
      <c r="W4104" s="48">
        <f t="shared" ca="1" si="470"/>
        <v>1.0751178717853471</v>
      </c>
    </row>
    <row r="4105" spans="17:23" x14ac:dyDescent="0.2">
      <c r="Q4105">
        <f t="shared" si="464"/>
        <v>4089</v>
      </c>
      <c r="R4105" s="48">
        <f t="shared" ca="1" si="465"/>
        <v>0.4</v>
      </c>
      <c r="S4105">
        <f t="shared" ca="1" si="466"/>
        <v>193.05147677753723</v>
      </c>
      <c r="T4105" s="61">
        <f t="shared" ca="1" si="467"/>
        <v>19200</v>
      </c>
      <c r="U4105" s="61">
        <f t="shared" ca="1" si="468"/>
        <v>20664.708853217871</v>
      </c>
      <c r="V4105" s="39">
        <f t="shared" ca="1" si="469"/>
        <v>0.13595203192906494</v>
      </c>
      <c r="W4105" s="48">
        <f t="shared" ca="1" si="470"/>
        <v>1.8121018887121991</v>
      </c>
    </row>
    <row r="4106" spans="17:23" x14ac:dyDescent="0.2">
      <c r="Q4106">
        <f t="shared" si="464"/>
        <v>4090</v>
      </c>
      <c r="R4106" s="48">
        <f t="shared" ca="1" si="465"/>
        <v>0.35</v>
      </c>
      <c r="S4106">
        <f t="shared" ca="1" si="466"/>
        <v>180.86605102534591</v>
      </c>
      <c r="T4106" s="61">
        <f t="shared" ca="1" si="467"/>
        <v>16800</v>
      </c>
      <c r="U4106" s="61">
        <f t="shared" ca="1" si="468"/>
        <v>12050.346533179872</v>
      </c>
      <c r="V4106" s="39">
        <f t="shared" ca="1" si="469"/>
        <v>7.9278595613025471E-2</v>
      </c>
      <c r="W4106" s="48">
        <f t="shared" ca="1" si="470"/>
        <v>0.85673541202330261</v>
      </c>
    </row>
    <row r="4107" spans="17:23" x14ac:dyDescent="0.2">
      <c r="Q4107">
        <f t="shared" si="464"/>
        <v>4091</v>
      </c>
      <c r="R4107" s="48">
        <f t="shared" ca="1" si="465"/>
        <v>0.35</v>
      </c>
      <c r="S4107">
        <f t="shared" ca="1" si="466"/>
        <v>171.81719181639551</v>
      </c>
      <c r="T4107" s="61">
        <f t="shared" ca="1" si="467"/>
        <v>16800</v>
      </c>
      <c r="U4107" s="61">
        <f t="shared" ca="1" si="468"/>
        <v>7344.9397445256636</v>
      </c>
      <c r="V4107" s="39">
        <f t="shared" ca="1" si="469"/>
        <v>4.8321972003458315E-2</v>
      </c>
      <c r="W4107" s="48">
        <f t="shared" ca="1" si="470"/>
        <v>0.46634004297561815</v>
      </c>
    </row>
    <row r="4108" spans="17:23" x14ac:dyDescent="0.2">
      <c r="Q4108">
        <f t="shared" si="464"/>
        <v>4092</v>
      </c>
      <c r="R4108" s="48">
        <f t="shared" ca="1" si="465"/>
        <v>0.35</v>
      </c>
      <c r="S4108">
        <f t="shared" ca="1" si="466"/>
        <v>202.60742390053417</v>
      </c>
      <c r="T4108" s="61">
        <f t="shared" ca="1" si="467"/>
        <v>16800</v>
      </c>
      <c r="U4108" s="61">
        <f t="shared" ca="1" si="468"/>
        <v>23355.860428277771</v>
      </c>
      <c r="V4108" s="39">
        <f t="shared" ca="1" si="469"/>
        <v>0.15365697650182744</v>
      </c>
      <c r="W4108" s="48">
        <f t="shared" ca="1" si="470"/>
        <v>2.1879462069126485</v>
      </c>
    </row>
    <row r="4109" spans="17:23" x14ac:dyDescent="0.2">
      <c r="Q4109">
        <f t="shared" si="464"/>
        <v>4093</v>
      </c>
      <c r="R4109" s="48">
        <f t="shared" ca="1" si="465"/>
        <v>0.3</v>
      </c>
      <c r="S4109">
        <f t="shared" ca="1" si="466"/>
        <v>185.91391766930928</v>
      </c>
      <c r="T4109" s="61">
        <f t="shared" ca="1" si="467"/>
        <v>14400</v>
      </c>
      <c r="U4109" s="61">
        <f t="shared" ca="1" si="468"/>
        <v>12111.7938948132</v>
      </c>
      <c r="V4109" s="39">
        <f t="shared" ca="1" si="469"/>
        <v>7.9682854571139466E-2</v>
      </c>
      <c r="W4109" s="48">
        <f t="shared" ca="1" si="470"/>
        <v>0.86238393502464628</v>
      </c>
    </row>
    <row r="4110" spans="17:23" x14ac:dyDescent="0.2">
      <c r="Q4110">
        <f t="shared" si="464"/>
        <v>4094</v>
      </c>
      <c r="R4110" s="48">
        <f t="shared" ca="1" si="465"/>
        <v>0.3</v>
      </c>
      <c r="S4110">
        <f t="shared" ca="1" si="466"/>
        <v>211.18882021468511</v>
      </c>
      <c r="T4110" s="61">
        <f t="shared" ca="1" si="467"/>
        <v>14400</v>
      </c>
      <c r="U4110" s="61">
        <f t="shared" ca="1" si="468"/>
        <v>26265.73932022366</v>
      </c>
      <c r="V4110" s="39">
        <f t="shared" ca="1" si="469"/>
        <v>0.17280091658041882</v>
      </c>
      <c r="W4110" s="48">
        <f t="shared" ca="1" si="470"/>
        <v>2.6432247381473331</v>
      </c>
    </row>
    <row r="4111" spans="17:23" x14ac:dyDescent="0.2">
      <c r="Q4111">
        <f t="shared" si="464"/>
        <v>4095</v>
      </c>
      <c r="R4111" s="48">
        <f t="shared" ca="1" si="465"/>
        <v>0.3</v>
      </c>
      <c r="S4111">
        <f t="shared" ca="1" si="466"/>
        <v>164.73048907110194</v>
      </c>
      <c r="T4111" s="61">
        <f t="shared" ca="1" si="467"/>
        <v>14400</v>
      </c>
      <c r="U4111" s="61">
        <f t="shared" ca="1" si="468"/>
        <v>249.0738798170878</v>
      </c>
      <c r="V4111" s="39">
        <f t="shared" ca="1" si="469"/>
        <v>1.6386439461650512E-3</v>
      </c>
      <c r="W4111" s="48">
        <f t="shared" ca="1" si="470"/>
        <v>1.3368920663791029E-2</v>
      </c>
    </row>
    <row r="4112" spans="17:23" x14ac:dyDescent="0.2">
      <c r="Q4112">
        <f t="shared" si="464"/>
        <v>4096</v>
      </c>
      <c r="R4112" s="48">
        <f t="shared" ca="1" si="465"/>
        <v>0.45</v>
      </c>
      <c r="S4112">
        <f t="shared" ca="1" si="466"/>
        <v>181.4444917660243</v>
      </c>
      <c r="T4112" s="61">
        <f t="shared" ca="1" si="467"/>
        <v>21600</v>
      </c>
      <c r="U4112" s="61">
        <f t="shared" ca="1" si="468"/>
        <v>17835.576377050689</v>
      </c>
      <c r="V4112" s="39">
        <f t="shared" ca="1" si="469"/>
        <v>0.11733931827007033</v>
      </c>
      <c r="W4112" s="48">
        <f t="shared" ca="1" si="470"/>
        <v>1.4594304744095381</v>
      </c>
    </row>
    <row r="4113" spans="17:23" x14ac:dyDescent="0.2">
      <c r="Q4113">
        <f t="shared" si="464"/>
        <v>4097</v>
      </c>
      <c r="R4113" s="48">
        <f t="shared" ca="1" si="465"/>
        <v>0.35</v>
      </c>
      <c r="S4113">
        <f t="shared" ca="1" si="466"/>
        <v>191.80481837371764</v>
      </c>
      <c r="T4113" s="61">
        <f t="shared" ca="1" si="467"/>
        <v>16800</v>
      </c>
      <c r="U4113" s="61">
        <f t="shared" ca="1" si="468"/>
        <v>17738.505554333173</v>
      </c>
      <c r="V4113" s="39">
        <f t="shared" ca="1" si="469"/>
        <v>0.11670069443640245</v>
      </c>
      <c r="W4113" s="48">
        <f t="shared" ca="1" si="470"/>
        <v>1.4480517783440283</v>
      </c>
    </row>
    <row r="4114" spans="17:23" x14ac:dyDescent="0.2">
      <c r="Q4114">
        <f t="shared" si="464"/>
        <v>4098</v>
      </c>
      <c r="R4114" s="48">
        <f t="shared" ca="1" si="465"/>
        <v>0.35</v>
      </c>
      <c r="S4114">
        <f t="shared" ca="1" si="466"/>
        <v>189.5052163631747</v>
      </c>
      <c r="T4114" s="61">
        <f t="shared" ca="1" si="467"/>
        <v>16800</v>
      </c>
      <c r="U4114" s="61">
        <f t="shared" ca="1" si="468"/>
        <v>16542.712508850844</v>
      </c>
      <c r="V4114" s="39">
        <f t="shared" ca="1" si="469"/>
        <v>0.10883363492665028</v>
      </c>
      <c r="W4114" s="48">
        <f t="shared" ca="1" si="470"/>
        <v>1.311619152466704</v>
      </c>
    </row>
    <row r="4115" spans="17:23" x14ac:dyDescent="0.2">
      <c r="Q4115">
        <f t="shared" ref="Q4115:Q4178" si="471">Q4114+1</f>
        <v>4099</v>
      </c>
      <c r="R4115" s="48">
        <f t="shared" ref="R4115:R4178" ca="1" si="472">LOOKUP(RAND(),$U$6:$U$12,$S$6:$S$12)</f>
        <v>0.35</v>
      </c>
      <c r="S4115">
        <f t="shared" ref="S4115:S4178" ca="1" si="473">_xlfn.NORM.INV(RAND(),$Q$5,$Q$10)</f>
        <v>190.10325724249043</v>
      </c>
      <c r="T4115" s="61">
        <f t="shared" ca="1" si="467"/>
        <v>16800</v>
      </c>
      <c r="U4115" s="61">
        <f t="shared" ca="1" si="468"/>
        <v>16853.693766095024</v>
      </c>
      <c r="V4115" s="39">
        <f t="shared" ca="1" si="469"/>
        <v>0.11087956425062516</v>
      </c>
      <c r="W4115" s="48">
        <f t="shared" ca="1" si="470"/>
        <v>1.3464425695155842</v>
      </c>
    </row>
    <row r="4116" spans="17:23" x14ac:dyDescent="0.2">
      <c r="Q4116">
        <f t="shared" si="471"/>
        <v>4100</v>
      </c>
      <c r="R4116" s="48">
        <f t="shared" ca="1" si="472"/>
        <v>0.5</v>
      </c>
      <c r="S4116">
        <f t="shared" ca="1" si="473"/>
        <v>195.19818407499906</v>
      </c>
      <c r="T4116" s="61">
        <f t="shared" ca="1" si="467"/>
        <v>24000</v>
      </c>
      <c r="U4116" s="61">
        <f t="shared" ca="1" si="468"/>
        <v>26079.273629999625</v>
      </c>
      <c r="V4116" s="39">
        <f t="shared" ca="1" si="469"/>
        <v>0.17157416861841859</v>
      </c>
      <c r="W4116" s="48">
        <f t="shared" ca="1" si="470"/>
        <v>2.612429567639837</v>
      </c>
    </row>
    <row r="4117" spans="17:23" x14ac:dyDescent="0.2">
      <c r="Q4117">
        <f t="shared" si="471"/>
        <v>4101</v>
      </c>
      <c r="R4117" s="48">
        <f t="shared" ca="1" si="472"/>
        <v>0.35</v>
      </c>
      <c r="S4117">
        <f t="shared" ca="1" si="473"/>
        <v>167.58503427592387</v>
      </c>
      <c r="T4117" s="61">
        <f t="shared" ca="1" si="467"/>
        <v>16800</v>
      </c>
      <c r="U4117" s="61">
        <f t="shared" ca="1" si="468"/>
        <v>5144.2178234804142</v>
      </c>
      <c r="V4117" s="39">
        <f t="shared" ca="1" si="469"/>
        <v>3.3843538312371149E-2</v>
      </c>
      <c r="W4117" s="48">
        <f t="shared" ca="1" si="470"/>
        <v>0.30991957559234651</v>
      </c>
    </row>
    <row r="4118" spans="17:23" x14ac:dyDescent="0.2">
      <c r="Q4118">
        <f t="shared" si="471"/>
        <v>4102</v>
      </c>
      <c r="R4118" s="48">
        <f t="shared" ca="1" si="472"/>
        <v>0.4</v>
      </c>
      <c r="S4118">
        <f t="shared" ca="1" si="473"/>
        <v>219.63748565802439</v>
      </c>
      <c r="T4118" s="61">
        <f t="shared" ca="1" si="467"/>
        <v>19200</v>
      </c>
      <c r="U4118" s="61">
        <f t="shared" ca="1" si="468"/>
        <v>33425.993115851707</v>
      </c>
      <c r="V4118" s="39">
        <f t="shared" ca="1" si="469"/>
        <v>0.2199078494463928</v>
      </c>
      <c r="W4118" s="48">
        <f t="shared" ca="1" si="470"/>
        <v>4.014274415902249</v>
      </c>
    </row>
    <row r="4119" spans="17:23" x14ac:dyDescent="0.2">
      <c r="Q4119">
        <f t="shared" si="471"/>
        <v>4103</v>
      </c>
      <c r="R4119" s="48">
        <f t="shared" ca="1" si="472"/>
        <v>0.35</v>
      </c>
      <c r="S4119">
        <f t="shared" ca="1" si="473"/>
        <v>197.49586635021066</v>
      </c>
      <c r="T4119" s="61">
        <f t="shared" ca="1" si="467"/>
        <v>16800</v>
      </c>
      <c r="U4119" s="61">
        <f t="shared" ca="1" si="468"/>
        <v>20697.850502109544</v>
      </c>
      <c r="V4119" s="39">
        <f t="shared" ca="1" si="469"/>
        <v>0.13617006909282595</v>
      </c>
      <c r="W4119" s="48">
        <f t="shared" ca="1" si="470"/>
        <v>1.8164829400064271</v>
      </c>
    </row>
    <row r="4120" spans="17:23" x14ac:dyDescent="0.2">
      <c r="Q4120">
        <f t="shared" si="471"/>
        <v>4104</v>
      </c>
      <c r="R4120" s="48">
        <f t="shared" ca="1" si="472"/>
        <v>0.4</v>
      </c>
      <c r="S4120">
        <f t="shared" ca="1" si="473"/>
        <v>162.2322722192844</v>
      </c>
      <c r="T4120" s="61">
        <f t="shared" ca="1" si="467"/>
        <v>19200</v>
      </c>
      <c r="U4120" s="61">
        <f t="shared" ca="1" si="468"/>
        <v>5871.4906652565114</v>
      </c>
      <c r="V4120" s="39">
        <f t="shared" ca="1" si="469"/>
        <v>3.86282280608981E-2</v>
      </c>
      <c r="W4120" s="48">
        <f t="shared" ca="1" si="470"/>
        <v>0.35990908947868117</v>
      </c>
    </row>
    <row r="4121" spans="17:23" x14ac:dyDescent="0.2">
      <c r="Q4121">
        <f t="shared" si="471"/>
        <v>4105</v>
      </c>
      <c r="R4121" s="48">
        <f t="shared" ca="1" si="472"/>
        <v>0.217</v>
      </c>
      <c r="S4121">
        <f t="shared" ca="1" si="473"/>
        <v>161.88953544281458</v>
      </c>
      <c r="T4121" s="61">
        <f t="shared" ca="1" si="467"/>
        <v>10416</v>
      </c>
      <c r="U4121" s="61">
        <f t="shared" ca="1" si="468"/>
        <v>-7192.3949986209482</v>
      </c>
      <c r="V4121" s="39">
        <f t="shared" ca="1" si="469"/>
        <v>-4.7318388148822027E-2</v>
      </c>
      <c r="W4121" s="48">
        <f t="shared" ca="1" si="470"/>
        <v>-0.325094251909821</v>
      </c>
    </row>
    <row r="4122" spans="17:23" x14ac:dyDescent="0.2">
      <c r="Q4122">
        <f t="shared" si="471"/>
        <v>4106</v>
      </c>
      <c r="R4122" s="48">
        <f t="shared" ca="1" si="472"/>
        <v>0.45</v>
      </c>
      <c r="S4122">
        <f t="shared" ca="1" si="473"/>
        <v>183.06809898724072</v>
      </c>
      <c r="T4122" s="61">
        <f t="shared" ca="1" si="467"/>
        <v>21600</v>
      </c>
      <c r="U4122" s="61">
        <f t="shared" ca="1" si="468"/>
        <v>18549.963554385915</v>
      </c>
      <c r="V4122" s="39">
        <f t="shared" ca="1" si="469"/>
        <v>0.12203923391043366</v>
      </c>
      <c r="W4122" s="48">
        <f t="shared" ca="1" si="470"/>
        <v>1.5446074429930179</v>
      </c>
    </row>
    <row r="4123" spans="17:23" x14ac:dyDescent="0.2">
      <c r="Q4123">
        <f t="shared" si="471"/>
        <v>4107</v>
      </c>
      <c r="R4123" s="48">
        <f t="shared" ca="1" si="472"/>
        <v>0.35</v>
      </c>
      <c r="S4123">
        <f t="shared" ca="1" si="473"/>
        <v>216.42323752590025</v>
      </c>
      <c r="T4123" s="61">
        <f t="shared" ca="1" si="467"/>
        <v>16800</v>
      </c>
      <c r="U4123" s="61">
        <f t="shared" ca="1" si="468"/>
        <v>30540.083513468129</v>
      </c>
      <c r="V4123" s="39">
        <f t="shared" ca="1" si="469"/>
        <v>0.20092160206229032</v>
      </c>
      <c r="W4123" s="48">
        <f t="shared" ca="1" si="470"/>
        <v>3.4152186692075244</v>
      </c>
    </row>
    <row r="4124" spans="17:23" x14ac:dyDescent="0.2">
      <c r="Q4124">
        <f t="shared" si="471"/>
        <v>4108</v>
      </c>
      <c r="R4124" s="48">
        <f t="shared" ca="1" si="472"/>
        <v>0.35</v>
      </c>
      <c r="S4124">
        <f t="shared" ca="1" si="473"/>
        <v>196.88558134123608</v>
      </c>
      <c r="T4124" s="61">
        <f t="shared" ca="1" si="467"/>
        <v>16800</v>
      </c>
      <c r="U4124" s="61">
        <f t="shared" ca="1" si="468"/>
        <v>20380.502297442759</v>
      </c>
      <c r="V4124" s="39">
        <f t="shared" ca="1" si="469"/>
        <v>0.13408225195686027</v>
      </c>
      <c r="W4124" s="48">
        <f t="shared" ca="1" si="470"/>
        <v>1.774776760094626</v>
      </c>
    </row>
    <row r="4125" spans="17:23" x14ac:dyDescent="0.2">
      <c r="Q4125">
        <f t="shared" si="471"/>
        <v>4109</v>
      </c>
      <c r="R4125" s="48">
        <f t="shared" ca="1" si="472"/>
        <v>0.4</v>
      </c>
      <c r="S4125">
        <f t="shared" ca="1" si="473"/>
        <v>178.71128741985137</v>
      </c>
      <c r="T4125" s="61">
        <f t="shared" ca="1" si="467"/>
        <v>19200</v>
      </c>
      <c r="U4125" s="61">
        <f t="shared" ca="1" si="468"/>
        <v>13781.417961528659</v>
      </c>
      <c r="V4125" s="39">
        <f t="shared" ca="1" si="469"/>
        <v>9.0667223431109598E-2</v>
      </c>
      <c r="W4125" s="48">
        <f t="shared" ca="1" si="470"/>
        <v>1.0217438232110987</v>
      </c>
    </row>
    <row r="4126" spans="17:23" x14ac:dyDescent="0.2">
      <c r="Q4126">
        <f t="shared" si="471"/>
        <v>4110</v>
      </c>
      <c r="R4126" s="48">
        <f t="shared" ca="1" si="472"/>
        <v>0.217</v>
      </c>
      <c r="S4126">
        <f t="shared" ca="1" si="473"/>
        <v>167.80044853285875</v>
      </c>
      <c r="T4126" s="61">
        <f t="shared" ca="1" si="467"/>
        <v>10416</v>
      </c>
      <c r="U4126" s="61">
        <f t="shared" ca="1" si="468"/>
        <v>-3489.7990390172763</v>
      </c>
      <c r="V4126" s="39">
        <f t="shared" ca="1" si="469"/>
        <v>-2.2959204204061029E-2</v>
      </c>
      <c r="W4126" s="48">
        <f t="shared" ca="1" si="470"/>
        <v>-0.17171314097344137</v>
      </c>
    </row>
    <row r="4127" spans="17:23" x14ac:dyDescent="0.2">
      <c r="Q4127">
        <f t="shared" si="471"/>
        <v>4111</v>
      </c>
      <c r="R4127" s="48">
        <f t="shared" ca="1" si="472"/>
        <v>0.3</v>
      </c>
      <c r="S4127">
        <f t="shared" ca="1" si="473"/>
        <v>176.81234611114382</v>
      </c>
      <c r="T4127" s="61">
        <f t="shared" ca="1" si="467"/>
        <v>14400</v>
      </c>
      <c r="U4127" s="61">
        <f t="shared" ca="1" si="468"/>
        <v>7014.9138222405418</v>
      </c>
      <c r="V4127" s="39">
        <f t="shared" ca="1" si="469"/>
        <v>4.6150748830529879E-2</v>
      </c>
      <c r="W4127" s="48">
        <f t="shared" ca="1" si="470"/>
        <v>0.44188725538757656</v>
      </c>
    </row>
    <row r="4128" spans="17:23" x14ac:dyDescent="0.2">
      <c r="Q4128">
        <f t="shared" si="471"/>
        <v>4112</v>
      </c>
      <c r="R4128" s="48">
        <f t="shared" ca="1" si="472"/>
        <v>0.217</v>
      </c>
      <c r="S4128">
        <f t="shared" ca="1" si="473"/>
        <v>180.44756189040595</v>
      </c>
      <c r="T4128" s="61">
        <f t="shared" ca="1" si="467"/>
        <v>10416</v>
      </c>
      <c r="U4128" s="61">
        <f t="shared" ca="1" si="468"/>
        <v>4432.3527681502874</v>
      </c>
      <c r="V4128" s="39">
        <f t="shared" ca="1" si="469"/>
        <v>2.9160215579936102E-2</v>
      </c>
      <c r="W4128" s="48">
        <f t="shared" ca="1" si="470"/>
        <v>0.2625567640869404</v>
      </c>
    </row>
    <row r="4129" spans="17:23" x14ac:dyDescent="0.2">
      <c r="Q4129">
        <f t="shared" si="471"/>
        <v>4113</v>
      </c>
      <c r="R4129" s="48">
        <f t="shared" ca="1" si="472"/>
        <v>0.45</v>
      </c>
      <c r="S4129">
        <f t="shared" ca="1" si="473"/>
        <v>180.10625727168761</v>
      </c>
      <c r="T4129" s="61">
        <f t="shared" ca="1" si="467"/>
        <v>21600</v>
      </c>
      <c r="U4129" s="61">
        <f t="shared" ca="1" si="468"/>
        <v>17246.753199542549</v>
      </c>
      <c r="V4129" s="39">
        <f t="shared" ca="1" si="469"/>
        <v>0.11346548157593782</v>
      </c>
      <c r="W4129" s="48">
        <f t="shared" ca="1" si="470"/>
        <v>1.3911144882924953</v>
      </c>
    </row>
    <row r="4130" spans="17:23" x14ac:dyDescent="0.2">
      <c r="Q4130">
        <f t="shared" si="471"/>
        <v>4114</v>
      </c>
      <c r="R4130" s="48">
        <f t="shared" ca="1" si="472"/>
        <v>0.35</v>
      </c>
      <c r="S4130">
        <f t="shared" ca="1" si="473"/>
        <v>189.40153345394384</v>
      </c>
      <c r="T4130" s="61">
        <f t="shared" ca="1" si="467"/>
        <v>16800</v>
      </c>
      <c r="U4130" s="61">
        <f t="shared" ca="1" si="468"/>
        <v>16488.797396050799</v>
      </c>
      <c r="V4130" s="39">
        <f t="shared" ca="1" si="469"/>
        <v>0.10847893023717631</v>
      </c>
      <c r="W4130" s="48">
        <f t="shared" ca="1" si="470"/>
        <v>1.3056280981898323</v>
      </c>
    </row>
    <row r="4131" spans="17:23" x14ac:dyDescent="0.2">
      <c r="Q4131">
        <f t="shared" si="471"/>
        <v>4115</v>
      </c>
      <c r="R4131" s="48">
        <f t="shared" ca="1" si="472"/>
        <v>0.45</v>
      </c>
      <c r="S4131">
        <f t="shared" ca="1" si="473"/>
        <v>218.34945424531671</v>
      </c>
      <c r="T4131" s="61">
        <f t="shared" ca="1" si="467"/>
        <v>21600</v>
      </c>
      <c r="U4131" s="61">
        <f t="shared" ca="1" si="468"/>
        <v>34073.759867939356</v>
      </c>
      <c r="V4131" s="39">
        <f t="shared" ca="1" si="469"/>
        <v>0.22416947281539049</v>
      </c>
      <c r="W4131" s="48">
        <f t="shared" ca="1" si="470"/>
        <v>4.1581329744415179</v>
      </c>
    </row>
    <row r="4132" spans="17:23" x14ac:dyDescent="0.2">
      <c r="Q4132">
        <f t="shared" si="471"/>
        <v>4116</v>
      </c>
      <c r="R4132" s="48">
        <f t="shared" ca="1" si="472"/>
        <v>0.3</v>
      </c>
      <c r="S4132">
        <f t="shared" ca="1" si="473"/>
        <v>181.1658116343464</v>
      </c>
      <c r="T4132" s="61">
        <f t="shared" ca="1" si="467"/>
        <v>14400</v>
      </c>
      <c r="U4132" s="61">
        <f t="shared" ca="1" si="468"/>
        <v>9452.854515233983</v>
      </c>
      <c r="V4132" s="39">
        <f t="shared" ca="1" si="469"/>
        <v>6.2189832337065674E-2</v>
      </c>
      <c r="W4132" s="48">
        <f t="shared" ca="1" si="470"/>
        <v>0.63127983579018965</v>
      </c>
    </row>
    <row r="4133" spans="17:23" x14ac:dyDescent="0.2">
      <c r="Q4133">
        <f t="shared" si="471"/>
        <v>4117</v>
      </c>
      <c r="R4133" s="48">
        <f t="shared" ca="1" si="472"/>
        <v>0.45</v>
      </c>
      <c r="S4133">
        <f t="shared" ca="1" si="473"/>
        <v>188.68414734755336</v>
      </c>
      <c r="T4133" s="61">
        <f t="shared" ca="1" si="467"/>
        <v>21600</v>
      </c>
      <c r="U4133" s="61">
        <f t="shared" ca="1" si="468"/>
        <v>21021.024832923478</v>
      </c>
      <c r="V4133" s="39">
        <f t="shared" ca="1" si="469"/>
        <v>0.13829621600607553</v>
      </c>
      <c r="W4133" s="48">
        <f t="shared" ca="1" si="470"/>
        <v>1.8595185958520242</v>
      </c>
    </row>
    <row r="4134" spans="17:23" x14ac:dyDescent="0.2">
      <c r="Q4134">
        <f t="shared" si="471"/>
        <v>4118</v>
      </c>
      <c r="R4134" s="48">
        <f t="shared" ca="1" si="472"/>
        <v>0.217</v>
      </c>
      <c r="S4134">
        <f t="shared" ca="1" si="473"/>
        <v>168.25229625544125</v>
      </c>
      <c r="T4134" s="61">
        <f t="shared" ca="1" si="467"/>
        <v>10416</v>
      </c>
      <c r="U4134" s="61">
        <f t="shared" ca="1" si="468"/>
        <v>-3206.7616255916</v>
      </c>
      <c r="V4134" s="39">
        <f t="shared" ca="1" si="469"/>
        <v>-2.1097115957839474E-2</v>
      </c>
      <c r="W4134" s="48">
        <f t="shared" ca="1" si="470"/>
        <v>-0.15882194951824169</v>
      </c>
    </row>
    <row r="4135" spans="17:23" x14ac:dyDescent="0.2">
      <c r="Q4135">
        <f t="shared" si="471"/>
        <v>4119</v>
      </c>
      <c r="R4135" s="48">
        <f t="shared" ca="1" si="472"/>
        <v>0.35</v>
      </c>
      <c r="S4135">
        <f t="shared" ca="1" si="473"/>
        <v>182.93316227676618</v>
      </c>
      <c r="T4135" s="61">
        <f t="shared" ca="1" si="467"/>
        <v>16800</v>
      </c>
      <c r="U4135" s="61">
        <f t="shared" ca="1" si="468"/>
        <v>13125.244383918416</v>
      </c>
      <c r="V4135" s="39">
        <f t="shared" ca="1" si="469"/>
        <v>8.6350291999463258E-2</v>
      </c>
      <c r="W4135" s="48">
        <f t="shared" ca="1" si="470"/>
        <v>0.95774325954910422</v>
      </c>
    </row>
    <row r="4136" spans="17:23" x14ac:dyDescent="0.2">
      <c r="Q4136">
        <f t="shared" si="471"/>
        <v>4120</v>
      </c>
      <c r="R4136" s="48">
        <f t="shared" ca="1" si="472"/>
        <v>0.217</v>
      </c>
      <c r="S4136">
        <f t="shared" ca="1" si="473"/>
        <v>206.36063569245667</v>
      </c>
      <c r="T4136" s="61">
        <f t="shared" ca="1" si="467"/>
        <v>10416</v>
      </c>
      <c r="U4136" s="61">
        <f t="shared" ca="1" si="468"/>
        <v>20664.302197754856</v>
      </c>
      <c r="V4136" s="39">
        <f t="shared" ca="1" si="469"/>
        <v>0.13594935656417667</v>
      </c>
      <c r="W4136" s="48">
        <f t="shared" ca="1" si="470"/>
        <v>1.812048169356355</v>
      </c>
    </row>
    <row r="4137" spans="17:23" x14ac:dyDescent="0.2">
      <c r="Q4137">
        <f t="shared" si="471"/>
        <v>4121</v>
      </c>
      <c r="R4137" s="48">
        <f t="shared" ca="1" si="472"/>
        <v>0.4</v>
      </c>
      <c r="S4137">
        <f t="shared" ca="1" si="473"/>
        <v>158.13390685485189</v>
      </c>
      <c r="T4137" s="61">
        <f t="shared" ca="1" si="467"/>
        <v>19200</v>
      </c>
      <c r="U4137" s="61">
        <f t="shared" ca="1" si="468"/>
        <v>3904.2752903289056</v>
      </c>
      <c r="V4137" s="39">
        <f t="shared" ca="1" si="469"/>
        <v>2.5686021646900696E-2</v>
      </c>
      <c r="W4137" s="48">
        <f t="shared" ca="1" si="470"/>
        <v>0.2283986237917659</v>
      </c>
    </row>
    <row r="4138" spans="17:23" x14ac:dyDescent="0.2">
      <c r="Q4138">
        <f t="shared" si="471"/>
        <v>4122</v>
      </c>
      <c r="R4138" s="48">
        <f t="shared" ca="1" si="472"/>
        <v>0.45</v>
      </c>
      <c r="S4138">
        <f t="shared" ca="1" si="473"/>
        <v>184.82639654698158</v>
      </c>
      <c r="T4138" s="61">
        <f t="shared" ca="1" si="467"/>
        <v>21600</v>
      </c>
      <c r="U4138" s="61">
        <f t="shared" ca="1" si="468"/>
        <v>19323.614480671895</v>
      </c>
      <c r="V4138" s="39">
        <f t="shared" ca="1" si="469"/>
        <v>0.12712904263599931</v>
      </c>
      <c r="W4138" s="48">
        <f t="shared" ca="1" si="470"/>
        <v>1.6397571311341625</v>
      </c>
    </row>
    <row r="4139" spans="17:23" x14ac:dyDescent="0.2">
      <c r="Q4139">
        <f t="shared" si="471"/>
        <v>4123</v>
      </c>
      <c r="R4139" s="48">
        <f t="shared" ca="1" si="472"/>
        <v>0.3</v>
      </c>
      <c r="S4139">
        <f t="shared" ca="1" si="473"/>
        <v>177.25597130192531</v>
      </c>
      <c r="T4139" s="61">
        <f t="shared" ca="1" si="467"/>
        <v>14400</v>
      </c>
      <c r="U4139" s="61">
        <f t="shared" ca="1" si="468"/>
        <v>7263.3439290781753</v>
      </c>
      <c r="V4139" s="39">
        <f t="shared" ca="1" si="469"/>
        <v>4.7785157428145889E-2</v>
      </c>
      <c r="W4139" s="48">
        <f t="shared" ca="1" si="470"/>
        <v>0.46026073642477883</v>
      </c>
    </row>
    <row r="4140" spans="17:23" x14ac:dyDescent="0.2">
      <c r="Q4140">
        <f t="shared" si="471"/>
        <v>4124</v>
      </c>
      <c r="R4140" s="48">
        <f t="shared" ca="1" si="472"/>
        <v>0.4</v>
      </c>
      <c r="S4140">
        <f t="shared" ca="1" si="473"/>
        <v>181.17475093271742</v>
      </c>
      <c r="T4140" s="61">
        <f t="shared" ca="1" si="467"/>
        <v>19200</v>
      </c>
      <c r="U4140" s="61">
        <f t="shared" ca="1" si="468"/>
        <v>14963.88044770436</v>
      </c>
      <c r="V4140" s="39">
        <f t="shared" ca="1" si="469"/>
        <v>9.8446581892791846E-2</v>
      </c>
      <c r="W4140" s="48">
        <f t="shared" ca="1" si="470"/>
        <v>1.1417191884994708</v>
      </c>
    </row>
    <row r="4141" spans="17:23" x14ac:dyDescent="0.2">
      <c r="Q4141">
        <f t="shared" si="471"/>
        <v>4125</v>
      </c>
      <c r="R4141" s="48">
        <f t="shared" ca="1" si="472"/>
        <v>0.3</v>
      </c>
      <c r="S4141">
        <f t="shared" ca="1" si="473"/>
        <v>178.65763128327399</v>
      </c>
      <c r="T4141" s="61">
        <f t="shared" ca="1" si="467"/>
        <v>14400</v>
      </c>
      <c r="U4141" s="61">
        <f t="shared" ca="1" si="468"/>
        <v>8048.2735186334321</v>
      </c>
      <c r="V4141" s="39">
        <f t="shared" ca="1" si="469"/>
        <v>5.2949167885746266E-2</v>
      </c>
      <c r="W4141" s="48">
        <f t="shared" ca="1" si="470"/>
        <v>0.51966883611438752</v>
      </c>
    </row>
    <row r="4142" spans="17:23" x14ac:dyDescent="0.2">
      <c r="Q4142">
        <f t="shared" si="471"/>
        <v>4126</v>
      </c>
      <c r="R4142" s="48">
        <f t="shared" ca="1" si="472"/>
        <v>0.217</v>
      </c>
      <c r="S4142">
        <f t="shared" ca="1" si="473"/>
        <v>168.46385451816616</v>
      </c>
      <c r="T4142" s="61">
        <f t="shared" ca="1" si="467"/>
        <v>10416</v>
      </c>
      <c r="U4142" s="61">
        <f t="shared" ca="1" si="468"/>
        <v>-3074.2415298207179</v>
      </c>
      <c r="V4142" s="39">
        <f t="shared" ca="1" si="469"/>
        <v>-2.0225273222504721E-2</v>
      </c>
      <c r="W4142" s="48">
        <f t="shared" ca="1" si="470"/>
        <v>-0.15272598511797764</v>
      </c>
    </row>
    <row r="4143" spans="17:23" x14ac:dyDescent="0.2">
      <c r="Q4143">
        <f t="shared" si="471"/>
        <v>4127</v>
      </c>
      <c r="R4143" s="48">
        <f t="shared" ca="1" si="472"/>
        <v>0.4</v>
      </c>
      <c r="S4143">
        <f t="shared" ca="1" si="473"/>
        <v>180.85001100340668</v>
      </c>
      <c r="T4143" s="61">
        <f t="shared" ca="1" si="467"/>
        <v>19200</v>
      </c>
      <c r="U4143" s="61">
        <f t="shared" ca="1" si="468"/>
        <v>14808.005281635205</v>
      </c>
      <c r="V4143" s="39">
        <f t="shared" ca="1" si="469"/>
        <v>9.7421087379178983E-2</v>
      </c>
      <c r="W4143" s="48">
        <f t="shared" ca="1" si="470"/>
        <v>1.1255549212321267</v>
      </c>
    </row>
    <row r="4144" spans="17:23" x14ac:dyDescent="0.2">
      <c r="Q4144">
        <f t="shared" si="471"/>
        <v>4128</v>
      </c>
      <c r="R4144" s="48">
        <f t="shared" ca="1" si="472"/>
        <v>0.4</v>
      </c>
      <c r="S4144">
        <f t="shared" ca="1" si="473"/>
        <v>188.4218079133648</v>
      </c>
      <c r="T4144" s="61">
        <f t="shared" ca="1" si="467"/>
        <v>19200</v>
      </c>
      <c r="U4144" s="61">
        <f t="shared" ca="1" si="468"/>
        <v>18442.467798415106</v>
      </c>
      <c r="V4144" s="39">
        <f t="shared" ca="1" si="469"/>
        <v>0.12133202498957306</v>
      </c>
      <c r="W4144" s="48">
        <f t="shared" ca="1" si="470"/>
        <v>1.5316276512452567</v>
      </c>
    </row>
    <row r="4145" spans="17:23" x14ac:dyDescent="0.2">
      <c r="Q4145">
        <f t="shared" si="471"/>
        <v>4129</v>
      </c>
      <c r="R4145" s="48">
        <f t="shared" ca="1" si="472"/>
        <v>0.45</v>
      </c>
      <c r="S4145">
        <f t="shared" ca="1" si="473"/>
        <v>190.30608166034801</v>
      </c>
      <c r="T4145" s="61">
        <f t="shared" ca="1" si="467"/>
        <v>21600</v>
      </c>
      <c r="U4145" s="61">
        <f t="shared" ca="1" si="468"/>
        <v>21734.675930553127</v>
      </c>
      <c r="V4145" s="39">
        <f t="shared" ca="1" si="469"/>
        <v>0.14299128901679689</v>
      </c>
      <c r="W4145" s="48">
        <f t="shared" ca="1" si="470"/>
        <v>1.9566000359169262</v>
      </c>
    </row>
    <row r="4146" spans="17:23" x14ac:dyDescent="0.2">
      <c r="Q4146">
        <f t="shared" si="471"/>
        <v>4130</v>
      </c>
      <c r="R4146" s="48">
        <f t="shared" ca="1" si="472"/>
        <v>0.3</v>
      </c>
      <c r="S4146">
        <f t="shared" ca="1" si="473"/>
        <v>192.50638465025779</v>
      </c>
      <c r="T4146" s="61">
        <f t="shared" ca="1" si="467"/>
        <v>14400</v>
      </c>
      <c r="U4146" s="61">
        <f t="shared" ca="1" si="468"/>
        <v>15803.57540414436</v>
      </c>
      <c r="V4146" s="39">
        <f t="shared" ca="1" si="469"/>
        <v>0.10397089081673921</v>
      </c>
      <c r="W4146" s="48">
        <f t="shared" ca="1" si="470"/>
        <v>1.2306634262327671</v>
      </c>
    </row>
    <row r="4147" spans="17:23" x14ac:dyDescent="0.2">
      <c r="Q4147">
        <f t="shared" si="471"/>
        <v>4131</v>
      </c>
      <c r="R4147" s="48">
        <f t="shared" ca="1" si="472"/>
        <v>0.3</v>
      </c>
      <c r="S4147">
        <f t="shared" ca="1" si="473"/>
        <v>197.76689757373822</v>
      </c>
      <c r="T4147" s="61">
        <f t="shared" ca="1" si="467"/>
        <v>14400</v>
      </c>
      <c r="U4147" s="61">
        <f t="shared" ca="1" si="468"/>
        <v>18749.462641293401</v>
      </c>
      <c r="V4147" s="39">
        <f t="shared" ca="1" si="469"/>
        <v>0.12335172790324606</v>
      </c>
      <c r="W4147" s="48">
        <f t="shared" ca="1" si="470"/>
        <v>1.5688510499905322</v>
      </c>
    </row>
    <row r="4148" spans="17:23" x14ac:dyDescent="0.2">
      <c r="Q4148">
        <f t="shared" si="471"/>
        <v>4132</v>
      </c>
      <c r="R4148" s="48">
        <f t="shared" ca="1" si="472"/>
        <v>0.35</v>
      </c>
      <c r="S4148">
        <f t="shared" ca="1" si="473"/>
        <v>191.11324384359753</v>
      </c>
      <c r="T4148" s="61">
        <f t="shared" ca="1" si="467"/>
        <v>16800</v>
      </c>
      <c r="U4148" s="61">
        <f t="shared" ca="1" si="468"/>
        <v>17378.886798670716</v>
      </c>
      <c r="V4148" s="39">
        <f t="shared" ca="1" si="469"/>
        <v>0.11433478157020208</v>
      </c>
      <c r="W4148" s="48">
        <f t="shared" ca="1" si="470"/>
        <v>1.4062982518599041</v>
      </c>
    </row>
    <row r="4149" spans="17:23" x14ac:dyDescent="0.2">
      <c r="Q4149">
        <f t="shared" si="471"/>
        <v>4133</v>
      </c>
      <c r="R4149" s="48">
        <f t="shared" ca="1" si="472"/>
        <v>0.35</v>
      </c>
      <c r="S4149">
        <f t="shared" ca="1" si="473"/>
        <v>186.5646204022336</v>
      </c>
      <c r="T4149" s="61">
        <f t="shared" ca="1" si="467"/>
        <v>16800</v>
      </c>
      <c r="U4149" s="61">
        <f t="shared" ca="1" si="468"/>
        <v>15013.602609161473</v>
      </c>
      <c r="V4149" s="39">
        <f t="shared" ca="1" si="469"/>
        <v>9.8773701376062326E-2</v>
      </c>
      <c r="W4149" s="48">
        <f t="shared" ca="1" si="470"/>
        <v>1.1468980015871826</v>
      </c>
    </row>
    <row r="4150" spans="17:23" x14ac:dyDescent="0.2">
      <c r="Q4150">
        <f t="shared" si="471"/>
        <v>4134</v>
      </c>
      <c r="R4150" s="48">
        <f t="shared" ca="1" si="472"/>
        <v>0.3</v>
      </c>
      <c r="S4150">
        <f t="shared" ca="1" si="473"/>
        <v>181.93265158271583</v>
      </c>
      <c r="T4150" s="61">
        <f t="shared" ca="1" si="467"/>
        <v>14400</v>
      </c>
      <c r="U4150" s="61">
        <f t="shared" ca="1" si="468"/>
        <v>9882.2848863208674</v>
      </c>
      <c r="V4150" s="39">
        <f t="shared" ca="1" si="469"/>
        <v>6.5015032146847812E-2</v>
      </c>
      <c r="W4150" s="48">
        <f t="shared" ca="1" si="470"/>
        <v>0.66680743004077048</v>
      </c>
    </row>
    <row r="4151" spans="17:23" x14ac:dyDescent="0.2">
      <c r="Q4151">
        <f t="shared" si="471"/>
        <v>4135</v>
      </c>
      <c r="R4151" s="48">
        <f t="shared" ca="1" si="472"/>
        <v>0.45</v>
      </c>
      <c r="S4151">
        <f t="shared" ca="1" si="473"/>
        <v>197.92447679836948</v>
      </c>
      <c r="T4151" s="61">
        <f t="shared" ca="1" si="467"/>
        <v>21600</v>
      </c>
      <c r="U4151" s="61">
        <f t="shared" ca="1" si="468"/>
        <v>25086.769791282572</v>
      </c>
      <c r="V4151" s="39">
        <f t="shared" ca="1" si="469"/>
        <v>0.16504453810054323</v>
      </c>
      <c r="W4151" s="48">
        <f t="shared" ca="1" si="470"/>
        <v>2.4523245567191196</v>
      </c>
    </row>
    <row r="4152" spans="17:23" x14ac:dyDescent="0.2">
      <c r="Q4152">
        <f t="shared" si="471"/>
        <v>4136</v>
      </c>
      <c r="R4152" s="48">
        <f t="shared" ca="1" si="472"/>
        <v>0.35</v>
      </c>
      <c r="S4152">
        <f t="shared" ca="1" si="473"/>
        <v>195.45415739649283</v>
      </c>
      <c r="T4152" s="61">
        <f t="shared" ca="1" si="467"/>
        <v>16800</v>
      </c>
      <c r="U4152" s="61">
        <f t="shared" ca="1" si="468"/>
        <v>19636.161846176274</v>
      </c>
      <c r="V4152" s="39">
        <f t="shared" ca="1" si="469"/>
        <v>0.12918527530379129</v>
      </c>
      <c r="W4152" s="48">
        <f t="shared" ca="1" si="470"/>
        <v>1.6790724034441848</v>
      </c>
    </row>
    <row r="4153" spans="17:23" x14ac:dyDescent="0.2">
      <c r="Q4153">
        <f t="shared" si="471"/>
        <v>4137</v>
      </c>
      <c r="R4153" s="48">
        <f t="shared" ca="1" si="472"/>
        <v>0.3</v>
      </c>
      <c r="S4153">
        <f t="shared" ca="1" si="473"/>
        <v>190.72344548800234</v>
      </c>
      <c r="T4153" s="61">
        <f t="shared" ref="T4153:T4216" ca="1" si="474">($B$8-$B$7)*($E$6*R4153)</f>
        <v>14400</v>
      </c>
      <c r="U4153" s="61">
        <f t="shared" ref="U4153:U4216" ca="1" si="475">T4153+((S4153-$B$7)*($E$6*(1-R4153)))</f>
        <v>14805.129473281311</v>
      </c>
      <c r="V4153" s="39">
        <f t="shared" ref="V4153:V4216" ca="1" si="476">U4153/$E$4</f>
        <v>9.7402167587377048E-2</v>
      </c>
      <c r="W4153" s="48">
        <f t="shared" ref="W4153:W4216" ca="1" si="477">(1+V4153)^($J$29/$J$30)-1</f>
        <v>1.1252577073351611</v>
      </c>
    </row>
    <row r="4154" spans="17:23" x14ac:dyDescent="0.2">
      <c r="Q4154">
        <f t="shared" si="471"/>
        <v>4138</v>
      </c>
      <c r="R4154" s="48">
        <f t="shared" ca="1" si="472"/>
        <v>0.4</v>
      </c>
      <c r="S4154">
        <f t="shared" ca="1" si="473"/>
        <v>188.43050353388762</v>
      </c>
      <c r="T4154" s="61">
        <f t="shared" ca="1" si="474"/>
        <v>19200</v>
      </c>
      <c r="U4154" s="61">
        <f t="shared" ca="1" si="475"/>
        <v>18446.641696266055</v>
      </c>
      <c r="V4154" s="39">
        <f t="shared" ca="1" si="476"/>
        <v>0.12135948484385563</v>
      </c>
      <c r="W4154" s="48">
        <f t="shared" ca="1" si="477"/>
        <v>1.5321305516652788</v>
      </c>
    </row>
    <row r="4155" spans="17:23" x14ac:dyDescent="0.2">
      <c r="Q4155">
        <f t="shared" si="471"/>
        <v>4139</v>
      </c>
      <c r="R4155" s="48">
        <f t="shared" ca="1" si="472"/>
        <v>0.4</v>
      </c>
      <c r="S4155">
        <f t="shared" ca="1" si="473"/>
        <v>194.92962309393747</v>
      </c>
      <c r="T4155" s="61">
        <f t="shared" ca="1" si="474"/>
        <v>19200</v>
      </c>
      <c r="U4155" s="61">
        <f t="shared" ca="1" si="475"/>
        <v>21566.219085089982</v>
      </c>
      <c r="V4155" s="39">
        <f t="shared" ca="1" si="476"/>
        <v>0.14188302029664462</v>
      </c>
      <c r="W4155" s="48">
        <f t="shared" ca="1" si="477"/>
        <v>1.9334272519882054</v>
      </c>
    </row>
    <row r="4156" spans="17:23" x14ac:dyDescent="0.2">
      <c r="Q4156">
        <f t="shared" si="471"/>
        <v>4140</v>
      </c>
      <c r="R4156" s="48">
        <f t="shared" ca="1" si="472"/>
        <v>0.5</v>
      </c>
      <c r="S4156">
        <f t="shared" ca="1" si="473"/>
        <v>172.56362679260059</v>
      </c>
      <c r="T4156" s="61">
        <f t="shared" ca="1" si="474"/>
        <v>24000</v>
      </c>
      <c r="U4156" s="61">
        <f t="shared" ca="1" si="475"/>
        <v>17025.450717040236</v>
      </c>
      <c r="V4156" s="39">
        <f t="shared" ca="1" si="476"/>
        <v>0.11200954419105419</v>
      </c>
      <c r="W4156" s="48">
        <f t="shared" ca="1" si="477"/>
        <v>1.3658722275909025</v>
      </c>
    </row>
    <row r="4157" spans="17:23" x14ac:dyDescent="0.2">
      <c r="Q4157">
        <f t="shared" si="471"/>
        <v>4141</v>
      </c>
      <c r="R4157" s="48">
        <f t="shared" ca="1" si="472"/>
        <v>0.4</v>
      </c>
      <c r="S4157">
        <f t="shared" ca="1" si="473"/>
        <v>189.25844897840068</v>
      </c>
      <c r="T4157" s="61">
        <f t="shared" ca="1" si="474"/>
        <v>19200</v>
      </c>
      <c r="U4157" s="61">
        <f t="shared" ca="1" si="475"/>
        <v>18844.055509632326</v>
      </c>
      <c r="V4157" s="39">
        <f t="shared" ca="1" si="476"/>
        <v>0.12397404940547582</v>
      </c>
      <c r="W4157" s="48">
        <f t="shared" ca="1" si="477"/>
        <v>1.5804168023288803</v>
      </c>
    </row>
    <row r="4158" spans="17:23" x14ac:dyDescent="0.2">
      <c r="Q4158">
        <f t="shared" si="471"/>
        <v>4142</v>
      </c>
      <c r="R4158" s="48">
        <f t="shared" ca="1" si="472"/>
        <v>0.3</v>
      </c>
      <c r="S4158">
        <f t="shared" ca="1" si="473"/>
        <v>201.98590730087275</v>
      </c>
      <c r="T4158" s="61">
        <f t="shared" ca="1" si="474"/>
        <v>14400</v>
      </c>
      <c r="U4158" s="61">
        <f t="shared" ca="1" si="475"/>
        <v>21112.108088488741</v>
      </c>
      <c r="V4158" s="39">
        <f t="shared" ca="1" si="476"/>
        <v>0.13889544795058384</v>
      </c>
      <c r="W4158" s="48">
        <f t="shared" ca="1" si="477"/>
        <v>1.8717513977047924</v>
      </c>
    </row>
    <row r="4159" spans="17:23" x14ac:dyDescent="0.2">
      <c r="Q4159">
        <f t="shared" si="471"/>
        <v>4143</v>
      </c>
      <c r="R4159" s="48">
        <f t="shared" ca="1" si="472"/>
        <v>0.4</v>
      </c>
      <c r="S4159">
        <f t="shared" ca="1" si="473"/>
        <v>196.25842718995361</v>
      </c>
      <c r="T4159" s="61">
        <f t="shared" ca="1" si="474"/>
        <v>19200</v>
      </c>
      <c r="U4159" s="61">
        <f t="shared" ca="1" si="475"/>
        <v>22204.045051177731</v>
      </c>
      <c r="V4159" s="39">
        <f t="shared" ca="1" si="476"/>
        <v>0.14607924375774822</v>
      </c>
      <c r="W4159" s="48">
        <f t="shared" ca="1" si="477"/>
        <v>2.0220147741658665</v>
      </c>
    </row>
    <row r="4160" spans="17:23" x14ac:dyDescent="0.2">
      <c r="Q4160">
        <f t="shared" si="471"/>
        <v>4144</v>
      </c>
      <c r="R4160" s="48">
        <f t="shared" ca="1" si="472"/>
        <v>0.45</v>
      </c>
      <c r="S4160">
        <f t="shared" ca="1" si="473"/>
        <v>198.98983864993804</v>
      </c>
      <c r="T4160" s="61">
        <f t="shared" ca="1" si="474"/>
        <v>21600</v>
      </c>
      <c r="U4160" s="61">
        <f t="shared" ca="1" si="475"/>
        <v>25555.529005972738</v>
      </c>
      <c r="V4160" s="39">
        <f t="shared" ca="1" si="476"/>
        <v>0.16812848030245223</v>
      </c>
      <c r="W4160" s="48">
        <f t="shared" ca="1" si="477"/>
        <v>2.5271494216353143</v>
      </c>
    </row>
    <row r="4161" spans="17:23" x14ac:dyDescent="0.2">
      <c r="Q4161">
        <f t="shared" si="471"/>
        <v>4145</v>
      </c>
      <c r="R4161" s="48">
        <f t="shared" ca="1" si="472"/>
        <v>0.217</v>
      </c>
      <c r="S4161">
        <f t="shared" ca="1" si="473"/>
        <v>200.39345520164088</v>
      </c>
      <c r="T4161" s="61">
        <f t="shared" ca="1" si="474"/>
        <v>10416</v>
      </c>
      <c r="U4161" s="61">
        <f t="shared" ca="1" si="475"/>
        <v>16926.460338307843</v>
      </c>
      <c r="V4161" s="39">
        <f t="shared" ca="1" si="476"/>
        <v>0.11135829169939371</v>
      </c>
      <c r="W4161" s="48">
        <f t="shared" ca="1" si="477"/>
        <v>1.3546569942045461</v>
      </c>
    </row>
    <row r="4162" spans="17:23" x14ac:dyDescent="0.2">
      <c r="Q4162">
        <f t="shared" si="471"/>
        <v>4146</v>
      </c>
      <c r="R4162" s="48">
        <f t="shared" ca="1" si="472"/>
        <v>0.15</v>
      </c>
      <c r="S4162">
        <f t="shared" ca="1" si="473"/>
        <v>208.68285668435846</v>
      </c>
      <c r="T4162" s="61">
        <f t="shared" ca="1" si="474"/>
        <v>7200</v>
      </c>
      <c r="U4162" s="61">
        <f t="shared" ca="1" si="475"/>
        <v>19904.34254536375</v>
      </c>
      <c r="V4162" s="39">
        <f t="shared" ca="1" si="476"/>
        <v>0.13094962200897203</v>
      </c>
      <c r="W4162" s="48">
        <f t="shared" ca="1" si="477"/>
        <v>1.713215054598435</v>
      </c>
    </row>
    <row r="4163" spans="17:23" x14ac:dyDescent="0.2">
      <c r="Q4163">
        <f t="shared" si="471"/>
        <v>4147</v>
      </c>
      <c r="R4163" s="48">
        <f t="shared" ca="1" si="472"/>
        <v>0.15</v>
      </c>
      <c r="S4163">
        <f t="shared" ca="1" si="473"/>
        <v>212.9934336863088</v>
      </c>
      <c r="T4163" s="61">
        <f t="shared" ca="1" si="474"/>
        <v>7200</v>
      </c>
      <c r="U4163" s="61">
        <f t="shared" ca="1" si="475"/>
        <v>22835.534906689987</v>
      </c>
      <c r="V4163" s="39">
        <f t="shared" ca="1" si="476"/>
        <v>0.15023378228085518</v>
      </c>
      <c r="W4163" s="48">
        <f t="shared" ca="1" si="477"/>
        <v>2.1120241772022554</v>
      </c>
    </row>
    <row r="4164" spans="17:23" x14ac:dyDescent="0.2">
      <c r="Q4164">
        <f t="shared" si="471"/>
        <v>4148</v>
      </c>
      <c r="R4164" s="48">
        <f t="shared" ca="1" si="472"/>
        <v>0.4</v>
      </c>
      <c r="S4164">
        <f t="shared" ca="1" si="473"/>
        <v>194.34683382121</v>
      </c>
      <c r="T4164" s="61">
        <f t="shared" ca="1" si="474"/>
        <v>19200</v>
      </c>
      <c r="U4164" s="61">
        <f t="shared" ca="1" si="475"/>
        <v>21286.480234180799</v>
      </c>
      <c r="V4164" s="39">
        <f t="shared" ca="1" si="476"/>
        <v>0.14004263311961052</v>
      </c>
      <c r="W4164" s="48">
        <f t="shared" ca="1" si="477"/>
        <v>1.895298239266745</v>
      </c>
    </row>
    <row r="4165" spans="17:23" x14ac:dyDescent="0.2">
      <c r="Q4165">
        <f t="shared" si="471"/>
        <v>4149</v>
      </c>
      <c r="R4165" s="48">
        <f t="shared" ca="1" si="472"/>
        <v>0.3</v>
      </c>
      <c r="S4165">
        <f t="shared" ca="1" si="473"/>
        <v>147.23503559982819</v>
      </c>
      <c r="T4165" s="61">
        <f t="shared" ca="1" si="474"/>
        <v>14400</v>
      </c>
      <c r="U4165" s="61">
        <f t="shared" ca="1" si="475"/>
        <v>-9548.3800640962108</v>
      </c>
      <c r="V4165" s="39">
        <f t="shared" ca="1" si="476"/>
        <v>-6.2818289895369805E-2</v>
      </c>
      <c r="W4165" s="48">
        <f t="shared" ca="1" si="477"/>
        <v>-0.40917379871808734</v>
      </c>
    </row>
    <row r="4166" spans="17:23" x14ac:dyDescent="0.2">
      <c r="Q4166">
        <f t="shared" si="471"/>
        <v>4150</v>
      </c>
      <c r="R4166" s="48">
        <f t="shared" ca="1" si="472"/>
        <v>0.3</v>
      </c>
      <c r="S4166">
        <f t="shared" ca="1" si="473"/>
        <v>217.14066803235258</v>
      </c>
      <c r="T4166" s="61">
        <f t="shared" ca="1" si="474"/>
        <v>14400</v>
      </c>
      <c r="U4166" s="61">
        <f t="shared" ca="1" si="475"/>
        <v>29598.774098117443</v>
      </c>
      <c r="V4166" s="39">
        <f t="shared" ca="1" si="476"/>
        <v>0.19472877696129898</v>
      </c>
      <c r="W4166" s="48">
        <f t="shared" ca="1" si="477"/>
        <v>3.2338949328974742</v>
      </c>
    </row>
    <row r="4167" spans="17:23" x14ac:dyDescent="0.2">
      <c r="Q4167">
        <f t="shared" si="471"/>
        <v>4151</v>
      </c>
      <c r="R4167" s="48">
        <f t="shared" ca="1" si="472"/>
        <v>0.35</v>
      </c>
      <c r="S4167">
        <f t="shared" ca="1" si="473"/>
        <v>166.60339594251349</v>
      </c>
      <c r="T4167" s="61">
        <f t="shared" ca="1" si="474"/>
        <v>16800</v>
      </c>
      <c r="U4167" s="61">
        <f t="shared" ca="1" si="475"/>
        <v>4633.7658901070135</v>
      </c>
      <c r="V4167" s="39">
        <f t="shared" ca="1" si="476"/>
        <v>3.0485301908598772E-2</v>
      </c>
      <c r="W4167" s="48">
        <f t="shared" ca="1" si="477"/>
        <v>0.2758026581494788</v>
      </c>
    </row>
    <row r="4168" spans="17:23" x14ac:dyDescent="0.2">
      <c r="Q4168">
        <f t="shared" si="471"/>
        <v>4152</v>
      </c>
      <c r="R4168" s="48">
        <f t="shared" ca="1" si="472"/>
        <v>0.45</v>
      </c>
      <c r="S4168">
        <f t="shared" ca="1" si="473"/>
        <v>158.18652886220443</v>
      </c>
      <c r="T4168" s="61">
        <f t="shared" ca="1" si="474"/>
        <v>21600</v>
      </c>
      <c r="U4168" s="61">
        <f t="shared" ca="1" si="475"/>
        <v>7602.0726993699463</v>
      </c>
      <c r="V4168" s="39">
        <f t="shared" ca="1" si="476"/>
        <v>5.0013636180065435E-2</v>
      </c>
      <c r="W4168" s="48">
        <f t="shared" ca="1" si="477"/>
        <v>0.4856431553079803</v>
      </c>
    </row>
    <row r="4169" spans="17:23" x14ac:dyDescent="0.2">
      <c r="Q4169">
        <f t="shared" si="471"/>
        <v>4153</v>
      </c>
      <c r="R4169" s="48">
        <f t="shared" ca="1" si="472"/>
        <v>0.35</v>
      </c>
      <c r="S4169">
        <f t="shared" ca="1" si="473"/>
        <v>185.70457481807003</v>
      </c>
      <c r="T4169" s="61">
        <f t="shared" ca="1" si="474"/>
        <v>16800</v>
      </c>
      <c r="U4169" s="61">
        <f t="shared" ca="1" si="475"/>
        <v>14566.378905396414</v>
      </c>
      <c r="V4169" s="39">
        <f t="shared" ca="1" si="476"/>
        <v>9.5831440167081672E-2</v>
      </c>
      <c r="W4169" s="48">
        <f t="shared" ca="1" si="477"/>
        <v>1.1007096228902999</v>
      </c>
    </row>
    <row r="4170" spans="17:23" x14ac:dyDescent="0.2">
      <c r="Q4170">
        <f t="shared" si="471"/>
        <v>4154</v>
      </c>
      <c r="R4170" s="48">
        <f t="shared" ca="1" si="472"/>
        <v>0.3</v>
      </c>
      <c r="S4170">
        <f t="shared" ca="1" si="473"/>
        <v>149.8320334294479</v>
      </c>
      <c r="T4170" s="61">
        <f t="shared" ca="1" si="474"/>
        <v>14400</v>
      </c>
      <c r="U4170" s="61">
        <f t="shared" ca="1" si="475"/>
        <v>-8094.0612795091729</v>
      </c>
      <c r="V4170" s="39">
        <f t="shared" ca="1" si="476"/>
        <v>-5.3250403154665608E-2</v>
      </c>
      <c r="W4170" s="48">
        <f t="shared" ca="1" si="477"/>
        <v>-0.35843525668742438</v>
      </c>
    </row>
    <row r="4171" spans="17:23" x14ac:dyDescent="0.2">
      <c r="Q4171">
        <f t="shared" si="471"/>
        <v>4155</v>
      </c>
      <c r="R4171" s="48">
        <f t="shared" ca="1" si="472"/>
        <v>0.45</v>
      </c>
      <c r="S4171">
        <f t="shared" ca="1" si="473"/>
        <v>178.24763111196111</v>
      </c>
      <c r="T4171" s="61">
        <f t="shared" ca="1" si="474"/>
        <v>21600</v>
      </c>
      <c r="U4171" s="61">
        <f t="shared" ca="1" si="475"/>
        <v>16428.95768926289</v>
      </c>
      <c r="V4171" s="39">
        <f t="shared" ca="1" si="476"/>
        <v>0.10808524795567691</v>
      </c>
      <c r="W4171" s="48">
        <f t="shared" ca="1" si="477"/>
        <v>1.2989946450184275</v>
      </c>
    </row>
    <row r="4172" spans="17:23" x14ac:dyDescent="0.2">
      <c r="Q4172">
        <f t="shared" si="471"/>
        <v>4156</v>
      </c>
      <c r="R4172" s="48">
        <f t="shared" ca="1" si="472"/>
        <v>0.217</v>
      </c>
      <c r="S4172">
        <f t="shared" ca="1" si="473"/>
        <v>221.16129208239616</v>
      </c>
      <c r="T4172" s="61">
        <f t="shared" ca="1" si="474"/>
        <v>10416</v>
      </c>
      <c r="U4172" s="61">
        <f t="shared" ca="1" si="475"/>
        <v>29935.433360412953</v>
      </c>
      <c r="V4172" s="39">
        <f t="shared" ca="1" si="476"/>
        <v>0.1969436405290326</v>
      </c>
      <c r="W4172" s="48">
        <f t="shared" ca="1" si="477"/>
        <v>3.2979807773964289</v>
      </c>
    </row>
    <row r="4173" spans="17:23" x14ac:dyDescent="0.2">
      <c r="Q4173">
        <f t="shared" si="471"/>
        <v>4157</v>
      </c>
      <c r="R4173" s="48">
        <f t="shared" ca="1" si="472"/>
        <v>0.5</v>
      </c>
      <c r="S4173">
        <f t="shared" ca="1" si="473"/>
        <v>196.4861605693562</v>
      </c>
      <c r="T4173" s="61">
        <f t="shared" ca="1" si="474"/>
        <v>24000</v>
      </c>
      <c r="U4173" s="61">
        <f t="shared" ca="1" si="475"/>
        <v>26594.464227742479</v>
      </c>
      <c r="V4173" s="39">
        <f t="shared" ca="1" si="476"/>
        <v>0.1749635804456742</v>
      </c>
      <c r="W4173" s="48">
        <f t="shared" ca="1" si="477"/>
        <v>2.6980751445724827</v>
      </c>
    </row>
    <row r="4174" spans="17:23" x14ac:dyDescent="0.2">
      <c r="Q4174">
        <f t="shared" si="471"/>
        <v>4158</v>
      </c>
      <c r="R4174" s="48">
        <f t="shared" ca="1" si="472"/>
        <v>0.45</v>
      </c>
      <c r="S4174">
        <f t="shared" ca="1" si="473"/>
        <v>161.85150696899973</v>
      </c>
      <c r="T4174" s="61">
        <f t="shared" ca="1" si="474"/>
        <v>21600</v>
      </c>
      <c r="U4174" s="61">
        <f t="shared" ca="1" si="475"/>
        <v>9214.6630663598789</v>
      </c>
      <c r="V4174" s="39">
        <f t="shared" ca="1" si="476"/>
        <v>6.0622783331314996E-2</v>
      </c>
      <c r="W4174" s="48">
        <f t="shared" ca="1" si="477"/>
        <v>0.61186149881399521</v>
      </c>
    </row>
    <row r="4175" spans="17:23" x14ac:dyDescent="0.2">
      <c r="Q4175">
        <f t="shared" si="471"/>
        <v>4159</v>
      </c>
      <c r="R4175" s="48">
        <f t="shared" ca="1" si="472"/>
        <v>0.4</v>
      </c>
      <c r="S4175">
        <f t="shared" ca="1" si="473"/>
        <v>213.11156662658993</v>
      </c>
      <c r="T4175" s="61">
        <f t="shared" ca="1" si="474"/>
        <v>19200</v>
      </c>
      <c r="U4175" s="61">
        <f t="shared" ca="1" si="475"/>
        <v>30293.551980763168</v>
      </c>
      <c r="V4175" s="39">
        <f t="shared" ca="1" si="476"/>
        <v>0.1992996840839682</v>
      </c>
      <c r="W4175" s="48">
        <f t="shared" ca="1" si="477"/>
        <v>3.3670835500872416</v>
      </c>
    </row>
    <row r="4176" spans="17:23" x14ac:dyDescent="0.2">
      <c r="Q4176">
        <f t="shared" si="471"/>
        <v>4160</v>
      </c>
      <c r="R4176" s="48">
        <f t="shared" ca="1" si="472"/>
        <v>0.3</v>
      </c>
      <c r="S4176">
        <f t="shared" ca="1" si="473"/>
        <v>166.2050598767313</v>
      </c>
      <c r="T4176" s="61">
        <f t="shared" ca="1" si="474"/>
        <v>14400</v>
      </c>
      <c r="U4176" s="61">
        <f t="shared" ca="1" si="475"/>
        <v>1074.8335309695267</v>
      </c>
      <c r="V4176" s="39">
        <f t="shared" ca="1" si="476"/>
        <v>7.0712732300626758E-3</v>
      </c>
      <c r="W4176" s="48">
        <f t="shared" ca="1" si="477"/>
        <v>5.8818902799251171E-2</v>
      </c>
    </row>
    <row r="4177" spans="17:23" x14ac:dyDescent="0.2">
      <c r="Q4177">
        <f t="shared" si="471"/>
        <v>4161</v>
      </c>
      <c r="R4177" s="48">
        <f t="shared" ca="1" si="472"/>
        <v>0.3</v>
      </c>
      <c r="S4177">
        <f t="shared" ca="1" si="473"/>
        <v>176.00608974809629</v>
      </c>
      <c r="T4177" s="61">
        <f t="shared" ca="1" si="474"/>
        <v>14400</v>
      </c>
      <c r="U4177" s="61">
        <f t="shared" ca="1" si="475"/>
        <v>6563.41025893392</v>
      </c>
      <c r="V4177" s="39">
        <f t="shared" ca="1" si="476"/>
        <v>4.3180330650881053E-2</v>
      </c>
      <c r="W4177" s="48">
        <f t="shared" ca="1" si="477"/>
        <v>0.40901316305545787</v>
      </c>
    </row>
    <row r="4178" spans="17:23" x14ac:dyDescent="0.2">
      <c r="Q4178">
        <f t="shared" si="471"/>
        <v>4162</v>
      </c>
      <c r="R4178" s="48">
        <f t="shared" ca="1" si="472"/>
        <v>0.3</v>
      </c>
      <c r="S4178">
        <f t="shared" ca="1" si="473"/>
        <v>215.74009489666113</v>
      </c>
      <c r="T4178" s="61">
        <f t="shared" ca="1" si="474"/>
        <v>14400</v>
      </c>
      <c r="U4178" s="61">
        <f t="shared" ca="1" si="475"/>
        <v>28814.453142130234</v>
      </c>
      <c r="V4178" s="39">
        <f t="shared" ca="1" si="476"/>
        <v>0.18956877067190944</v>
      </c>
      <c r="W4178" s="48">
        <f t="shared" ca="1" si="477"/>
        <v>3.0878321164762186</v>
      </c>
    </row>
    <row r="4179" spans="17:23" x14ac:dyDescent="0.2">
      <c r="Q4179">
        <f t="shared" ref="Q4179:Q4242" si="478">Q4178+1</f>
        <v>4163</v>
      </c>
      <c r="R4179" s="48">
        <f t="shared" ref="R4179:R4242" ca="1" si="479">LOOKUP(RAND(),$U$6:$U$12,$S$6:$S$12)</f>
        <v>0.3</v>
      </c>
      <c r="S4179">
        <f t="shared" ref="S4179:S4242" ca="1" si="480">_xlfn.NORM.INV(RAND(),$Q$5,$Q$10)</f>
        <v>219.81983348606144</v>
      </c>
      <c r="T4179" s="61">
        <f t="shared" ca="1" si="474"/>
        <v>14400</v>
      </c>
      <c r="U4179" s="61">
        <f t="shared" ca="1" si="475"/>
        <v>31099.106752194406</v>
      </c>
      <c r="V4179" s="39">
        <f t="shared" ca="1" si="476"/>
        <v>0.20459938652759477</v>
      </c>
      <c r="W4179" s="48">
        <f t="shared" ca="1" si="477"/>
        <v>3.5260944922171902</v>
      </c>
    </row>
    <row r="4180" spans="17:23" x14ac:dyDescent="0.2">
      <c r="Q4180">
        <f t="shared" si="478"/>
        <v>4164</v>
      </c>
      <c r="R4180" s="48">
        <f t="shared" ca="1" si="479"/>
        <v>0.35</v>
      </c>
      <c r="S4180">
        <f t="shared" ca="1" si="480"/>
        <v>195.81118975789522</v>
      </c>
      <c r="T4180" s="61">
        <f t="shared" ca="1" si="474"/>
        <v>16800</v>
      </c>
      <c r="U4180" s="61">
        <f t="shared" ca="1" si="475"/>
        <v>19821.818674105514</v>
      </c>
      <c r="V4180" s="39">
        <f t="shared" ca="1" si="476"/>
        <v>0.13040670180332575</v>
      </c>
      <c r="W4180" s="48">
        <f t="shared" ca="1" si="477"/>
        <v>1.7026683660181323</v>
      </c>
    </row>
    <row r="4181" spans="17:23" x14ac:dyDescent="0.2">
      <c r="Q4181">
        <f t="shared" si="478"/>
        <v>4165</v>
      </c>
      <c r="R4181" s="48">
        <f t="shared" ca="1" si="479"/>
        <v>0.35</v>
      </c>
      <c r="S4181">
        <f t="shared" ca="1" si="480"/>
        <v>155.30715950552724</v>
      </c>
      <c r="T4181" s="61">
        <f t="shared" ca="1" si="474"/>
        <v>16800</v>
      </c>
      <c r="U4181" s="61">
        <f t="shared" ca="1" si="475"/>
        <v>-1240.277057125837</v>
      </c>
      <c r="V4181" s="39">
        <f t="shared" ca="1" si="476"/>
        <v>-8.1597174810910337E-3</v>
      </c>
      <c r="W4181" s="48">
        <f t="shared" ca="1" si="477"/>
        <v>-6.4295797993428883E-2</v>
      </c>
    </row>
    <row r="4182" spans="17:23" x14ac:dyDescent="0.2">
      <c r="Q4182">
        <f t="shared" si="478"/>
        <v>4166</v>
      </c>
      <c r="R4182" s="48">
        <f t="shared" ca="1" si="479"/>
        <v>0.3</v>
      </c>
      <c r="S4182">
        <f t="shared" ca="1" si="480"/>
        <v>176.56828745333419</v>
      </c>
      <c r="T4182" s="61">
        <f t="shared" ca="1" si="474"/>
        <v>14400</v>
      </c>
      <c r="U4182" s="61">
        <f t="shared" ca="1" si="475"/>
        <v>6878.2409738671486</v>
      </c>
      <c r="V4182" s="39">
        <f t="shared" ca="1" si="476"/>
        <v>4.5251585354389133E-2</v>
      </c>
      <c r="W4182" s="48">
        <f t="shared" ca="1" si="477"/>
        <v>0.43186583829212477</v>
      </c>
    </row>
    <row r="4183" spans="17:23" x14ac:dyDescent="0.2">
      <c r="Q4183">
        <f t="shared" si="478"/>
        <v>4167</v>
      </c>
      <c r="R4183" s="48">
        <f t="shared" ca="1" si="479"/>
        <v>0.35</v>
      </c>
      <c r="S4183">
        <f t="shared" ca="1" si="480"/>
        <v>199.77307788609451</v>
      </c>
      <c r="T4183" s="61">
        <f t="shared" ca="1" si="474"/>
        <v>16800</v>
      </c>
      <c r="U4183" s="61">
        <f t="shared" ca="1" si="475"/>
        <v>21882.000500769147</v>
      </c>
      <c r="V4183" s="39">
        <f t="shared" ca="1" si="476"/>
        <v>0.14396052961032332</v>
      </c>
      <c r="W4183" s="48">
        <f t="shared" ca="1" si="477"/>
        <v>1.9769972716349962</v>
      </c>
    </row>
    <row r="4184" spans="17:23" x14ac:dyDescent="0.2">
      <c r="Q4184">
        <f t="shared" si="478"/>
        <v>4168</v>
      </c>
      <c r="R4184" s="48">
        <f t="shared" ca="1" si="479"/>
        <v>0.4</v>
      </c>
      <c r="S4184">
        <f t="shared" ca="1" si="480"/>
        <v>204.74084521813643</v>
      </c>
      <c r="T4184" s="61">
        <f t="shared" ca="1" si="474"/>
        <v>19200</v>
      </c>
      <c r="U4184" s="61">
        <f t="shared" ca="1" si="475"/>
        <v>26275.605704705486</v>
      </c>
      <c r="V4184" s="39">
        <f t="shared" ca="1" si="476"/>
        <v>0.17286582700464134</v>
      </c>
      <c r="W4184" s="48">
        <f t="shared" ca="1" si="477"/>
        <v>2.6448605823101232</v>
      </c>
    </row>
    <row r="4185" spans="17:23" x14ac:dyDescent="0.2">
      <c r="Q4185">
        <f t="shared" si="478"/>
        <v>4169</v>
      </c>
      <c r="R4185" s="48">
        <f t="shared" ca="1" si="479"/>
        <v>0.3</v>
      </c>
      <c r="S4185">
        <f t="shared" ca="1" si="480"/>
        <v>198.7112381526855</v>
      </c>
      <c r="T4185" s="61">
        <f t="shared" ca="1" si="474"/>
        <v>14400</v>
      </c>
      <c r="U4185" s="61">
        <f t="shared" ca="1" si="475"/>
        <v>19278.29336550388</v>
      </c>
      <c r="V4185" s="39">
        <f t="shared" ca="1" si="476"/>
        <v>0.12683087740463078</v>
      </c>
      <c r="W4185" s="48">
        <f t="shared" ca="1" si="477"/>
        <v>1.6340983978365475</v>
      </c>
    </row>
    <row r="4186" spans="17:23" x14ac:dyDescent="0.2">
      <c r="Q4186">
        <f t="shared" si="478"/>
        <v>4170</v>
      </c>
      <c r="R4186" s="48">
        <f t="shared" ca="1" si="479"/>
        <v>0.217</v>
      </c>
      <c r="S4186">
        <f t="shared" ca="1" si="480"/>
        <v>190.38884970137576</v>
      </c>
      <c r="T4186" s="61">
        <f t="shared" ca="1" si="474"/>
        <v>10416</v>
      </c>
      <c r="U4186" s="61">
        <f t="shared" ca="1" si="475"/>
        <v>10659.575452941777</v>
      </c>
      <c r="V4186" s="39">
        <f t="shared" ca="1" si="476"/>
        <v>7.0128785874616961E-2</v>
      </c>
      <c r="W4186" s="48">
        <f t="shared" ca="1" si="477"/>
        <v>0.73284231174029602</v>
      </c>
    </row>
    <row r="4187" spans="17:23" x14ac:dyDescent="0.2">
      <c r="Q4187">
        <f t="shared" si="478"/>
        <v>4171</v>
      </c>
      <c r="R4187" s="48">
        <f t="shared" ca="1" si="479"/>
        <v>0.3</v>
      </c>
      <c r="S4187">
        <f t="shared" ca="1" si="480"/>
        <v>204.0588947838821</v>
      </c>
      <c r="T4187" s="61">
        <f t="shared" ca="1" si="474"/>
        <v>14400</v>
      </c>
      <c r="U4187" s="61">
        <f t="shared" ca="1" si="475"/>
        <v>22272.981078973971</v>
      </c>
      <c r="V4187" s="39">
        <f t="shared" ca="1" si="476"/>
        <v>0.14653277025640771</v>
      </c>
      <c r="W4187" s="48">
        <f t="shared" ca="1" si="477"/>
        <v>2.0317282814613353</v>
      </c>
    </row>
    <row r="4188" spans="17:23" x14ac:dyDescent="0.2">
      <c r="Q4188">
        <f t="shared" si="478"/>
        <v>4172</v>
      </c>
      <c r="R4188" s="48">
        <f t="shared" ca="1" si="479"/>
        <v>0.4</v>
      </c>
      <c r="S4188">
        <f t="shared" ca="1" si="480"/>
        <v>205.12932759302589</v>
      </c>
      <c r="T4188" s="61">
        <f t="shared" ca="1" si="474"/>
        <v>19200</v>
      </c>
      <c r="U4188" s="61">
        <f t="shared" ca="1" si="475"/>
        <v>26462.077244652428</v>
      </c>
      <c r="V4188" s="39">
        <f t="shared" ca="1" si="476"/>
        <v>0.17409261345166072</v>
      </c>
      <c r="W4188" s="48">
        <f t="shared" ca="1" si="477"/>
        <v>2.6758988514007993</v>
      </c>
    </row>
    <row r="4189" spans="17:23" x14ac:dyDescent="0.2">
      <c r="Q4189">
        <f t="shared" si="478"/>
        <v>4173</v>
      </c>
      <c r="R4189" s="48">
        <f t="shared" ca="1" si="479"/>
        <v>0.3</v>
      </c>
      <c r="S4189">
        <f t="shared" ca="1" si="480"/>
        <v>217.84081683842021</v>
      </c>
      <c r="T4189" s="61">
        <f t="shared" ca="1" si="474"/>
        <v>14400</v>
      </c>
      <c r="U4189" s="61">
        <f t="shared" ca="1" si="475"/>
        <v>29990.857429515316</v>
      </c>
      <c r="V4189" s="39">
        <f t="shared" ca="1" si="476"/>
        <v>0.19730827256260075</v>
      </c>
      <c r="W4189" s="48">
        <f t="shared" ca="1" si="477"/>
        <v>3.3086123223669377</v>
      </c>
    </row>
    <row r="4190" spans="17:23" x14ac:dyDescent="0.2">
      <c r="Q4190">
        <f t="shared" si="478"/>
        <v>4174</v>
      </c>
      <c r="R4190" s="48">
        <f t="shared" ca="1" si="479"/>
        <v>0.4</v>
      </c>
      <c r="S4190">
        <f t="shared" ca="1" si="480"/>
        <v>213.56992599411291</v>
      </c>
      <c r="T4190" s="61">
        <f t="shared" ca="1" si="474"/>
        <v>19200</v>
      </c>
      <c r="U4190" s="61">
        <f t="shared" ca="1" si="475"/>
        <v>30513.564477174194</v>
      </c>
      <c r="V4190" s="39">
        <f t="shared" ca="1" si="476"/>
        <v>0.20074713471825129</v>
      </c>
      <c r="W4190" s="48">
        <f t="shared" ca="1" si="477"/>
        <v>3.4100186165995767</v>
      </c>
    </row>
    <row r="4191" spans="17:23" x14ac:dyDescent="0.2">
      <c r="Q4191">
        <f t="shared" si="478"/>
        <v>4175</v>
      </c>
      <c r="R4191" s="48">
        <f t="shared" ca="1" si="479"/>
        <v>0.45</v>
      </c>
      <c r="S4191">
        <f t="shared" ca="1" si="480"/>
        <v>171.35016133657103</v>
      </c>
      <c r="T4191" s="61">
        <f t="shared" ca="1" si="474"/>
        <v>21600</v>
      </c>
      <c r="U4191" s="61">
        <f t="shared" ca="1" si="475"/>
        <v>13394.070988091255</v>
      </c>
      <c r="V4191" s="39">
        <f t="shared" ca="1" si="476"/>
        <v>8.8118888079547722E-2</v>
      </c>
      <c r="W4191" s="48">
        <f t="shared" ca="1" si="477"/>
        <v>0.98374544394337904</v>
      </c>
    </row>
    <row r="4192" spans="17:23" x14ac:dyDescent="0.2">
      <c r="Q4192">
        <f t="shared" si="478"/>
        <v>4176</v>
      </c>
      <c r="R4192" s="48">
        <f t="shared" ca="1" si="479"/>
        <v>0.3</v>
      </c>
      <c r="S4192">
        <f t="shared" ca="1" si="480"/>
        <v>178.88320876862315</v>
      </c>
      <c r="T4192" s="61">
        <f t="shared" ca="1" si="474"/>
        <v>14400</v>
      </c>
      <c r="U4192" s="61">
        <f t="shared" ca="1" si="475"/>
        <v>8174.5969104289634</v>
      </c>
      <c r="V4192" s="39">
        <f t="shared" ca="1" si="476"/>
        <v>5.3780242831769492E-2</v>
      </c>
      <c r="W4192" s="48">
        <f t="shared" ca="1" si="477"/>
        <v>0.529425045656855</v>
      </c>
    </row>
    <row r="4193" spans="17:23" x14ac:dyDescent="0.2">
      <c r="Q4193">
        <f t="shared" si="478"/>
        <v>4177</v>
      </c>
      <c r="R4193" s="48">
        <f t="shared" ca="1" si="479"/>
        <v>0.4</v>
      </c>
      <c r="S4193">
        <f t="shared" ca="1" si="480"/>
        <v>177.46045743714183</v>
      </c>
      <c r="T4193" s="61">
        <f t="shared" ca="1" si="474"/>
        <v>19200</v>
      </c>
      <c r="U4193" s="61">
        <f t="shared" ca="1" si="475"/>
        <v>13181.019569828077</v>
      </c>
      <c r="V4193" s="39">
        <f t="shared" ca="1" si="476"/>
        <v>8.6717234012026814E-2</v>
      </c>
      <c r="W4193" s="48">
        <f t="shared" ca="1" si="477"/>
        <v>0.96311339530814055</v>
      </c>
    </row>
    <row r="4194" spans="17:23" x14ac:dyDescent="0.2">
      <c r="Q4194">
        <f t="shared" si="478"/>
        <v>4178</v>
      </c>
      <c r="R4194" s="48">
        <f t="shared" ca="1" si="479"/>
        <v>0.45</v>
      </c>
      <c r="S4194">
        <f t="shared" ca="1" si="480"/>
        <v>187.99823216561941</v>
      </c>
      <c r="T4194" s="61">
        <f t="shared" ca="1" si="474"/>
        <v>21600</v>
      </c>
      <c r="U4194" s="61">
        <f t="shared" ca="1" si="475"/>
        <v>20719.222152872542</v>
      </c>
      <c r="V4194" s="39">
        <f t="shared" ca="1" si="476"/>
        <v>0.136310672058372</v>
      </c>
      <c r="W4194" s="48">
        <f t="shared" ca="1" si="477"/>
        <v>1.8193112675997627</v>
      </c>
    </row>
    <row r="4195" spans="17:23" x14ac:dyDescent="0.2">
      <c r="Q4195">
        <f t="shared" si="478"/>
        <v>4179</v>
      </c>
      <c r="R4195" s="48">
        <f t="shared" ca="1" si="479"/>
        <v>0.45</v>
      </c>
      <c r="S4195">
        <f t="shared" ca="1" si="480"/>
        <v>212.94260088278082</v>
      </c>
      <c r="T4195" s="61">
        <f t="shared" ca="1" si="474"/>
        <v>21600</v>
      </c>
      <c r="U4195" s="61">
        <f t="shared" ca="1" si="475"/>
        <v>31694.744388423562</v>
      </c>
      <c r="V4195" s="39">
        <f t="shared" ca="1" si="476"/>
        <v>0.20851805518699712</v>
      </c>
      <c r="W4195" s="48">
        <f t="shared" ca="1" si="477"/>
        <v>3.6469113038721002</v>
      </c>
    </row>
    <row r="4196" spans="17:23" x14ac:dyDescent="0.2">
      <c r="Q4196">
        <f t="shared" si="478"/>
        <v>4180</v>
      </c>
      <c r="R4196" s="48">
        <f t="shared" ca="1" si="479"/>
        <v>0.3</v>
      </c>
      <c r="S4196">
        <f t="shared" ca="1" si="480"/>
        <v>190.98939378241275</v>
      </c>
      <c r="T4196" s="61">
        <f t="shared" ca="1" si="474"/>
        <v>14400</v>
      </c>
      <c r="U4196" s="61">
        <f t="shared" ca="1" si="475"/>
        <v>14954.060518151138</v>
      </c>
      <c r="V4196" s="39">
        <f t="shared" ca="1" si="476"/>
        <v>9.8381977093099593E-2</v>
      </c>
      <c r="W4196" s="48">
        <f t="shared" ca="1" si="477"/>
        <v>1.1406976895999401</v>
      </c>
    </row>
    <row r="4197" spans="17:23" x14ac:dyDescent="0.2">
      <c r="Q4197">
        <f t="shared" si="478"/>
        <v>4181</v>
      </c>
      <c r="R4197" s="48">
        <f t="shared" ca="1" si="479"/>
        <v>0.4</v>
      </c>
      <c r="S4197">
        <f t="shared" ca="1" si="480"/>
        <v>193.41519348268093</v>
      </c>
      <c r="T4197" s="61">
        <f t="shared" ca="1" si="474"/>
        <v>19200</v>
      </c>
      <c r="U4197" s="61">
        <f t="shared" ca="1" si="475"/>
        <v>20839.292871686848</v>
      </c>
      <c r="V4197" s="39">
        <f t="shared" ca="1" si="476"/>
        <v>0.1371006109979398</v>
      </c>
      <c r="W4197" s="48">
        <f t="shared" ca="1" si="477"/>
        <v>1.8352477869316566</v>
      </c>
    </row>
    <row r="4198" spans="17:23" x14ac:dyDescent="0.2">
      <c r="Q4198">
        <f t="shared" si="478"/>
        <v>4182</v>
      </c>
      <c r="R4198" s="48">
        <f t="shared" ca="1" si="479"/>
        <v>0.45</v>
      </c>
      <c r="S4198">
        <f t="shared" ca="1" si="480"/>
        <v>207.93797681181289</v>
      </c>
      <c r="T4198" s="61">
        <f t="shared" ca="1" si="474"/>
        <v>21600</v>
      </c>
      <c r="U4198" s="61">
        <f t="shared" ca="1" si="475"/>
        <v>29492.709797197673</v>
      </c>
      <c r="V4198" s="39">
        <f t="shared" ca="1" si="476"/>
        <v>0.19403098550787942</v>
      </c>
      <c r="W4198" s="48">
        <f t="shared" ca="1" si="477"/>
        <v>3.2138790382433253</v>
      </c>
    </row>
    <row r="4199" spans="17:23" x14ac:dyDescent="0.2">
      <c r="Q4199">
        <f t="shared" si="478"/>
        <v>4183</v>
      </c>
      <c r="R4199" s="48">
        <f t="shared" ca="1" si="479"/>
        <v>0.217</v>
      </c>
      <c r="S4199">
        <f t="shared" ca="1" si="480"/>
        <v>194.05705643977407</v>
      </c>
      <c r="T4199" s="61">
        <f t="shared" ca="1" si="474"/>
        <v>10416</v>
      </c>
      <c r="U4199" s="61">
        <f t="shared" ca="1" si="475"/>
        <v>12957.340153874478</v>
      </c>
      <c r="V4199" s="39">
        <f t="shared" ca="1" si="476"/>
        <v>8.5245658907068936E-2</v>
      </c>
      <c r="W4199" s="48">
        <f t="shared" ca="1" si="477"/>
        <v>0.94165479784136608</v>
      </c>
    </row>
    <row r="4200" spans="17:23" x14ac:dyDescent="0.2">
      <c r="Q4200">
        <f t="shared" si="478"/>
        <v>4184</v>
      </c>
      <c r="R4200" s="48">
        <f t="shared" ca="1" si="479"/>
        <v>0.35</v>
      </c>
      <c r="S4200">
        <f t="shared" ca="1" si="480"/>
        <v>209.73483142755833</v>
      </c>
      <c r="T4200" s="61">
        <f t="shared" ca="1" si="474"/>
        <v>16800</v>
      </c>
      <c r="U4200" s="61">
        <f t="shared" ca="1" si="475"/>
        <v>27062.112342330332</v>
      </c>
      <c r="V4200" s="39">
        <f t="shared" ca="1" si="476"/>
        <v>0.17804021277848903</v>
      </c>
      <c r="W4200" s="48">
        <f t="shared" ca="1" si="477"/>
        <v>2.777353270514245</v>
      </c>
    </row>
    <row r="4201" spans="17:23" x14ac:dyDescent="0.2">
      <c r="Q4201">
        <f t="shared" si="478"/>
        <v>4185</v>
      </c>
      <c r="R4201" s="48">
        <f t="shared" ca="1" si="479"/>
        <v>0.3</v>
      </c>
      <c r="S4201">
        <f t="shared" ca="1" si="480"/>
        <v>204.81954861592712</v>
      </c>
      <c r="T4201" s="61">
        <f t="shared" ca="1" si="474"/>
        <v>14400</v>
      </c>
      <c r="U4201" s="61">
        <f t="shared" ca="1" si="475"/>
        <v>22698.947224919186</v>
      </c>
      <c r="V4201" s="39">
        <f t="shared" ca="1" si="476"/>
        <v>0.14933517911131045</v>
      </c>
      <c r="W4201" s="48">
        <f t="shared" ca="1" si="477"/>
        <v>2.092358947013194</v>
      </c>
    </row>
    <row r="4202" spans="17:23" x14ac:dyDescent="0.2">
      <c r="Q4202">
        <f t="shared" si="478"/>
        <v>4186</v>
      </c>
      <c r="R4202" s="48">
        <f t="shared" ca="1" si="479"/>
        <v>0.35</v>
      </c>
      <c r="S4202">
        <f t="shared" ca="1" si="480"/>
        <v>213.56986061545317</v>
      </c>
      <c r="T4202" s="61">
        <f t="shared" ca="1" si="474"/>
        <v>16800</v>
      </c>
      <c r="U4202" s="61">
        <f t="shared" ca="1" si="475"/>
        <v>29056.327520035644</v>
      </c>
      <c r="V4202" s="39">
        <f t="shared" ca="1" si="476"/>
        <v>0.19116004947391871</v>
      </c>
      <c r="W4202" s="48">
        <f t="shared" ca="1" si="477"/>
        <v>3.1323973771198803</v>
      </c>
    </row>
    <row r="4203" spans="17:23" x14ac:dyDescent="0.2">
      <c r="Q4203">
        <f t="shared" si="478"/>
        <v>4187</v>
      </c>
      <c r="R4203" s="48">
        <f t="shared" ca="1" si="479"/>
        <v>0.45</v>
      </c>
      <c r="S4203">
        <f t="shared" ca="1" si="480"/>
        <v>215.28579616474366</v>
      </c>
      <c r="T4203" s="61">
        <f t="shared" ca="1" si="474"/>
        <v>21600</v>
      </c>
      <c r="U4203" s="61">
        <f t="shared" ca="1" si="475"/>
        <v>32725.750312487209</v>
      </c>
      <c r="V4203" s="39">
        <f t="shared" ca="1" si="476"/>
        <v>0.21530098889794216</v>
      </c>
      <c r="W4203" s="48">
        <f t="shared" ca="1" si="477"/>
        <v>3.8627296733916534</v>
      </c>
    </row>
    <row r="4204" spans="17:23" x14ac:dyDescent="0.2">
      <c r="Q4204">
        <f t="shared" si="478"/>
        <v>4188</v>
      </c>
      <c r="R4204" s="48">
        <f t="shared" ca="1" si="479"/>
        <v>0.217</v>
      </c>
      <c r="S4204">
        <f t="shared" ca="1" si="480"/>
        <v>181.24160495015883</v>
      </c>
      <c r="T4204" s="61">
        <f t="shared" ca="1" si="474"/>
        <v>10416</v>
      </c>
      <c r="U4204" s="61">
        <f t="shared" ca="1" si="475"/>
        <v>4929.741340779492</v>
      </c>
      <c r="V4204" s="39">
        <f t="shared" ca="1" si="476"/>
        <v>3.2432508820917708E-2</v>
      </c>
      <c r="W4204" s="48">
        <f t="shared" ca="1" si="477"/>
        <v>0.29548847423127445</v>
      </c>
    </row>
    <row r="4205" spans="17:23" x14ac:dyDescent="0.2">
      <c r="Q4205">
        <f t="shared" si="478"/>
        <v>4189</v>
      </c>
      <c r="R4205" s="48">
        <f t="shared" ca="1" si="479"/>
        <v>0.35</v>
      </c>
      <c r="S4205">
        <f t="shared" ca="1" si="480"/>
        <v>175.68931073373892</v>
      </c>
      <c r="T4205" s="61">
        <f t="shared" ca="1" si="474"/>
        <v>16800</v>
      </c>
      <c r="U4205" s="61">
        <f t="shared" ca="1" si="475"/>
        <v>9358.4415815442389</v>
      </c>
      <c r="V4205" s="39">
        <f t="shared" ca="1" si="476"/>
        <v>6.1568694615422623E-2</v>
      </c>
      <c r="W4205" s="48">
        <f t="shared" ca="1" si="477"/>
        <v>0.62355851241062821</v>
      </c>
    </row>
    <row r="4206" spans="17:23" x14ac:dyDescent="0.2">
      <c r="Q4206">
        <f t="shared" si="478"/>
        <v>4190</v>
      </c>
      <c r="R4206" s="48">
        <f t="shared" ca="1" si="479"/>
        <v>0.45</v>
      </c>
      <c r="S4206">
        <f t="shared" ca="1" si="480"/>
        <v>192.09413138163006</v>
      </c>
      <c r="T4206" s="61">
        <f t="shared" ca="1" si="474"/>
        <v>21600</v>
      </c>
      <c r="U4206" s="61">
        <f t="shared" ca="1" si="475"/>
        <v>22521.417807917227</v>
      </c>
      <c r="V4206" s="39">
        <f t="shared" ca="1" si="476"/>
        <v>0.14816722242050806</v>
      </c>
      <c r="W4206" s="48">
        <f t="shared" ca="1" si="477"/>
        <v>2.0669619992124386</v>
      </c>
    </row>
    <row r="4207" spans="17:23" x14ac:dyDescent="0.2">
      <c r="Q4207">
        <f t="shared" si="478"/>
        <v>4191</v>
      </c>
      <c r="R4207" s="48">
        <f t="shared" ca="1" si="479"/>
        <v>0.45</v>
      </c>
      <c r="S4207">
        <f t="shared" ca="1" si="480"/>
        <v>182.4707975648025</v>
      </c>
      <c r="T4207" s="61">
        <f t="shared" ca="1" si="474"/>
        <v>21600</v>
      </c>
      <c r="U4207" s="61">
        <f t="shared" ca="1" si="475"/>
        <v>18287.150928513096</v>
      </c>
      <c r="V4207" s="39">
        <f t="shared" ca="1" si="476"/>
        <v>0.12031020347705984</v>
      </c>
      <c r="W4207" s="48">
        <f t="shared" ca="1" si="477"/>
        <v>1.5129761323130575</v>
      </c>
    </row>
    <row r="4208" spans="17:23" x14ac:dyDescent="0.2">
      <c r="Q4208">
        <f t="shared" si="478"/>
        <v>4192</v>
      </c>
      <c r="R4208" s="48">
        <f t="shared" ca="1" si="479"/>
        <v>0.45</v>
      </c>
      <c r="S4208">
        <f t="shared" ca="1" si="480"/>
        <v>189.81023147074396</v>
      </c>
      <c r="T4208" s="61">
        <f t="shared" ca="1" si="474"/>
        <v>21600</v>
      </c>
      <c r="U4208" s="61">
        <f t="shared" ca="1" si="475"/>
        <v>21516.50184712734</v>
      </c>
      <c r="V4208" s="39">
        <f t="shared" ca="1" si="476"/>
        <v>0.14155593320478513</v>
      </c>
      <c r="W4208" s="48">
        <f t="shared" ca="1" si="477"/>
        <v>1.9266186933937712</v>
      </c>
    </row>
    <row r="4209" spans="17:23" x14ac:dyDescent="0.2">
      <c r="Q4209">
        <f t="shared" si="478"/>
        <v>4193</v>
      </c>
      <c r="R4209" s="48">
        <f t="shared" ca="1" si="479"/>
        <v>0.35</v>
      </c>
      <c r="S4209">
        <f t="shared" ca="1" si="480"/>
        <v>180.63279731982635</v>
      </c>
      <c r="T4209" s="61">
        <f t="shared" ca="1" si="474"/>
        <v>16800</v>
      </c>
      <c r="U4209" s="61">
        <f t="shared" ca="1" si="475"/>
        <v>11929.054606309703</v>
      </c>
      <c r="V4209" s="39">
        <f t="shared" ca="1" si="476"/>
        <v>7.8480622409932255E-2</v>
      </c>
      <c r="W4209" s="48">
        <f t="shared" ca="1" si="477"/>
        <v>0.84562977057498001</v>
      </c>
    </row>
    <row r="4210" spans="17:23" x14ac:dyDescent="0.2">
      <c r="Q4210">
        <f t="shared" si="478"/>
        <v>4194</v>
      </c>
      <c r="R4210" s="48">
        <f t="shared" ca="1" si="479"/>
        <v>0.3</v>
      </c>
      <c r="S4210">
        <f t="shared" ca="1" si="480"/>
        <v>176.21583254565977</v>
      </c>
      <c r="T4210" s="61">
        <f t="shared" ca="1" si="474"/>
        <v>14400</v>
      </c>
      <c r="U4210" s="61">
        <f t="shared" ca="1" si="475"/>
        <v>6680.866225569469</v>
      </c>
      <c r="V4210" s="39">
        <f t="shared" ca="1" si="476"/>
        <v>4.3953067273483346E-2</v>
      </c>
      <c r="W4210" s="48">
        <f t="shared" ca="1" si="477"/>
        <v>0.41750128406500764</v>
      </c>
    </row>
    <row r="4211" spans="17:23" x14ac:dyDescent="0.2">
      <c r="Q4211">
        <f t="shared" si="478"/>
        <v>4195</v>
      </c>
      <c r="R4211" s="48">
        <f t="shared" ca="1" si="479"/>
        <v>0.3</v>
      </c>
      <c r="S4211">
        <f t="shared" ca="1" si="480"/>
        <v>155.18931339106666</v>
      </c>
      <c r="T4211" s="61">
        <f t="shared" ca="1" si="474"/>
        <v>14400</v>
      </c>
      <c r="U4211" s="61">
        <f t="shared" ca="1" si="475"/>
        <v>-5093.9845010026693</v>
      </c>
      <c r="V4211" s="39">
        <f t="shared" ca="1" si="476"/>
        <v>-3.3513055927649138E-2</v>
      </c>
      <c r="W4211" s="48">
        <f t="shared" ca="1" si="477"/>
        <v>-0.24155683201808587</v>
      </c>
    </row>
    <row r="4212" spans="17:23" x14ac:dyDescent="0.2">
      <c r="Q4212">
        <f t="shared" si="478"/>
        <v>4196</v>
      </c>
      <c r="R4212" s="48">
        <f t="shared" ca="1" si="479"/>
        <v>0.217</v>
      </c>
      <c r="S4212">
        <f t="shared" ca="1" si="480"/>
        <v>189.59824320440964</v>
      </c>
      <c r="T4212" s="61">
        <f t="shared" ca="1" si="474"/>
        <v>10416</v>
      </c>
      <c r="U4212" s="61">
        <f t="shared" ca="1" si="475"/>
        <v>10164.339543242198</v>
      </c>
      <c r="V4212" s="39">
        <f t="shared" ca="1" si="476"/>
        <v>6.6870654889751302E-2</v>
      </c>
      <c r="W4212" s="48">
        <f t="shared" ca="1" si="477"/>
        <v>0.69050977935432512</v>
      </c>
    </row>
    <row r="4213" spans="17:23" x14ac:dyDescent="0.2">
      <c r="Q4213">
        <f t="shared" si="478"/>
        <v>4197</v>
      </c>
      <c r="R4213" s="48">
        <f t="shared" ca="1" si="479"/>
        <v>0.4</v>
      </c>
      <c r="S4213">
        <f t="shared" ca="1" si="480"/>
        <v>188.64360884089842</v>
      </c>
      <c r="T4213" s="61">
        <f t="shared" ca="1" si="474"/>
        <v>19200</v>
      </c>
      <c r="U4213" s="61">
        <f t="shared" ca="1" si="475"/>
        <v>18548.932243631243</v>
      </c>
      <c r="V4213" s="39">
        <f t="shared" ca="1" si="476"/>
        <v>0.12203244897125817</v>
      </c>
      <c r="W4213" s="48">
        <f t="shared" ca="1" si="477"/>
        <v>1.5444826386432018</v>
      </c>
    </row>
    <row r="4214" spans="17:23" x14ac:dyDescent="0.2">
      <c r="Q4214">
        <f t="shared" si="478"/>
        <v>4198</v>
      </c>
      <c r="R4214" s="48">
        <f t="shared" ca="1" si="479"/>
        <v>0.15</v>
      </c>
      <c r="S4214">
        <f t="shared" ca="1" si="480"/>
        <v>196.49789435908107</v>
      </c>
      <c r="T4214" s="61">
        <f t="shared" ca="1" si="474"/>
        <v>7200</v>
      </c>
      <c r="U4214" s="61">
        <f t="shared" ca="1" si="475"/>
        <v>11618.568164175129</v>
      </c>
      <c r="V4214" s="39">
        <f t="shared" ca="1" si="476"/>
        <v>7.6437948448520587E-2</v>
      </c>
      <c r="W4214" s="48">
        <f t="shared" ca="1" si="477"/>
        <v>0.81746615525202282</v>
      </c>
    </row>
    <row r="4215" spans="17:23" x14ac:dyDescent="0.2">
      <c r="Q4215">
        <f t="shared" si="478"/>
        <v>4199</v>
      </c>
      <c r="R4215" s="48">
        <f t="shared" ca="1" si="479"/>
        <v>0.217</v>
      </c>
      <c r="S4215">
        <f t="shared" ca="1" si="480"/>
        <v>176.45535920069412</v>
      </c>
      <c r="T4215" s="61">
        <f t="shared" ca="1" si="474"/>
        <v>10416</v>
      </c>
      <c r="U4215" s="61">
        <f t="shared" ca="1" si="475"/>
        <v>1931.6370033147959</v>
      </c>
      <c r="V4215" s="39">
        <f t="shared" ca="1" si="476"/>
        <v>1.2708138179702604E-2</v>
      </c>
      <c r="W4215" s="48">
        <f t="shared" ca="1" si="477"/>
        <v>0.10785715458937117</v>
      </c>
    </row>
    <row r="4216" spans="17:23" x14ac:dyDescent="0.2">
      <c r="Q4216">
        <f t="shared" si="478"/>
        <v>4200</v>
      </c>
      <c r="R4216" s="48">
        <f t="shared" ca="1" si="479"/>
        <v>0.3</v>
      </c>
      <c r="S4216">
        <f t="shared" ca="1" si="480"/>
        <v>174.98716238798113</v>
      </c>
      <c r="T4216" s="61">
        <f t="shared" ca="1" si="474"/>
        <v>14400</v>
      </c>
      <c r="U4216" s="61">
        <f t="shared" ca="1" si="475"/>
        <v>5992.8109372694325</v>
      </c>
      <c r="V4216" s="39">
        <f t="shared" ca="1" si="476"/>
        <v>3.9426387745193636E-2</v>
      </c>
      <c r="W4216" s="48">
        <f t="shared" ca="1" si="477"/>
        <v>0.36840885168333282</v>
      </c>
    </row>
    <row r="4217" spans="17:23" x14ac:dyDescent="0.2">
      <c r="Q4217">
        <f t="shared" si="478"/>
        <v>4201</v>
      </c>
      <c r="R4217" s="48">
        <f t="shared" ca="1" si="479"/>
        <v>0.217</v>
      </c>
      <c r="S4217">
        <f t="shared" ca="1" si="480"/>
        <v>179.70985624840165</v>
      </c>
      <c r="T4217" s="61">
        <f t="shared" ref="T4217:T4280" ca="1" si="481">($B$8-$B$7)*($E$6*R4217)</f>
        <v>10416</v>
      </c>
      <c r="U4217" s="61">
        <f t="shared" ref="U4217:U4280" ca="1" si="482">T4217+((S4217-$B$7)*($E$6*(1-R4217)))</f>
        <v>3970.2539539987938</v>
      </c>
      <c r="V4217" s="39">
        <f t="shared" ref="V4217:V4280" ca="1" si="483">U4217/$E$4</f>
        <v>2.6120091802623643E-2</v>
      </c>
      <c r="W4217" s="48">
        <f t="shared" ref="W4217:W4280" ca="1" si="484">(1+V4217)^($J$29/$J$30)-1</f>
        <v>0.23262160084270733</v>
      </c>
    </row>
    <row r="4218" spans="17:23" x14ac:dyDescent="0.2">
      <c r="Q4218">
        <f t="shared" si="478"/>
        <v>4202</v>
      </c>
      <c r="R4218" s="48">
        <f t="shared" ca="1" si="479"/>
        <v>0.15</v>
      </c>
      <c r="S4218">
        <f t="shared" ca="1" si="480"/>
        <v>178.12249751492934</v>
      </c>
      <c r="T4218" s="61">
        <f t="shared" ca="1" si="481"/>
        <v>7200</v>
      </c>
      <c r="U4218" s="61">
        <f t="shared" ca="1" si="482"/>
        <v>-876.7016898480515</v>
      </c>
      <c r="V4218" s="39">
        <f t="shared" ca="1" si="483"/>
        <v>-5.7677742753161282E-3</v>
      </c>
      <c r="W4218" s="48">
        <f t="shared" ca="1" si="484"/>
        <v>-4.5834837401981243E-2</v>
      </c>
    </row>
    <row r="4219" spans="17:23" x14ac:dyDescent="0.2">
      <c r="Q4219">
        <f t="shared" si="478"/>
        <v>4203</v>
      </c>
      <c r="R4219" s="48">
        <f t="shared" ca="1" si="479"/>
        <v>0.45</v>
      </c>
      <c r="S4219">
        <f t="shared" ca="1" si="480"/>
        <v>179.66498409985056</v>
      </c>
      <c r="T4219" s="61">
        <f t="shared" ca="1" si="481"/>
        <v>21600</v>
      </c>
      <c r="U4219" s="61">
        <f t="shared" ca="1" si="482"/>
        <v>17052.593003934246</v>
      </c>
      <c r="V4219" s="39">
        <f t="shared" ca="1" si="483"/>
        <v>0.11218811186798845</v>
      </c>
      <c r="W4219" s="48">
        <f t="shared" ca="1" si="484"/>
        <v>1.3689555145337806</v>
      </c>
    </row>
    <row r="4220" spans="17:23" x14ac:dyDescent="0.2">
      <c r="Q4220">
        <f t="shared" si="478"/>
        <v>4204</v>
      </c>
      <c r="R4220" s="48">
        <f t="shared" ca="1" si="479"/>
        <v>0.217</v>
      </c>
      <c r="S4220">
        <f t="shared" ca="1" si="480"/>
        <v>203.43111243511206</v>
      </c>
      <c r="T4220" s="61">
        <f t="shared" ca="1" si="481"/>
        <v>10416</v>
      </c>
      <c r="U4220" s="61">
        <f t="shared" ca="1" si="482"/>
        <v>18829.24882935419</v>
      </c>
      <c r="V4220" s="39">
        <f t="shared" ca="1" si="483"/>
        <v>0.12387663703522493</v>
      </c>
      <c r="W4220" s="48">
        <f t="shared" ca="1" si="484"/>
        <v>1.5786033998187516</v>
      </c>
    </row>
    <row r="4221" spans="17:23" x14ac:dyDescent="0.2">
      <c r="Q4221">
        <f t="shared" si="478"/>
        <v>4205</v>
      </c>
      <c r="R4221" s="48">
        <f t="shared" ca="1" si="479"/>
        <v>0.4</v>
      </c>
      <c r="S4221">
        <f t="shared" ca="1" si="480"/>
        <v>185.27633490298271</v>
      </c>
      <c r="T4221" s="61">
        <f t="shared" ca="1" si="481"/>
        <v>19200</v>
      </c>
      <c r="U4221" s="61">
        <f t="shared" ca="1" si="482"/>
        <v>16932.6407534317</v>
      </c>
      <c r="V4221" s="39">
        <f t="shared" ca="1" si="483"/>
        <v>0.11139895232520855</v>
      </c>
      <c r="W4221" s="48">
        <f t="shared" ca="1" si="484"/>
        <v>1.3553558449984902</v>
      </c>
    </row>
    <row r="4222" spans="17:23" x14ac:dyDescent="0.2">
      <c r="Q4222">
        <f t="shared" si="478"/>
        <v>4206</v>
      </c>
      <c r="R4222" s="48">
        <f t="shared" ca="1" si="479"/>
        <v>0.45</v>
      </c>
      <c r="S4222">
        <f t="shared" ca="1" si="480"/>
        <v>191.12835737692296</v>
      </c>
      <c r="T4222" s="61">
        <f t="shared" ca="1" si="481"/>
        <v>21600</v>
      </c>
      <c r="U4222" s="61">
        <f t="shared" ca="1" si="482"/>
        <v>22096.477245846105</v>
      </c>
      <c r="V4222" s="39">
        <f t="shared" ca="1" si="483"/>
        <v>0.1453715608279349</v>
      </c>
      <c r="W4222" s="48">
        <f t="shared" ca="1" si="484"/>
        <v>2.0069123150022978</v>
      </c>
    </row>
    <row r="4223" spans="17:23" x14ac:dyDescent="0.2">
      <c r="Q4223">
        <f t="shared" si="478"/>
        <v>4207</v>
      </c>
      <c r="R4223" s="48">
        <f t="shared" ca="1" si="479"/>
        <v>0.3</v>
      </c>
      <c r="S4223">
        <f t="shared" ca="1" si="480"/>
        <v>147.72778176843389</v>
      </c>
      <c r="T4223" s="61">
        <f t="shared" ca="1" si="481"/>
        <v>14400</v>
      </c>
      <c r="U4223" s="61">
        <f t="shared" ca="1" si="482"/>
        <v>-9272.4422096770249</v>
      </c>
      <c r="V4223" s="39">
        <f t="shared" ca="1" si="483"/>
        <v>-6.1002909274190956E-2</v>
      </c>
      <c r="W4223" s="48">
        <f t="shared" ca="1" si="484"/>
        <v>-0.39982670454906799</v>
      </c>
    </row>
    <row r="4224" spans="17:23" x14ac:dyDescent="0.2">
      <c r="Q4224">
        <f t="shared" si="478"/>
        <v>4208</v>
      </c>
      <c r="R4224" s="48">
        <f t="shared" ca="1" si="479"/>
        <v>0.3</v>
      </c>
      <c r="S4224">
        <f t="shared" ca="1" si="480"/>
        <v>177.42338168406999</v>
      </c>
      <c r="T4224" s="61">
        <f t="shared" ca="1" si="481"/>
        <v>14400</v>
      </c>
      <c r="U4224" s="61">
        <f t="shared" ca="1" si="482"/>
        <v>7357.0937430791964</v>
      </c>
      <c r="V4224" s="39">
        <f t="shared" ca="1" si="483"/>
        <v>4.8401932520257873E-2</v>
      </c>
      <c r="W4224" s="48">
        <f t="shared" ca="1" si="484"/>
        <v>0.46724747422659307</v>
      </c>
    </row>
    <row r="4225" spans="17:23" x14ac:dyDescent="0.2">
      <c r="Q4225">
        <f t="shared" si="478"/>
        <v>4209</v>
      </c>
      <c r="R4225" s="48">
        <f t="shared" ca="1" si="479"/>
        <v>0.35</v>
      </c>
      <c r="S4225">
        <f t="shared" ca="1" si="480"/>
        <v>171.81677756644686</v>
      </c>
      <c r="T4225" s="61">
        <f t="shared" ca="1" si="481"/>
        <v>16800</v>
      </c>
      <c r="U4225" s="61">
        <f t="shared" ca="1" si="482"/>
        <v>7344.7243345523675</v>
      </c>
      <c r="V4225" s="39">
        <f t="shared" ca="1" si="483"/>
        <v>4.8320554832581367E-2</v>
      </c>
      <c r="W4225" s="48">
        <f t="shared" ca="1" si="484"/>
        <v>0.46632396466227166</v>
      </c>
    </row>
    <row r="4226" spans="17:23" x14ac:dyDescent="0.2">
      <c r="Q4226">
        <f t="shared" si="478"/>
        <v>4210</v>
      </c>
      <c r="R4226" s="48">
        <f t="shared" ca="1" si="479"/>
        <v>0.35</v>
      </c>
      <c r="S4226">
        <f t="shared" ca="1" si="480"/>
        <v>177.09561315913129</v>
      </c>
      <c r="T4226" s="61">
        <f t="shared" ca="1" si="481"/>
        <v>16800</v>
      </c>
      <c r="U4226" s="61">
        <f t="shared" ca="1" si="482"/>
        <v>10089.718842748271</v>
      </c>
      <c r="V4226" s="39">
        <f t="shared" ca="1" si="483"/>
        <v>6.6379729228607048E-2</v>
      </c>
      <c r="W4226" s="48">
        <f t="shared" ca="1" si="484"/>
        <v>0.68421049032983983</v>
      </c>
    </row>
    <row r="4227" spans="17:23" x14ac:dyDescent="0.2">
      <c r="Q4227">
        <f t="shared" si="478"/>
        <v>4211</v>
      </c>
      <c r="R4227" s="48">
        <f t="shared" ca="1" si="479"/>
        <v>0.3</v>
      </c>
      <c r="S4227">
        <f t="shared" ca="1" si="480"/>
        <v>194.70117159823627</v>
      </c>
      <c r="T4227" s="61">
        <f t="shared" ca="1" si="481"/>
        <v>14400</v>
      </c>
      <c r="U4227" s="61">
        <f t="shared" ca="1" si="482"/>
        <v>17032.656095012313</v>
      </c>
      <c r="V4227" s="39">
        <f t="shared" ca="1" si="483"/>
        <v>0.11205694799350206</v>
      </c>
      <c r="W4227" s="48">
        <f t="shared" ca="1" si="484"/>
        <v>1.3666903949104801</v>
      </c>
    </row>
    <row r="4228" spans="17:23" x14ac:dyDescent="0.2">
      <c r="Q4228">
        <f t="shared" si="478"/>
        <v>4212</v>
      </c>
      <c r="R4228" s="48">
        <f t="shared" ca="1" si="479"/>
        <v>0.3</v>
      </c>
      <c r="S4228">
        <f t="shared" ca="1" si="480"/>
        <v>187.28351619307969</v>
      </c>
      <c r="T4228" s="61">
        <f t="shared" ca="1" si="481"/>
        <v>14400</v>
      </c>
      <c r="U4228" s="61">
        <f t="shared" ca="1" si="482"/>
        <v>12878.769068124628</v>
      </c>
      <c r="V4228" s="39">
        <f t="shared" ca="1" si="483"/>
        <v>8.4728743869240966E-2</v>
      </c>
      <c r="W4228" s="48">
        <f t="shared" ca="1" si="484"/>
        <v>0.93416606959898374</v>
      </c>
    </row>
    <row r="4229" spans="17:23" x14ac:dyDescent="0.2">
      <c r="Q4229">
        <f t="shared" si="478"/>
        <v>4213</v>
      </c>
      <c r="R4229" s="48">
        <f t="shared" ca="1" si="479"/>
        <v>0.4</v>
      </c>
      <c r="S4229">
        <f t="shared" ca="1" si="480"/>
        <v>204.8497347668023</v>
      </c>
      <c r="T4229" s="61">
        <f t="shared" ca="1" si="481"/>
        <v>19200</v>
      </c>
      <c r="U4229" s="61">
        <f t="shared" ca="1" si="482"/>
        <v>26327.872688065105</v>
      </c>
      <c r="V4229" s="39">
        <f t="shared" ca="1" si="483"/>
        <v>0.17320968873727044</v>
      </c>
      <c r="W4229" s="48">
        <f t="shared" ca="1" si="484"/>
        <v>2.6535371815409823</v>
      </c>
    </row>
    <row r="4230" spans="17:23" x14ac:dyDescent="0.2">
      <c r="Q4230">
        <f t="shared" si="478"/>
        <v>4214</v>
      </c>
      <c r="R4230" s="48">
        <f t="shared" ca="1" si="479"/>
        <v>0.35</v>
      </c>
      <c r="S4230">
        <f t="shared" ca="1" si="480"/>
        <v>189.02590323243584</v>
      </c>
      <c r="T4230" s="61">
        <f t="shared" ca="1" si="481"/>
        <v>16800</v>
      </c>
      <c r="U4230" s="61">
        <f t="shared" ca="1" si="482"/>
        <v>16293.469680866636</v>
      </c>
      <c r="V4230" s="39">
        <f t="shared" ca="1" si="483"/>
        <v>0.10719387947938576</v>
      </c>
      <c r="W4230" s="48">
        <f t="shared" ca="1" si="484"/>
        <v>1.2840370933273197</v>
      </c>
    </row>
    <row r="4231" spans="17:23" x14ac:dyDescent="0.2">
      <c r="Q4231">
        <f t="shared" si="478"/>
        <v>4215</v>
      </c>
      <c r="R4231" s="48">
        <f t="shared" ca="1" si="479"/>
        <v>0.3</v>
      </c>
      <c r="S4231">
        <f t="shared" ca="1" si="480"/>
        <v>147.7711811275052</v>
      </c>
      <c r="T4231" s="61">
        <f t="shared" ca="1" si="481"/>
        <v>14400</v>
      </c>
      <c r="U4231" s="61">
        <f t="shared" ca="1" si="482"/>
        <v>-9248.138568597089</v>
      </c>
      <c r="V4231" s="39">
        <f t="shared" ca="1" si="483"/>
        <v>-6.0843016898665059E-2</v>
      </c>
      <c r="W4231" s="48">
        <f t="shared" ca="1" si="484"/>
        <v>-0.3989972674103559</v>
      </c>
    </row>
    <row r="4232" spans="17:23" x14ac:dyDescent="0.2">
      <c r="Q4232">
        <f t="shared" si="478"/>
        <v>4216</v>
      </c>
      <c r="R4232" s="48">
        <f t="shared" ca="1" si="479"/>
        <v>0.217</v>
      </c>
      <c r="S4232">
        <f t="shared" ca="1" si="480"/>
        <v>184.0245797344943</v>
      </c>
      <c r="T4232" s="61">
        <f t="shared" ca="1" si="481"/>
        <v>10416</v>
      </c>
      <c r="U4232" s="61">
        <f t="shared" ca="1" si="482"/>
        <v>6672.9967456872273</v>
      </c>
      <c r="V4232" s="39">
        <f t="shared" ca="1" si="483"/>
        <v>4.3901294379521234E-2</v>
      </c>
      <c r="W4232" s="48">
        <f t="shared" ca="1" si="484"/>
        <v>0.41693118713817445</v>
      </c>
    </row>
    <row r="4233" spans="17:23" x14ac:dyDescent="0.2">
      <c r="Q4233">
        <f t="shared" si="478"/>
        <v>4217</v>
      </c>
      <c r="R4233" s="48">
        <f t="shared" ca="1" si="479"/>
        <v>0.4</v>
      </c>
      <c r="S4233">
        <f t="shared" ca="1" si="480"/>
        <v>171.05272180006438</v>
      </c>
      <c r="T4233" s="61">
        <f t="shared" ca="1" si="481"/>
        <v>19200</v>
      </c>
      <c r="U4233" s="61">
        <f t="shared" ca="1" si="482"/>
        <v>10105.3064640309</v>
      </c>
      <c r="V4233" s="39">
        <f t="shared" ca="1" si="483"/>
        <v>6.6482279368624345E-2</v>
      </c>
      <c r="W4233" s="48">
        <f t="shared" ca="1" si="484"/>
        <v>0.68552465441940957</v>
      </c>
    </row>
    <row r="4234" spans="17:23" x14ac:dyDescent="0.2">
      <c r="Q4234">
        <f t="shared" si="478"/>
        <v>4218</v>
      </c>
      <c r="R4234" s="48">
        <f t="shared" ca="1" si="479"/>
        <v>0.4</v>
      </c>
      <c r="S4234">
        <f t="shared" ca="1" si="480"/>
        <v>208.20163408264307</v>
      </c>
      <c r="T4234" s="61">
        <f t="shared" ca="1" si="481"/>
        <v>19200</v>
      </c>
      <c r="U4234" s="61">
        <f t="shared" ca="1" si="482"/>
        <v>27936.784359668673</v>
      </c>
      <c r="V4234" s="39">
        <f t="shared" ca="1" si="483"/>
        <v>0.18379463394518863</v>
      </c>
      <c r="W4234" s="48">
        <f t="shared" ca="1" si="484"/>
        <v>2.9296398988859478</v>
      </c>
    </row>
    <row r="4235" spans="17:23" x14ac:dyDescent="0.2">
      <c r="Q4235">
        <f t="shared" si="478"/>
        <v>4219</v>
      </c>
      <c r="R4235" s="48">
        <f t="shared" ca="1" si="479"/>
        <v>0.45</v>
      </c>
      <c r="S4235">
        <f t="shared" ca="1" si="480"/>
        <v>212.81362764855572</v>
      </c>
      <c r="T4235" s="61">
        <f t="shared" ca="1" si="481"/>
        <v>21600</v>
      </c>
      <c r="U4235" s="61">
        <f t="shared" ca="1" si="482"/>
        <v>31637.996165364519</v>
      </c>
      <c r="V4235" s="39">
        <f t="shared" ca="1" si="483"/>
        <v>0.20814471161424025</v>
      </c>
      <c r="W4235" s="48">
        <f t="shared" ca="1" si="484"/>
        <v>3.6352801372748909</v>
      </c>
    </row>
    <row r="4236" spans="17:23" x14ac:dyDescent="0.2">
      <c r="Q4236">
        <f t="shared" si="478"/>
        <v>4220</v>
      </c>
      <c r="R4236" s="48">
        <f t="shared" ca="1" si="479"/>
        <v>0.45</v>
      </c>
      <c r="S4236">
        <f t="shared" ca="1" si="480"/>
        <v>205.33792191393229</v>
      </c>
      <c r="T4236" s="61">
        <f t="shared" ca="1" si="481"/>
        <v>21600</v>
      </c>
      <c r="U4236" s="61">
        <f t="shared" ca="1" si="482"/>
        <v>28348.685642130207</v>
      </c>
      <c r="V4236" s="39">
        <f t="shared" ca="1" si="483"/>
        <v>0.1865045108034882</v>
      </c>
      <c r="W4236" s="48">
        <f t="shared" ca="1" si="484"/>
        <v>3.0032001470131791</v>
      </c>
    </row>
    <row r="4237" spans="17:23" x14ac:dyDescent="0.2">
      <c r="Q4237">
        <f t="shared" si="478"/>
        <v>4221</v>
      </c>
      <c r="R4237" s="48">
        <f t="shared" ca="1" si="479"/>
        <v>0.5</v>
      </c>
      <c r="S4237">
        <f t="shared" ca="1" si="480"/>
        <v>186.53002289985716</v>
      </c>
      <c r="T4237" s="61">
        <f t="shared" ca="1" si="481"/>
        <v>24000</v>
      </c>
      <c r="U4237" s="61">
        <f t="shared" ca="1" si="482"/>
        <v>22612.009159942863</v>
      </c>
      <c r="V4237" s="39">
        <f t="shared" ca="1" si="483"/>
        <v>0.14876321815751883</v>
      </c>
      <c r="W4237" s="48">
        <f t="shared" ca="1" si="484"/>
        <v>2.0798988452813565</v>
      </c>
    </row>
    <row r="4238" spans="17:23" x14ac:dyDescent="0.2">
      <c r="Q4238">
        <f t="shared" si="478"/>
        <v>4222</v>
      </c>
      <c r="R4238" s="48">
        <f t="shared" ca="1" si="479"/>
        <v>0.217</v>
      </c>
      <c r="S4238">
        <f t="shared" ca="1" si="480"/>
        <v>205.40072699059908</v>
      </c>
      <c r="T4238" s="61">
        <f t="shared" ca="1" si="481"/>
        <v>10416</v>
      </c>
      <c r="U4238" s="61">
        <f t="shared" ca="1" si="482"/>
        <v>20063.015386911266</v>
      </c>
      <c r="V4238" s="39">
        <f t="shared" ca="1" si="483"/>
        <v>0.13199352228231095</v>
      </c>
      <c r="W4238" s="48">
        <f t="shared" ca="1" si="484"/>
        <v>1.7335951383783703</v>
      </c>
    </row>
    <row r="4239" spans="17:23" x14ac:dyDescent="0.2">
      <c r="Q4239">
        <f t="shared" si="478"/>
        <v>4223</v>
      </c>
      <c r="R4239" s="48">
        <f t="shared" ca="1" si="479"/>
        <v>0.35</v>
      </c>
      <c r="S4239">
        <f t="shared" ca="1" si="480"/>
        <v>193.13596139603791</v>
      </c>
      <c r="T4239" s="61">
        <f t="shared" ca="1" si="481"/>
        <v>16800</v>
      </c>
      <c r="U4239" s="61">
        <f t="shared" ca="1" si="482"/>
        <v>18430.699925939716</v>
      </c>
      <c r="V4239" s="39">
        <f t="shared" ca="1" si="483"/>
        <v>0.12125460477591919</v>
      </c>
      <c r="W4239" s="48">
        <f t="shared" ca="1" si="484"/>
        <v>1.5302102470642263</v>
      </c>
    </row>
    <row r="4240" spans="17:23" x14ac:dyDescent="0.2">
      <c r="Q4240">
        <f t="shared" si="478"/>
        <v>4224</v>
      </c>
      <c r="R4240" s="48">
        <f t="shared" ca="1" si="479"/>
        <v>0.4</v>
      </c>
      <c r="S4240">
        <f t="shared" ca="1" si="480"/>
        <v>183.53979819212213</v>
      </c>
      <c r="T4240" s="61">
        <f t="shared" ca="1" si="481"/>
        <v>19200</v>
      </c>
      <c r="U4240" s="61">
        <f t="shared" ca="1" si="482"/>
        <v>16099.103132218625</v>
      </c>
      <c r="V4240" s="39">
        <f t="shared" ca="1" si="483"/>
        <v>0.10591515218564884</v>
      </c>
      <c r="W4240" s="48">
        <f t="shared" ca="1" si="484"/>
        <v>1.2627284937565193</v>
      </c>
    </row>
    <row r="4241" spans="17:23" x14ac:dyDescent="0.2">
      <c r="Q4241">
        <f t="shared" si="478"/>
        <v>4225</v>
      </c>
      <c r="R4241" s="48">
        <f t="shared" ca="1" si="479"/>
        <v>0.217</v>
      </c>
      <c r="S4241">
        <f t="shared" ca="1" si="480"/>
        <v>228.38477490575647</v>
      </c>
      <c r="T4241" s="61">
        <f t="shared" ca="1" si="481"/>
        <v>10416</v>
      </c>
      <c r="U4241" s="61">
        <f t="shared" ca="1" si="482"/>
        <v>34460.223000965852</v>
      </c>
      <c r="V4241" s="39">
        <f t="shared" ca="1" si="483"/>
        <v>0.22671199342740692</v>
      </c>
      <c r="W4241" s="48">
        <f t="shared" ca="1" si="484"/>
        <v>4.2456725948471643</v>
      </c>
    </row>
    <row r="4242" spans="17:23" x14ac:dyDescent="0.2">
      <c r="Q4242">
        <f t="shared" si="478"/>
        <v>4226</v>
      </c>
      <c r="R4242" s="48">
        <f t="shared" ca="1" si="479"/>
        <v>0.4</v>
      </c>
      <c r="S4242">
        <f t="shared" ca="1" si="480"/>
        <v>186.51100221277088</v>
      </c>
      <c r="T4242" s="61">
        <f t="shared" ca="1" si="481"/>
        <v>19200</v>
      </c>
      <c r="U4242" s="61">
        <f t="shared" ca="1" si="482"/>
        <v>17525.28106213002</v>
      </c>
      <c r="V4242" s="39">
        <f t="shared" ca="1" si="483"/>
        <v>0.1152979017245396</v>
      </c>
      <c r="W4242" s="48">
        <f t="shared" ca="1" si="484"/>
        <v>1.4232193874822139</v>
      </c>
    </row>
    <row r="4243" spans="17:23" x14ac:dyDescent="0.2">
      <c r="Q4243">
        <f t="shared" ref="Q4243:Q4306" si="485">Q4242+1</f>
        <v>4227</v>
      </c>
      <c r="R4243" s="48">
        <f t="shared" ref="R4243:R4306" ca="1" si="486">LOOKUP(RAND(),$U$6:$U$12,$S$6:$S$12)</f>
        <v>0.35</v>
      </c>
      <c r="S4243">
        <f t="shared" ref="S4243:S4306" ca="1" si="487">_xlfn.NORM.INV(RAND(),$Q$5,$Q$10)</f>
        <v>185.7446978501016</v>
      </c>
      <c r="T4243" s="61">
        <f t="shared" ca="1" si="481"/>
        <v>16800</v>
      </c>
      <c r="U4243" s="61">
        <f t="shared" ca="1" si="482"/>
        <v>14587.242882052833</v>
      </c>
      <c r="V4243" s="39">
        <f t="shared" ca="1" si="483"/>
        <v>9.5968703171400216E-2</v>
      </c>
      <c r="W4243" s="48">
        <f t="shared" ca="1" si="484"/>
        <v>1.1028448768975676</v>
      </c>
    </row>
    <row r="4244" spans="17:23" x14ac:dyDescent="0.2">
      <c r="Q4244">
        <f t="shared" si="485"/>
        <v>4228</v>
      </c>
      <c r="R4244" s="48">
        <f t="shared" ca="1" si="486"/>
        <v>0.3</v>
      </c>
      <c r="S4244">
        <f t="shared" ca="1" si="487"/>
        <v>219.9572722661471</v>
      </c>
      <c r="T4244" s="61">
        <f t="shared" ca="1" si="481"/>
        <v>14400</v>
      </c>
      <c r="U4244" s="61">
        <f t="shared" ca="1" si="482"/>
        <v>31176.072469042378</v>
      </c>
      <c r="V4244" s="39">
        <f t="shared" ca="1" si="483"/>
        <v>0.20510573992791037</v>
      </c>
      <c r="W4244" s="48">
        <f t="shared" ca="1" si="484"/>
        <v>3.5415493217080458</v>
      </c>
    </row>
    <row r="4245" spans="17:23" x14ac:dyDescent="0.2">
      <c r="Q4245">
        <f t="shared" si="485"/>
        <v>4229</v>
      </c>
      <c r="R4245" s="48">
        <f t="shared" ca="1" si="486"/>
        <v>0.3</v>
      </c>
      <c r="S4245">
        <f t="shared" ca="1" si="487"/>
        <v>171.72606509206344</v>
      </c>
      <c r="T4245" s="61">
        <f t="shared" ca="1" si="481"/>
        <v>14400</v>
      </c>
      <c r="U4245" s="61">
        <f t="shared" ca="1" si="482"/>
        <v>4166.5964515555243</v>
      </c>
      <c r="V4245" s="39">
        <f t="shared" ca="1" si="483"/>
        <v>2.7411818760233714E-2</v>
      </c>
      <c r="W4245" s="48">
        <f t="shared" ca="1" si="484"/>
        <v>0.24526393155097193</v>
      </c>
    </row>
    <row r="4246" spans="17:23" x14ac:dyDescent="0.2">
      <c r="Q4246">
        <f t="shared" si="485"/>
        <v>4230</v>
      </c>
      <c r="R4246" s="48">
        <f t="shared" ca="1" si="486"/>
        <v>0.3</v>
      </c>
      <c r="S4246">
        <f t="shared" ca="1" si="487"/>
        <v>158.71543854998768</v>
      </c>
      <c r="T4246" s="61">
        <f t="shared" ca="1" si="481"/>
        <v>14400</v>
      </c>
      <c r="U4246" s="61">
        <f t="shared" ca="1" si="482"/>
        <v>-3119.3544120068982</v>
      </c>
      <c r="V4246" s="39">
        <f t="shared" ca="1" si="483"/>
        <v>-2.0522068500045385E-2</v>
      </c>
      <c r="W4246" s="48">
        <f t="shared" ca="1" si="484"/>
        <v>-0.15480552507244505</v>
      </c>
    </row>
    <row r="4247" spans="17:23" x14ac:dyDescent="0.2">
      <c r="Q4247">
        <f t="shared" si="485"/>
        <v>4231</v>
      </c>
      <c r="R4247" s="48">
        <f t="shared" ca="1" si="486"/>
        <v>0.4</v>
      </c>
      <c r="S4247">
        <f t="shared" ca="1" si="487"/>
        <v>161.68271102985784</v>
      </c>
      <c r="T4247" s="61">
        <f t="shared" ca="1" si="481"/>
        <v>19200</v>
      </c>
      <c r="U4247" s="61">
        <f t="shared" ca="1" si="482"/>
        <v>5607.7012943317641</v>
      </c>
      <c r="V4247" s="39">
        <f t="shared" ca="1" si="483"/>
        <v>3.6892771673235292E-2</v>
      </c>
      <c r="W4247" s="48">
        <f t="shared" ca="1" si="484"/>
        <v>0.34158743122828761</v>
      </c>
    </row>
    <row r="4248" spans="17:23" x14ac:dyDescent="0.2">
      <c r="Q4248">
        <f t="shared" si="485"/>
        <v>4232</v>
      </c>
      <c r="R4248" s="48">
        <f t="shared" ca="1" si="486"/>
        <v>0.35</v>
      </c>
      <c r="S4248">
        <f t="shared" ca="1" si="487"/>
        <v>194.8998200237935</v>
      </c>
      <c r="T4248" s="61">
        <f t="shared" ca="1" si="481"/>
        <v>16800</v>
      </c>
      <c r="U4248" s="61">
        <f t="shared" ca="1" si="482"/>
        <v>19347.906412372617</v>
      </c>
      <c r="V4248" s="39">
        <f t="shared" ca="1" si="483"/>
        <v>0.12728885797613562</v>
      </c>
      <c r="W4248" s="48">
        <f t="shared" ca="1" si="484"/>
        <v>1.642794573872401</v>
      </c>
    </row>
    <row r="4249" spans="17:23" x14ac:dyDescent="0.2">
      <c r="Q4249">
        <f t="shared" si="485"/>
        <v>4233</v>
      </c>
      <c r="R4249" s="48">
        <f t="shared" ca="1" si="486"/>
        <v>0.35</v>
      </c>
      <c r="S4249">
        <f t="shared" ca="1" si="487"/>
        <v>177.31242736279827</v>
      </c>
      <c r="T4249" s="61">
        <f t="shared" ca="1" si="481"/>
        <v>16800</v>
      </c>
      <c r="U4249" s="61">
        <f t="shared" ca="1" si="482"/>
        <v>10202.462228655102</v>
      </c>
      <c r="V4249" s="39">
        <f t="shared" ca="1" si="483"/>
        <v>6.7121462030625675E-2</v>
      </c>
      <c r="W4249" s="48">
        <f t="shared" ca="1" si="484"/>
        <v>0.69373596384476421</v>
      </c>
    </row>
    <row r="4250" spans="17:23" x14ac:dyDescent="0.2">
      <c r="Q4250">
        <f t="shared" si="485"/>
        <v>4234</v>
      </c>
      <c r="R4250" s="48">
        <f t="shared" ca="1" si="486"/>
        <v>0.3</v>
      </c>
      <c r="S4250">
        <f t="shared" ca="1" si="487"/>
        <v>185.58152183513428</v>
      </c>
      <c r="T4250" s="61">
        <f t="shared" ca="1" si="481"/>
        <v>14400</v>
      </c>
      <c r="U4250" s="61">
        <f t="shared" ca="1" si="482"/>
        <v>11925.652227675198</v>
      </c>
      <c r="V4250" s="39">
        <f t="shared" ca="1" si="483"/>
        <v>7.8458238339968414E-2</v>
      </c>
      <c r="W4250" s="48">
        <f t="shared" ca="1" si="484"/>
        <v>0.84531908606798445</v>
      </c>
    </row>
    <row r="4251" spans="17:23" x14ac:dyDescent="0.2">
      <c r="Q4251">
        <f t="shared" si="485"/>
        <v>4235</v>
      </c>
      <c r="R4251" s="48">
        <f t="shared" ca="1" si="486"/>
        <v>0.5</v>
      </c>
      <c r="S4251">
        <f t="shared" ca="1" si="487"/>
        <v>176.54817476182268</v>
      </c>
      <c r="T4251" s="61">
        <f t="shared" ca="1" si="481"/>
        <v>24000</v>
      </c>
      <c r="U4251" s="61">
        <f t="shared" ca="1" si="482"/>
        <v>18619.269904729073</v>
      </c>
      <c r="V4251" s="39">
        <f t="shared" ca="1" si="483"/>
        <v>0.12249519674163864</v>
      </c>
      <c r="W4251" s="48">
        <f t="shared" ca="1" si="484"/>
        <v>1.5530068786538198</v>
      </c>
    </row>
    <row r="4252" spans="17:23" x14ac:dyDescent="0.2">
      <c r="Q4252">
        <f t="shared" si="485"/>
        <v>4236</v>
      </c>
      <c r="R4252" s="48">
        <f t="shared" ca="1" si="486"/>
        <v>0.35</v>
      </c>
      <c r="S4252">
        <f t="shared" ca="1" si="487"/>
        <v>214.17016510856939</v>
      </c>
      <c r="T4252" s="61">
        <f t="shared" ca="1" si="481"/>
        <v>16800</v>
      </c>
      <c r="U4252" s="61">
        <f t="shared" ca="1" si="482"/>
        <v>29368.485856456085</v>
      </c>
      <c r="V4252" s="39">
        <f t="shared" ca="1" si="483"/>
        <v>0.19321372273984266</v>
      </c>
      <c r="W4252" s="48">
        <f t="shared" ca="1" si="484"/>
        <v>3.1905416736717322</v>
      </c>
    </row>
    <row r="4253" spans="17:23" x14ac:dyDescent="0.2">
      <c r="Q4253">
        <f t="shared" si="485"/>
        <v>4237</v>
      </c>
      <c r="R4253" s="48">
        <f t="shared" ca="1" si="486"/>
        <v>0.3</v>
      </c>
      <c r="S4253">
        <f t="shared" ca="1" si="487"/>
        <v>197.17821770252843</v>
      </c>
      <c r="T4253" s="61">
        <f t="shared" ca="1" si="481"/>
        <v>14400</v>
      </c>
      <c r="U4253" s="61">
        <f t="shared" ca="1" si="482"/>
        <v>18419.801913415919</v>
      </c>
      <c r="V4253" s="39">
        <f t="shared" ca="1" si="483"/>
        <v>0.12118290732510473</v>
      </c>
      <c r="W4253" s="48">
        <f t="shared" ca="1" si="484"/>
        <v>1.5288982353939753</v>
      </c>
    </row>
    <row r="4254" spans="17:23" x14ac:dyDescent="0.2">
      <c r="Q4254">
        <f t="shared" si="485"/>
        <v>4238</v>
      </c>
      <c r="R4254" s="48">
        <f t="shared" ca="1" si="486"/>
        <v>0.45</v>
      </c>
      <c r="S4254">
        <f t="shared" ca="1" si="487"/>
        <v>194.39668849339489</v>
      </c>
      <c r="T4254" s="61">
        <f t="shared" ca="1" si="481"/>
        <v>21600</v>
      </c>
      <c r="U4254" s="61">
        <f t="shared" ca="1" si="482"/>
        <v>23534.542937093753</v>
      </c>
      <c r="V4254" s="39">
        <f t="shared" ca="1" si="483"/>
        <v>0.15483251932298522</v>
      </c>
      <c r="W4254" s="48">
        <f t="shared" ca="1" si="484"/>
        <v>2.214390195391974</v>
      </c>
    </row>
    <row r="4255" spans="17:23" x14ac:dyDescent="0.2">
      <c r="Q4255">
        <f t="shared" si="485"/>
        <v>4239</v>
      </c>
      <c r="R4255" s="48">
        <f t="shared" ca="1" si="486"/>
        <v>0.4</v>
      </c>
      <c r="S4255">
        <f t="shared" ca="1" si="487"/>
        <v>230.4464993973387</v>
      </c>
      <c r="T4255" s="61">
        <f t="shared" ca="1" si="481"/>
        <v>19200</v>
      </c>
      <c r="U4255" s="61">
        <f t="shared" ca="1" si="482"/>
        <v>38614.319710722571</v>
      </c>
      <c r="V4255" s="39">
        <f t="shared" ca="1" si="483"/>
        <v>0.25404157704422742</v>
      </c>
      <c r="W4255" s="48">
        <f t="shared" ca="1" si="484"/>
        <v>5.2721874994175479</v>
      </c>
    </row>
    <row r="4256" spans="17:23" x14ac:dyDescent="0.2">
      <c r="Q4256">
        <f t="shared" si="485"/>
        <v>4240</v>
      </c>
      <c r="R4256" s="48">
        <f t="shared" ca="1" si="486"/>
        <v>0.217</v>
      </c>
      <c r="S4256">
        <f t="shared" ca="1" si="487"/>
        <v>161.59742927666326</v>
      </c>
      <c r="T4256" s="61">
        <f t="shared" ca="1" si="481"/>
        <v>10416</v>
      </c>
      <c r="U4256" s="61">
        <f t="shared" ca="1" si="482"/>
        <v>-7375.3703010981299</v>
      </c>
      <c r="V4256" s="39">
        <f t="shared" ca="1" si="483"/>
        <v>-4.8522173033540325E-2</v>
      </c>
      <c r="W4256" s="48">
        <f t="shared" ca="1" si="484"/>
        <v>-0.33198036357952843</v>
      </c>
    </row>
    <row r="4257" spans="17:23" x14ac:dyDescent="0.2">
      <c r="Q4257">
        <f t="shared" si="485"/>
        <v>4241</v>
      </c>
      <c r="R4257" s="48">
        <f t="shared" ca="1" si="486"/>
        <v>0.35</v>
      </c>
      <c r="S4257">
        <f t="shared" ca="1" si="487"/>
        <v>178.05287541636562</v>
      </c>
      <c r="T4257" s="61">
        <f t="shared" ca="1" si="481"/>
        <v>16800</v>
      </c>
      <c r="U4257" s="61">
        <f t="shared" ca="1" si="482"/>
        <v>10587.495216510124</v>
      </c>
      <c r="V4257" s="39">
        <f t="shared" ca="1" si="483"/>
        <v>6.9654573792829758E-2</v>
      </c>
      <c r="W4257" s="48">
        <f t="shared" ca="1" si="484"/>
        <v>0.72662372394886798</v>
      </c>
    </row>
    <row r="4258" spans="17:23" x14ac:dyDescent="0.2">
      <c r="Q4258">
        <f t="shared" si="485"/>
        <v>4242</v>
      </c>
      <c r="R4258" s="48">
        <f t="shared" ca="1" si="486"/>
        <v>0.45</v>
      </c>
      <c r="S4258">
        <f t="shared" ca="1" si="487"/>
        <v>167.58401186199703</v>
      </c>
      <c r="T4258" s="61">
        <f t="shared" ca="1" si="481"/>
        <v>21600</v>
      </c>
      <c r="U4258" s="61">
        <f t="shared" ca="1" si="482"/>
        <v>11736.965219278691</v>
      </c>
      <c r="V4258" s="39">
        <f t="shared" ca="1" si="483"/>
        <v>7.721687644262297E-2</v>
      </c>
      <c r="W4258" s="48">
        <f t="shared" ca="1" si="484"/>
        <v>0.82816095316620397</v>
      </c>
    </row>
    <row r="4259" spans="17:23" x14ac:dyDescent="0.2">
      <c r="Q4259">
        <f t="shared" si="485"/>
        <v>4243</v>
      </c>
      <c r="R4259" s="48">
        <f t="shared" ca="1" si="486"/>
        <v>0.3</v>
      </c>
      <c r="S4259">
        <f t="shared" ca="1" si="487"/>
        <v>198.9213562499136</v>
      </c>
      <c r="T4259" s="61">
        <f t="shared" ca="1" si="481"/>
        <v>14400</v>
      </c>
      <c r="U4259" s="61">
        <f t="shared" ca="1" si="482"/>
        <v>19395.959499951616</v>
      </c>
      <c r="V4259" s="39">
        <f t="shared" ca="1" si="483"/>
        <v>0.127604996710208</v>
      </c>
      <c r="W4259" s="48">
        <f t="shared" ca="1" si="484"/>
        <v>1.6488121186448881</v>
      </c>
    </row>
    <row r="4260" spans="17:23" x14ac:dyDescent="0.2">
      <c r="Q4260">
        <f t="shared" si="485"/>
        <v>4244</v>
      </c>
      <c r="R4260" s="48">
        <f t="shared" ca="1" si="486"/>
        <v>0.3</v>
      </c>
      <c r="S4260">
        <f t="shared" ca="1" si="487"/>
        <v>175.45966882607792</v>
      </c>
      <c r="T4260" s="61">
        <f t="shared" ca="1" si="481"/>
        <v>14400</v>
      </c>
      <c r="U4260" s="61">
        <f t="shared" ca="1" si="482"/>
        <v>6257.414542603633</v>
      </c>
      <c r="V4260" s="39">
        <f t="shared" ca="1" si="483"/>
        <v>4.1167200938181797E-2</v>
      </c>
      <c r="W4260" s="48">
        <f t="shared" ca="1" si="484"/>
        <v>0.38710886457160254</v>
      </c>
    </row>
    <row r="4261" spans="17:23" x14ac:dyDescent="0.2">
      <c r="Q4261">
        <f t="shared" si="485"/>
        <v>4245</v>
      </c>
      <c r="R4261" s="48">
        <f t="shared" ca="1" si="486"/>
        <v>0.45</v>
      </c>
      <c r="S4261">
        <f t="shared" ca="1" si="487"/>
        <v>200.41287676210706</v>
      </c>
      <c r="T4261" s="61">
        <f t="shared" ca="1" si="481"/>
        <v>21600</v>
      </c>
      <c r="U4261" s="61">
        <f t="shared" ca="1" si="482"/>
        <v>26181.665775327107</v>
      </c>
      <c r="V4261" s="39">
        <f t="shared" ca="1" si="483"/>
        <v>0.1722478011534678</v>
      </c>
      <c r="W4261" s="48">
        <f t="shared" ca="1" si="484"/>
        <v>2.6293114550405328</v>
      </c>
    </row>
    <row r="4262" spans="17:23" x14ac:dyDescent="0.2">
      <c r="Q4262">
        <f t="shared" si="485"/>
        <v>4246</v>
      </c>
      <c r="R4262" s="48">
        <f t="shared" ca="1" si="486"/>
        <v>0.3</v>
      </c>
      <c r="S4262">
        <f t="shared" ca="1" si="487"/>
        <v>209.53982440041327</v>
      </c>
      <c r="T4262" s="61">
        <f t="shared" ca="1" si="481"/>
        <v>14400</v>
      </c>
      <c r="U4262" s="61">
        <f t="shared" ca="1" si="482"/>
        <v>25342.301664231429</v>
      </c>
      <c r="V4262" s="39">
        <f t="shared" ca="1" si="483"/>
        <v>0.16672566884362783</v>
      </c>
      <c r="W4262" s="48">
        <f t="shared" ca="1" si="484"/>
        <v>2.4929389475964996</v>
      </c>
    </row>
    <row r="4263" spans="17:23" x14ac:dyDescent="0.2">
      <c r="Q4263">
        <f t="shared" si="485"/>
        <v>4247</v>
      </c>
      <c r="R4263" s="48">
        <f t="shared" ca="1" si="486"/>
        <v>0.35</v>
      </c>
      <c r="S4263">
        <f t="shared" ca="1" si="487"/>
        <v>207.90168077545945</v>
      </c>
      <c r="T4263" s="61">
        <f t="shared" ca="1" si="481"/>
        <v>16800</v>
      </c>
      <c r="U4263" s="61">
        <f t="shared" ca="1" si="482"/>
        <v>26108.874003238918</v>
      </c>
      <c r="V4263" s="39">
        <f t="shared" ca="1" si="483"/>
        <v>0.17176890791604552</v>
      </c>
      <c r="W4263" s="48">
        <f t="shared" ca="1" si="484"/>
        <v>2.617302834926583</v>
      </c>
    </row>
    <row r="4264" spans="17:23" x14ac:dyDescent="0.2">
      <c r="Q4264">
        <f t="shared" si="485"/>
        <v>4248</v>
      </c>
      <c r="R4264" s="48">
        <f t="shared" ca="1" si="486"/>
        <v>0.35</v>
      </c>
      <c r="S4264">
        <f t="shared" ca="1" si="487"/>
        <v>227.52025211435483</v>
      </c>
      <c r="T4264" s="61">
        <f t="shared" ca="1" si="481"/>
        <v>16800</v>
      </c>
      <c r="U4264" s="61">
        <f t="shared" ca="1" si="482"/>
        <v>36310.531099464511</v>
      </c>
      <c r="V4264" s="39">
        <f t="shared" ca="1" si="483"/>
        <v>0.23888507302279283</v>
      </c>
      <c r="W4264" s="48">
        <f t="shared" ca="1" si="484"/>
        <v>4.6830953458914513</v>
      </c>
    </row>
    <row r="4265" spans="17:23" x14ac:dyDescent="0.2">
      <c r="Q4265">
        <f t="shared" si="485"/>
        <v>4249</v>
      </c>
      <c r="R4265" s="48">
        <f t="shared" ca="1" si="486"/>
        <v>0.35</v>
      </c>
      <c r="S4265">
        <f t="shared" ca="1" si="487"/>
        <v>210.10088088510372</v>
      </c>
      <c r="T4265" s="61">
        <f t="shared" ca="1" si="481"/>
        <v>16800</v>
      </c>
      <c r="U4265" s="61">
        <f t="shared" ca="1" si="482"/>
        <v>27252.458060253935</v>
      </c>
      <c r="V4265" s="39">
        <f t="shared" ca="1" si="483"/>
        <v>0.17929248723851274</v>
      </c>
      <c r="W4265" s="48">
        <f t="shared" ca="1" si="484"/>
        <v>2.8100458566607567</v>
      </c>
    </row>
    <row r="4266" spans="17:23" x14ac:dyDescent="0.2">
      <c r="Q4266">
        <f t="shared" si="485"/>
        <v>4250</v>
      </c>
      <c r="R4266" s="48">
        <f t="shared" ca="1" si="486"/>
        <v>0.3</v>
      </c>
      <c r="S4266">
        <f t="shared" ca="1" si="487"/>
        <v>175.68121662770091</v>
      </c>
      <c r="T4266" s="61">
        <f t="shared" ca="1" si="481"/>
        <v>14400</v>
      </c>
      <c r="U4266" s="61">
        <f t="shared" ca="1" si="482"/>
        <v>6381.4813115125071</v>
      </c>
      <c r="V4266" s="39">
        <f t="shared" ca="1" si="483"/>
        <v>4.1983429681003333E-2</v>
      </c>
      <c r="W4266" s="48">
        <f t="shared" ca="1" si="484"/>
        <v>0.3959537681009786</v>
      </c>
    </row>
    <row r="4267" spans="17:23" x14ac:dyDescent="0.2">
      <c r="Q4267">
        <f t="shared" si="485"/>
        <v>4251</v>
      </c>
      <c r="R4267" s="48">
        <f t="shared" ca="1" si="486"/>
        <v>0.3</v>
      </c>
      <c r="S4267">
        <f t="shared" ca="1" si="487"/>
        <v>206.219644846514</v>
      </c>
      <c r="T4267" s="61">
        <f t="shared" ca="1" si="481"/>
        <v>14400</v>
      </c>
      <c r="U4267" s="61">
        <f t="shared" ca="1" si="482"/>
        <v>23483.001114047838</v>
      </c>
      <c r="V4267" s="39">
        <f t="shared" ca="1" si="483"/>
        <v>0.15449342838189367</v>
      </c>
      <c r="W4267" s="48">
        <f t="shared" ca="1" si="484"/>
        <v>2.2067426378225665</v>
      </c>
    </row>
    <row r="4268" spans="17:23" x14ac:dyDescent="0.2">
      <c r="Q4268">
        <f t="shared" si="485"/>
        <v>4252</v>
      </c>
      <c r="R4268" s="48">
        <f t="shared" ca="1" si="486"/>
        <v>0.217</v>
      </c>
      <c r="S4268">
        <f t="shared" ca="1" si="487"/>
        <v>200.27954049078653</v>
      </c>
      <c r="T4268" s="61">
        <f t="shared" ca="1" si="481"/>
        <v>10416</v>
      </c>
      <c r="U4268" s="61">
        <f t="shared" ca="1" si="482"/>
        <v>16855.104163428681</v>
      </c>
      <c r="V4268" s="39">
        <f t="shared" ca="1" si="483"/>
        <v>0.11088884318045185</v>
      </c>
      <c r="W4268" s="48">
        <f t="shared" ca="1" si="484"/>
        <v>1.3466015464399037</v>
      </c>
    </row>
    <row r="4269" spans="17:23" x14ac:dyDescent="0.2">
      <c r="Q4269">
        <f t="shared" si="485"/>
        <v>4253</v>
      </c>
      <c r="R4269" s="48">
        <f t="shared" ca="1" si="486"/>
        <v>0.4</v>
      </c>
      <c r="S4269">
        <f t="shared" ca="1" si="487"/>
        <v>202.74040512623094</v>
      </c>
      <c r="T4269" s="61">
        <f t="shared" ca="1" si="481"/>
        <v>19200</v>
      </c>
      <c r="U4269" s="61">
        <f t="shared" ca="1" si="482"/>
        <v>25315.394460590851</v>
      </c>
      <c r="V4269" s="39">
        <f t="shared" ca="1" si="483"/>
        <v>0.16654864776704506</v>
      </c>
      <c r="W4269" s="48">
        <f t="shared" ca="1" si="484"/>
        <v>2.4886426605244134</v>
      </c>
    </row>
    <row r="4270" spans="17:23" x14ac:dyDescent="0.2">
      <c r="Q4270">
        <f t="shared" si="485"/>
        <v>4254</v>
      </c>
      <c r="R4270" s="48">
        <f t="shared" ca="1" si="486"/>
        <v>0.45</v>
      </c>
      <c r="S4270">
        <f t="shared" ca="1" si="487"/>
        <v>174.34348411017157</v>
      </c>
      <c r="T4270" s="61">
        <f t="shared" ca="1" si="481"/>
        <v>21600</v>
      </c>
      <c r="U4270" s="61">
        <f t="shared" ca="1" si="482"/>
        <v>14711.133008475492</v>
      </c>
      <c r="V4270" s="39">
        <f t="shared" ca="1" si="483"/>
        <v>9.678376979260192E-2</v>
      </c>
      <c r="W4270" s="48">
        <f t="shared" ca="1" si="484"/>
        <v>1.1155632378774336</v>
      </c>
    </row>
    <row r="4271" spans="17:23" x14ac:dyDescent="0.2">
      <c r="Q4271">
        <f t="shared" si="485"/>
        <v>4255</v>
      </c>
      <c r="R4271" s="48">
        <f t="shared" ca="1" si="486"/>
        <v>0.3</v>
      </c>
      <c r="S4271">
        <f t="shared" ca="1" si="487"/>
        <v>152.15718562197583</v>
      </c>
      <c r="T4271" s="61">
        <f t="shared" ca="1" si="481"/>
        <v>14400</v>
      </c>
      <c r="U4271" s="61">
        <f t="shared" ca="1" si="482"/>
        <v>-6791.9760516935348</v>
      </c>
      <c r="V4271" s="39">
        <f t="shared" ca="1" si="483"/>
        <v>-4.4684052971667991E-2</v>
      </c>
      <c r="W4271" s="48">
        <f t="shared" ca="1" si="484"/>
        <v>-0.30980734408460187</v>
      </c>
    </row>
    <row r="4272" spans="17:23" x14ac:dyDescent="0.2">
      <c r="Q4272">
        <f t="shared" si="485"/>
        <v>4256</v>
      </c>
      <c r="R4272" s="48">
        <f t="shared" ca="1" si="486"/>
        <v>0.35</v>
      </c>
      <c r="S4272">
        <f t="shared" ca="1" si="487"/>
        <v>166.98275016168157</v>
      </c>
      <c r="T4272" s="61">
        <f t="shared" ca="1" si="481"/>
        <v>16800</v>
      </c>
      <c r="U4272" s="61">
        <f t="shared" ca="1" si="482"/>
        <v>4831.030084074413</v>
      </c>
      <c r="V4272" s="39">
        <f t="shared" ca="1" si="483"/>
        <v>3.1783092658384297E-2</v>
      </c>
      <c r="W4272" s="48">
        <f t="shared" ca="1" si="484"/>
        <v>0.2888936354187468</v>
      </c>
    </row>
    <row r="4273" spans="17:23" x14ac:dyDescent="0.2">
      <c r="Q4273">
        <f t="shared" si="485"/>
        <v>4257</v>
      </c>
      <c r="R4273" s="48">
        <f t="shared" ca="1" si="486"/>
        <v>0.15</v>
      </c>
      <c r="S4273">
        <f t="shared" ca="1" si="487"/>
        <v>164.16971293510642</v>
      </c>
      <c r="T4273" s="61">
        <f t="shared" ca="1" si="481"/>
        <v>7200</v>
      </c>
      <c r="U4273" s="61">
        <f t="shared" ca="1" si="482"/>
        <v>-10364.595204127636</v>
      </c>
      <c r="V4273" s="39">
        <f t="shared" ca="1" si="483"/>
        <v>-6.818812634294498E-2</v>
      </c>
      <c r="W4273" s="48">
        <f t="shared" ca="1" si="484"/>
        <v>-0.43607941510292858</v>
      </c>
    </row>
    <row r="4274" spans="17:23" x14ac:dyDescent="0.2">
      <c r="Q4274">
        <f t="shared" si="485"/>
        <v>4258</v>
      </c>
      <c r="R4274" s="48">
        <f t="shared" ca="1" si="486"/>
        <v>0.35</v>
      </c>
      <c r="S4274">
        <f t="shared" ca="1" si="487"/>
        <v>163.97208302159174</v>
      </c>
      <c r="T4274" s="61">
        <f t="shared" ca="1" si="481"/>
        <v>16800</v>
      </c>
      <c r="U4274" s="61">
        <f t="shared" ca="1" si="482"/>
        <v>3265.4831712277064</v>
      </c>
      <c r="V4274" s="39">
        <f t="shared" ca="1" si="483"/>
        <v>2.1483441915971752E-2</v>
      </c>
      <c r="W4274" s="48">
        <f t="shared" ca="1" si="484"/>
        <v>0.18816389958230118</v>
      </c>
    </row>
    <row r="4275" spans="17:23" x14ac:dyDescent="0.2">
      <c r="Q4275">
        <f t="shared" si="485"/>
        <v>4259</v>
      </c>
      <c r="R4275" s="48">
        <f t="shared" ca="1" si="486"/>
        <v>0.3</v>
      </c>
      <c r="S4275">
        <f t="shared" ca="1" si="487"/>
        <v>196.41170500157918</v>
      </c>
      <c r="T4275" s="61">
        <f t="shared" ca="1" si="481"/>
        <v>14400</v>
      </c>
      <c r="U4275" s="61">
        <f t="shared" ca="1" si="482"/>
        <v>17990.55480088434</v>
      </c>
      <c r="V4275" s="39">
        <f t="shared" ca="1" si="483"/>
        <v>0.11835891316371276</v>
      </c>
      <c r="W4275" s="48">
        <f t="shared" ca="1" si="484"/>
        <v>1.4776932540773613</v>
      </c>
    </row>
    <row r="4276" spans="17:23" x14ac:dyDescent="0.2">
      <c r="Q4276">
        <f t="shared" si="485"/>
        <v>4260</v>
      </c>
      <c r="R4276" s="48">
        <f t="shared" ca="1" si="486"/>
        <v>0.3</v>
      </c>
      <c r="S4276">
        <f t="shared" ca="1" si="487"/>
        <v>211.23288603118974</v>
      </c>
      <c r="T4276" s="61">
        <f t="shared" ca="1" si="481"/>
        <v>14400</v>
      </c>
      <c r="U4276" s="61">
        <f t="shared" ca="1" si="482"/>
        <v>26290.41617746625</v>
      </c>
      <c r="V4276" s="39">
        <f t="shared" ca="1" si="483"/>
        <v>0.17296326432543585</v>
      </c>
      <c r="W4276" s="48">
        <f t="shared" ca="1" si="484"/>
        <v>2.6473173639530794</v>
      </c>
    </row>
    <row r="4277" spans="17:23" x14ac:dyDescent="0.2">
      <c r="Q4277">
        <f t="shared" si="485"/>
        <v>4261</v>
      </c>
      <c r="R4277" s="48">
        <f t="shared" ca="1" si="486"/>
        <v>0.45</v>
      </c>
      <c r="S4277">
        <f t="shared" ca="1" si="487"/>
        <v>174.15161179721667</v>
      </c>
      <c r="T4277" s="61">
        <f t="shared" ca="1" si="481"/>
        <v>21600</v>
      </c>
      <c r="U4277" s="61">
        <f t="shared" ca="1" si="482"/>
        <v>14626.709190775335</v>
      </c>
      <c r="V4277" s="39">
        <f t="shared" ca="1" si="483"/>
        <v>9.6228349939311411E-2</v>
      </c>
      <c r="W4277" s="48">
        <f t="shared" ca="1" si="484"/>
        <v>1.1068891288696032</v>
      </c>
    </row>
    <row r="4278" spans="17:23" x14ac:dyDescent="0.2">
      <c r="Q4278">
        <f t="shared" si="485"/>
        <v>4262</v>
      </c>
      <c r="R4278" s="48">
        <f t="shared" ca="1" si="486"/>
        <v>0.217</v>
      </c>
      <c r="S4278">
        <f t="shared" ca="1" si="487"/>
        <v>188.24998288104263</v>
      </c>
      <c r="T4278" s="61">
        <f t="shared" ca="1" si="481"/>
        <v>10416</v>
      </c>
      <c r="U4278" s="61">
        <f t="shared" ca="1" si="482"/>
        <v>9319.7892766851019</v>
      </c>
      <c r="V4278" s="39">
        <f t="shared" ca="1" si="483"/>
        <v>6.1314403136086194E-2</v>
      </c>
      <c r="W4278" s="48">
        <f t="shared" ca="1" si="484"/>
        <v>0.62040668715115443</v>
      </c>
    </row>
    <row r="4279" spans="17:23" x14ac:dyDescent="0.2">
      <c r="Q4279">
        <f t="shared" si="485"/>
        <v>4263</v>
      </c>
      <c r="R4279" s="48">
        <f t="shared" ca="1" si="486"/>
        <v>0.45</v>
      </c>
      <c r="S4279">
        <f t="shared" ca="1" si="487"/>
        <v>187.15675438587985</v>
      </c>
      <c r="T4279" s="61">
        <f t="shared" ca="1" si="481"/>
        <v>21600</v>
      </c>
      <c r="U4279" s="61">
        <f t="shared" ca="1" si="482"/>
        <v>20348.971929787134</v>
      </c>
      <c r="V4279" s="39">
        <f t="shared" ca="1" si="483"/>
        <v>0.13387481532754694</v>
      </c>
      <c r="W4279" s="48">
        <f t="shared" ca="1" si="484"/>
        <v>1.7706627357123637</v>
      </c>
    </row>
    <row r="4280" spans="17:23" x14ac:dyDescent="0.2">
      <c r="Q4280">
        <f t="shared" si="485"/>
        <v>4264</v>
      </c>
      <c r="R4280" s="48">
        <f t="shared" ca="1" si="486"/>
        <v>0.35</v>
      </c>
      <c r="S4280">
        <f t="shared" ca="1" si="487"/>
        <v>172.80097733203286</v>
      </c>
      <c r="T4280" s="61">
        <f t="shared" ca="1" si="481"/>
        <v>16800</v>
      </c>
      <c r="U4280" s="61">
        <f t="shared" ca="1" si="482"/>
        <v>7856.5082126570851</v>
      </c>
      <c r="V4280" s="39">
        <f t="shared" ca="1" si="483"/>
        <v>5.1687554030638717E-2</v>
      </c>
      <c r="W4280" s="48">
        <f t="shared" ca="1" si="484"/>
        <v>0.50496269389719539</v>
      </c>
    </row>
    <row r="4281" spans="17:23" x14ac:dyDescent="0.2">
      <c r="Q4281">
        <f t="shared" si="485"/>
        <v>4265</v>
      </c>
      <c r="R4281" s="48">
        <f t="shared" ca="1" si="486"/>
        <v>0.35</v>
      </c>
      <c r="S4281">
        <f t="shared" ca="1" si="487"/>
        <v>180.3534902408671</v>
      </c>
      <c r="T4281" s="61">
        <f t="shared" ref="T4281:T4344" ca="1" si="488">($B$8-$B$7)*($E$6*R4281)</f>
        <v>16800</v>
      </c>
      <c r="U4281" s="61">
        <f t="shared" ref="U4281:U4344" ca="1" si="489">T4281+((S4281-$B$7)*($E$6*(1-R4281)))</f>
        <v>11783.814925250894</v>
      </c>
      <c r="V4281" s="39">
        <f t="shared" ref="V4281:V4344" ca="1" si="490">U4281/$E$4</f>
        <v>7.7525098192440092E-2</v>
      </c>
      <c r="W4281" s="48">
        <f t="shared" ref="W4281:W4344" ca="1" si="491">(1+V4281)^($J$29/$J$30)-1</f>
        <v>0.8324080950710766</v>
      </c>
    </row>
    <row r="4282" spans="17:23" x14ac:dyDescent="0.2">
      <c r="Q4282">
        <f t="shared" si="485"/>
        <v>4266</v>
      </c>
      <c r="R4282" s="48">
        <f t="shared" ca="1" si="486"/>
        <v>0.45</v>
      </c>
      <c r="S4282">
        <f t="shared" ca="1" si="487"/>
        <v>163.93689467387443</v>
      </c>
      <c r="T4282" s="61">
        <f t="shared" ca="1" si="488"/>
        <v>21600</v>
      </c>
      <c r="U4282" s="61">
        <f t="shared" ca="1" si="489"/>
        <v>10132.23365650475</v>
      </c>
      <c r="V4282" s="39">
        <f t="shared" ca="1" si="490"/>
        <v>6.6659431950689144E-2</v>
      </c>
      <c r="W4282" s="48">
        <f t="shared" ca="1" si="491"/>
        <v>0.68779695517653661</v>
      </c>
    </row>
    <row r="4283" spans="17:23" x14ac:dyDescent="0.2">
      <c r="Q4283">
        <f t="shared" si="485"/>
        <v>4267</v>
      </c>
      <c r="R4283" s="48">
        <f t="shared" ca="1" si="486"/>
        <v>0.35</v>
      </c>
      <c r="S4283">
        <f t="shared" ca="1" si="487"/>
        <v>175.00998482838824</v>
      </c>
      <c r="T4283" s="61">
        <f t="shared" ca="1" si="488"/>
        <v>16800</v>
      </c>
      <c r="U4283" s="61">
        <f t="shared" ca="1" si="489"/>
        <v>9005.1921107618855</v>
      </c>
      <c r="V4283" s="39">
        <f t="shared" ca="1" si="490"/>
        <v>5.9244684939222927E-2</v>
      </c>
      <c r="W4283" s="48">
        <f t="shared" ca="1" si="491"/>
        <v>0.59495235360703158</v>
      </c>
    </row>
    <row r="4284" spans="17:23" x14ac:dyDescent="0.2">
      <c r="Q4284">
        <f t="shared" si="485"/>
        <v>4268</v>
      </c>
      <c r="R4284" s="48">
        <f t="shared" ca="1" si="486"/>
        <v>0.35</v>
      </c>
      <c r="S4284">
        <f t="shared" ca="1" si="487"/>
        <v>237.07285702789761</v>
      </c>
      <c r="T4284" s="61">
        <f t="shared" ca="1" si="488"/>
        <v>16800</v>
      </c>
      <c r="U4284" s="61">
        <f t="shared" ca="1" si="489"/>
        <v>41277.885654506754</v>
      </c>
      <c r="V4284" s="39">
        <f t="shared" ca="1" si="490"/>
        <v>0.27156503720070235</v>
      </c>
      <c r="W4284" s="48">
        <f t="shared" ca="1" si="491"/>
        <v>6.0194292348167879</v>
      </c>
    </row>
    <row r="4285" spans="17:23" x14ac:dyDescent="0.2">
      <c r="Q4285">
        <f t="shared" si="485"/>
        <v>4269</v>
      </c>
      <c r="R4285" s="48">
        <f t="shared" ca="1" si="486"/>
        <v>0.4</v>
      </c>
      <c r="S4285">
        <f t="shared" ca="1" si="487"/>
        <v>212.49138462953405</v>
      </c>
      <c r="T4285" s="61">
        <f t="shared" ca="1" si="488"/>
        <v>19200</v>
      </c>
      <c r="U4285" s="61">
        <f t="shared" ca="1" si="489"/>
        <v>29995.864622176345</v>
      </c>
      <c r="V4285" s="39">
        <f t="shared" ca="1" si="490"/>
        <v>0.19734121461958121</v>
      </c>
      <c r="W4285" s="48">
        <f t="shared" ca="1" si="491"/>
        <v>3.3095739456856137</v>
      </c>
    </row>
    <row r="4286" spans="17:23" x14ac:dyDescent="0.2">
      <c r="Q4286">
        <f t="shared" si="485"/>
        <v>4270</v>
      </c>
      <c r="R4286" s="48">
        <f t="shared" ca="1" si="486"/>
        <v>0.4</v>
      </c>
      <c r="S4286">
        <f t="shared" ca="1" si="487"/>
        <v>218.55003717836018</v>
      </c>
      <c r="T4286" s="61">
        <f t="shared" ca="1" si="488"/>
        <v>19200</v>
      </c>
      <c r="U4286" s="61">
        <f t="shared" ca="1" si="489"/>
        <v>32904.017845612892</v>
      </c>
      <c r="V4286" s="39">
        <f t="shared" ca="1" si="490"/>
        <v>0.21647380161587429</v>
      </c>
      <c r="W4286" s="48">
        <f t="shared" ca="1" si="491"/>
        <v>3.9009237344679661</v>
      </c>
    </row>
    <row r="4287" spans="17:23" x14ac:dyDescent="0.2">
      <c r="Q4287">
        <f t="shared" si="485"/>
        <v>4271</v>
      </c>
      <c r="R4287" s="48">
        <f t="shared" ca="1" si="486"/>
        <v>0.3</v>
      </c>
      <c r="S4287">
        <f t="shared" ca="1" si="487"/>
        <v>178.56836272357745</v>
      </c>
      <c r="T4287" s="61">
        <f t="shared" ca="1" si="488"/>
        <v>14400</v>
      </c>
      <c r="U4287" s="61">
        <f t="shared" ca="1" si="489"/>
        <v>7998.283125203372</v>
      </c>
      <c r="V4287" s="39">
        <f t="shared" ca="1" si="490"/>
        <v>5.2620283718443239E-2</v>
      </c>
      <c r="W4287" s="48">
        <f t="shared" ca="1" si="491"/>
        <v>0.51582307240324532</v>
      </c>
    </row>
    <row r="4288" spans="17:23" x14ac:dyDescent="0.2">
      <c r="Q4288">
        <f t="shared" si="485"/>
        <v>4272</v>
      </c>
      <c r="R4288" s="48">
        <f t="shared" ca="1" si="486"/>
        <v>0.4</v>
      </c>
      <c r="S4288">
        <f t="shared" ca="1" si="487"/>
        <v>194.75747115620069</v>
      </c>
      <c r="T4288" s="61">
        <f t="shared" ca="1" si="488"/>
        <v>19200</v>
      </c>
      <c r="U4288" s="61">
        <f t="shared" ca="1" si="489"/>
        <v>21483.586154976332</v>
      </c>
      <c r="V4288" s="39">
        <f t="shared" ca="1" si="490"/>
        <v>0.14133938259852849</v>
      </c>
      <c r="W4288" s="48">
        <f t="shared" ca="1" si="491"/>
        <v>1.9221186594226434</v>
      </c>
    </row>
    <row r="4289" spans="17:23" x14ac:dyDescent="0.2">
      <c r="Q4289">
        <f t="shared" si="485"/>
        <v>4273</v>
      </c>
      <c r="R4289" s="48">
        <f t="shared" ca="1" si="486"/>
        <v>0.217</v>
      </c>
      <c r="S4289">
        <f t="shared" ca="1" si="487"/>
        <v>167.17919168252823</v>
      </c>
      <c r="T4289" s="61">
        <f t="shared" ca="1" si="488"/>
        <v>10416</v>
      </c>
      <c r="U4289" s="61">
        <f t="shared" ca="1" si="489"/>
        <v>-3878.9543300643181</v>
      </c>
      <c r="V4289" s="39">
        <f t="shared" ca="1" si="490"/>
        <v>-2.5519436382002093E-2</v>
      </c>
      <c r="W4289" s="48">
        <f t="shared" ca="1" si="491"/>
        <v>-0.18915465707240653</v>
      </c>
    </row>
    <row r="4290" spans="17:23" x14ac:dyDescent="0.2">
      <c r="Q4290">
        <f t="shared" si="485"/>
        <v>4274</v>
      </c>
      <c r="R4290" s="48">
        <f t="shared" ca="1" si="486"/>
        <v>0.3</v>
      </c>
      <c r="S4290">
        <f t="shared" ca="1" si="487"/>
        <v>181.20692162503369</v>
      </c>
      <c r="T4290" s="61">
        <f t="shared" ca="1" si="488"/>
        <v>14400</v>
      </c>
      <c r="U4290" s="61">
        <f t="shared" ca="1" si="489"/>
        <v>9475.876110018864</v>
      </c>
      <c r="V4290" s="39">
        <f t="shared" ca="1" si="490"/>
        <v>6.2341290197492523E-2</v>
      </c>
      <c r="W4290" s="48">
        <f t="shared" ca="1" si="491"/>
        <v>0.63316747367980541</v>
      </c>
    </row>
    <row r="4291" spans="17:23" x14ac:dyDescent="0.2">
      <c r="Q4291">
        <f t="shared" si="485"/>
        <v>4275</v>
      </c>
      <c r="R4291" s="48">
        <f t="shared" ca="1" si="486"/>
        <v>0.3</v>
      </c>
      <c r="S4291">
        <f t="shared" ca="1" si="487"/>
        <v>181.46223791586303</v>
      </c>
      <c r="T4291" s="61">
        <f t="shared" ca="1" si="488"/>
        <v>14400</v>
      </c>
      <c r="U4291" s="61">
        <f t="shared" ca="1" si="489"/>
        <v>9618.8532328832953</v>
      </c>
      <c r="V4291" s="39">
        <f t="shared" ca="1" si="490"/>
        <v>6.3281929163705897E-2</v>
      </c>
      <c r="W4291" s="48">
        <f t="shared" ca="1" si="491"/>
        <v>0.64493370950721673</v>
      </c>
    </row>
    <row r="4292" spans="17:23" x14ac:dyDescent="0.2">
      <c r="Q4292">
        <f t="shared" si="485"/>
        <v>4276</v>
      </c>
      <c r="R4292" s="48">
        <f t="shared" ca="1" si="486"/>
        <v>0.45</v>
      </c>
      <c r="S4292">
        <f t="shared" ca="1" si="487"/>
        <v>174.19113231417023</v>
      </c>
      <c r="T4292" s="61">
        <f t="shared" ca="1" si="488"/>
        <v>21600</v>
      </c>
      <c r="U4292" s="61">
        <f t="shared" ca="1" si="489"/>
        <v>14644.098218234902</v>
      </c>
      <c r="V4292" s="39">
        <f t="shared" ca="1" si="490"/>
        <v>9.6342751435755936E-2</v>
      </c>
      <c r="W4292" s="48">
        <f t="shared" ca="1" si="491"/>
        <v>1.108673206962361</v>
      </c>
    </row>
    <row r="4293" spans="17:23" x14ac:dyDescent="0.2">
      <c r="Q4293">
        <f t="shared" si="485"/>
        <v>4277</v>
      </c>
      <c r="R4293" s="48">
        <f t="shared" ca="1" si="486"/>
        <v>0.3</v>
      </c>
      <c r="S4293">
        <f t="shared" ca="1" si="487"/>
        <v>145.10731748670807</v>
      </c>
      <c r="T4293" s="61">
        <f t="shared" ca="1" si="488"/>
        <v>14400</v>
      </c>
      <c r="U4293" s="61">
        <f t="shared" ca="1" si="489"/>
        <v>-10739.90220744348</v>
      </c>
      <c r="V4293" s="39">
        <f t="shared" ca="1" si="490"/>
        <v>-7.0657251364759741E-2</v>
      </c>
      <c r="W4293" s="48">
        <f t="shared" ca="1" si="491"/>
        <v>-0.44808613103061601</v>
      </c>
    </row>
    <row r="4294" spans="17:23" x14ac:dyDescent="0.2">
      <c r="Q4294">
        <f t="shared" si="485"/>
        <v>4278</v>
      </c>
      <c r="R4294" s="48">
        <f t="shared" ca="1" si="486"/>
        <v>0.45</v>
      </c>
      <c r="S4294">
        <f t="shared" ca="1" si="487"/>
        <v>200.22529676595113</v>
      </c>
      <c r="T4294" s="61">
        <f t="shared" ca="1" si="488"/>
        <v>21600</v>
      </c>
      <c r="U4294" s="61">
        <f t="shared" ca="1" si="489"/>
        <v>26099.130577018499</v>
      </c>
      <c r="V4294" s="39">
        <f t="shared" ca="1" si="490"/>
        <v>0.17170480642775329</v>
      </c>
      <c r="W4294" s="48">
        <f t="shared" ca="1" si="491"/>
        <v>2.6156980867515145</v>
      </c>
    </row>
    <row r="4295" spans="17:23" x14ac:dyDescent="0.2">
      <c r="Q4295">
        <f t="shared" si="485"/>
        <v>4279</v>
      </c>
      <c r="R4295" s="48">
        <f t="shared" ca="1" si="486"/>
        <v>0.3</v>
      </c>
      <c r="S4295">
        <f t="shared" ca="1" si="487"/>
        <v>211.18070089279658</v>
      </c>
      <c r="T4295" s="61">
        <f t="shared" ca="1" si="488"/>
        <v>14400</v>
      </c>
      <c r="U4295" s="61">
        <f t="shared" ca="1" si="489"/>
        <v>26261.192499966084</v>
      </c>
      <c r="V4295" s="39">
        <f t="shared" ca="1" si="490"/>
        <v>0.17277100328925055</v>
      </c>
      <c r="W4295" s="48">
        <f t="shared" ca="1" si="491"/>
        <v>2.6424710931343589</v>
      </c>
    </row>
    <row r="4296" spans="17:23" x14ac:dyDescent="0.2">
      <c r="Q4296">
        <f t="shared" si="485"/>
        <v>4280</v>
      </c>
      <c r="R4296" s="48">
        <f t="shared" ca="1" si="486"/>
        <v>0.15</v>
      </c>
      <c r="S4296">
        <f t="shared" ca="1" si="487"/>
        <v>165.08004025081144</v>
      </c>
      <c r="T4296" s="61">
        <f t="shared" ca="1" si="488"/>
        <v>7200</v>
      </c>
      <c r="U4296" s="61">
        <f t="shared" ca="1" si="489"/>
        <v>-9745.5726294482229</v>
      </c>
      <c r="V4296" s="39">
        <f t="shared" ca="1" si="490"/>
        <v>-6.4115609404264626E-2</v>
      </c>
      <c r="W4296" s="48">
        <f t="shared" ca="1" si="491"/>
        <v>-0.41577505308070495</v>
      </c>
    </row>
    <row r="4297" spans="17:23" x14ac:dyDescent="0.2">
      <c r="Q4297">
        <f t="shared" si="485"/>
        <v>4281</v>
      </c>
      <c r="R4297" s="48">
        <f t="shared" ca="1" si="486"/>
        <v>0.45</v>
      </c>
      <c r="S4297">
        <f t="shared" ca="1" si="487"/>
        <v>191.62800674799971</v>
      </c>
      <c r="T4297" s="61">
        <f t="shared" ca="1" si="488"/>
        <v>21600</v>
      </c>
      <c r="U4297" s="61">
        <f t="shared" ca="1" si="489"/>
        <v>22316.322969119872</v>
      </c>
      <c r="V4297" s="39">
        <f t="shared" ca="1" si="490"/>
        <v>0.14681791427052548</v>
      </c>
      <c r="W4297" s="48">
        <f t="shared" ca="1" si="491"/>
        <v>2.0378494236972124</v>
      </c>
    </row>
    <row r="4298" spans="17:23" x14ac:dyDescent="0.2">
      <c r="Q4298">
        <f t="shared" si="485"/>
        <v>4282</v>
      </c>
      <c r="R4298" s="48">
        <f t="shared" ca="1" si="486"/>
        <v>0.35</v>
      </c>
      <c r="S4298">
        <f t="shared" ca="1" si="487"/>
        <v>193.31184157801923</v>
      </c>
      <c r="T4298" s="61">
        <f t="shared" ca="1" si="488"/>
        <v>16800</v>
      </c>
      <c r="U4298" s="61">
        <f t="shared" ca="1" si="489"/>
        <v>18522.157620569997</v>
      </c>
      <c r="V4298" s="39">
        <f t="shared" ca="1" si="490"/>
        <v>0.12185630013532893</v>
      </c>
      <c r="W4298" s="48">
        <f t="shared" ca="1" si="491"/>
        <v>1.5412443780529137</v>
      </c>
    </row>
    <row r="4299" spans="17:23" x14ac:dyDescent="0.2">
      <c r="Q4299">
        <f t="shared" si="485"/>
        <v>4283</v>
      </c>
      <c r="R4299" s="48">
        <f t="shared" ca="1" si="486"/>
        <v>0.35</v>
      </c>
      <c r="S4299">
        <f t="shared" ca="1" si="487"/>
        <v>216.37021774639067</v>
      </c>
      <c r="T4299" s="61">
        <f t="shared" ca="1" si="488"/>
        <v>16800</v>
      </c>
      <c r="U4299" s="61">
        <f t="shared" ca="1" si="489"/>
        <v>30512.513228123145</v>
      </c>
      <c r="V4299" s="39">
        <f t="shared" ca="1" si="490"/>
        <v>0.20074021860607333</v>
      </c>
      <c r="W4299" s="48">
        <f t="shared" ca="1" si="491"/>
        <v>3.4098125904484942</v>
      </c>
    </row>
    <row r="4300" spans="17:23" x14ac:dyDescent="0.2">
      <c r="Q4300">
        <f t="shared" si="485"/>
        <v>4284</v>
      </c>
      <c r="R4300" s="48">
        <f t="shared" ca="1" si="486"/>
        <v>0.217</v>
      </c>
      <c r="S4300">
        <f t="shared" ca="1" si="487"/>
        <v>182.57397054126321</v>
      </c>
      <c r="T4300" s="61">
        <f t="shared" ca="1" si="488"/>
        <v>10416</v>
      </c>
      <c r="U4300" s="61">
        <f t="shared" ca="1" si="489"/>
        <v>5764.3351470472735</v>
      </c>
      <c r="V4300" s="39">
        <f t="shared" ca="1" si="490"/>
        <v>3.7923257546363644E-2</v>
      </c>
      <c r="W4300" s="48">
        <f t="shared" ca="1" si="491"/>
        <v>0.35244024969526189</v>
      </c>
    </row>
    <row r="4301" spans="17:23" x14ac:dyDescent="0.2">
      <c r="Q4301">
        <f t="shared" si="485"/>
        <v>4285</v>
      </c>
      <c r="R4301" s="48">
        <f t="shared" ca="1" si="486"/>
        <v>0.4</v>
      </c>
      <c r="S4301">
        <f t="shared" ca="1" si="487"/>
        <v>194.30546495784671</v>
      </c>
      <c r="T4301" s="61">
        <f t="shared" ca="1" si="488"/>
        <v>19200</v>
      </c>
      <c r="U4301" s="61">
        <f t="shared" ca="1" si="489"/>
        <v>21266.623179766422</v>
      </c>
      <c r="V4301" s="39">
        <f t="shared" ca="1" si="490"/>
        <v>0.13991199460372647</v>
      </c>
      <c r="W4301" s="48">
        <f t="shared" ca="1" si="491"/>
        <v>1.8926082728309286</v>
      </c>
    </row>
    <row r="4302" spans="17:23" x14ac:dyDescent="0.2">
      <c r="Q4302">
        <f t="shared" si="485"/>
        <v>4286</v>
      </c>
      <c r="R4302" s="48">
        <f t="shared" ca="1" si="486"/>
        <v>0.3</v>
      </c>
      <c r="S4302">
        <f t="shared" ca="1" si="487"/>
        <v>190.86102741295889</v>
      </c>
      <c r="T4302" s="61">
        <f t="shared" ca="1" si="488"/>
        <v>14400</v>
      </c>
      <c r="U4302" s="61">
        <f t="shared" ca="1" si="489"/>
        <v>14882.175351256978</v>
      </c>
      <c r="V4302" s="39">
        <f t="shared" ca="1" si="490"/>
        <v>9.7909048363532744E-2</v>
      </c>
      <c r="W4302" s="48">
        <f t="shared" ca="1" si="491"/>
        <v>1.133232975158871</v>
      </c>
    </row>
    <row r="4303" spans="17:23" x14ac:dyDescent="0.2">
      <c r="Q4303">
        <f t="shared" si="485"/>
        <v>4287</v>
      </c>
      <c r="R4303" s="48">
        <f t="shared" ca="1" si="486"/>
        <v>0.4</v>
      </c>
      <c r="S4303">
        <f t="shared" ca="1" si="487"/>
        <v>185.98788392409145</v>
      </c>
      <c r="T4303" s="61">
        <f t="shared" ca="1" si="488"/>
        <v>19200</v>
      </c>
      <c r="U4303" s="61">
        <f t="shared" ca="1" si="489"/>
        <v>17274.184283563896</v>
      </c>
      <c r="V4303" s="39">
        <f t="shared" ca="1" si="490"/>
        <v>0.113645949233973</v>
      </c>
      <c r="W4303" s="48">
        <f t="shared" ca="1" si="491"/>
        <v>1.3942597271303612</v>
      </c>
    </row>
    <row r="4304" spans="17:23" x14ac:dyDescent="0.2">
      <c r="Q4304">
        <f t="shared" si="485"/>
        <v>4288</v>
      </c>
      <c r="R4304" s="48">
        <f t="shared" ca="1" si="486"/>
        <v>0.35</v>
      </c>
      <c r="S4304">
        <f t="shared" ca="1" si="487"/>
        <v>179.07632548822525</v>
      </c>
      <c r="T4304" s="61">
        <f t="shared" ca="1" si="488"/>
        <v>16800</v>
      </c>
      <c r="U4304" s="61">
        <f t="shared" ca="1" si="489"/>
        <v>11119.689253877132</v>
      </c>
      <c r="V4304" s="39">
        <f t="shared" ca="1" si="490"/>
        <v>7.3155850354454807E-2</v>
      </c>
      <c r="W4304" s="48">
        <f t="shared" ca="1" si="491"/>
        <v>0.77300253845797551</v>
      </c>
    </row>
    <row r="4305" spans="17:23" x14ac:dyDescent="0.2">
      <c r="Q4305">
        <f t="shared" si="485"/>
        <v>4289</v>
      </c>
      <c r="R4305" s="48">
        <f t="shared" ca="1" si="486"/>
        <v>0.4</v>
      </c>
      <c r="S4305">
        <f t="shared" ca="1" si="487"/>
        <v>204.15128224164738</v>
      </c>
      <c r="T4305" s="61">
        <f t="shared" ca="1" si="488"/>
        <v>19200</v>
      </c>
      <c r="U4305" s="61">
        <f t="shared" ca="1" si="489"/>
        <v>25992.615475990744</v>
      </c>
      <c r="V4305" s="39">
        <f t="shared" ca="1" si="490"/>
        <v>0.17100404918414963</v>
      </c>
      <c r="W4305" s="48">
        <f t="shared" ca="1" si="491"/>
        <v>2.598195649528265</v>
      </c>
    </row>
    <row r="4306" spans="17:23" x14ac:dyDescent="0.2">
      <c r="Q4306">
        <f t="shared" si="485"/>
        <v>4290</v>
      </c>
      <c r="R4306" s="48">
        <f t="shared" ca="1" si="486"/>
        <v>0.45</v>
      </c>
      <c r="S4306">
        <f t="shared" ca="1" si="487"/>
        <v>169.022368658945</v>
      </c>
      <c r="T4306" s="61">
        <f t="shared" ca="1" si="488"/>
        <v>21600</v>
      </c>
      <c r="U4306" s="61">
        <f t="shared" ca="1" si="489"/>
        <v>12369.842209935798</v>
      </c>
      <c r="V4306" s="39">
        <f t="shared" ca="1" si="490"/>
        <v>8.1380540854840769E-2</v>
      </c>
      <c r="W4306" s="48">
        <f t="shared" ca="1" si="491"/>
        <v>0.88626973625462169</v>
      </c>
    </row>
    <row r="4307" spans="17:23" x14ac:dyDescent="0.2">
      <c r="Q4307">
        <f t="shared" ref="Q4307:Q4370" si="492">Q4306+1</f>
        <v>4291</v>
      </c>
      <c r="R4307" s="48">
        <f t="shared" ref="R4307:R4370" ca="1" si="493">LOOKUP(RAND(),$U$6:$U$12,$S$6:$S$12)</f>
        <v>0.4</v>
      </c>
      <c r="S4307">
        <f t="shared" ref="S4307:S4370" ca="1" si="494">_xlfn.NORM.INV(RAND(),$Q$5,$Q$10)</f>
        <v>176.94308618851119</v>
      </c>
      <c r="T4307" s="61">
        <f t="shared" ca="1" si="488"/>
        <v>19200</v>
      </c>
      <c r="U4307" s="61">
        <f t="shared" ca="1" si="489"/>
        <v>12932.68137048537</v>
      </c>
      <c r="V4307" s="39">
        <f t="shared" ca="1" si="490"/>
        <v>8.5083430068982696E-2</v>
      </c>
      <c r="W4307" s="48">
        <f t="shared" ca="1" si="491"/>
        <v>0.93930179988196327</v>
      </c>
    </row>
    <row r="4308" spans="17:23" x14ac:dyDescent="0.2">
      <c r="Q4308">
        <f t="shared" si="492"/>
        <v>4292</v>
      </c>
      <c r="R4308" s="48">
        <f t="shared" ca="1" si="493"/>
        <v>0.217</v>
      </c>
      <c r="S4308">
        <f t="shared" ca="1" si="494"/>
        <v>184.72492618346377</v>
      </c>
      <c r="T4308" s="61">
        <f t="shared" ca="1" si="488"/>
        <v>10416</v>
      </c>
      <c r="U4308" s="61">
        <f t="shared" ca="1" si="489"/>
        <v>7111.6937613217024</v>
      </c>
      <c r="V4308" s="39">
        <f t="shared" ca="1" si="490"/>
        <v>4.6787458956063829E-2</v>
      </c>
      <c r="W4308" s="48">
        <f t="shared" ca="1" si="491"/>
        <v>0.44902069676385126</v>
      </c>
    </row>
    <row r="4309" spans="17:23" x14ac:dyDescent="0.2">
      <c r="Q4309">
        <f t="shared" si="492"/>
        <v>4293</v>
      </c>
      <c r="R4309" s="48">
        <f t="shared" ca="1" si="493"/>
        <v>0.35</v>
      </c>
      <c r="S4309">
        <f t="shared" ca="1" si="494"/>
        <v>187.15678422277949</v>
      </c>
      <c r="T4309" s="61">
        <f t="shared" ca="1" si="488"/>
        <v>16800</v>
      </c>
      <c r="U4309" s="61">
        <f t="shared" ca="1" si="489"/>
        <v>15321.527795845337</v>
      </c>
      <c r="V4309" s="39">
        <f t="shared" ca="1" si="490"/>
        <v>0.10079952497266668</v>
      </c>
      <c r="W4309" s="48">
        <f t="shared" ca="1" si="491"/>
        <v>1.179215182776955</v>
      </c>
    </row>
    <row r="4310" spans="17:23" x14ac:dyDescent="0.2">
      <c r="Q4310">
        <f t="shared" si="492"/>
        <v>4294</v>
      </c>
      <c r="R4310" s="48">
        <f t="shared" ca="1" si="493"/>
        <v>0.5</v>
      </c>
      <c r="S4310">
        <f t="shared" ca="1" si="494"/>
        <v>171.00309339717973</v>
      </c>
      <c r="T4310" s="61">
        <f t="shared" ca="1" si="488"/>
        <v>24000</v>
      </c>
      <c r="U4310" s="61">
        <f t="shared" ca="1" si="489"/>
        <v>16401.237358871891</v>
      </c>
      <c r="V4310" s="39">
        <f t="shared" ca="1" si="490"/>
        <v>0.10790287736099928</v>
      </c>
      <c r="W4310" s="48">
        <f t="shared" ca="1" si="491"/>
        <v>1.295927418699284</v>
      </c>
    </row>
    <row r="4311" spans="17:23" x14ac:dyDescent="0.2">
      <c r="Q4311">
        <f t="shared" si="492"/>
        <v>4295</v>
      </c>
      <c r="R4311" s="48">
        <f t="shared" ca="1" si="493"/>
        <v>0.35</v>
      </c>
      <c r="S4311">
        <f t="shared" ca="1" si="494"/>
        <v>193.05484958640082</v>
      </c>
      <c r="T4311" s="61">
        <f t="shared" ca="1" si="488"/>
        <v>16800</v>
      </c>
      <c r="U4311" s="61">
        <f t="shared" ca="1" si="489"/>
        <v>18388.521784928427</v>
      </c>
      <c r="V4311" s="39">
        <f t="shared" ca="1" si="490"/>
        <v>0.12097711700610807</v>
      </c>
      <c r="W4311" s="48">
        <f t="shared" ca="1" si="491"/>
        <v>1.5251357331870818</v>
      </c>
    </row>
    <row r="4312" spans="17:23" x14ac:dyDescent="0.2">
      <c r="Q4312">
        <f t="shared" si="492"/>
        <v>4296</v>
      </c>
      <c r="R4312" s="48">
        <f t="shared" ca="1" si="493"/>
        <v>0.45</v>
      </c>
      <c r="S4312">
        <f t="shared" ca="1" si="494"/>
        <v>157.62883734960531</v>
      </c>
      <c r="T4312" s="61">
        <f t="shared" ca="1" si="488"/>
        <v>21600</v>
      </c>
      <c r="U4312" s="61">
        <f t="shared" ca="1" si="489"/>
        <v>7356.6884338263317</v>
      </c>
      <c r="V4312" s="39">
        <f t="shared" ca="1" si="490"/>
        <v>4.8399266012015343E-2</v>
      </c>
      <c r="W4312" s="48">
        <f t="shared" ca="1" si="491"/>
        <v>0.46721720544696432</v>
      </c>
    </row>
    <row r="4313" spans="17:23" x14ac:dyDescent="0.2">
      <c r="Q4313">
        <f t="shared" si="492"/>
        <v>4297</v>
      </c>
      <c r="R4313" s="48">
        <f t="shared" ca="1" si="493"/>
        <v>0.3</v>
      </c>
      <c r="S4313">
        <f t="shared" ca="1" si="494"/>
        <v>221.42801056956498</v>
      </c>
      <c r="T4313" s="61">
        <f t="shared" ca="1" si="488"/>
        <v>14400</v>
      </c>
      <c r="U4313" s="61">
        <f t="shared" ca="1" si="489"/>
        <v>31999.685918956387</v>
      </c>
      <c r="V4313" s="39">
        <f t="shared" ca="1" si="490"/>
        <v>0.21052424946681833</v>
      </c>
      <c r="W4313" s="48">
        <f t="shared" ca="1" si="491"/>
        <v>3.7098516389466294</v>
      </c>
    </row>
    <row r="4314" spans="17:23" x14ac:dyDescent="0.2">
      <c r="Q4314">
        <f t="shared" si="492"/>
        <v>4298</v>
      </c>
      <c r="R4314" s="48">
        <f t="shared" ca="1" si="493"/>
        <v>0.35</v>
      </c>
      <c r="S4314">
        <f t="shared" ca="1" si="494"/>
        <v>195.24335304993861</v>
      </c>
      <c r="T4314" s="61">
        <f t="shared" ca="1" si="488"/>
        <v>16800</v>
      </c>
      <c r="U4314" s="61">
        <f t="shared" ca="1" si="489"/>
        <v>19526.543585968073</v>
      </c>
      <c r="V4314" s="39">
        <f t="shared" ca="1" si="490"/>
        <v>0.12846410253926363</v>
      </c>
      <c r="W4314" s="48">
        <f t="shared" ca="1" si="491"/>
        <v>1.6652254933096082</v>
      </c>
    </row>
    <row r="4315" spans="17:23" x14ac:dyDescent="0.2">
      <c r="Q4315">
        <f t="shared" si="492"/>
        <v>4299</v>
      </c>
      <c r="R4315" s="48">
        <f t="shared" ca="1" si="493"/>
        <v>0.217</v>
      </c>
      <c r="S4315">
        <f t="shared" ca="1" si="494"/>
        <v>186.41248436153629</v>
      </c>
      <c r="T4315" s="61">
        <f t="shared" ca="1" si="488"/>
        <v>10416</v>
      </c>
      <c r="U4315" s="61">
        <f t="shared" ca="1" si="489"/>
        <v>8168.78020406633</v>
      </c>
      <c r="V4315" s="39">
        <f t="shared" ca="1" si="490"/>
        <v>5.3741975026752174E-2</v>
      </c>
      <c r="W4315" s="48">
        <f t="shared" ca="1" si="491"/>
        <v>0.52897460666895779</v>
      </c>
    </row>
    <row r="4316" spans="17:23" x14ac:dyDescent="0.2">
      <c r="Q4316">
        <f t="shared" si="492"/>
        <v>4300</v>
      </c>
      <c r="R4316" s="48">
        <f t="shared" ca="1" si="493"/>
        <v>0.4</v>
      </c>
      <c r="S4316">
        <f t="shared" ca="1" si="494"/>
        <v>175.84370440804707</v>
      </c>
      <c r="T4316" s="61">
        <f t="shared" ca="1" si="488"/>
        <v>19200</v>
      </c>
      <c r="U4316" s="61">
        <f t="shared" ca="1" si="489"/>
        <v>12404.978115862596</v>
      </c>
      <c r="V4316" s="39">
        <f t="shared" ca="1" si="490"/>
        <v>8.1611698130674967E-2</v>
      </c>
      <c r="W4316" s="48">
        <f t="shared" ca="1" si="491"/>
        <v>0.88954271559866882</v>
      </c>
    </row>
    <row r="4317" spans="17:23" x14ac:dyDescent="0.2">
      <c r="Q4317">
        <f t="shared" si="492"/>
        <v>4301</v>
      </c>
      <c r="R4317" s="48">
        <f t="shared" ca="1" si="493"/>
        <v>0.3</v>
      </c>
      <c r="S4317">
        <f t="shared" ca="1" si="494"/>
        <v>213.50173723059382</v>
      </c>
      <c r="T4317" s="61">
        <f t="shared" ca="1" si="488"/>
        <v>14400</v>
      </c>
      <c r="U4317" s="61">
        <f t="shared" ca="1" si="489"/>
        <v>27560.972849132537</v>
      </c>
      <c r="V4317" s="39">
        <f t="shared" ca="1" si="490"/>
        <v>0.18132218979692458</v>
      </c>
      <c r="W4317" s="48">
        <f t="shared" ca="1" si="491"/>
        <v>2.8635614423750342</v>
      </c>
    </row>
    <row r="4318" spans="17:23" x14ac:dyDescent="0.2">
      <c r="Q4318">
        <f t="shared" si="492"/>
        <v>4302</v>
      </c>
      <c r="R4318" s="48">
        <f t="shared" ca="1" si="493"/>
        <v>0.4</v>
      </c>
      <c r="S4318">
        <f t="shared" ca="1" si="494"/>
        <v>174.55119228542148</v>
      </c>
      <c r="T4318" s="61">
        <f t="shared" ca="1" si="488"/>
        <v>19200</v>
      </c>
      <c r="U4318" s="61">
        <f t="shared" ca="1" si="489"/>
        <v>11784.572297002309</v>
      </c>
      <c r="V4318" s="39">
        <f t="shared" ca="1" si="490"/>
        <v>7.7530080901330983E-2</v>
      </c>
      <c r="W4318" s="48">
        <f t="shared" ca="1" si="491"/>
        <v>0.83247682530356171</v>
      </c>
    </row>
    <row r="4319" spans="17:23" x14ac:dyDescent="0.2">
      <c r="Q4319">
        <f t="shared" si="492"/>
        <v>4303</v>
      </c>
      <c r="R4319" s="48">
        <f t="shared" ca="1" si="493"/>
        <v>0.217</v>
      </c>
      <c r="S4319">
        <f t="shared" ca="1" si="494"/>
        <v>207.9382872899061</v>
      </c>
      <c r="T4319" s="61">
        <f t="shared" ca="1" si="488"/>
        <v>10416</v>
      </c>
      <c r="U4319" s="61">
        <f t="shared" ca="1" si="489"/>
        <v>21652.54315839718</v>
      </c>
      <c r="V4319" s="39">
        <f t="shared" ca="1" si="490"/>
        <v>0.1424509418315604</v>
      </c>
      <c r="W4319" s="48">
        <f t="shared" ca="1" si="491"/>
        <v>1.9452819498313683</v>
      </c>
    </row>
    <row r="4320" spans="17:23" x14ac:dyDescent="0.2">
      <c r="Q4320">
        <f t="shared" si="492"/>
        <v>4304</v>
      </c>
      <c r="R4320" s="48">
        <f t="shared" ca="1" si="493"/>
        <v>0.35</v>
      </c>
      <c r="S4320">
        <f t="shared" ca="1" si="494"/>
        <v>159.66596853375628</v>
      </c>
      <c r="T4320" s="61">
        <f t="shared" ca="1" si="488"/>
        <v>16800</v>
      </c>
      <c r="U4320" s="61">
        <f t="shared" ca="1" si="489"/>
        <v>1026.3036375532683</v>
      </c>
      <c r="V4320" s="39">
        <f t="shared" ca="1" si="490"/>
        <v>6.7519976154820282E-3</v>
      </c>
      <c r="W4320" s="48">
        <f t="shared" ca="1" si="491"/>
        <v>5.6099221166035829E-2</v>
      </c>
    </row>
    <row r="4321" spans="17:23" x14ac:dyDescent="0.2">
      <c r="Q4321">
        <f t="shared" si="492"/>
        <v>4305</v>
      </c>
      <c r="R4321" s="48">
        <f t="shared" ca="1" si="493"/>
        <v>0.45</v>
      </c>
      <c r="S4321">
        <f t="shared" ca="1" si="494"/>
        <v>219.52038426490026</v>
      </c>
      <c r="T4321" s="61">
        <f t="shared" ca="1" si="488"/>
        <v>21600</v>
      </c>
      <c r="U4321" s="61">
        <f t="shared" ca="1" si="489"/>
        <v>34588.969076556117</v>
      </c>
      <c r="V4321" s="39">
        <f t="shared" ca="1" si="490"/>
        <v>0.22755900708260604</v>
      </c>
      <c r="W4321" s="48">
        <f t="shared" ca="1" si="491"/>
        <v>4.2751233018461789</v>
      </c>
    </row>
    <row r="4322" spans="17:23" x14ac:dyDescent="0.2">
      <c r="Q4322">
        <f t="shared" si="492"/>
        <v>4306</v>
      </c>
      <c r="R4322" s="48">
        <f t="shared" ca="1" si="493"/>
        <v>0.35</v>
      </c>
      <c r="S4322">
        <f t="shared" ca="1" si="494"/>
        <v>182.13988003867772</v>
      </c>
      <c r="T4322" s="61">
        <f t="shared" ca="1" si="488"/>
        <v>16800</v>
      </c>
      <c r="U4322" s="61">
        <f t="shared" ca="1" si="489"/>
        <v>12712.737620112413</v>
      </c>
      <c r="V4322" s="39">
        <f t="shared" ca="1" si="490"/>
        <v>8.3636431711265877E-2</v>
      </c>
      <c r="W4322" s="48">
        <f t="shared" ca="1" si="491"/>
        <v>0.91842460332506581</v>
      </c>
    </row>
    <row r="4323" spans="17:23" x14ac:dyDescent="0.2">
      <c r="Q4323">
        <f t="shared" si="492"/>
        <v>4307</v>
      </c>
      <c r="R4323" s="48">
        <f t="shared" ca="1" si="493"/>
        <v>0.3</v>
      </c>
      <c r="S4323">
        <f t="shared" ca="1" si="494"/>
        <v>218.81954900399339</v>
      </c>
      <c r="T4323" s="61">
        <f t="shared" ca="1" si="488"/>
        <v>14400</v>
      </c>
      <c r="U4323" s="61">
        <f t="shared" ca="1" si="489"/>
        <v>30538.947442236298</v>
      </c>
      <c r="V4323" s="39">
        <f t="shared" ca="1" si="490"/>
        <v>0.20091412790944932</v>
      </c>
      <c r="W4323" s="48">
        <f t="shared" ca="1" si="491"/>
        <v>3.4149957896302139</v>
      </c>
    </row>
    <row r="4324" spans="17:23" x14ac:dyDescent="0.2">
      <c r="Q4324">
        <f t="shared" si="492"/>
        <v>4308</v>
      </c>
      <c r="R4324" s="48">
        <f t="shared" ca="1" si="493"/>
        <v>0.45</v>
      </c>
      <c r="S4324">
        <f t="shared" ca="1" si="494"/>
        <v>173.65902719668856</v>
      </c>
      <c r="T4324" s="61">
        <f t="shared" ca="1" si="488"/>
        <v>21600</v>
      </c>
      <c r="U4324" s="61">
        <f t="shared" ca="1" si="489"/>
        <v>14409.971966542962</v>
      </c>
      <c r="V4324" s="39">
        <f t="shared" ca="1" si="490"/>
        <v>9.480244714830896E-2</v>
      </c>
      <c r="W4324" s="48">
        <f t="shared" ca="1" si="491"/>
        <v>1.0847631210957731</v>
      </c>
    </row>
    <row r="4325" spans="17:23" x14ac:dyDescent="0.2">
      <c r="Q4325">
        <f t="shared" si="492"/>
        <v>4309</v>
      </c>
      <c r="R4325" s="48">
        <f t="shared" ca="1" si="493"/>
        <v>0.35</v>
      </c>
      <c r="S4325">
        <f t="shared" ca="1" si="494"/>
        <v>203.48949706212747</v>
      </c>
      <c r="T4325" s="61">
        <f t="shared" ca="1" si="488"/>
        <v>16800</v>
      </c>
      <c r="U4325" s="61">
        <f t="shared" ca="1" si="489"/>
        <v>23814.538472306285</v>
      </c>
      <c r="V4325" s="39">
        <f t="shared" ca="1" si="490"/>
        <v>0.15667459521254135</v>
      </c>
      <c r="W4325" s="48">
        <f t="shared" ca="1" si="491"/>
        <v>2.256214773109086</v>
      </c>
    </row>
    <row r="4326" spans="17:23" x14ac:dyDescent="0.2">
      <c r="Q4326">
        <f t="shared" si="492"/>
        <v>4310</v>
      </c>
      <c r="R4326" s="48">
        <f t="shared" ca="1" si="493"/>
        <v>0.4</v>
      </c>
      <c r="S4326">
        <f t="shared" ca="1" si="494"/>
        <v>208.7737474910447</v>
      </c>
      <c r="T4326" s="61">
        <f t="shared" ca="1" si="488"/>
        <v>19200</v>
      </c>
      <c r="U4326" s="61">
        <f t="shared" ca="1" si="489"/>
        <v>28211.398795701458</v>
      </c>
      <c r="V4326" s="39">
        <f t="shared" ca="1" si="490"/>
        <v>0.18560130786645695</v>
      </c>
      <c r="W4326" s="48">
        <f t="shared" ca="1" si="491"/>
        <v>2.9785494970510715</v>
      </c>
    </row>
    <row r="4327" spans="17:23" x14ac:dyDescent="0.2">
      <c r="Q4327">
        <f t="shared" si="492"/>
        <v>4311</v>
      </c>
      <c r="R4327" s="48">
        <f t="shared" ca="1" si="493"/>
        <v>0.4</v>
      </c>
      <c r="S4327">
        <f t="shared" ca="1" si="494"/>
        <v>206.07340663145249</v>
      </c>
      <c r="T4327" s="61">
        <f t="shared" ca="1" si="488"/>
        <v>19200</v>
      </c>
      <c r="U4327" s="61">
        <f t="shared" ca="1" si="489"/>
        <v>26915.235183097193</v>
      </c>
      <c r="V4327" s="39">
        <f t="shared" ca="1" si="490"/>
        <v>0.17707391567827099</v>
      </c>
      <c r="W4327" s="48">
        <f t="shared" ca="1" si="491"/>
        <v>2.7522949375176458</v>
      </c>
    </row>
    <row r="4328" spans="17:23" x14ac:dyDescent="0.2">
      <c r="Q4328">
        <f t="shared" si="492"/>
        <v>4312</v>
      </c>
      <c r="R4328" s="48">
        <f t="shared" ca="1" si="493"/>
        <v>0.4</v>
      </c>
      <c r="S4328">
        <f t="shared" ca="1" si="494"/>
        <v>206.15312569712597</v>
      </c>
      <c r="T4328" s="61">
        <f t="shared" ca="1" si="488"/>
        <v>19200</v>
      </c>
      <c r="U4328" s="61">
        <f t="shared" ca="1" si="489"/>
        <v>26953.500334620468</v>
      </c>
      <c r="V4328" s="39">
        <f t="shared" ca="1" si="490"/>
        <v>0.1773256600961873</v>
      </c>
      <c r="W4328" s="48">
        <f t="shared" ca="1" si="491"/>
        <v>2.7588091767533669</v>
      </c>
    </row>
    <row r="4329" spans="17:23" x14ac:dyDescent="0.2">
      <c r="Q4329">
        <f t="shared" si="492"/>
        <v>4313</v>
      </c>
      <c r="R4329" s="48">
        <f t="shared" ca="1" si="493"/>
        <v>0.15</v>
      </c>
      <c r="S4329">
        <f t="shared" ca="1" si="494"/>
        <v>183.92450757492679</v>
      </c>
      <c r="T4329" s="61">
        <f t="shared" ca="1" si="488"/>
        <v>7200</v>
      </c>
      <c r="U4329" s="61">
        <f t="shared" ca="1" si="489"/>
        <v>3068.665150950219</v>
      </c>
      <c r="V4329" s="39">
        <f t="shared" ca="1" si="490"/>
        <v>2.0188586519409336E-2</v>
      </c>
      <c r="W4329" s="48">
        <f t="shared" ca="1" si="491"/>
        <v>0.17600232301081209</v>
      </c>
    </row>
    <row r="4330" spans="17:23" x14ac:dyDescent="0.2">
      <c r="Q4330">
        <f t="shared" si="492"/>
        <v>4314</v>
      </c>
      <c r="R4330" s="48">
        <f t="shared" ca="1" si="493"/>
        <v>0.35</v>
      </c>
      <c r="S4330">
        <f t="shared" ca="1" si="494"/>
        <v>185.33578816110781</v>
      </c>
      <c r="T4330" s="61">
        <f t="shared" ca="1" si="488"/>
        <v>16800</v>
      </c>
      <c r="U4330" s="61">
        <f t="shared" ca="1" si="489"/>
        <v>14374.609843776063</v>
      </c>
      <c r="V4330" s="39">
        <f t="shared" ca="1" si="490"/>
        <v>9.4569801603789888E-2</v>
      </c>
      <c r="W4330" s="48">
        <f t="shared" ca="1" si="491"/>
        <v>1.0811725136170258</v>
      </c>
    </row>
    <row r="4331" spans="17:23" x14ac:dyDescent="0.2">
      <c r="Q4331">
        <f t="shared" si="492"/>
        <v>4315</v>
      </c>
      <c r="R4331" s="48">
        <f t="shared" ca="1" si="493"/>
        <v>0.4</v>
      </c>
      <c r="S4331">
        <f t="shared" ca="1" si="494"/>
        <v>199.3442034423725</v>
      </c>
      <c r="T4331" s="61">
        <f t="shared" ca="1" si="488"/>
        <v>19200</v>
      </c>
      <c r="U4331" s="61">
        <f t="shared" ca="1" si="489"/>
        <v>23685.217652338801</v>
      </c>
      <c r="V4331" s="39">
        <f t="shared" ca="1" si="490"/>
        <v>0.15582380034433421</v>
      </c>
      <c r="W4331" s="48">
        <f t="shared" ca="1" si="491"/>
        <v>2.2368384456609975</v>
      </c>
    </row>
    <row r="4332" spans="17:23" x14ac:dyDescent="0.2">
      <c r="Q4332">
        <f t="shared" si="492"/>
        <v>4316</v>
      </c>
      <c r="R4332" s="48">
        <f t="shared" ca="1" si="493"/>
        <v>0.4</v>
      </c>
      <c r="S4332">
        <f t="shared" ca="1" si="494"/>
        <v>206.28272801797632</v>
      </c>
      <c r="T4332" s="61">
        <f t="shared" ca="1" si="488"/>
        <v>19200</v>
      </c>
      <c r="U4332" s="61">
        <f t="shared" ca="1" si="489"/>
        <v>27015.709448628637</v>
      </c>
      <c r="V4332" s="39">
        <f t="shared" ca="1" si="490"/>
        <v>0.17773493058308315</v>
      </c>
      <c r="W4332" s="48">
        <f t="shared" ca="1" si="491"/>
        <v>2.769420786927232</v>
      </c>
    </row>
    <row r="4333" spans="17:23" x14ac:dyDescent="0.2">
      <c r="Q4333">
        <f t="shared" si="492"/>
        <v>4317</v>
      </c>
      <c r="R4333" s="48">
        <f t="shared" ca="1" si="493"/>
        <v>0.217</v>
      </c>
      <c r="S4333">
        <f t="shared" ca="1" si="494"/>
        <v>164.17313763352411</v>
      </c>
      <c r="T4333" s="61">
        <f t="shared" ca="1" si="488"/>
        <v>10416</v>
      </c>
      <c r="U4333" s="61">
        <f t="shared" ca="1" si="489"/>
        <v>-5761.9465863604983</v>
      </c>
      <c r="V4333" s="39">
        <f t="shared" ca="1" si="490"/>
        <v>-3.7907543331319064E-2</v>
      </c>
      <c r="W4333" s="48">
        <f t="shared" ca="1" si="491"/>
        <v>-0.26908028282369523</v>
      </c>
    </row>
    <row r="4334" spans="17:23" x14ac:dyDescent="0.2">
      <c r="Q4334">
        <f t="shared" si="492"/>
        <v>4318</v>
      </c>
      <c r="R4334" s="48">
        <f t="shared" ca="1" si="493"/>
        <v>0.15</v>
      </c>
      <c r="S4334">
        <f t="shared" ca="1" si="494"/>
        <v>202.9600867326229</v>
      </c>
      <c r="T4334" s="61">
        <f t="shared" ca="1" si="488"/>
        <v>7200</v>
      </c>
      <c r="U4334" s="61">
        <f t="shared" ca="1" si="489"/>
        <v>16012.858978183571</v>
      </c>
      <c r="V4334" s="39">
        <f t="shared" ca="1" si="490"/>
        <v>0.10534775643541823</v>
      </c>
      <c r="W4334" s="48">
        <f t="shared" ca="1" si="491"/>
        <v>1.2533294226861211</v>
      </c>
    </row>
    <row r="4335" spans="17:23" x14ac:dyDescent="0.2">
      <c r="Q4335">
        <f t="shared" si="492"/>
        <v>4319</v>
      </c>
      <c r="R4335" s="48">
        <f t="shared" ca="1" si="493"/>
        <v>0.217</v>
      </c>
      <c r="S4335">
        <f t="shared" ca="1" si="494"/>
        <v>229.34384349728629</v>
      </c>
      <c r="T4335" s="61">
        <f t="shared" ca="1" si="488"/>
        <v>10416</v>
      </c>
      <c r="U4335" s="61">
        <f t="shared" ca="1" si="489"/>
        <v>35060.983566700132</v>
      </c>
      <c r="V4335" s="39">
        <f t="shared" ca="1" si="490"/>
        <v>0.2306643655703956</v>
      </c>
      <c r="W4335" s="48">
        <f t="shared" ca="1" si="491"/>
        <v>4.3843405282108892</v>
      </c>
    </row>
    <row r="4336" spans="17:23" x14ac:dyDescent="0.2">
      <c r="Q4336">
        <f t="shared" si="492"/>
        <v>4320</v>
      </c>
      <c r="R4336" s="48">
        <f t="shared" ca="1" si="493"/>
        <v>0.3</v>
      </c>
      <c r="S4336">
        <f t="shared" ca="1" si="494"/>
        <v>197.29511455158408</v>
      </c>
      <c r="T4336" s="61">
        <f t="shared" ca="1" si="488"/>
        <v>14400</v>
      </c>
      <c r="U4336" s="61">
        <f t="shared" ca="1" si="489"/>
        <v>18485.264148887083</v>
      </c>
      <c r="V4336" s="39">
        <f t="shared" ca="1" si="490"/>
        <v>0.1216135799268887</v>
      </c>
      <c r="W4336" s="48">
        <f t="shared" ca="1" si="491"/>
        <v>1.536788211467087</v>
      </c>
    </row>
    <row r="4337" spans="17:23" x14ac:dyDescent="0.2">
      <c r="Q4337">
        <f t="shared" si="492"/>
        <v>4321</v>
      </c>
      <c r="R4337" s="48">
        <f t="shared" ca="1" si="493"/>
        <v>0.35</v>
      </c>
      <c r="S4337">
        <f t="shared" ca="1" si="494"/>
        <v>176.53955577475926</v>
      </c>
      <c r="T4337" s="61">
        <f t="shared" ca="1" si="488"/>
        <v>16800</v>
      </c>
      <c r="U4337" s="61">
        <f t="shared" ca="1" si="489"/>
        <v>9800.5690028748177</v>
      </c>
      <c r="V4337" s="39">
        <f t="shared" ca="1" si="490"/>
        <v>6.4477427650492219E-2</v>
      </c>
      <c r="W4337" s="48">
        <f t="shared" ca="1" si="491"/>
        <v>0.65999513316427083</v>
      </c>
    </row>
    <row r="4338" spans="17:23" x14ac:dyDescent="0.2">
      <c r="Q4338">
        <f t="shared" si="492"/>
        <v>4322</v>
      </c>
      <c r="R4338" s="48">
        <f t="shared" ca="1" si="493"/>
        <v>0.45</v>
      </c>
      <c r="S4338">
        <f t="shared" ca="1" si="494"/>
        <v>173.15034092467667</v>
      </c>
      <c r="T4338" s="61">
        <f t="shared" ca="1" si="488"/>
        <v>21600</v>
      </c>
      <c r="U4338" s="61">
        <f t="shared" ca="1" si="489"/>
        <v>14186.150006857733</v>
      </c>
      <c r="V4338" s="39">
        <f t="shared" ca="1" si="490"/>
        <v>9.3329934255642982E-2</v>
      </c>
      <c r="W4338" s="48">
        <f t="shared" ca="1" si="491"/>
        <v>1.0621279260537468</v>
      </c>
    </row>
    <row r="4339" spans="17:23" x14ac:dyDescent="0.2">
      <c r="Q4339">
        <f t="shared" si="492"/>
        <v>4323</v>
      </c>
      <c r="R4339" s="48">
        <f t="shared" ca="1" si="493"/>
        <v>0.35</v>
      </c>
      <c r="S4339">
        <f t="shared" ca="1" si="494"/>
        <v>184.36212600742823</v>
      </c>
      <c r="T4339" s="61">
        <f t="shared" ca="1" si="488"/>
        <v>16800</v>
      </c>
      <c r="U4339" s="61">
        <f t="shared" ca="1" si="489"/>
        <v>13868.30552386268</v>
      </c>
      <c r="V4339" s="39">
        <f t="shared" ca="1" si="490"/>
        <v>9.1238852130675521E-2</v>
      </c>
      <c r="W4339" s="48">
        <f t="shared" ca="1" si="491"/>
        <v>1.030354507302051</v>
      </c>
    </row>
    <row r="4340" spans="17:23" x14ac:dyDescent="0.2">
      <c r="Q4340">
        <f t="shared" si="492"/>
        <v>4324</v>
      </c>
      <c r="R4340" s="48">
        <f t="shared" ca="1" si="493"/>
        <v>0.4</v>
      </c>
      <c r="S4340">
        <f t="shared" ca="1" si="494"/>
        <v>192.79181278330606</v>
      </c>
      <c r="T4340" s="61">
        <f t="shared" ca="1" si="488"/>
        <v>19200</v>
      </c>
      <c r="U4340" s="61">
        <f t="shared" ca="1" si="489"/>
        <v>20540.070135986905</v>
      </c>
      <c r="V4340" s="39">
        <f t="shared" ca="1" si="490"/>
        <v>0.1351320403683349</v>
      </c>
      <c r="W4340" s="48">
        <f t="shared" ca="1" si="491"/>
        <v>1.7956791212028733</v>
      </c>
    </row>
    <row r="4341" spans="17:23" x14ac:dyDescent="0.2">
      <c r="Q4341">
        <f t="shared" si="492"/>
        <v>4325</v>
      </c>
      <c r="R4341" s="48">
        <f t="shared" ca="1" si="493"/>
        <v>0.35</v>
      </c>
      <c r="S4341">
        <f t="shared" ca="1" si="494"/>
        <v>152.3963951022252</v>
      </c>
      <c r="T4341" s="61">
        <f t="shared" ca="1" si="488"/>
        <v>16800</v>
      </c>
      <c r="U4341" s="61">
        <f t="shared" ca="1" si="489"/>
        <v>-2753.874546842897</v>
      </c>
      <c r="V4341" s="39">
        <f t="shared" ca="1" si="490"/>
        <v>-1.8117595702913797E-2</v>
      </c>
      <c r="W4341" s="48">
        <f t="shared" ca="1" si="491"/>
        <v>-0.13782874610082441</v>
      </c>
    </row>
    <row r="4342" spans="17:23" x14ac:dyDescent="0.2">
      <c r="Q4342">
        <f t="shared" si="492"/>
        <v>4326</v>
      </c>
      <c r="R4342" s="48">
        <f t="shared" ca="1" si="493"/>
        <v>0.4</v>
      </c>
      <c r="S4342">
        <f t="shared" ca="1" si="494"/>
        <v>188.09448821144042</v>
      </c>
      <c r="T4342" s="61">
        <f t="shared" ca="1" si="488"/>
        <v>19200</v>
      </c>
      <c r="U4342" s="61">
        <f t="shared" ca="1" si="489"/>
        <v>18285.354341491402</v>
      </c>
      <c r="V4342" s="39">
        <f t="shared" ca="1" si="490"/>
        <v>0.12029838382560133</v>
      </c>
      <c r="W4342" s="48">
        <f t="shared" ca="1" si="491"/>
        <v>1.5127610925356558</v>
      </c>
    </row>
    <row r="4343" spans="17:23" x14ac:dyDescent="0.2">
      <c r="Q4343">
        <f t="shared" si="492"/>
        <v>4327</v>
      </c>
      <c r="R4343" s="48">
        <f t="shared" ca="1" si="493"/>
        <v>0.45</v>
      </c>
      <c r="S4343">
        <f t="shared" ca="1" si="494"/>
        <v>183.42301683577668</v>
      </c>
      <c r="T4343" s="61">
        <f t="shared" ca="1" si="488"/>
        <v>21600</v>
      </c>
      <c r="U4343" s="61">
        <f t="shared" ca="1" si="489"/>
        <v>18706.12740774174</v>
      </c>
      <c r="V4343" s="39">
        <f t="shared" ca="1" si="490"/>
        <v>0.12306662768251145</v>
      </c>
      <c r="W4343" s="48">
        <f t="shared" ca="1" si="491"/>
        <v>1.5635677022375272</v>
      </c>
    </row>
    <row r="4344" spans="17:23" x14ac:dyDescent="0.2">
      <c r="Q4344">
        <f t="shared" si="492"/>
        <v>4328</v>
      </c>
      <c r="R4344" s="48">
        <f t="shared" ca="1" si="493"/>
        <v>0.35</v>
      </c>
      <c r="S4344">
        <f t="shared" ca="1" si="494"/>
        <v>190.18116581928706</v>
      </c>
      <c r="T4344" s="61">
        <f t="shared" ca="1" si="488"/>
        <v>16800</v>
      </c>
      <c r="U4344" s="61">
        <f t="shared" ca="1" si="489"/>
        <v>16894.20622602927</v>
      </c>
      <c r="V4344" s="39">
        <f t="shared" ca="1" si="490"/>
        <v>0.11114609359229782</v>
      </c>
      <c r="W4344" s="48">
        <f t="shared" ca="1" si="491"/>
        <v>1.3510128077170216</v>
      </c>
    </row>
    <row r="4345" spans="17:23" x14ac:dyDescent="0.2">
      <c r="Q4345">
        <f t="shared" si="492"/>
        <v>4329</v>
      </c>
      <c r="R4345" s="48">
        <f t="shared" ca="1" si="493"/>
        <v>0.45</v>
      </c>
      <c r="S4345">
        <f t="shared" ca="1" si="494"/>
        <v>212.01456839636774</v>
      </c>
      <c r="T4345" s="61">
        <f t="shared" ref="T4345:T4408" ca="1" si="495">($B$8-$B$7)*($E$6*R4345)</f>
        <v>21600</v>
      </c>
      <c r="U4345" s="61">
        <f t="shared" ref="U4345:U4408" ca="1" si="496">T4345+((S4345-$B$7)*($E$6*(1-R4345)))</f>
        <v>31286.410094401806</v>
      </c>
      <c r="V4345" s="39">
        <f t="shared" ref="V4345:V4408" ca="1" si="497">U4345/$E$4</f>
        <v>0.20583164535790663</v>
      </c>
      <c r="W4345" s="48">
        <f t="shared" ref="W4345:W4408" ca="1" si="498">(1+V4345)^($J$29/$J$30)-1</f>
        <v>3.5637859817915363</v>
      </c>
    </row>
    <row r="4346" spans="17:23" x14ac:dyDescent="0.2">
      <c r="Q4346">
        <f t="shared" si="492"/>
        <v>4330</v>
      </c>
      <c r="R4346" s="48">
        <f t="shared" ca="1" si="493"/>
        <v>0.3</v>
      </c>
      <c r="S4346">
        <f t="shared" ca="1" si="494"/>
        <v>181.6547461069604</v>
      </c>
      <c r="T4346" s="61">
        <f t="shared" ca="1" si="495"/>
        <v>14400</v>
      </c>
      <c r="U4346" s="61">
        <f t="shared" ca="1" si="496"/>
        <v>9726.6578198978259</v>
      </c>
      <c r="V4346" s="39">
        <f t="shared" ca="1" si="497"/>
        <v>6.3991169867748859E-2</v>
      </c>
      <c r="W4346" s="48">
        <f t="shared" ca="1" si="498"/>
        <v>0.65385451659819172</v>
      </c>
    </row>
    <row r="4347" spans="17:23" x14ac:dyDescent="0.2">
      <c r="Q4347">
        <f t="shared" si="492"/>
        <v>4331</v>
      </c>
      <c r="R4347" s="48">
        <f t="shared" ca="1" si="493"/>
        <v>0.3</v>
      </c>
      <c r="S4347">
        <f t="shared" ca="1" si="494"/>
        <v>171.69686559745566</v>
      </c>
      <c r="T4347" s="61">
        <f t="shared" ca="1" si="495"/>
        <v>14400</v>
      </c>
      <c r="U4347" s="61">
        <f t="shared" ca="1" si="496"/>
        <v>4150.244734575168</v>
      </c>
      <c r="V4347" s="39">
        <f t="shared" ca="1" si="497"/>
        <v>2.7304241674836631E-2</v>
      </c>
      <c r="W4347" s="48">
        <f t="shared" ca="1" si="498"/>
        <v>0.24420673607341703</v>
      </c>
    </row>
    <row r="4348" spans="17:23" x14ac:dyDescent="0.2">
      <c r="Q4348">
        <f t="shared" si="492"/>
        <v>4332</v>
      </c>
      <c r="R4348" s="48">
        <f t="shared" ca="1" si="493"/>
        <v>0.3</v>
      </c>
      <c r="S4348">
        <f t="shared" ca="1" si="494"/>
        <v>195.73755436499016</v>
      </c>
      <c r="T4348" s="61">
        <f t="shared" ca="1" si="495"/>
        <v>14400</v>
      </c>
      <c r="U4348" s="61">
        <f t="shared" ca="1" si="496"/>
        <v>17613.030444394491</v>
      </c>
      <c r="V4348" s="39">
        <f t="shared" ca="1" si="497"/>
        <v>0.11587520029206902</v>
      </c>
      <c r="W4348" s="48">
        <f t="shared" ca="1" si="498"/>
        <v>1.4334119192109531</v>
      </c>
    </row>
    <row r="4349" spans="17:23" x14ac:dyDescent="0.2">
      <c r="Q4349">
        <f t="shared" si="492"/>
        <v>4333</v>
      </c>
      <c r="R4349" s="48">
        <f t="shared" ca="1" si="493"/>
        <v>0.217</v>
      </c>
      <c r="S4349">
        <f t="shared" ca="1" si="494"/>
        <v>191.35151638339488</v>
      </c>
      <c r="T4349" s="61">
        <f t="shared" ca="1" si="495"/>
        <v>10416</v>
      </c>
      <c r="U4349" s="61">
        <f t="shared" ca="1" si="496"/>
        <v>11262.589862558552</v>
      </c>
      <c r="V4349" s="39">
        <f t="shared" ca="1" si="497"/>
        <v>7.4095985937885217E-2</v>
      </c>
      <c r="W4349" s="48">
        <f t="shared" ca="1" si="498"/>
        <v>0.78564030895042847</v>
      </c>
    </row>
    <row r="4350" spans="17:23" x14ac:dyDescent="0.2">
      <c r="Q4350">
        <f t="shared" si="492"/>
        <v>4334</v>
      </c>
      <c r="R4350" s="48">
        <f t="shared" ca="1" si="493"/>
        <v>0.3</v>
      </c>
      <c r="S4350">
        <f t="shared" ca="1" si="494"/>
        <v>196.82627210261396</v>
      </c>
      <c r="T4350" s="61">
        <f t="shared" ca="1" si="495"/>
        <v>14400</v>
      </c>
      <c r="U4350" s="61">
        <f t="shared" ca="1" si="496"/>
        <v>18222.712377463817</v>
      </c>
      <c r="V4350" s="39">
        <f t="shared" ca="1" si="497"/>
        <v>0.11988626564120931</v>
      </c>
      <c r="W4350" s="48">
        <f t="shared" ca="1" si="498"/>
        <v>1.5052733374474339</v>
      </c>
    </row>
    <row r="4351" spans="17:23" x14ac:dyDescent="0.2">
      <c r="Q4351">
        <f t="shared" si="492"/>
        <v>4335</v>
      </c>
      <c r="R4351" s="48">
        <f t="shared" ca="1" si="493"/>
        <v>0.217</v>
      </c>
      <c r="S4351">
        <f t="shared" ca="1" si="494"/>
        <v>166.27007698370625</v>
      </c>
      <c r="T4351" s="61">
        <f t="shared" ca="1" si="495"/>
        <v>10416</v>
      </c>
      <c r="U4351" s="61">
        <f t="shared" ca="1" si="496"/>
        <v>-4448.4237774064059</v>
      </c>
      <c r="V4351" s="39">
        <f t="shared" ca="1" si="497"/>
        <v>-2.9265945903989513E-2</v>
      </c>
      <c r="W4351" s="48">
        <f t="shared" ca="1" si="498"/>
        <v>-0.21409723208191112</v>
      </c>
    </row>
    <row r="4352" spans="17:23" x14ac:dyDescent="0.2">
      <c r="Q4352">
        <f t="shared" si="492"/>
        <v>4336</v>
      </c>
      <c r="R4352" s="48">
        <f t="shared" ca="1" si="493"/>
        <v>0.217</v>
      </c>
      <c r="S4352">
        <f t="shared" ca="1" si="494"/>
        <v>210.53523016314597</v>
      </c>
      <c r="T4352" s="61">
        <f t="shared" ca="1" si="495"/>
        <v>10416</v>
      </c>
      <c r="U4352" s="61">
        <f t="shared" ca="1" si="496"/>
        <v>23279.268174194636</v>
      </c>
      <c r="V4352" s="39">
        <f t="shared" ca="1" si="497"/>
        <v>0.15315308009338577</v>
      </c>
      <c r="W4352" s="48">
        <f t="shared" ca="1" si="498"/>
        <v>2.176669520134817</v>
      </c>
    </row>
    <row r="4353" spans="17:23" x14ac:dyDescent="0.2">
      <c r="Q4353">
        <f t="shared" si="492"/>
        <v>4337</v>
      </c>
      <c r="R4353" s="48">
        <f t="shared" ca="1" si="493"/>
        <v>0.3</v>
      </c>
      <c r="S4353">
        <f t="shared" ca="1" si="494"/>
        <v>200.26584042593333</v>
      </c>
      <c r="T4353" s="61">
        <f t="shared" ca="1" si="495"/>
        <v>14400</v>
      </c>
      <c r="U4353" s="61">
        <f t="shared" ca="1" si="496"/>
        <v>20148.870638522669</v>
      </c>
      <c r="V4353" s="39">
        <f t="shared" ca="1" si="497"/>
        <v>0.13255835946396494</v>
      </c>
      <c r="W4353" s="48">
        <f t="shared" ca="1" si="498"/>
        <v>1.7446783206778811</v>
      </c>
    </row>
    <row r="4354" spans="17:23" x14ac:dyDescent="0.2">
      <c r="Q4354">
        <f t="shared" si="492"/>
        <v>4338</v>
      </c>
      <c r="R4354" s="48">
        <f t="shared" ca="1" si="493"/>
        <v>0.35</v>
      </c>
      <c r="S4354">
        <f t="shared" ca="1" si="494"/>
        <v>187.53515107540625</v>
      </c>
      <c r="T4354" s="61">
        <f t="shared" ca="1" si="495"/>
        <v>16800</v>
      </c>
      <c r="U4354" s="61">
        <f t="shared" ca="1" si="496"/>
        <v>15518.278559211249</v>
      </c>
      <c r="V4354" s="39">
        <f t="shared" ca="1" si="497"/>
        <v>0.1020939378895477</v>
      </c>
      <c r="W4354" s="48">
        <f t="shared" ca="1" si="498"/>
        <v>1.2000870534527959</v>
      </c>
    </row>
    <row r="4355" spans="17:23" x14ac:dyDescent="0.2">
      <c r="Q4355">
        <f t="shared" si="492"/>
        <v>4339</v>
      </c>
      <c r="R4355" s="48">
        <f t="shared" ca="1" si="493"/>
        <v>0.3</v>
      </c>
      <c r="S4355">
        <f t="shared" ca="1" si="494"/>
        <v>195.25339025874931</v>
      </c>
      <c r="T4355" s="61">
        <f t="shared" ca="1" si="495"/>
        <v>14400</v>
      </c>
      <c r="U4355" s="61">
        <f t="shared" ca="1" si="496"/>
        <v>17341.89854489961</v>
      </c>
      <c r="V4355" s="39">
        <f t="shared" ca="1" si="497"/>
        <v>0.11409143779539217</v>
      </c>
      <c r="W4355" s="48">
        <f t="shared" ca="1" si="498"/>
        <v>1.4020393545074401</v>
      </c>
    </row>
    <row r="4356" spans="17:23" x14ac:dyDescent="0.2">
      <c r="Q4356">
        <f t="shared" si="492"/>
        <v>4340</v>
      </c>
      <c r="R4356" s="48">
        <f t="shared" ca="1" si="493"/>
        <v>0.35</v>
      </c>
      <c r="S4356">
        <f t="shared" ca="1" si="494"/>
        <v>199.35869631825477</v>
      </c>
      <c r="T4356" s="61">
        <f t="shared" ca="1" si="495"/>
        <v>16800</v>
      </c>
      <c r="U4356" s="61">
        <f t="shared" ca="1" si="496"/>
        <v>21666.522085492481</v>
      </c>
      <c r="V4356" s="39">
        <f t="shared" ca="1" si="497"/>
        <v>0.14254290845718737</v>
      </c>
      <c r="W4356" s="48">
        <f t="shared" ca="1" si="498"/>
        <v>1.9472055917168039</v>
      </c>
    </row>
    <row r="4357" spans="17:23" x14ac:dyDescent="0.2">
      <c r="Q4357">
        <f t="shared" si="492"/>
        <v>4341</v>
      </c>
      <c r="R4357" s="48">
        <f t="shared" ca="1" si="493"/>
        <v>0.35</v>
      </c>
      <c r="S4357">
        <f t="shared" ca="1" si="494"/>
        <v>219.81607800434892</v>
      </c>
      <c r="T4357" s="61">
        <f t="shared" ca="1" si="495"/>
        <v>16800</v>
      </c>
      <c r="U4357" s="61">
        <f t="shared" ca="1" si="496"/>
        <v>32304.360562261441</v>
      </c>
      <c r="V4357" s="39">
        <f t="shared" ca="1" si="497"/>
        <v>0.21252868790961474</v>
      </c>
      <c r="W4357" s="48">
        <f t="shared" ca="1" si="498"/>
        <v>3.7734820583711368</v>
      </c>
    </row>
    <row r="4358" spans="17:23" x14ac:dyDescent="0.2">
      <c r="Q4358">
        <f t="shared" si="492"/>
        <v>4342</v>
      </c>
      <c r="R4358" s="48">
        <f t="shared" ca="1" si="493"/>
        <v>0.3</v>
      </c>
      <c r="S4358">
        <f t="shared" ca="1" si="494"/>
        <v>173.05839771855443</v>
      </c>
      <c r="T4358" s="61">
        <f t="shared" ca="1" si="495"/>
        <v>14400</v>
      </c>
      <c r="U4358" s="61">
        <f t="shared" ca="1" si="496"/>
        <v>4912.7027223904806</v>
      </c>
      <c r="V4358" s="39">
        <f t="shared" ca="1" si="497"/>
        <v>3.2320412647305792E-2</v>
      </c>
      <c r="W4358" s="48">
        <f t="shared" ca="1" si="498"/>
        <v>0.29434802654230552</v>
      </c>
    </row>
    <row r="4359" spans="17:23" x14ac:dyDescent="0.2">
      <c r="Q4359">
        <f t="shared" si="492"/>
        <v>4343</v>
      </c>
      <c r="R4359" s="48">
        <f t="shared" ca="1" si="493"/>
        <v>0.3</v>
      </c>
      <c r="S4359">
        <f t="shared" ca="1" si="494"/>
        <v>178.13086184008188</v>
      </c>
      <c r="T4359" s="61">
        <f t="shared" ca="1" si="495"/>
        <v>14400</v>
      </c>
      <c r="U4359" s="61">
        <f t="shared" ca="1" si="496"/>
        <v>7753.2826304458513</v>
      </c>
      <c r="V4359" s="39">
        <f t="shared" ca="1" si="497"/>
        <v>5.1008438358196392E-2</v>
      </c>
      <c r="W4359" s="48">
        <f t="shared" ca="1" si="498"/>
        <v>0.49709828387773491</v>
      </c>
    </row>
    <row r="4360" spans="17:23" x14ac:dyDescent="0.2">
      <c r="Q4360">
        <f t="shared" si="492"/>
        <v>4344</v>
      </c>
      <c r="R4360" s="48">
        <f t="shared" ca="1" si="493"/>
        <v>0.3</v>
      </c>
      <c r="S4360">
        <f t="shared" ca="1" si="494"/>
        <v>178.63177175986866</v>
      </c>
      <c r="T4360" s="61">
        <f t="shared" ca="1" si="495"/>
        <v>14400</v>
      </c>
      <c r="U4360" s="61">
        <f t="shared" ca="1" si="496"/>
        <v>8033.7921855264467</v>
      </c>
      <c r="V4360" s="39">
        <f t="shared" ca="1" si="497"/>
        <v>5.2853895957410836E-2</v>
      </c>
      <c r="W4360" s="48">
        <f t="shared" ca="1" si="498"/>
        <v>0.51855390728797035</v>
      </c>
    </row>
    <row r="4361" spans="17:23" x14ac:dyDescent="0.2">
      <c r="Q4361">
        <f t="shared" si="492"/>
        <v>4345</v>
      </c>
      <c r="R4361" s="48">
        <f t="shared" ca="1" si="493"/>
        <v>0.5</v>
      </c>
      <c r="S4361">
        <f t="shared" ca="1" si="494"/>
        <v>197.69654186271794</v>
      </c>
      <c r="T4361" s="61">
        <f t="shared" ca="1" si="495"/>
        <v>24000</v>
      </c>
      <c r="U4361" s="61">
        <f t="shared" ca="1" si="496"/>
        <v>27078.616745087173</v>
      </c>
      <c r="V4361" s="39">
        <f t="shared" ca="1" si="497"/>
        <v>0.17814879437557352</v>
      </c>
      <c r="W4361" s="48">
        <f t="shared" ca="1" si="498"/>
        <v>2.7801781920820354</v>
      </c>
    </row>
    <row r="4362" spans="17:23" x14ac:dyDescent="0.2">
      <c r="Q4362">
        <f t="shared" si="492"/>
        <v>4346</v>
      </c>
      <c r="R4362" s="48">
        <f t="shared" ca="1" si="493"/>
        <v>0.3</v>
      </c>
      <c r="S4362">
        <f t="shared" ca="1" si="494"/>
        <v>174.6503801543231</v>
      </c>
      <c r="T4362" s="61">
        <f t="shared" ca="1" si="495"/>
        <v>14400</v>
      </c>
      <c r="U4362" s="61">
        <f t="shared" ca="1" si="496"/>
        <v>5804.2128864209371</v>
      </c>
      <c r="V4362" s="39">
        <f t="shared" ca="1" si="497"/>
        <v>3.8185611094874589E-2</v>
      </c>
      <c r="W4362" s="48">
        <f t="shared" ca="1" si="498"/>
        <v>0.35521555314794773</v>
      </c>
    </row>
    <row r="4363" spans="17:23" x14ac:dyDescent="0.2">
      <c r="Q4363">
        <f t="shared" si="492"/>
        <v>4347</v>
      </c>
      <c r="R4363" s="48">
        <f t="shared" ca="1" si="493"/>
        <v>0.3</v>
      </c>
      <c r="S4363">
        <f t="shared" ca="1" si="494"/>
        <v>184.07757157778119</v>
      </c>
      <c r="T4363" s="61">
        <f t="shared" ca="1" si="495"/>
        <v>14400</v>
      </c>
      <c r="U4363" s="61">
        <f t="shared" ca="1" si="496"/>
        <v>11083.440083557463</v>
      </c>
      <c r="V4363" s="39">
        <f t="shared" ca="1" si="497"/>
        <v>7.2917368970772792E-2</v>
      </c>
      <c r="W4363" s="48">
        <f t="shared" ca="1" si="498"/>
        <v>0.76980924917375981</v>
      </c>
    </row>
    <row r="4364" spans="17:23" x14ac:dyDescent="0.2">
      <c r="Q4364">
        <f t="shared" si="492"/>
        <v>4348</v>
      </c>
      <c r="R4364" s="48">
        <f t="shared" ca="1" si="493"/>
        <v>0.15</v>
      </c>
      <c r="S4364">
        <f t="shared" ca="1" si="494"/>
        <v>206.80878619986584</v>
      </c>
      <c r="T4364" s="61">
        <f t="shared" ca="1" si="495"/>
        <v>7200</v>
      </c>
      <c r="U4364" s="61">
        <f t="shared" ca="1" si="496"/>
        <v>18629.974615908766</v>
      </c>
      <c r="V4364" s="39">
        <f t="shared" ca="1" si="497"/>
        <v>0.12256562247308399</v>
      </c>
      <c r="W4364" s="48">
        <f t="shared" ca="1" si="498"/>
        <v>1.5543063780833934</v>
      </c>
    </row>
    <row r="4365" spans="17:23" x14ac:dyDescent="0.2">
      <c r="Q4365">
        <f t="shared" si="492"/>
        <v>4349</v>
      </c>
      <c r="R4365" s="48">
        <f t="shared" ca="1" si="493"/>
        <v>0.4</v>
      </c>
      <c r="S4365">
        <f t="shared" ca="1" si="494"/>
        <v>201.58090214858214</v>
      </c>
      <c r="T4365" s="61">
        <f t="shared" ca="1" si="495"/>
        <v>19200</v>
      </c>
      <c r="U4365" s="61">
        <f t="shared" ca="1" si="496"/>
        <v>24758.833031319427</v>
      </c>
      <c r="V4365" s="39">
        <f t="shared" ca="1" si="497"/>
        <v>0.16288705941657519</v>
      </c>
      <c r="W4365" s="48">
        <f t="shared" ca="1" si="498"/>
        <v>2.4008090716766932</v>
      </c>
    </row>
    <row r="4366" spans="17:23" x14ac:dyDescent="0.2">
      <c r="Q4366">
        <f t="shared" si="492"/>
        <v>4350</v>
      </c>
      <c r="R4366" s="48">
        <f t="shared" ca="1" si="493"/>
        <v>0.3</v>
      </c>
      <c r="S4366">
        <f t="shared" ca="1" si="494"/>
        <v>197.16016290615281</v>
      </c>
      <c r="T4366" s="61">
        <f t="shared" ca="1" si="495"/>
        <v>14400</v>
      </c>
      <c r="U4366" s="61">
        <f t="shared" ca="1" si="496"/>
        <v>18409.691227445572</v>
      </c>
      <c r="V4366" s="39">
        <f t="shared" ca="1" si="497"/>
        <v>0.12111638965424719</v>
      </c>
      <c r="W4366" s="48">
        <f t="shared" ca="1" si="498"/>
        <v>1.5276815433755111</v>
      </c>
    </row>
    <row r="4367" spans="17:23" x14ac:dyDescent="0.2">
      <c r="Q4367">
        <f t="shared" si="492"/>
        <v>4351</v>
      </c>
      <c r="R4367" s="48">
        <f t="shared" ca="1" si="493"/>
        <v>0.45</v>
      </c>
      <c r="S4367">
        <f t="shared" ca="1" si="494"/>
        <v>203.57881080978245</v>
      </c>
      <c r="T4367" s="61">
        <f t="shared" ca="1" si="495"/>
        <v>21600</v>
      </c>
      <c r="U4367" s="61">
        <f t="shared" ca="1" si="496"/>
        <v>27574.676756304281</v>
      </c>
      <c r="V4367" s="39">
        <f t="shared" ca="1" si="497"/>
        <v>0.18141234708094922</v>
      </c>
      <c r="W4367" s="48">
        <f t="shared" ca="1" si="498"/>
        <v>2.8659537580353147</v>
      </c>
    </row>
    <row r="4368" spans="17:23" x14ac:dyDescent="0.2">
      <c r="Q4368">
        <f t="shared" si="492"/>
        <v>4352</v>
      </c>
      <c r="R4368" s="48">
        <f t="shared" ca="1" si="493"/>
        <v>0.3</v>
      </c>
      <c r="S4368">
        <f t="shared" ca="1" si="494"/>
        <v>173.48712264868445</v>
      </c>
      <c r="T4368" s="61">
        <f t="shared" ca="1" si="495"/>
        <v>14400</v>
      </c>
      <c r="U4368" s="61">
        <f t="shared" ca="1" si="496"/>
        <v>5152.7886832632903</v>
      </c>
      <c r="V4368" s="39">
        <f t="shared" ca="1" si="497"/>
        <v>3.3899925547784808E-2</v>
      </c>
      <c r="W4368" s="48">
        <f t="shared" ca="1" si="498"/>
        <v>0.31049918468420556</v>
      </c>
    </row>
    <row r="4369" spans="17:23" x14ac:dyDescent="0.2">
      <c r="Q4369">
        <f t="shared" si="492"/>
        <v>4353</v>
      </c>
      <c r="R4369" s="48">
        <f t="shared" ca="1" si="493"/>
        <v>0.45</v>
      </c>
      <c r="S4369">
        <f t="shared" ca="1" si="494"/>
        <v>220.9650055414867</v>
      </c>
      <c r="T4369" s="61">
        <f t="shared" ca="1" si="495"/>
        <v>21600</v>
      </c>
      <c r="U4369" s="61">
        <f t="shared" ca="1" si="496"/>
        <v>35224.602438254151</v>
      </c>
      <c r="V4369" s="39">
        <f t="shared" ca="1" si="497"/>
        <v>0.23174080551482995</v>
      </c>
      <c r="W4369" s="48">
        <f t="shared" ca="1" si="498"/>
        <v>4.4226595136692151</v>
      </c>
    </row>
    <row r="4370" spans="17:23" x14ac:dyDescent="0.2">
      <c r="Q4370">
        <f t="shared" si="492"/>
        <v>4354</v>
      </c>
      <c r="R4370" s="48">
        <f t="shared" ca="1" si="493"/>
        <v>0.45</v>
      </c>
      <c r="S4370">
        <f t="shared" ca="1" si="494"/>
        <v>239.76631128478783</v>
      </c>
      <c r="T4370" s="61">
        <f t="shared" ca="1" si="495"/>
        <v>21600</v>
      </c>
      <c r="U4370" s="61">
        <f t="shared" ca="1" si="496"/>
        <v>43497.176965306644</v>
      </c>
      <c r="V4370" s="39">
        <f t="shared" ca="1" si="497"/>
        <v>0.286165637929649</v>
      </c>
      <c r="W4370" s="48">
        <f t="shared" ca="1" si="498"/>
        <v>6.7005070047481698</v>
      </c>
    </row>
    <row r="4371" spans="17:23" x14ac:dyDescent="0.2">
      <c r="Q4371">
        <f t="shared" ref="Q4371:Q4434" si="499">Q4370+1</f>
        <v>4355</v>
      </c>
      <c r="R4371" s="48">
        <f t="shared" ref="R4371:R4434" ca="1" si="500">LOOKUP(RAND(),$U$6:$U$12,$S$6:$S$12)</f>
        <v>0.3</v>
      </c>
      <c r="S4371">
        <f t="shared" ref="S4371:S4434" ca="1" si="501">_xlfn.NORM.INV(RAND(),$Q$5,$Q$10)</f>
        <v>192.31997427119697</v>
      </c>
      <c r="T4371" s="61">
        <f t="shared" ca="1" si="495"/>
        <v>14400</v>
      </c>
      <c r="U4371" s="61">
        <f t="shared" ca="1" si="496"/>
        <v>15699.185591870302</v>
      </c>
      <c r="V4371" s="39">
        <f t="shared" ca="1" si="497"/>
        <v>0.10328411573598884</v>
      </c>
      <c r="W4371" s="48">
        <f t="shared" ca="1" si="498"/>
        <v>1.2194326223001148</v>
      </c>
    </row>
    <row r="4372" spans="17:23" x14ac:dyDescent="0.2">
      <c r="Q4372">
        <f t="shared" si="499"/>
        <v>4356</v>
      </c>
      <c r="R4372" s="48">
        <f t="shared" ca="1" si="500"/>
        <v>0.35</v>
      </c>
      <c r="S4372">
        <f t="shared" ca="1" si="501"/>
        <v>193.51455098025164</v>
      </c>
      <c r="T4372" s="61">
        <f t="shared" ca="1" si="495"/>
        <v>16800</v>
      </c>
      <c r="U4372" s="61">
        <f t="shared" ca="1" si="496"/>
        <v>18627.566509730852</v>
      </c>
      <c r="V4372" s="39">
        <f t="shared" ca="1" si="497"/>
        <v>0.12254977966928192</v>
      </c>
      <c r="W4372" s="48">
        <f t="shared" ca="1" si="498"/>
        <v>1.5540139952627121</v>
      </c>
    </row>
    <row r="4373" spans="17:23" x14ac:dyDescent="0.2">
      <c r="Q4373">
        <f t="shared" si="499"/>
        <v>4357</v>
      </c>
      <c r="R4373" s="48">
        <f t="shared" ca="1" si="500"/>
        <v>0.3</v>
      </c>
      <c r="S4373">
        <f t="shared" ca="1" si="501"/>
        <v>201.90989060829997</v>
      </c>
      <c r="T4373" s="61">
        <f t="shared" ca="1" si="495"/>
        <v>14400</v>
      </c>
      <c r="U4373" s="61">
        <f t="shared" ca="1" si="496"/>
        <v>21069.538740647986</v>
      </c>
      <c r="V4373" s="39">
        <f t="shared" ca="1" si="497"/>
        <v>0.13861538645163149</v>
      </c>
      <c r="W4373" s="48">
        <f t="shared" ca="1" si="498"/>
        <v>1.8660284859448941</v>
      </c>
    </row>
    <row r="4374" spans="17:23" x14ac:dyDescent="0.2">
      <c r="Q4374">
        <f t="shared" si="499"/>
        <v>4358</v>
      </c>
      <c r="R4374" s="48">
        <f t="shared" ca="1" si="500"/>
        <v>0.3</v>
      </c>
      <c r="S4374">
        <f t="shared" ca="1" si="501"/>
        <v>205.4065704007005</v>
      </c>
      <c r="T4374" s="61">
        <f t="shared" ca="1" si="495"/>
        <v>14400</v>
      </c>
      <c r="U4374" s="61">
        <f t="shared" ca="1" si="496"/>
        <v>23027.679424392281</v>
      </c>
      <c r="V4374" s="39">
        <f t="shared" ca="1" si="497"/>
        <v>0.15149789094994923</v>
      </c>
      <c r="W4374" s="48">
        <f t="shared" ca="1" si="498"/>
        <v>2.1398737872717351</v>
      </c>
    </row>
    <row r="4375" spans="17:23" x14ac:dyDescent="0.2">
      <c r="Q4375">
        <f t="shared" si="499"/>
        <v>4359</v>
      </c>
      <c r="R4375" s="48">
        <f t="shared" ca="1" si="500"/>
        <v>0.4</v>
      </c>
      <c r="S4375">
        <f t="shared" ca="1" si="501"/>
        <v>171.14088655439224</v>
      </c>
      <c r="T4375" s="61">
        <f t="shared" ca="1" si="495"/>
        <v>19200</v>
      </c>
      <c r="U4375" s="61">
        <f t="shared" ca="1" si="496"/>
        <v>10147.625546108275</v>
      </c>
      <c r="V4375" s="39">
        <f t="shared" ca="1" si="497"/>
        <v>6.6760694382291277E-2</v>
      </c>
      <c r="W4375" s="48">
        <f t="shared" ca="1" si="498"/>
        <v>0.68909703410876433</v>
      </c>
    </row>
    <row r="4376" spans="17:23" x14ac:dyDescent="0.2">
      <c r="Q4376">
        <f t="shared" si="499"/>
        <v>4360</v>
      </c>
      <c r="R4376" s="48">
        <f t="shared" ca="1" si="500"/>
        <v>0.4</v>
      </c>
      <c r="S4376">
        <f t="shared" ca="1" si="501"/>
        <v>208.01436806978853</v>
      </c>
      <c r="T4376" s="61">
        <f t="shared" ca="1" si="495"/>
        <v>19200</v>
      </c>
      <c r="U4376" s="61">
        <f t="shared" ca="1" si="496"/>
        <v>27846.896673498493</v>
      </c>
      <c r="V4376" s="39">
        <f t="shared" ca="1" si="497"/>
        <v>0.18320326758880587</v>
      </c>
      <c r="W4376" s="48">
        <f t="shared" ca="1" si="498"/>
        <v>2.9137455747599978</v>
      </c>
    </row>
    <row r="4377" spans="17:23" x14ac:dyDescent="0.2">
      <c r="Q4377">
        <f t="shared" si="499"/>
        <v>4361</v>
      </c>
      <c r="R4377" s="48">
        <f t="shared" ca="1" si="500"/>
        <v>0.35</v>
      </c>
      <c r="S4377">
        <f t="shared" ca="1" si="501"/>
        <v>184.75267469282636</v>
      </c>
      <c r="T4377" s="61">
        <f t="shared" ca="1" si="495"/>
        <v>16800</v>
      </c>
      <c r="U4377" s="61">
        <f t="shared" ca="1" si="496"/>
        <v>14071.390840269707</v>
      </c>
      <c r="V4377" s="39">
        <f t="shared" ca="1" si="497"/>
        <v>9.2574939738616496E-2</v>
      </c>
      <c r="W4377" s="48">
        <f t="shared" ca="1" si="498"/>
        <v>1.0506060714041108</v>
      </c>
    </row>
    <row r="4378" spans="17:23" x14ac:dyDescent="0.2">
      <c r="Q4378">
        <f t="shared" si="499"/>
        <v>4362</v>
      </c>
      <c r="R4378" s="48">
        <f t="shared" ca="1" si="500"/>
        <v>0.3</v>
      </c>
      <c r="S4378">
        <f t="shared" ca="1" si="501"/>
        <v>160.88363871284648</v>
      </c>
      <c r="T4378" s="61">
        <f t="shared" ca="1" si="495"/>
        <v>14400</v>
      </c>
      <c r="U4378" s="61">
        <f t="shared" ca="1" si="496"/>
        <v>-1905.1623208059736</v>
      </c>
      <c r="V4378" s="39">
        <f t="shared" ca="1" si="497"/>
        <v>-1.2533962636881406E-2</v>
      </c>
      <c r="W4378" s="48">
        <f t="shared" ca="1" si="498"/>
        <v>-9.7247515482437707E-2</v>
      </c>
    </row>
    <row r="4379" spans="17:23" x14ac:dyDescent="0.2">
      <c r="Q4379">
        <f t="shared" si="499"/>
        <v>4363</v>
      </c>
      <c r="R4379" s="48">
        <f t="shared" ca="1" si="500"/>
        <v>0.3</v>
      </c>
      <c r="S4379">
        <f t="shared" ca="1" si="501"/>
        <v>204.44300307568</v>
      </c>
      <c r="T4379" s="61">
        <f t="shared" ca="1" si="495"/>
        <v>14400</v>
      </c>
      <c r="U4379" s="61">
        <f t="shared" ca="1" si="496"/>
        <v>22488.081722380797</v>
      </c>
      <c r="V4379" s="39">
        <f t="shared" ca="1" si="497"/>
        <v>0.14794790606829472</v>
      </c>
      <c r="W4379" s="48">
        <f t="shared" ca="1" si="498"/>
        <v>2.0622134638863172</v>
      </c>
    </row>
    <row r="4380" spans="17:23" x14ac:dyDescent="0.2">
      <c r="Q4380">
        <f t="shared" si="499"/>
        <v>4364</v>
      </c>
      <c r="R4380" s="48">
        <f t="shared" ca="1" si="500"/>
        <v>0.35</v>
      </c>
      <c r="S4380">
        <f t="shared" ca="1" si="501"/>
        <v>187.17312282590601</v>
      </c>
      <c r="T4380" s="61">
        <f t="shared" ca="1" si="495"/>
        <v>16800</v>
      </c>
      <c r="U4380" s="61">
        <f t="shared" ca="1" si="496"/>
        <v>15330.023869471122</v>
      </c>
      <c r="V4380" s="39">
        <f t="shared" ca="1" si="497"/>
        <v>0.10085542019388896</v>
      </c>
      <c r="W4380" s="48">
        <f t="shared" ca="1" si="498"/>
        <v>1.1801128705733177</v>
      </c>
    </row>
    <row r="4381" spans="17:23" x14ac:dyDescent="0.2">
      <c r="Q4381">
        <f t="shared" si="499"/>
        <v>4365</v>
      </c>
      <c r="R4381" s="48">
        <f t="shared" ca="1" si="500"/>
        <v>0.35</v>
      </c>
      <c r="S4381">
        <f t="shared" ca="1" si="501"/>
        <v>197.33992546942343</v>
      </c>
      <c r="T4381" s="61">
        <f t="shared" ca="1" si="495"/>
        <v>16800</v>
      </c>
      <c r="U4381" s="61">
        <f t="shared" ca="1" si="496"/>
        <v>20616.761244100184</v>
      </c>
      <c r="V4381" s="39">
        <f t="shared" ca="1" si="497"/>
        <v>0.13563658713223806</v>
      </c>
      <c r="W4381" s="48">
        <f t="shared" ca="1" si="498"/>
        <v>1.805774186847604</v>
      </c>
    </row>
    <row r="4382" spans="17:23" x14ac:dyDescent="0.2">
      <c r="Q4382">
        <f t="shared" si="499"/>
        <v>4366</v>
      </c>
      <c r="R4382" s="48">
        <f t="shared" ca="1" si="500"/>
        <v>0.15</v>
      </c>
      <c r="S4382">
        <f t="shared" ca="1" si="501"/>
        <v>228.91131496059671</v>
      </c>
      <c r="T4382" s="61">
        <f t="shared" ca="1" si="495"/>
        <v>7200</v>
      </c>
      <c r="U4382" s="61">
        <f t="shared" ca="1" si="496"/>
        <v>33659.69417320576</v>
      </c>
      <c r="V4382" s="39">
        <f t="shared" ca="1" si="497"/>
        <v>0.22144535640266946</v>
      </c>
      <c r="W4382" s="48">
        <f t="shared" ca="1" si="498"/>
        <v>4.065764703973457</v>
      </c>
    </row>
    <row r="4383" spans="17:23" x14ac:dyDescent="0.2">
      <c r="Q4383">
        <f t="shared" si="499"/>
        <v>4367</v>
      </c>
      <c r="R4383" s="48">
        <f t="shared" ca="1" si="500"/>
        <v>0.45</v>
      </c>
      <c r="S4383">
        <f t="shared" ca="1" si="501"/>
        <v>177.6466986224645</v>
      </c>
      <c r="T4383" s="61">
        <f t="shared" ca="1" si="495"/>
        <v>21600</v>
      </c>
      <c r="U4383" s="61">
        <f t="shared" ca="1" si="496"/>
        <v>16164.547393884379</v>
      </c>
      <c r="V4383" s="39">
        <f t="shared" ca="1" si="497"/>
        <v>0.10634570653871302</v>
      </c>
      <c r="W4383" s="48">
        <f t="shared" ca="1" si="498"/>
        <v>1.2698836678338039</v>
      </c>
    </row>
    <row r="4384" spans="17:23" x14ac:dyDescent="0.2">
      <c r="Q4384">
        <f t="shared" si="499"/>
        <v>4368</v>
      </c>
      <c r="R4384" s="48">
        <f t="shared" ca="1" si="500"/>
        <v>0.45</v>
      </c>
      <c r="S4384">
        <f t="shared" ca="1" si="501"/>
        <v>167.64300042413691</v>
      </c>
      <c r="T4384" s="61">
        <f t="shared" ca="1" si="495"/>
        <v>21600</v>
      </c>
      <c r="U4384" s="61">
        <f t="shared" ca="1" si="496"/>
        <v>11762.920186620242</v>
      </c>
      <c r="V4384" s="39">
        <f t="shared" ca="1" si="497"/>
        <v>7.7387632806712112E-2</v>
      </c>
      <c r="W4384" s="48">
        <f t="shared" ca="1" si="498"/>
        <v>0.83051282317363206</v>
      </c>
    </row>
    <row r="4385" spans="17:23" x14ac:dyDescent="0.2">
      <c r="Q4385">
        <f t="shared" si="499"/>
        <v>4369</v>
      </c>
      <c r="R4385" s="48">
        <f t="shared" ca="1" si="500"/>
        <v>0.5</v>
      </c>
      <c r="S4385">
        <f t="shared" ca="1" si="501"/>
        <v>190.18298085462916</v>
      </c>
      <c r="T4385" s="61">
        <f t="shared" ca="1" si="495"/>
        <v>24000</v>
      </c>
      <c r="U4385" s="61">
        <f t="shared" ca="1" si="496"/>
        <v>24073.192341851667</v>
      </c>
      <c r="V4385" s="39">
        <f t="shared" ca="1" si="497"/>
        <v>0.15837626540691888</v>
      </c>
      <c r="W4385" s="48">
        <f t="shared" ca="1" si="498"/>
        <v>2.2952745877992444</v>
      </c>
    </row>
    <row r="4386" spans="17:23" x14ac:dyDescent="0.2">
      <c r="Q4386">
        <f t="shared" si="499"/>
        <v>4370</v>
      </c>
      <c r="R4386" s="48">
        <f t="shared" ca="1" si="500"/>
        <v>0.45</v>
      </c>
      <c r="S4386">
        <f t="shared" ca="1" si="501"/>
        <v>175.30264145040309</v>
      </c>
      <c r="T4386" s="61">
        <f t="shared" ca="1" si="495"/>
        <v>21600</v>
      </c>
      <c r="U4386" s="61">
        <f t="shared" ca="1" si="496"/>
        <v>15133.162238177358</v>
      </c>
      <c r="V4386" s="39">
        <f t="shared" ca="1" si="497"/>
        <v>9.9560277882745768E-2</v>
      </c>
      <c r="W4386" s="48">
        <f t="shared" ca="1" si="498"/>
        <v>1.1593957015665626</v>
      </c>
    </row>
    <row r="4387" spans="17:23" x14ac:dyDescent="0.2">
      <c r="Q4387">
        <f t="shared" si="499"/>
        <v>4371</v>
      </c>
      <c r="R4387" s="48">
        <f t="shared" ca="1" si="500"/>
        <v>0.45</v>
      </c>
      <c r="S4387">
        <f t="shared" ca="1" si="501"/>
        <v>183.09305366116584</v>
      </c>
      <c r="T4387" s="61">
        <f t="shared" ca="1" si="495"/>
        <v>21600</v>
      </c>
      <c r="U4387" s="61">
        <f t="shared" ca="1" si="496"/>
        <v>18560.943610912967</v>
      </c>
      <c r="V4387" s="39">
        <f t="shared" ca="1" si="497"/>
        <v>0.12211147112442741</v>
      </c>
      <c r="W4387" s="48">
        <f t="shared" ca="1" si="498"/>
        <v>1.5459365302798522</v>
      </c>
    </row>
    <row r="4388" spans="17:23" x14ac:dyDescent="0.2">
      <c r="Q4388">
        <f t="shared" si="499"/>
        <v>4372</v>
      </c>
      <c r="R4388" s="48">
        <f t="shared" ca="1" si="500"/>
        <v>0.45</v>
      </c>
      <c r="S4388">
        <f t="shared" ca="1" si="501"/>
        <v>204.58411721197655</v>
      </c>
      <c r="T4388" s="61">
        <f t="shared" ca="1" si="495"/>
        <v>21600</v>
      </c>
      <c r="U4388" s="61">
        <f t="shared" ca="1" si="496"/>
        <v>28017.01157326968</v>
      </c>
      <c r="V4388" s="39">
        <f t="shared" ca="1" si="497"/>
        <v>0.18432244456098473</v>
      </c>
      <c r="W4388" s="48">
        <f t="shared" ca="1" si="498"/>
        <v>2.9438737828879669</v>
      </c>
    </row>
    <row r="4389" spans="17:23" x14ac:dyDescent="0.2">
      <c r="Q4389">
        <f t="shared" si="499"/>
        <v>4373</v>
      </c>
      <c r="R4389" s="48">
        <f t="shared" ca="1" si="500"/>
        <v>0.5</v>
      </c>
      <c r="S4389">
        <f t="shared" ca="1" si="501"/>
        <v>189.20841177743051</v>
      </c>
      <c r="T4389" s="61">
        <f t="shared" ca="1" si="495"/>
        <v>24000</v>
      </c>
      <c r="U4389" s="61">
        <f t="shared" ca="1" si="496"/>
        <v>23683.364710972204</v>
      </c>
      <c r="V4389" s="39">
        <f t="shared" ca="1" si="497"/>
        <v>0.15581160994060661</v>
      </c>
      <c r="W4389" s="48">
        <f t="shared" ca="1" si="498"/>
        <v>2.2365615529366503</v>
      </c>
    </row>
    <row r="4390" spans="17:23" x14ac:dyDescent="0.2">
      <c r="Q4390">
        <f t="shared" si="499"/>
        <v>4374</v>
      </c>
      <c r="R4390" s="48">
        <f t="shared" ca="1" si="500"/>
        <v>0.4</v>
      </c>
      <c r="S4390">
        <f t="shared" ca="1" si="501"/>
        <v>185.77088826928792</v>
      </c>
      <c r="T4390" s="61">
        <f t="shared" ca="1" si="495"/>
        <v>19200</v>
      </c>
      <c r="U4390" s="61">
        <f t="shared" ca="1" si="496"/>
        <v>17170.026369258201</v>
      </c>
      <c r="V4390" s="39">
        <f t="shared" ca="1" si="497"/>
        <v>0.11296069979775132</v>
      </c>
      <c r="W4390" s="48">
        <f t="shared" ca="1" si="498"/>
        <v>1.382336243615776</v>
      </c>
    </row>
    <row r="4391" spans="17:23" x14ac:dyDescent="0.2">
      <c r="Q4391">
        <f t="shared" si="499"/>
        <v>4375</v>
      </c>
      <c r="R4391" s="48">
        <f t="shared" ca="1" si="500"/>
        <v>0.15</v>
      </c>
      <c r="S4391">
        <f t="shared" ca="1" si="501"/>
        <v>174.7626659739187</v>
      </c>
      <c r="T4391" s="61">
        <f t="shared" ca="1" si="495"/>
        <v>7200</v>
      </c>
      <c r="U4391" s="61">
        <f t="shared" ca="1" si="496"/>
        <v>-3161.3871377352843</v>
      </c>
      <c r="V4391" s="39">
        <f t="shared" ca="1" si="497"/>
        <v>-2.0798599590363714E-2</v>
      </c>
      <c r="W4391" s="48">
        <f t="shared" ca="1" si="498"/>
        <v>-0.15673905272768085</v>
      </c>
    </row>
    <row r="4392" spans="17:23" x14ac:dyDescent="0.2">
      <c r="Q4392">
        <f t="shared" si="499"/>
        <v>4376</v>
      </c>
      <c r="R4392" s="48">
        <f t="shared" ca="1" si="500"/>
        <v>0.3</v>
      </c>
      <c r="S4392">
        <f t="shared" ca="1" si="501"/>
        <v>198.69462798900656</v>
      </c>
      <c r="T4392" s="61">
        <f t="shared" ca="1" si="495"/>
        <v>14400</v>
      </c>
      <c r="U4392" s="61">
        <f t="shared" ca="1" si="496"/>
        <v>19268.991673843673</v>
      </c>
      <c r="V4392" s="39">
        <f t="shared" ca="1" si="497"/>
        <v>0.126769682064761</v>
      </c>
      <c r="W4392" s="48">
        <f t="shared" ca="1" si="498"/>
        <v>1.6329383174110341</v>
      </c>
    </row>
    <row r="4393" spans="17:23" x14ac:dyDescent="0.2">
      <c r="Q4393">
        <f t="shared" si="499"/>
        <v>4377</v>
      </c>
      <c r="R4393" s="48">
        <f t="shared" ca="1" si="500"/>
        <v>0.35</v>
      </c>
      <c r="S4393">
        <f t="shared" ca="1" si="501"/>
        <v>176.29340125617219</v>
      </c>
      <c r="T4393" s="61">
        <f t="shared" ca="1" si="495"/>
        <v>16800</v>
      </c>
      <c r="U4393" s="61">
        <f t="shared" ca="1" si="496"/>
        <v>9672.5686532095388</v>
      </c>
      <c r="V4393" s="39">
        <f t="shared" ca="1" si="497"/>
        <v>6.3635320086904854E-2</v>
      </c>
      <c r="W4393" s="48">
        <f t="shared" ca="1" si="498"/>
        <v>0.649373361894652</v>
      </c>
    </row>
    <row r="4394" spans="17:23" x14ac:dyDescent="0.2">
      <c r="Q4394">
        <f t="shared" si="499"/>
        <v>4378</v>
      </c>
      <c r="R4394" s="48">
        <f t="shared" ca="1" si="500"/>
        <v>0.4</v>
      </c>
      <c r="S4394">
        <f t="shared" ca="1" si="501"/>
        <v>190.16919100264721</v>
      </c>
      <c r="T4394" s="61">
        <f t="shared" ca="1" si="495"/>
        <v>19200</v>
      </c>
      <c r="U4394" s="61">
        <f t="shared" ca="1" si="496"/>
        <v>19281.211681270659</v>
      </c>
      <c r="V4394" s="39">
        <f t="shared" ca="1" si="497"/>
        <v>0.12685007685046487</v>
      </c>
      <c r="W4394" s="48">
        <f t="shared" ca="1" si="498"/>
        <v>1.6344624541857207</v>
      </c>
    </row>
    <row r="4395" spans="17:23" x14ac:dyDescent="0.2">
      <c r="Q4395">
        <f t="shared" si="499"/>
        <v>4379</v>
      </c>
      <c r="R4395" s="48">
        <f t="shared" ca="1" si="500"/>
        <v>0.35</v>
      </c>
      <c r="S4395">
        <f t="shared" ca="1" si="501"/>
        <v>185.98629284474723</v>
      </c>
      <c r="T4395" s="61">
        <f t="shared" ca="1" si="495"/>
        <v>16800</v>
      </c>
      <c r="U4395" s="61">
        <f t="shared" ca="1" si="496"/>
        <v>14712.872279268558</v>
      </c>
      <c r="V4395" s="39">
        <f t="shared" ca="1" si="497"/>
        <v>9.679521236360894E-2</v>
      </c>
      <c r="W4395" s="48">
        <f t="shared" ca="1" si="498"/>
        <v>1.1157422675730762</v>
      </c>
    </row>
    <row r="4396" spans="17:23" x14ac:dyDescent="0.2">
      <c r="Q4396">
        <f t="shared" si="499"/>
        <v>4380</v>
      </c>
      <c r="R4396" s="48">
        <f t="shared" ca="1" si="500"/>
        <v>0.217</v>
      </c>
      <c r="S4396">
        <f t="shared" ca="1" si="501"/>
        <v>150.12802983871583</v>
      </c>
      <c r="T4396" s="61">
        <f t="shared" ca="1" si="495"/>
        <v>10416</v>
      </c>
      <c r="U4396" s="61">
        <f t="shared" ca="1" si="496"/>
        <v>-14559.802109028402</v>
      </c>
      <c r="V4396" s="39">
        <f t="shared" ca="1" si="497"/>
        <v>-9.57881717699237E-2</v>
      </c>
      <c r="W4396" s="48">
        <f t="shared" ca="1" si="498"/>
        <v>-0.55812177340062097</v>
      </c>
    </row>
    <row r="4397" spans="17:23" x14ac:dyDescent="0.2">
      <c r="Q4397">
        <f t="shared" si="499"/>
        <v>4381</v>
      </c>
      <c r="R4397" s="48">
        <f t="shared" ca="1" si="500"/>
        <v>0.45</v>
      </c>
      <c r="S4397">
        <f t="shared" ca="1" si="501"/>
        <v>178.42012432797824</v>
      </c>
      <c r="T4397" s="61">
        <f t="shared" ca="1" si="495"/>
        <v>21600</v>
      </c>
      <c r="U4397" s="61">
        <f t="shared" ca="1" si="496"/>
        <v>16504.854704310426</v>
      </c>
      <c r="V4397" s="39">
        <f t="shared" ca="1" si="497"/>
        <v>0.10858457042309491</v>
      </c>
      <c r="W4397" s="48">
        <f t="shared" ca="1" si="498"/>
        <v>1.3074109632997106</v>
      </c>
    </row>
    <row r="4398" spans="17:23" x14ac:dyDescent="0.2">
      <c r="Q4398">
        <f t="shared" si="499"/>
        <v>4382</v>
      </c>
      <c r="R4398" s="48">
        <f t="shared" ca="1" si="500"/>
        <v>0.3</v>
      </c>
      <c r="S4398">
        <f t="shared" ca="1" si="501"/>
        <v>158.15645188162244</v>
      </c>
      <c r="T4398" s="61">
        <f t="shared" ca="1" si="495"/>
        <v>14400</v>
      </c>
      <c r="U4398" s="61">
        <f t="shared" ca="1" si="496"/>
        <v>-3432.3869462914299</v>
      </c>
      <c r="V4398" s="39">
        <f t="shared" ca="1" si="497"/>
        <v>-2.2581493067706775E-2</v>
      </c>
      <c r="W4398" s="48">
        <f t="shared" ca="1" si="498"/>
        <v>-0.16911235134376401</v>
      </c>
    </row>
    <row r="4399" spans="17:23" x14ac:dyDescent="0.2">
      <c r="Q4399">
        <f t="shared" si="499"/>
        <v>4383</v>
      </c>
      <c r="R4399" s="48">
        <f t="shared" ca="1" si="500"/>
        <v>0.35</v>
      </c>
      <c r="S4399">
        <f t="shared" ca="1" si="501"/>
        <v>174.00834132984218</v>
      </c>
      <c r="T4399" s="61">
        <f t="shared" ca="1" si="495"/>
        <v>16800</v>
      </c>
      <c r="U4399" s="61">
        <f t="shared" ca="1" si="496"/>
        <v>8484.3374915179338</v>
      </c>
      <c r="V4399" s="39">
        <f t="shared" ca="1" si="497"/>
        <v>5.5818009812617989E-2</v>
      </c>
      <c r="W4399" s="48">
        <f t="shared" ca="1" si="498"/>
        <v>0.55357968482413922</v>
      </c>
    </row>
    <row r="4400" spans="17:23" x14ac:dyDescent="0.2">
      <c r="Q4400">
        <f t="shared" si="499"/>
        <v>4384</v>
      </c>
      <c r="R4400" s="48">
        <f t="shared" ca="1" si="500"/>
        <v>0.15</v>
      </c>
      <c r="S4400">
        <f t="shared" ca="1" si="501"/>
        <v>188.58342978635415</v>
      </c>
      <c r="T4400" s="61">
        <f t="shared" ca="1" si="495"/>
        <v>7200</v>
      </c>
      <c r="U4400" s="61">
        <f t="shared" ca="1" si="496"/>
        <v>6236.7322547208187</v>
      </c>
      <c r="V4400" s="39">
        <f t="shared" ca="1" si="497"/>
        <v>4.1031133254742225E-2</v>
      </c>
      <c r="W4400" s="48">
        <f t="shared" ca="1" si="498"/>
        <v>0.38563918176047629</v>
      </c>
    </row>
    <row r="4401" spans="17:23" x14ac:dyDescent="0.2">
      <c r="Q4401">
        <f t="shared" si="499"/>
        <v>4385</v>
      </c>
      <c r="R4401" s="48">
        <f t="shared" ca="1" si="500"/>
        <v>0.35</v>
      </c>
      <c r="S4401">
        <f t="shared" ca="1" si="501"/>
        <v>175.33117288931589</v>
      </c>
      <c r="T4401" s="61">
        <f t="shared" ca="1" si="495"/>
        <v>16800</v>
      </c>
      <c r="U4401" s="61">
        <f t="shared" ca="1" si="496"/>
        <v>9172.209902444265</v>
      </c>
      <c r="V4401" s="39">
        <f t="shared" ca="1" si="497"/>
        <v>6.0343486200291216E-2</v>
      </c>
      <c r="W4401" s="48">
        <f t="shared" ca="1" si="498"/>
        <v>0.60842190630204795</v>
      </c>
    </row>
    <row r="4402" spans="17:23" x14ac:dyDescent="0.2">
      <c r="Q4402">
        <f t="shared" si="499"/>
        <v>4386</v>
      </c>
      <c r="R4402" s="48">
        <f t="shared" ca="1" si="500"/>
        <v>0.217</v>
      </c>
      <c r="S4402">
        <f t="shared" ca="1" si="501"/>
        <v>185.13537220608271</v>
      </c>
      <c r="T4402" s="61">
        <f t="shared" ca="1" si="495"/>
        <v>10416</v>
      </c>
      <c r="U4402" s="61">
        <f t="shared" ca="1" si="496"/>
        <v>7368.7971498902079</v>
      </c>
      <c r="V4402" s="39">
        <f t="shared" ca="1" si="497"/>
        <v>4.8478928617698737E-2</v>
      </c>
      <c r="W4402" s="48">
        <f t="shared" ca="1" si="498"/>
        <v>0.46812172903412907</v>
      </c>
    </row>
    <row r="4403" spans="17:23" x14ac:dyDescent="0.2">
      <c r="Q4403">
        <f t="shared" si="499"/>
        <v>4387</v>
      </c>
      <c r="R4403" s="48">
        <f t="shared" ca="1" si="500"/>
        <v>0.217</v>
      </c>
      <c r="S4403">
        <f t="shared" ca="1" si="501"/>
        <v>200.74476020480176</v>
      </c>
      <c r="T4403" s="61">
        <f t="shared" ca="1" si="495"/>
        <v>10416</v>
      </c>
      <c r="U4403" s="61">
        <f t="shared" ca="1" si="496"/>
        <v>17146.517792287825</v>
      </c>
      <c r="V4403" s="39">
        <f t="shared" ca="1" si="497"/>
        <v>0.11280603810715674</v>
      </c>
      <c r="W4403" s="48">
        <f t="shared" ca="1" si="498"/>
        <v>1.37965231007502</v>
      </c>
    </row>
    <row r="4404" spans="17:23" x14ac:dyDescent="0.2">
      <c r="Q4404">
        <f t="shared" si="499"/>
        <v>4388</v>
      </c>
      <c r="R4404" s="48">
        <f t="shared" ca="1" si="500"/>
        <v>0.35</v>
      </c>
      <c r="S4404">
        <f t="shared" ca="1" si="501"/>
        <v>190.31827169130662</v>
      </c>
      <c r="T4404" s="61">
        <f t="shared" ca="1" si="495"/>
        <v>16800</v>
      </c>
      <c r="U4404" s="61">
        <f t="shared" ca="1" si="496"/>
        <v>16965.501279479442</v>
      </c>
      <c r="V4404" s="39">
        <f t="shared" ca="1" si="497"/>
        <v>0.11161513999657528</v>
      </c>
      <c r="W4404" s="48">
        <f t="shared" ca="1" si="498"/>
        <v>1.3590746054441052</v>
      </c>
    </row>
    <row r="4405" spans="17:23" x14ac:dyDescent="0.2">
      <c r="Q4405">
        <f t="shared" si="499"/>
        <v>4389</v>
      </c>
      <c r="R4405" s="48">
        <f t="shared" ca="1" si="500"/>
        <v>0.45</v>
      </c>
      <c r="S4405">
        <f t="shared" ca="1" si="501"/>
        <v>197.98279885689468</v>
      </c>
      <c r="T4405" s="61">
        <f t="shared" ca="1" si="495"/>
        <v>21600</v>
      </c>
      <c r="U4405" s="61">
        <f t="shared" ca="1" si="496"/>
        <v>25112.431497033656</v>
      </c>
      <c r="V4405" s="39">
        <f t="shared" ca="1" si="497"/>
        <v>0.16521336511206353</v>
      </c>
      <c r="W4405" s="48">
        <f t="shared" ca="1" si="498"/>
        <v>2.4563844549356904</v>
      </c>
    </row>
    <row r="4406" spans="17:23" x14ac:dyDescent="0.2">
      <c r="Q4406">
        <f t="shared" si="499"/>
        <v>4390</v>
      </c>
      <c r="R4406" s="48">
        <f t="shared" ca="1" si="500"/>
        <v>0.35</v>
      </c>
      <c r="S4406">
        <f t="shared" ca="1" si="501"/>
        <v>203.35415559681226</v>
      </c>
      <c r="T4406" s="61">
        <f t="shared" ca="1" si="495"/>
        <v>16800</v>
      </c>
      <c r="U4406" s="61">
        <f t="shared" ca="1" si="496"/>
        <v>23744.160910342376</v>
      </c>
      <c r="V4406" s="39">
        <f t="shared" ca="1" si="497"/>
        <v>0.156211584936463</v>
      </c>
      <c r="W4406" s="48">
        <f t="shared" ca="1" si="498"/>
        <v>2.2456574266900802</v>
      </c>
    </row>
    <row r="4407" spans="17:23" x14ac:dyDescent="0.2">
      <c r="Q4407">
        <f t="shared" si="499"/>
        <v>4391</v>
      </c>
      <c r="R4407" s="48">
        <f t="shared" ca="1" si="500"/>
        <v>0.35</v>
      </c>
      <c r="S4407">
        <f t="shared" ca="1" si="501"/>
        <v>199.65856310307512</v>
      </c>
      <c r="T4407" s="61">
        <f t="shared" ca="1" si="495"/>
        <v>16800</v>
      </c>
      <c r="U4407" s="61">
        <f t="shared" ca="1" si="496"/>
        <v>21822.452813599066</v>
      </c>
      <c r="V4407" s="39">
        <f t="shared" ca="1" si="497"/>
        <v>0.14356876851052017</v>
      </c>
      <c r="W4407" s="48">
        <f t="shared" ca="1" si="498"/>
        <v>1.9687380277311353</v>
      </c>
    </row>
    <row r="4408" spans="17:23" x14ac:dyDescent="0.2">
      <c r="Q4408">
        <f t="shared" si="499"/>
        <v>4392</v>
      </c>
      <c r="R4408" s="48">
        <f t="shared" ca="1" si="500"/>
        <v>0.45</v>
      </c>
      <c r="S4408">
        <f t="shared" ca="1" si="501"/>
        <v>164.17446113684673</v>
      </c>
      <c r="T4408" s="61">
        <f t="shared" ca="1" si="495"/>
        <v>21600</v>
      </c>
      <c r="U4408" s="61">
        <f t="shared" ca="1" si="496"/>
        <v>10236.76290021256</v>
      </c>
      <c r="V4408" s="39">
        <f t="shared" ca="1" si="497"/>
        <v>6.7347124343503678E-2</v>
      </c>
      <c r="W4408" s="48">
        <f t="shared" ca="1" si="498"/>
        <v>0.69664331706759541</v>
      </c>
    </row>
    <row r="4409" spans="17:23" x14ac:dyDescent="0.2">
      <c r="Q4409">
        <f t="shared" si="499"/>
        <v>4393</v>
      </c>
      <c r="R4409" s="48">
        <f t="shared" ca="1" si="500"/>
        <v>0.35</v>
      </c>
      <c r="S4409">
        <f t="shared" ca="1" si="501"/>
        <v>209.09444531789273</v>
      </c>
      <c r="T4409" s="61">
        <f t="shared" ref="T4409:T4472" ca="1" si="502">($B$8-$B$7)*($E$6*R4409)</f>
        <v>16800</v>
      </c>
      <c r="U4409" s="61">
        <f t="shared" ref="U4409:U4472" ca="1" si="503">T4409+((S4409-$B$7)*($E$6*(1-R4409)))</f>
        <v>26729.111565304222</v>
      </c>
      <c r="V4409" s="39">
        <f t="shared" ref="V4409:V4472" ca="1" si="504">U4409/$E$4</f>
        <v>0.17584941819279093</v>
      </c>
      <c r="W4409" s="48">
        <f t="shared" ref="W4409:W4472" ca="1" si="505">(1+V4409)^($J$29/$J$30)-1</f>
        <v>2.7207502998955806</v>
      </c>
    </row>
    <row r="4410" spans="17:23" x14ac:dyDescent="0.2">
      <c r="Q4410">
        <f t="shared" si="499"/>
        <v>4394</v>
      </c>
      <c r="R4410" s="48">
        <f t="shared" ca="1" si="500"/>
        <v>0.3</v>
      </c>
      <c r="S4410">
        <f t="shared" ca="1" si="501"/>
        <v>192.34409418069444</v>
      </c>
      <c r="T4410" s="61">
        <f t="shared" ca="1" si="502"/>
        <v>14400</v>
      </c>
      <c r="U4410" s="61">
        <f t="shared" ca="1" si="503"/>
        <v>15712.692741188886</v>
      </c>
      <c r="V4410" s="39">
        <f t="shared" ca="1" si="504"/>
        <v>0.1033729785604532</v>
      </c>
      <c r="W4410" s="48">
        <f t="shared" ca="1" si="505"/>
        <v>1.220882994405315</v>
      </c>
    </row>
    <row r="4411" spans="17:23" x14ac:dyDescent="0.2">
      <c r="Q4411">
        <f t="shared" si="499"/>
        <v>4395</v>
      </c>
      <c r="R4411" s="48">
        <f t="shared" ca="1" si="500"/>
        <v>0.3</v>
      </c>
      <c r="S4411">
        <f t="shared" ca="1" si="501"/>
        <v>187.04468866140624</v>
      </c>
      <c r="T4411" s="61">
        <f t="shared" ca="1" si="502"/>
        <v>14400</v>
      </c>
      <c r="U4411" s="61">
        <f t="shared" ca="1" si="503"/>
        <v>12745.025650387495</v>
      </c>
      <c r="V4411" s="39">
        <f t="shared" ca="1" si="504"/>
        <v>8.3848852963075621E-2</v>
      </c>
      <c r="W4411" s="48">
        <f t="shared" ca="1" si="505"/>
        <v>0.92147700837580748</v>
      </c>
    </row>
    <row r="4412" spans="17:23" x14ac:dyDescent="0.2">
      <c r="Q4412">
        <f t="shared" si="499"/>
        <v>4396</v>
      </c>
      <c r="R4412" s="48">
        <f t="shared" ca="1" si="500"/>
        <v>0.45</v>
      </c>
      <c r="S4412">
        <f t="shared" ca="1" si="501"/>
        <v>189.92896089545954</v>
      </c>
      <c r="T4412" s="61">
        <f t="shared" ca="1" si="502"/>
        <v>21600</v>
      </c>
      <c r="U4412" s="61">
        <f t="shared" ca="1" si="503"/>
        <v>21568.742794002199</v>
      </c>
      <c r="V4412" s="39">
        <f t="shared" ca="1" si="504"/>
        <v>0.14189962364475131</v>
      </c>
      <c r="W4412" s="48">
        <f t="shared" ca="1" si="505"/>
        <v>1.9337732329359594</v>
      </c>
    </row>
    <row r="4413" spans="17:23" x14ac:dyDescent="0.2">
      <c r="Q4413">
        <f t="shared" si="499"/>
        <v>4397</v>
      </c>
      <c r="R4413" s="48">
        <f t="shared" ca="1" si="500"/>
        <v>0.35</v>
      </c>
      <c r="S4413">
        <f t="shared" ca="1" si="501"/>
        <v>188.82723875163074</v>
      </c>
      <c r="T4413" s="61">
        <f t="shared" ca="1" si="502"/>
        <v>16800</v>
      </c>
      <c r="U4413" s="61">
        <f t="shared" ca="1" si="503"/>
        <v>16190.164150847988</v>
      </c>
      <c r="V4413" s="39">
        <f t="shared" ca="1" si="504"/>
        <v>0.10651423783452624</v>
      </c>
      <c r="W4413" s="48">
        <f t="shared" ca="1" si="505"/>
        <v>1.2726898049566997</v>
      </c>
    </row>
    <row r="4414" spans="17:23" x14ac:dyDescent="0.2">
      <c r="Q4414">
        <f t="shared" si="499"/>
        <v>4398</v>
      </c>
      <c r="R4414" s="48">
        <f t="shared" ca="1" si="500"/>
        <v>0.35</v>
      </c>
      <c r="S4414">
        <f t="shared" ca="1" si="501"/>
        <v>159.12498031774641</v>
      </c>
      <c r="T4414" s="61">
        <f t="shared" ca="1" si="502"/>
        <v>16800</v>
      </c>
      <c r="U4414" s="61">
        <f t="shared" ca="1" si="503"/>
        <v>744.98976522813064</v>
      </c>
      <c r="V4414" s="39">
        <f t="shared" ca="1" si="504"/>
        <v>4.9012484554482282E-3</v>
      </c>
      <c r="W4414" s="48">
        <f t="shared" ca="1" si="505"/>
        <v>4.0454320560737944E-2</v>
      </c>
    </row>
    <row r="4415" spans="17:23" x14ac:dyDescent="0.2">
      <c r="Q4415">
        <f t="shared" si="499"/>
        <v>4399</v>
      </c>
      <c r="R4415" s="48">
        <f t="shared" ca="1" si="500"/>
        <v>0.4</v>
      </c>
      <c r="S4415">
        <f t="shared" ca="1" si="501"/>
        <v>187.1152816674163</v>
      </c>
      <c r="T4415" s="61">
        <f t="shared" ca="1" si="502"/>
        <v>19200</v>
      </c>
      <c r="U4415" s="61">
        <f t="shared" ca="1" si="503"/>
        <v>17815.335200359823</v>
      </c>
      <c r="V4415" s="39">
        <f t="shared" ca="1" si="504"/>
        <v>0.11720615263394621</v>
      </c>
      <c r="W4415" s="48">
        <f t="shared" ca="1" si="505"/>
        <v>1.4570539736438732</v>
      </c>
    </row>
    <row r="4416" spans="17:23" x14ac:dyDescent="0.2">
      <c r="Q4416">
        <f t="shared" si="499"/>
        <v>4400</v>
      </c>
      <c r="R4416" s="48">
        <f t="shared" ca="1" si="500"/>
        <v>0.4</v>
      </c>
      <c r="S4416">
        <f t="shared" ca="1" si="501"/>
        <v>198.30796483427861</v>
      </c>
      <c r="T4416" s="61">
        <f t="shared" ca="1" si="502"/>
        <v>19200</v>
      </c>
      <c r="U4416" s="61">
        <f t="shared" ca="1" si="503"/>
        <v>23187.82312045373</v>
      </c>
      <c r="V4416" s="39">
        <f t="shared" ca="1" si="504"/>
        <v>0.15255146789772189</v>
      </c>
      <c r="W4416" s="48">
        <f t="shared" ca="1" si="505"/>
        <v>2.1632518670093304</v>
      </c>
    </row>
    <row r="4417" spans="17:23" x14ac:dyDescent="0.2">
      <c r="Q4417">
        <f t="shared" si="499"/>
        <v>4401</v>
      </c>
      <c r="R4417" s="48">
        <f t="shared" ca="1" si="500"/>
        <v>0.45</v>
      </c>
      <c r="S4417">
        <f t="shared" ca="1" si="501"/>
        <v>195.93357891405466</v>
      </c>
      <c r="T4417" s="61">
        <f t="shared" ca="1" si="502"/>
        <v>21600</v>
      </c>
      <c r="U4417" s="61">
        <f t="shared" ca="1" si="503"/>
        <v>24210.774722184051</v>
      </c>
      <c r="V4417" s="39">
        <f t="shared" ca="1" si="504"/>
        <v>0.1592814126459477</v>
      </c>
      <c r="W4417" s="48">
        <f t="shared" ca="1" si="505"/>
        <v>2.3162180452683363</v>
      </c>
    </row>
    <row r="4418" spans="17:23" x14ac:dyDescent="0.2">
      <c r="Q4418">
        <f t="shared" si="499"/>
        <v>4402</v>
      </c>
      <c r="R4418" s="48">
        <f t="shared" ca="1" si="500"/>
        <v>0.217</v>
      </c>
      <c r="S4418">
        <f t="shared" ca="1" si="501"/>
        <v>169.26779397476972</v>
      </c>
      <c r="T4418" s="61">
        <f t="shared" ca="1" si="502"/>
        <v>10416</v>
      </c>
      <c r="U4418" s="61">
        <f t="shared" ca="1" si="503"/>
        <v>-2570.653854204249</v>
      </c>
      <c r="V4418" s="39">
        <f t="shared" ca="1" si="504"/>
        <v>-1.6912196409238481E-2</v>
      </c>
      <c r="W4418" s="48">
        <f t="shared" ca="1" si="505"/>
        <v>-0.1292060790087346</v>
      </c>
    </row>
    <row r="4419" spans="17:23" x14ac:dyDescent="0.2">
      <c r="Q4419">
        <f t="shared" si="499"/>
        <v>4403</v>
      </c>
      <c r="R4419" s="48">
        <f t="shared" ca="1" si="500"/>
        <v>0.45</v>
      </c>
      <c r="S4419">
        <f t="shared" ca="1" si="501"/>
        <v>241.74000139669042</v>
      </c>
      <c r="T4419" s="61">
        <f t="shared" ca="1" si="502"/>
        <v>21600</v>
      </c>
      <c r="U4419" s="61">
        <f t="shared" ca="1" si="503"/>
        <v>44365.600614543786</v>
      </c>
      <c r="V4419" s="39">
        <f t="shared" ca="1" si="504"/>
        <v>0.2918789514114723</v>
      </c>
      <c r="W4419" s="48">
        <f t="shared" ca="1" si="505"/>
        <v>6.982382948847734</v>
      </c>
    </row>
    <row r="4420" spans="17:23" x14ac:dyDescent="0.2">
      <c r="Q4420">
        <f t="shared" si="499"/>
        <v>4404</v>
      </c>
      <c r="R4420" s="48">
        <f t="shared" ca="1" si="500"/>
        <v>0.45</v>
      </c>
      <c r="S4420">
        <f t="shared" ca="1" si="501"/>
        <v>153.53548811851465</v>
      </c>
      <c r="T4420" s="61">
        <f t="shared" ca="1" si="502"/>
        <v>21600</v>
      </c>
      <c r="U4420" s="61">
        <f t="shared" ca="1" si="503"/>
        <v>5555.614772146444</v>
      </c>
      <c r="V4420" s="39">
        <f t="shared" ca="1" si="504"/>
        <v>3.6550097185173977E-2</v>
      </c>
      <c r="W4420" s="48">
        <f t="shared" ca="1" si="505"/>
        <v>0.33799542579936181</v>
      </c>
    </row>
    <row r="4421" spans="17:23" x14ac:dyDescent="0.2">
      <c r="Q4421">
        <f t="shared" si="499"/>
        <v>4405</v>
      </c>
      <c r="R4421" s="48">
        <f t="shared" ca="1" si="500"/>
        <v>0.3</v>
      </c>
      <c r="S4421">
        <f t="shared" ca="1" si="501"/>
        <v>173.63202449060032</v>
      </c>
      <c r="T4421" s="61">
        <f t="shared" ca="1" si="502"/>
        <v>14400</v>
      </c>
      <c r="U4421" s="61">
        <f t="shared" ca="1" si="503"/>
        <v>5233.9337147361766</v>
      </c>
      <c r="V4421" s="39">
        <f t="shared" ca="1" si="504"/>
        <v>3.4433774439053794E-2</v>
      </c>
      <c r="W4421" s="48">
        <f t="shared" ca="1" si="505"/>
        <v>0.31599781309319663</v>
      </c>
    </row>
    <row r="4422" spans="17:23" x14ac:dyDescent="0.2">
      <c r="Q4422">
        <f t="shared" si="499"/>
        <v>4406</v>
      </c>
      <c r="R4422" s="48">
        <f t="shared" ca="1" si="500"/>
        <v>0.45</v>
      </c>
      <c r="S4422">
        <f t="shared" ca="1" si="501"/>
        <v>164.92446230851814</v>
      </c>
      <c r="T4422" s="61">
        <f t="shared" ca="1" si="502"/>
        <v>21600</v>
      </c>
      <c r="U4422" s="61">
        <f t="shared" ca="1" si="503"/>
        <v>10566.763415747982</v>
      </c>
      <c r="V4422" s="39">
        <f t="shared" ca="1" si="504"/>
        <v>6.9518180366763035E-2</v>
      </c>
      <c r="W4422" s="48">
        <f t="shared" ca="1" si="505"/>
        <v>0.72483875342443604</v>
      </c>
    </row>
    <row r="4423" spans="17:23" x14ac:dyDescent="0.2">
      <c r="Q4423">
        <f t="shared" si="499"/>
        <v>4407</v>
      </c>
      <c r="R4423" s="48">
        <f t="shared" ca="1" si="500"/>
        <v>0.35</v>
      </c>
      <c r="S4423">
        <f t="shared" ca="1" si="501"/>
        <v>193.92627404763974</v>
      </c>
      <c r="T4423" s="61">
        <f t="shared" ca="1" si="502"/>
        <v>16800</v>
      </c>
      <c r="U4423" s="61">
        <f t="shared" ca="1" si="503"/>
        <v>18841.662504772663</v>
      </c>
      <c r="V4423" s="39">
        <f t="shared" ca="1" si="504"/>
        <v>0.12395830595245173</v>
      </c>
      <c r="W4423" s="48">
        <f t="shared" ca="1" si="505"/>
        <v>1.5801236507137375</v>
      </c>
    </row>
    <row r="4424" spans="17:23" x14ac:dyDescent="0.2">
      <c r="Q4424">
        <f t="shared" si="499"/>
        <v>4408</v>
      </c>
      <c r="R4424" s="48">
        <f t="shared" ca="1" si="500"/>
        <v>0.217</v>
      </c>
      <c r="S4424">
        <f t="shared" ca="1" si="501"/>
        <v>159.89641246057815</v>
      </c>
      <c r="T4424" s="61">
        <f t="shared" ca="1" si="502"/>
        <v>10416</v>
      </c>
      <c r="U4424" s="61">
        <f t="shared" ca="1" si="503"/>
        <v>-8440.8872346938479</v>
      </c>
      <c r="V4424" s="39">
        <f t="shared" ca="1" si="504"/>
        <v>-5.5532152859827946E-2</v>
      </c>
      <c r="W4424" s="48">
        <f t="shared" ca="1" si="505"/>
        <v>-0.3708699332193568</v>
      </c>
    </row>
    <row r="4425" spans="17:23" x14ac:dyDescent="0.2">
      <c r="Q4425">
        <f t="shared" si="499"/>
        <v>4409</v>
      </c>
      <c r="R4425" s="48">
        <f t="shared" ca="1" si="500"/>
        <v>0.35</v>
      </c>
      <c r="S4425">
        <f t="shared" ca="1" si="501"/>
        <v>231.38919139594105</v>
      </c>
      <c r="T4425" s="61">
        <f t="shared" ca="1" si="502"/>
        <v>16800</v>
      </c>
      <c r="U4425" s="61">
        <f t="shared" ca="1" si="503"/>
        <v>38322.379525889351</v>
      </c>
      <c r="V4425" s="39">
        <f t="shared" ca="1" si="504"/>
        <v>0.25212091793348257</v>
      </c>
      <c r="W4425" s="48">
        <f t="shared" ca="1" si="505"/>
        <v>5.1946924989224197</v>
      </c>
    </row>
    <row r="4426" spans="17:23" x14ac:dyDescent="0.2">
      <c r="Q4426">
        <f t="shared" si="499"/>
        <v>4410</v>
      </c>
      <c r="R4426" s="48">
        <f t="shared" ca="1" si="500"/>
        <v>0.3</v>
      </c>
      <c r="S4426">
        <f t="shared" ca="1" si="501"/>
        <v>157.81869265737427</v>
      </c>
      <c r="T4426" s="61">
        <f t="shared" ca="1" si="502"/>
        <v>14400</v>
      </c>
      <c r="U4426" s="61">
        <f t="shared" ca="1" si="503"/>
        <v>-3621.5321118704087</v>
      </c>
      <c r="V4426" s="39">
        <f t="shared" ca="1" si="504"/>
        <v>-2.3825869157042164E-2</v>
      </c>
      <c r="W4426" s="48">
        <f t="shared" ca="1" si="505"/>
        <v>-0.17765374025966385</v>
      </c>
    </row>
    <row r="4427" spans="17:23" x14ac:dyDescent="0.2">
      <c r="Q4427">
        <f t="shared" si="499"/>
        <v>4411</v>
      </c>
      <c r="R4427" s="48">
        <f t="shared" ca="1" si="500"/>
        <v>0.217</v>
      </c>
      <c r="S4427">
        <f t="shared" ca="1" si="501"/>
        <v>203.35006196018347</v>
      </c>
      <c r="T4427" s="61">
        <f t="shared" ca="1" si="502"/>
        <v>10416</v>
      </c>
      <c r="U4427" s="61">
        <f t="shared" ca="1" si="503"/>
        <v>18778.478811858924</v>
      </c>
      <c r="V4427" s="39">
        <f t="shared" ca="1" si="504"/>
        <v>0.12354262376222977</v>
      </c>
      <c r="W4427" s="48">
        <f t="shared" ca="1" si="505"/>
        <v>1.5723939789206125</v>
      </c>
    </row>
    <row r="4428" spans="17:23" x14ac:dyDescent="0.2">
      <c r="Q4428">
        <f t="shared" si="499"/>
        <v>4412</v>
      </c>
      <c r="R4428" s="48">
        <f t="shared" ca="1" si="500"/>
        <v>0.35</v>
      </c>
      <c r="S4428">
        <f t="shared" ca="1" si="501"/>
        <v>193.32082086529121</v>
      </c>
      <c r="T4428" s="61">
        <f t="shared" ca="1" si="502"/>
        <v>16800</v>
      </c>
      <c r="U4428" s="61">
        <f t="shared" ca="1" si="503"/>
        <v>18526.826849951431</v>
      </c>
      <c r="V4428" s="39">
        <f t="shared" ca="1" si="504"/>
        <v>0.12188701874968047</v>
      </c>
      <c r="W4428" s="48">
        <f t="shared" ca="1" si="505"/>
        <v>1.5418088384207653</v>
      </c>
    </row>
    <row r="4429" spans="17:23" x14ac:dyDescent="0.2">
      <c r="Q4429">
        <f t="shared" si="499"/>
        <v>4413</v>
      </c>
      <c r="R4429" s="48">
        <f t="shared" ca="1" si="500"/>
        <v>0.35</v>
      </c>
      <c r="S4429">
        <f t="shared" ca="1" si="501"/>
        <v>178.37731202780824</v>
      </c>
      <c r="T4429" s="61">
        <f t="shared" ca="1" si="502"/>
        <v>16800</v>
      </c>
      <c r="U4429" s="61">
        <f t="shared" ca="1" si="503"/>
        <v>10756.202254460288</v>
      </c>
      <c r="V4429" s="39">
        <f t="shared" ca="1" si="504"/>
        <v>7.0764488516186108E-2</v>
      </c>
      <c r="W4429" s="48">
        <f t="shared" ca="1" si="505"/>
        <v>0.74120940870056717</v>
      </c>
    </row>
    <row r="4430" spans="17:23" x14ac:dyDescent="0.2">
      <c r="Q4430">
        <f t="shared" si="499"/>
        <v>4414</v>
      </c>
      <c r="R4430" s="48">
        <f t="shared" ca="1" si="500"/>
        <v>0.35</v>
      </c>
      <c r="S4430">
        <f t="shared" ca="1" si="501"/>
        <v>168.33327321300663</v>
      </c>
      <c r="T4430" s="61">
        <f t="shared" ca="1" si="502"/>
        <v>16800</v>
      </c>
      <c r="U4430" s="61">
        <f t="shared" ca="1" si="503"/>
        <v>5533.3020707634496</v>
      </c>
      <c r="V4430" s="39">
        <f t="shared" ca="1" si="504"/>
        <v>3.6403303097127956E-2</v>
      </c>
      <c r="W4430" s="48">
        <f t="shared" ca="1" si="505"/>
        <v>0.33645927243806417</v>
      </c>
    </row>
    <row r="4431" spans="17:23" x14ac:dyDescent="0.2">
      <c r="Q4431">
        <f t="shared" si="499"/>
        <v>4415</v>
      </c>
      <c r="R4431" s="48">
        <f t="shared" ca="1" si="500"/>
        <v>0.35</v>
      </c>
      <c r="S4431">
        <f t="shared" ca="1" si="501"/>
        <v>196.71109010875162</v>
      </c>
      <c r="T4431" s="61">
        <f t="shared" ca="1" si="502"/>
        <v>16800</v>
      </c>
      <c r="U4431" s="61">
        <f t="shared" ca="1" si="503"/>
        <v>20289.766856550843</v>
      </c>
      <c r="V4431" s="39">
        <f t="shared" ca="1" si="504"/>
        <v>0.13348530826678187</v>
      </c>
      <c r="W4431" s="48">
        <f t="shared" ca="1" si="505"/>
        <v>1.7629522126567254</v>
      </c>
    </row>
    <row r="4432" spans="17:23" x14ac:dyDescent="0.2">
      <c r="Q4432">
        <f t="shared" si="499"/>
        <v>4416</v>
      </c>
      <c r="R4432" s="48">
        <f t="shared" ca="1" si="500"/>
        <v>0.3</v>
      </c>
      <c r="S4432">
        <f t="shared" ca="1" si="501"/>
        <v>179.37766951199444</v>
      </c>
      <c r="T4432" s="61">
        <f t="shared" ca="1" si="502"/>
        <v>14400</v>
      </c>
      <c r="U4432" s="61">
        <f t="shared" ca="1" si="503"/>
        <v>8451.4949267168868</v>
      </c>
      <c r="V4432" s="39">
        <f t="shared" ca="1" si="504"/>
        <v>5.5601940307347941E-2</v>
      </c>
      <c r="W4432" s="48">
        <f t="shared" ca="1" si="505"/>
        <v>0.55100275669504106</v>
      </c>
    </row>
    <row r="4433" spans="17:23" x14ac:dyDescent="0.2">
      <c r="Q4433">
        <f t="shared" si="499"/>
        <v>4417</v>
      </c>
      <c r="R4433" s="48">
        <f t="shared" ca="1" si="500"/>
        <v>0.3</v>
      </c>
      <c r="S4433">
        <f t="shared" ca="1" si="501"/>
        <v>194.66959462870631</v>
      </c>
      <c r="T4433" s="61">
        <f t="shared" ca="1" si="502"/>
        <v>14400</v>
      </c>
      <c r="U4433" s="61">
        <f t="shared" ca="1" si="503"/>
        <v>17014.972992075531</v>
      </c>
      <c r="V4433" s="39">
        <f t="shared" ca="1" si="504"/>
        <v>0.1119406117899706</v>
      </c>
      <c r="W4433" s="48">
        <f t="shared" ca="1" si="505"/>
        <v>1.3646829292607441</v>
      </c>
    </row>
    <row r="4434" spans="17:23" x14ac:dyDescent="0.2">
      <c r="Q4434">
        <f t="shared" si="499"/>
        <v>4418</v>
      </c>
      <c r="R4434" s="48">
        <f t="shared" ca="1" si="500"/>
        <v>0.15</v>
      </c>
      <c r="S4434">
        <f t="shared" ca="1" si="501"/>
        <v>184.9553912869093</v>
      </c>
      <c r="T4434" s="61">
        <f t="shared" ca="1" si="502"/>
        <v>7200</v>
      </c>
      <c r="U4434" s="61">
        <f t="shared" ca="1" si="503"/>
        <v>3769.6660750983265</v>
      </c>
      <c r="V4434" s="39">
        <f t="shared" ca="1" si="504"/>
        <v>2.4800434704594254E-2</v>
      </c>
      <c r="W4434" s="48">
        <f t="shared" ca="1" si="505"/>
        <v>0.21982225401611788</v>
      </c>
    </row>
    <row r="4435" spans="17:23" x14ac:dyDescent="0.2">
      <c r="Q4435">
        <f t="shared" ref="Q4435:Q4498" si="506">Q4434+1</f>
        <v>4419</v>
      </c>
      <c r="R4435" s="48">
        <f t="shared" ref="R4435:R4498" ca="1" si="507">LOOKUP(RAND(),$U$6:$U$12,$S$6:$S$12)</f>
        <v>0.4</v>
      </c>
      <c r="S4435">
        <f t="shared" ref="S4435:S4498" ca="1" si="508">_xlfn.NORM.INV(RAND(),$Q$5,$Q$10)</f>
        <v>222.84450235550844</v>
      </c>
      <c r="T4435" s="61">
        <f t="shared" ca="1" si="502"/>
        <v>19200</v>
      </c>
      <c r="U4435" s="61">
        <f t="shared" ca="1" si="503"/>
        <v>34965.361130644051</v>
      </c>
      <c r="V4435" s="39">
        <f t="shared" ca="1" si="504"/>
        <v>0.23003527059634243</v>
      </c>
      <c r="W4435" s="48">
        <f t="shared" ca="1" si="505"/>
        <v>4.3620561656205661</v>
      </c>
    </row>
    <row r="4436" spans="17:23" x14ac:dyDescent="0.2">
      <c r="Q4436">
        <f t="shared" si="506"/>
        <v>4420</v>
      </c>
      <c r="R4436" s="48">
        <f t="shared" ca="1" si="507"/>
        <v>0.35</v>
      </c>
      <c r="S4436">
        <f t="shared" ca="1" si="508"/>
        <v>156.11662875070908</v>
      </c>
      <c r="T4436" s="61">
        <f t="shared" ca="1" si="502"/>
        <v>16800</v>
      </c>
      <c r="U4436" s="61">
        <f t="shared" ca="1" si="503"/>
        <v>-819.35304963127783</v>
      </c>
      <c r="V4436" s="39">
        <f t="shared" ca="1" si="504"/>
        <v>-5.3904805896794594E-3</v>
      </c>
      <c r="W4436" s="48">
        <f t="shared" ca="1" si="505"/>
        <v>-4.2893927994963721E-2</v>
      </c>
    </row>
    <row r="4437" spans="17:23" x14ac:dyDescent="0.2">
      <c r="Q4437">
        <f t="shared" si="506"/>
        <v>4421</v>
      </c>
      <c r="R4437" s="48">
        <f t="shared" ca="1" si="507"/>
        <v>0.217</v>
      </c>
      <c r="S4437">
        <f t="shared" ca="1" si="508"/>
        <v>188.09826606951322</v>
      </c>
      <c r="T4437" s="61">
        <f t="shared" ca="1" si="502"/>
        <v>10416</v>
      </c>
      <c r="U4437" s="61">
        <f t="shared" ca="1" si="503"/>
        <v>9224.7538659430775</v>
      </c>
      <c r="V4437" s="39">
        <f t="shared" ca="1" si="504"/>
        <v>6.0689170170678139E-2</v>
      </c>
      <c r="W4437" s="48">
        <f t="shared" ca="1" si="505"/>
        <v>0.61268001216388601</v>
      </c>
    </row>
    <row r="4438" spans="17:23" x14ac:dyDescent="0.2">
      <c r="Q4438">
        <f t="shared" si="506"/>
        <v>4422</v>
      </c>
      <c r="R4438" s="48">
        <f t="shared" ca="1" si="507"/>
        <v>0.5</v>
      </c>
      <c r="S4438">
        <f t="shared" ca="1" si="508"/>
        <v>176.15434078236282</v>
      </c>
      <c r="T4438" s="61">
        <f t="shared" ca="1" si="502"/>
        <v>24000</v>
      </c>
      <c r="U4438" s="61">
        <f t="shared" ca="1" si="503"/>
        <v>18461.73631294513</v>
      </c>
      <c r="V4438" s="39">
        <f t="shared" ca="1" si="504"/>
        <v>0.12145879153253375</v>
      </c>
      <c r="W4438" s="48">
        <f t="shared" ca="1" si="505"/>
        <v>1.5339499878872003</v>
      </c>
    </row>
    <row r="4439" spans="17:23" x14ac:dyDescent="0.2">
      <c r="Q4439">
        <f t="shared" si="506"/>
        <v>4423</v>
      </c>
      <c r="R4439" s="48">
        <f t="shared" ca="1" si="507"/>
        <v>0.217</v>
      </c>
      <c r="S4439">
        <f t="shared" ca="1" si="508"/>
        <v>212.72126208633972</v>
      </c>
      <c r="T4439" s="61">
        <f t="shared" ca="1" si="502"/>
        <v>10416</v>
      </c>
      <c r="U4439" s="61">
        <f t="shared" ca="1" si="503"/>
        <v>24648.598570883201</v>
      </c>
      <c r="V4439" s="39">
        <f t="shared" ca="1" si="504"/>
        <v>0.16216183270317897</v>
      </c>
      <c r="W4439" s="48">
        <f t="shared" ca="1" si="505"/>
        <v>2.38364437994505</v>
      </c>
    </row>
    <row r="4440" spans="17:23" x14ac:dyDescent="0.2">
      <c r="Q4440">
        <f t="shared" si="506"/>
        <v>4424</v>
      </c>
      <c r="R4440" s="48">
        <f t="shared" ca="1" si="507"/>
        <v>0.35</v>
      </c>
      <c r="S4440">
        <f t="shared" ca="1" si="508"/>
        <v>193.34396803634104</v>
      </c>
      <c r="T4440" s="61">
        <f t="shared" ca="1" si="502"/>
        <v>16800</v>
      </c>
      <c r="U4440" s="61">
        <f t="shared" ca="1" si="503"/>
        <v>18538.863378897338</v>
      </c>
      <c r="V4440" s="39">
        <f t="shared" ca="1" si="504"/>
        <v>0.12196620644011406</v>
      </c>
      <c r="W4440" s="48">
        <f t="shared" ca="1" si="505"/>
        <v>1.5432644341925505</v>
      </c>
    </row>
    <row r="4441" spans="17:23" x14ac:dyDescent="0.2">
      <c r="Q4441">
        <f t="shared" si="506"/>
        <v>4425</v>
      </c>
      <c r="R4441" s="48">
        <f t="shared" ca="1" si="507"/>
        <v>0.45</v>
      </c>
      <c r="S4441">
        <f t="shared" ca="1" si="508"/>
        <v>194.62400902074577</v>
      </c>
      <c r="T4441" s="61">
        <f t="shared" ca="1" si="502"/>
        <v>21600</v>
      </c>
      <c r="U4441" s="61">
        <f t="shared" ca="1" si="503"/>
        <v>23634.563969128139</v>
      </c>
      <c r="V4441" s="39">
        <f t="shared" ca="1" si="504"/>
        <v>0.15549055242847459</v>
      </c>
      <c r="W4441" s="48">
        <f t="shared" ca="1" si="505"/>
        <v>2.2292765269588632</v>
      </c>
    </row>
    <row r="4442" spans="17:23" x14ac:dyDescent="0.2">
      <c r="Q4442">
        <f t="shared" si="506"/>
        <v>4426</v>
      </c>
      <c r="R4442" s="48">
        <f t="shared" ca="1" si="507"/>
        <v>0.3</v>
      </c>
      <c r="S4442">
        <f t="shared" ca="1" si="508"/>
        <v>180.49859585771409</v>
      </c>
      <c r="T4442" s="61">
        <f t="shared" ca="1" si="502"/>
        <v>14400</v>
      </c>
      <c r="U4442" s="61">
        <f t="shared" ca="1" si="503"/>
        <v>9079.2136803198919</v>
      </c>
      <c r="V4442" s="39">
        <f t="shared" ca="1" si="504"/>
        <v>5.9731668949472974E-2</v>
      </c>
      <c r="W4442" s="48">
        <f t="shared" ca="1" si="505"/>
        <v>0.60090974973140665</v>
      </c>
    </row>
    <row r="4443" spans="17:23" x14ac:dyDescent="0.2">
      <c r="Q4443">
        <f t="shared" si="506"/>
        <v>4427</v>
      </c>
      <c r="R4443" s="48">
        <f t="shared" ca="1" si="507"/>
        <v>0.35</v>
      </c>
      <c r="S4443">
        <f t="shared" ca="1" si="508"/>
        <v>202.56605584046744</v>
      </c>
      <c r="T4443" s="61">
        <f t="shared" ca="1" si="502"/>
        <v>16800</v>
      </c>
      <c r="U4443" s="61">
        <f t="shared" ca="1" si="503"/>
        <v>23334.34903704307</v>
      </c>
      <c r="V4443" s="39">
        <f t="shared" ca="1" si="504"/>
        <v>0.15351545419107282</v>
      </c>
      <c r="W4443" s="48">
        <f t="shared" ca="1" si="505"/>
        <v>2.1847755435859795</v>
      </c>
    </row>
    <row r="4444" spans="17:23" x14ac:dyDescent="0.2">
      <c r="Q4444">
        <f t="shared" si="506"/>
        <v>4428</v>
      </c>
      <c r="R4444" s="48">
        <f t="shared" ca="1" si="507"/>
        <v>0.45</v>
      </c>
      <c r="S4444">
        <f t="shared" ca="1" si="508"/>
        <v>199.03926200363279</v>
      </c>
      <c r="T4444" s="61">
        <f t="shared" ca="1" si="502"/>
        <v>21600</v>
      </c>
      <c r="U4444" s="61">
        <f t="shared" ca="1" si="503"/>
        <v>25577.275281598428</v>
      </c>
      <c r="V4444" s="39">
        <f t="shared" ca="1" si="504"/>
        <v>0.16827154790525281</v>
      </c>
      <c r="W4444" s="48">
        <f t="shared" ca="1" si="505"/>
        <v>2.5306548736352945</v>
      </c>
    </row>
    <row r="4445" spans="17:23" x14ac:dyDescent="0.2">
      <c r="Q4445">
        <f t="shared" si="506"/>
        <v>4429</v>
      </c>
      <c r="R4445" s="48">
        <f t="shared" ca="1" si="507"/>
        <v>0.5</v>
      </c>
      <c r="S4445">
        <f t="shared" ca="1" si="508"/>
        <v>192.20923881027213</v>
      </c>
      <c r="T4445" s="61">
        <f t="shared" ca="1" si="502"/>
        <v>24000</v>
      </c>
      <c r="U4445" s="61">
        <f t="shared" ca="1" si="503"/>
        <v>24883.695524108851</v>
      </c>
      <c r="V4445" s="39">
        <f t="shared" ca="1" si="504"/>
        <v>0.16370852318492665</v>
      </c>
      <c r="W4445" s="48">
        <f t="shared" ca="1" si="505"/>
        <v>2.4203436692931541</v>
      </c>
    </row>
    <row r="4446" spans="17:23" x14ac:dyDescent="0.2">
      <c r="Q4446">
        <f t="shared" si="506"/>
        <v>4430</v>
      </c>
      <c r="R4446" s="48">
        <f t="shared" ca="1" si="507"/>
        <v>0.45</v>
      </c>
      <c r="S4446">
        <f t="shared" ca="1" si="508"/>
        <v>216.40144592773649</v>
      </c>
      <c r="T4446" s="61">
        <f t="shared" ca="1" si="502"/>
        <v>21600</v>
      </c>
      <c r="U4446" s="61">
        <f t="shared" ca="1" si="503"/>
        <v>33216.636208204058</v>
      </c>
      <c r="V4446" s="39">
        <f t="shared" ca="1" si="504"/>
        <v>0.21853050136976354</v>
      </c>
      <c r="W4446" s="48">
        <f t="shared" ca="1" si="505"/>
        <v>3.9685379929790185</v>
      </c>
    </row>
    <row r="4447" spans="17:23" x14ac:dyDescent="0.2">
      <c r="Q4447">
        <f t="shared" si="506"/>
        <v>4431</v>
      </c>
      <c r="R4447" s="48">
        <f t="shared" ca="1" si="507"/>
        <v>0.217</v>
      </c>
      <c r="S4447">
        <f t="shared" ca="1" si="508"/>
        <v>201.9283023301949</v>
      </c>
      <c r="T4447" s="61">
        <f t="shared" ca="1" si="502"/>
        <v>10416</v>
      </c>
      <c r="U4447" s="61">
        <f t="shared" ca="1" si="503"/>
        <v>17887.888579634084</v>
      </c>
      <c r="V4447" s="39">
        <f t="shared" ca="1" si="504"/>
        <v>0.11768347749759266</v>
      </c>
      <c r="W4447" s="48">
        <f t="shared" ca="1" si="505"/>
        <v>1.4655817459942608</v>
      </c>
    </row>
    <row r="4448" spans="17:23" x14ac:dyDescent="0.2">
      <c r="Q4448">
        <f t="shared" si="506"/>
        <v>4432</v>
      </c>
      <c r="R4448" s="48">
        <f t="shared" ca="1" si="507"/>
        <v>0.217</v>
      </c>
      <c r="S4448">
        <f t="shared" ca="1" si="508"/>
        <v>190.71961425752164</v>
      </c>
      <c r="T4448" s="61">
        <f t="shared" ca="1" si="502"/>
        <v>10416</v>
      </c>
      <c r="U4448" s="61">
        <f t="shared" ca="1" si="503"/>
        <v>10866.766370911557</v>
      </c>
      <c r="V4448" s="39">
        <f t="shared" ca="1" si="504"/>
        <v>7.1491884019154975E-2</v>
      </c>
      <c r="W4448" s="48">
        <f t="shared" ca="1" si="505"/>
        <v>0.750826797546706</v>
      </c>
    </row>
    <row r="4449" spans="17:23" x14ac:dyDescent="0.2">
      <c r="Q4449">
        <f t="shared" si="506"/>
        <v>4433</v>
      </c>
      <c r="R4449" s="48">
        <f t="shared" ca="1" si="507"/>
        <v>0.45</v>
      </c>
      <c r="S4449">
        <f t="shared" ca="1" si="508"/>
        <v>183.95903572495635</v>
      </c>
      <c r="T4449" s="61">
        <f t="shared" ca="1" si="502"/>
        <v>21600</v>
      </c>
      <c r="U4449" s="61">
        <f t="shared" ca="1" si="503"/>
        <v>18941.975718980793</v>
      </c>
      <c r="V4449" s="39">
        <f t="shared" ca="1" si="504"/>
        <v>0.12461826130908417</v>
      </c>
      <c r="W4449" s="48">
        <f t="shared" ca="1" si="505"/>
        <v>1.5924374494190436</v>
      </c>
    </row>
    <row r="4450" spans="17:23" x14ac:dyDescent="0.2">
      <c r="Q4450">
        <f t="shared" si="506"/>
        <v>4434</v>
      </c>
      <c r="R4450" s="48">
        <f t="shared" ca="1" si="507"/>
        <v>0.3</v>
      </c>
      <c r="S4450">
        <f t="shared" ca="1" si="508"/>
        <v>180.58417287774921</v>
      </c>
      <c r="T4450" s="61">
        <f t="shared" ca="1" si="502"/>
        <v>14400</v>
      </c>
      <c r="U4450" s="61">
        <f t="shared" ca="1" si="503"/>
        <v>9127.136811539558</v>
      </c>
      <c r="V4450" s="39">
        <f t="shared" ca="1" si="504"/>
        <v>6.0046952707497089E-2</v>
      </c>
      <c r="W4450" s="48">
        <f t="shared" ca="1" si="505"/>
        <v>0.60477708949027487</v>
      </c>
    </row>
    <row r="4451" spans="17:23" x14ac:dyDescent="0.2">
      <c r="Q4451">
        <f t="shared" si="506"/>
        <v>4435</v>
      </c>
      <c r="R4451" s="48">
        <f t="shared" ca="1" si="507"/>
        <v>0.35</v>
      </c>
      <c r="S4451">
        <f t="shared" ca="1" si="508"/>
        <v>179.33463465213163</v>
      </c>
      <c r="T4451" s="61">
        <f t="shared" ca="1" si="502"/>
        <v>16800</v>
      </c>
      <c r="U4451" s="61">
        <f t="shared" ca="1" si="503"/>
        <v>11254.010019108446</v>
      </c>
      <c r="V4451" s="39">
        <f t="shared" ca="1" si="504"/>
        <v>7.4039539599397672E-2</v>
      </c>
      <c r="W4451" s="48">
        <f t="shared" ca="1" si="505"/>
        <v>0.78487930683183404</v>
      </c>
    </row>
    <row r="4452" spans="17:23" x14ac:dyDescent="0.2">
      <c r="Q4452">
        <f t="shared" si="506"/>
        <v>4436</v>
      </c>
      <c r="R4452" s="48">
        <f t="shared" ca="1" si="507"/>
        <v>0.3</v>
      </c>
      <c r="S4452">
        <f t="shared" ca="1" si="508"/>
        <v>190.59079890760242</v>
      </c>
      <c r="T4452" s="61">
        <f t="shared" ca="1" si="502"/>
        <v>14400</v>
      </c>
      <c r="U4452" s="61">
        <f t="shared" ca="1" si="503"/>
        <v>14730.847388257354</v>
      </c>
      <c r="V4452" s="39">
        <f t="shared" ca="1" si="504"/>
        <v>9.6913469659587859E-2</v>
      </c>
      <c r="W4452" s="48">
        <f t="shared" ca="1" si="505"/>
        <v>1.117593291396425</v>
      </c>
    </row>
    <row r="4453" spans="17:23" x14ac:dyDescent="0.2">
      <c r="Q4453">
        <f t="shared" si="506"/>
        <v>4437</v>
      </c>
      <c r="R4453" s="48">
        <f t="shared" ca="1" si="507"/>
        <v>0.3</v>
      </c>
      <c r="S4453">
        <f t="shared" ca="1" si="508"/>
        <v>192.87472854660493</v>
      </c>
      <c r="T4453" s="61">
        <f t="shared" ca="1" si="502"/>
        <v>14400</v>
      </c>
      <c r="U4453" s="61">
        <f t="shared" ca="1" si="503"/>
        <v>16009.847986098759</v>
      </c>
      <c r="V4453" s="39">
        <f t="shared" ca="1" si="504"/>
        <v>0.10532794727696553</v>
      </c>
      <c r="W4453" s="48">
        <f t="shared" ca="1" si="505"/>
        <v>1.2530018976848623</v>
      </c>
    </row>
    <row r="4454" spans="17:23" x14ac:dyDescent="0.2">
      <c r="Q4454">
        <f t="shared" si="506"/>
        <v>4438</v>
      </c>
      <c r="R4454" s="48">
        <f t="shared" ca="1" si="507"/>
        <v>0.3</v>
      </c>
      <c r="S4454">
        <f t="shared" ca="1" si="508"/>
        <v>207.37943233217607</v>
      </c>
      <c r="T4454" s="61">
        <f t="shared" ca="1" si="502"/>
        <v>14400</v>
      </c>
      <c r="U4454" s="61">
        <f t="shared" ca="1" si="503"/>
        <v>24132.482106018597</v>
      </c>
      <c r="V4454" s="39">
        <f t="shared" ca="1" si="504"/>
        <v>0.15876632964485918</v>
      </c>
      <c r="W4454" s="48">
        <f t="shared" ca="1" si="505"/>
        <v>2.304285701295548</v>
      </c>
    </row>
    <row r="4455" spans="17:23" x14ac:dyDescent="0.2">
      <c r="Q4455">
        <f t="shared" si="506"/>
        <v>4439</v>
      </c>
      <c r="R4455" s="48">
        <f t="shared" ca="1" si="507"/>
        <v>0.15</v>
      </c>
      <c r="S4455">
        <f t="shared" ca="1" si="508"/>
        <v>176.72710478917023</v>
      </c>
      <c r="T4455" s="61">
        <f t="shared" ca="1" si="502"/>
        <v>7200</v>
      </c>
      <c r="U4455" s="61">
        <f t="shared" ca="1" si="503"/>
        <v>-1825.5687433642452</v>
      </c>
      <c r="V4455" s="39">
        <f t="shared" ca="1" si="504"/>
        <v>-1.2010320680027929E-2</v>
      </c>
      <c r="W4455" s="48">
        <f t="shared" ca="1" si="505"/>
        <v>-9.3357240731049118E-2</v>
      </c>
    </row>
    <row r="4456" spans="17:23" x14ac:dyDescent="0.2">
      <c r="Q4456">
        <f t="shared" si="506"/>
        <v>4440</v>
      </c>
      <c r="R4456" s="48">
        <f t="shared" ca="1" si="507"/>
        <v>0.45</v>
      </c>
      <c r="S4456">
        <f t="shared" ca="1" si="508"/>
        <v>184.25246484269013</v>
      </c>
      <c r="T4456" s="61">
        <f t="shared" ca="1" si="502"/>
        <v>21600</v>
      </c>
      <c r="U4456" s="61">
        <f t="shared" ca="1" si="503"/>
        <v>19071.084530783657</v>
      </c>
      <c r="V4456" s="39">
        <f t="shared" ca="1" si="504"/>
        <v>0.1254676613867346</v>
      </c>
      <c r="W4456" s="48">
        <f t="shared" ca="1" si="505"/>
        <v>1.6083618208926547</v>
      </c>
    </row>
    <row r="4457" spans="17:23" x14ac:dyDescent="0.2">
      <c r="Q4457">
        <f t="shared" si="506"/>
        <v>4441</v>
      </c>
      <c r="R4457" s="48">
        <f t="shared" ca="1" si="507"/>
        <v>0.217</v>
      </c>
      <c r="S4457">
        <f t="shared" ca="1" si="508"/>
        <v>181.70822890665846</v>
      </c>
      <c r="T4457" s="61">
        <f t="shared" ca="1" si="502"/>
        <v>10416</v>
      </c>
      <c r="U4457" s="61">
        <f t="shared" ca="1" si="503"/>
        <v>5222.0345871308609</v>
      </c>
      <c r="V4457" s="39">
        <f t="shared" ca="1" si="504"/>
        <v>3.4355490704808297E-2</v>
      </c>
      <c r="W4457" s="48">
        <f t="shared" ca="1" si="505"/>
        <v>0.31519022946886066</v>
      </c>
    </row>
    <row r="4458" spans="17:23" x14ac:dyDescent="0.2">
      <c r="Q4458">
        <f t="shared" si="506"/>
        <v>4442</v>
      </c>
      <c r="R4458" s="48">
        <f t="shared" ca="1" si="507"/>
        <v>0.3</v>
      </c>
      <c r="S4458">
        <f t="shared" ca="1" si="508"/>
        <v>196.62299433629371</v>
      </c>
      <c r="T4458" s="61">
        <f t="shared" ca="1" si="502"/>
        <v>14400</v>
      </c>
      <c r="U4458" s="61">
        <f t="shared" ca="1" si="503"/>
        <v>18108.876828324479</v>
      </c>
      <c r="V4458" s="39">
        <f t="shared" ca="1" si="504"/>
        <v>0.11913734755476631</v>
      </c>
      <c r="W4458" s="48">
        <f t="shared" ca="1" si="505"/>
        <v>1.4917163435941703</v>
      </c>
    </row>
    <row r="4459" spans="17:23" x14ac:dyDescent="0.2">
      <c r="Q4459">
        <f t="shared" si="506"/>
        <v>4443</v>
      </c>
      <c r="R4459" s="48">
        <f t="shared" ca="1" si="507"/>
        <v>0.3</v>
      </c>
      <c r="S4459">
        <f t="shared" ca="1" si="508"/>
        <v>177.99348632451773</v>
      </c>
      <c r="T4459" s="61">
        <f t="shared" ca="1" si="502"/>
        <v>14400</v>
      </c>
      <c r="U4459" s="61">
        <f t="shared" ca="1" si="503"/>
        <v>7676.3523417299302</v>
      </c>
      <c r="V4459" s="39">
        <f t="shared" ca="1" si="504"/>
        <v>5.0502318037696912E-2</v>
      </c>
      <c r="W4459" s="48">
        <f t="shared" ca="1" si="505"/>
        <v>0.49126067857641842</v>
      </c>
    </row>
    <row r="4460" spans="17:23" x14ac:dyDescent="0.2">
      <c r="Q4460">
        <f t="shared" si="506"/>
        <v>4444</v>
      </c>
      <c r="R4460" s="48">
        <f t="shared" ca="1" si="507"/>
        <v>0.45</v>
      </c>
      <c r="S4460">
        <f t="shared" ca="1" si="508"/>
        <v>199.60769611197671</v>
      </c>
      <c r="T4460" s="61">
        <f t="shared" ca="1" si="502"/>
        <v>21600</v>
      </c>
      <c r="U4460" s="61">
        <f t="shared" ca="1" si="503"/>
        <v>25827.386289269751</v>
      </c>
      <c r="V4460" s="39">
        <f t="shared" ca="1" si="504"/>
        <v>0.16991701506098519</v>
      </c>
      <c r="W4460" s="48">
        <f t="shared" ca="1" si="505"/>
        <v>2.5711923508222263</v>
      </c>
    </row>
    <row r="4461" spans="17:23" x14ac:dyDescent="0.2">
      <c r="Q4461">
        <f t="shared" si="506"/>
        <v>4445</v>
      </c>
      <c r="R4461" s="48">
        <f t="shared" ca="1" si="507"/>
        <v>0.3</v>
      </c>
      <c r="S4461">
        <f t="shared" ca="1" si="508"/>
        <v>161.11396196926179</v>
      </c>
      <c r="T4461" s="61">
        <f t="shared" ca="1" si="502"/>
        <v>14400</v>
      </c>
      <c r="U4461" s="61">
        <f t="shared" ca="1" si="503"/>
        <v>-1776.1812972133957</v>
      </c>
      <c r="V4461" s="39">
        <f t="shared" ca="1" si="504"/>
        <v>-1.1685403271140761E-2</v>
      </c>
      <c r="W4461" s="48">
        <f t="shared" ca="1" si="505"/>
        <v>-9.093596088154654E-2</v>
      </c>
    </row>
    <row r="4462" spans="17:23" x14ac:dyDescent="0.2">
      <c r="Q4462">
        <f t="shared" si="506"/>
        <v>4446</v>
      </c>
      <c r="R4462" s="48">
        <f t="shared" ca="1" si="507"/>
        <v>0.3</v>
      </c>
      <c r="S4462">
        <f t="shared" ca="1" si="508"/>
        <v>153.65713697432869</v>
      </c>
      <c r="T4462" s="61">
        <f t="shared" ca="1" si="502"/>
        <v>14400</v>
      </c>
      <c r="U4462" s="61">
        <f t="shared" ca="1" si="503"/>
        <v>-5952.0032943759325</v>
      </c>
      <c r="V4462" s="39">
        <f t="shared" ca="1" si="504"/>
        <v>-3.9157916410367977E-2</v>
      </c>
      <c r="W4462" s="48">
        <f t="shared" ca="1" si="505"/>
        <v>-0.27674977594709538</v>
      </c>
    </row>
    <row r="4463" spans="17:23" x14ac:dyDescent="0.2">
      <c r="Q4463">
        <f t="shared" si="506"/>
        <v>4447</v>
      </c>
      <c r="R4463" s="48">
        <f t="shared" ca="1" si="507"/>
        <v>0.3</v>
      </c>
      <c r="S4463">
        <f t="shared" ca="1" si="508"/>
        <v>177.19861760496696</v>
      </c>
      <c r="T4463" s="61">
        <f t="shared" ca="1" si="502"/>
        <v>14400</v>
      </c>
      <c r="U4463" s="61">
        <f t="shared" ca="1" si="503"/>
        <v>7231.2258587814949</v>
      </c>
      <c r="V4463" s="39">
        <f t="shared" ca="1" si="504"/>
        <v>4.7573854334088783E-2</v>
      </c>
      <c r="W4463" s="48">
        <f t="shared" ca="1" si="505"/>
        <v>0.45787384324019631</v>
      </c>
    </row>
    <row r="4464" spans="17:23" x14ac:dyDescent="0.2">
      <c r="Q4464">
        <f t="shared" si="506"/>
        <v>4448</v>
      </c>
      <c r="R4464" s="48">
        <f t="shared" ca="1" si="507"/>
        <v>0.15</v>
      </c>
      <c r="S4464">
        <f t="shared" ca="1" si="508"/>
        <v>207.32194950892986</v>
      </c>
      <c r="T4464" s="61">
        <f t="shared" ca="1" si="502"/>
        <v>7200</v>
      </c>
      <c r="U4464" s="61">
        <f t="shared" ca="1" si="503"/>
        <v>18978.925666072304</v>
      </c>
      <c r="V4464" s="39">
        <f t="shared" ca="1" si="504"/>
        <v>0.12486135306626515</v>
      </c>
      <c r="W4464" s="48">
        <f t="shared" ca="1" si="505"/>
        <v>1.5969861519343618</v>
      </c>
    </row>
    <row r="4465" spans="17:23" x14ac:dyDescent="0.2">
      <c r="Q4465">
        <f t="shared" si="506"/>
        <v>4449</v>
      </c>
      <c r="R4465" s="48">
        <f t="shared" ca="1" si="507"/>
        <v>0.35</v>
      </c>
      <c r="S4465">
        <f t="shared" ca="1" si="508"/>
        <v>194.74377234056007</v>
      </c>
      <c r="T4465" s="61">
        <f t="shared" ca="1" si="502"/>
        <v>16800</v>
      </c>
      <c r="U4465" s="61">
        <f t="shared" ca="1" si="503"/>
        <v>19266.761617091237</v>
      </c>
      <c r="V4465" s="39">
        <f t="shared" ca="1" si="504"/>
        <v>0.12675501063875813</v>
      </c>
      <c r="W4465" s="48">
        <f t="shared" ca="1" si="505"/>
        <v>1.6326602576763061</v>
      </c>
    </row>
    <row r="4466" spans="17:23" x14ac:dyDescent="0.2">
      <c r="Q4466">
        <f t="shared" si="506"/>
        <v>4450</v>
      </c>
      <c r="R4466" s="48">
        <f t="shared" ca="1" si="507"/>
        <v>0.3</v>
      </c>
      <c r="S4466">
        <f t="shared" ca="1" si="508"/>
        <v>180.30430670195878</v>
      </c>
      <c r="T4466" s="61">
        <f t="shared" ca="1" si="502"/>
        <v>14400</v>
      </c>
      <c r="U4466" s="61">
        <f t="shared" ca="1" si="503"/>
        <v>8970.4117530969161</v>
      </c>
      <c r="V4466" s="39">
        <f t="shared" ca="1" si="504"/>
        <v>5.9015866796690235E-2</v>
      </c>
      <c r="W4466" s="48">
        <f t="shared" ca="1" si="505"/>
        <v>0.59215988257690966</v>
      </c>
    </row>
    <row r="4467" spans="17:23" x14ac:dyDescent="0.2">
      <c r="Q4467">
        <f t="shared" si="506"/>
        <v>4451</v>
      </c>
      <c r="R4467" s="48">
        <f t="shared" ca="1" si="507"/>
        <v>0.35</v>
      </c>
      <c r="S4467">
        <f t="shared" ca="1" si="508"/>
        <v>188.59190873713894</v>
      </c>
      <c r="T4467" s="61">
        <f t="shared" ca="1" si="502"/>
        <v>16800</v>
      </c>
      <c r="U4467" s="61">
        <f t="shared" ca="1" si="503"/>
        <v>16067.792543312247</v>
      </c>
      <c r="V4467" s="39">
        <f t="shared" ca="1" si="504"/>
        <v>0.10570916146915953</v>
      </c>
      <c r="W4467" s="48">
        <f t="shared" ca="1" si="505"/>
        <v>1.2593122328503563</v>
      </c>
    </row>
    <row r="4468" spans="17:23" x14ac:dyDescent="0.2">
      <c r="Q4468">
        <f t="shared" si="506"/>
        <v>4452</v>
      </c>
      <c r="R4468" s="48">
        <f t="shared" ca="1" si="507"/>
        <v>0.4</v>
      </c>
      <c r="S4468">
        <f t="shared" ca="1" si="508"/>
        <v>204.90242225785238</v>
      </c>
      <c r="T4468" s="61">
        <f t="shared" ca="1" si="502"/>
        <v>19200</v>
      </c>
      <c r="U4468" s="61">
        <f t="shared" ca="1" si="503"/>
        <v>26353.162683769144</v>
      </c>
      <c r="V4468" s="39">
        <f t="shared" ca="1" si="504"/>
        <v>0.1733760702879549</v>
      </c>
      <c r="W4468" s="48">
        <f t="shared" ca="1" si="505"/>
        <v>2.6577419530947259</v>
      </c>
    </row>
    <row r="4469" spans="17:23" x14ac:dyDescent="0.2">
      <c r="Q4469">
        <f t="shared" si="506"/>
        <v>4453</v>
      </c>
      <c r="R4469" s="48">
        <f t="shared" ca="1" si="507"/>
        <v>0.3</v>
      </c>
      <c r="S4469">
        <f t="shared" ca="1" si="508"/>
        <v>180.86872625449968</v>
      </c>
      <c r="T4469" s="61">
        <f t="shared" ca="1" si="502"/>
        <v>14400</v>
      </c>
      <c r="U4469" s="61">
        <f t="shared" ca="1" si="503"/>
        <v>9286.4867025198182</v>
      </c>
      <c r="V4469" s="39">
        <f t="shared" ca="1" si="504"/>
        <v>6.1095307253419856E-2</v>
      </c>
      <c r="W4469" s="48">
        <f t="shared" ca="1" si="505"/>
        <v>0.6176953983556237</v>
      </c>
    </row>
    <row r="4470" spans="17:23" x14ac:dyDescent="0.2">
      <c r="Q4470">
        <f t="shared" si="506"/>
        <v>4454</v>
      </c>
      <c r="R4470" s="48">
        <f t="shared" ca="1" si="507"/>
        <v>0.45</v>
      </c>
      <c r="S4470">
        <f t="shared" ca="1" si="508"/>
        <v>219.16005076540353</v>
      </c>
      <c r="T4470" s="61">
        <f t="shared" ca="1" si="502"/>
        <v>21600</v>
      </c>
      <c r="U4470" s="61">
        <f t="shared" ca="1" si="503"/>
        <v>34430.422336777556</v>
      </c>
      <c r="V4470" s="39">
        <f t="shared" ca="1" si="504"/>
        <v>0.22651593642616813</v>
      </c>
      <c r="W4470" s="48">
        <f t="shared" ca="1" si="505"/>
        <v>4.2388762642880042</v>
      </c>
    </row>
    <row r="4471" spans="17:23" x14ac:dyDescent="0.2">
      <c r="Q4471">
        <f t="shared" si="506"/>
        <v>4455</v>
      </c>
      <c r="R4471" s="48">
        <f t="shared" ca="1" si="507"/>
        <v>0.4</v>
      </c>
      <c r="S4471">
        <f t="shared" ca="1" si="508"/>
        <v>186.94017049786845</v>
      </c>
      <c r="T4471" s="61">
        <f t="shared" ca="1" si="502"/>
        <v>19200</v>
      </c>
      <c r="U4471" s="61">
        <f t="shared" ca="1" si="503"/>
        <v>17731.281838976858</v>
      </c>
      <c r="V4471" s="39">
        <f t="shared" ca="1" si="504"/>
        <v>0.1166531699932688</v>
      </c>
      <c r="W4471" s="48">
        <f t="shared" ca="1" si="505"/>
        <v>1.4472068585489111</v>
      </c>
    </row>
    <row r="4472" spans="17:23" x14ac:dyDescent="0.2">
      <c r="Q4472">
        <f t="shared" si="506"/>
        <v>4456</v>
      </c>
      <c r="R4472" s="48">
        <f t="shared" ca="1" si="507"/>
        <v>0.4</v>
      </c>
      <c r="S4472">
        <f t="shared" ca="1" si="508"/>
        <v>178.17869670173059</v>
      </c>
      <c r="T4472" s="61">
        <f t="shared" ca="1" si="502"/>
        <v>19200</v>
      </c>
      <c r="U4472" s="61">
        <f t="shared" ca="1" si="503"/>
        <v>13525.774416830682</v>
      </c>
      <c r="V4472" s="39">
        <f t="shared" ca="1" si="504"/>
        <v>8.8985358005465018E-2</v>
      </c>
      <c r="W4472" s="48">
        <f t="shared" ca="1" si="505"/>
        <v>0.99659456158355808</v>
      </c>
    </row>
    <row r="4473" spans="17:23" x14ac:dyDescent="0.2">
      <c r="Q4473">
        <f t="shared" si="506"/>
        <v>4457</v>
      </c>
      <c r="R4473" s="48">
        <f t="shared" ca="1" si="507"/>
        <v>0.3</v>
      </c>
      <c r="S4473">
        <f t="shared" ca="1" si="508"/>
        <v>187.54805661726533</v>
      </c>
      <c r="T4473" s="61">
        <f t="shared" ref="T4473:T4536" ca="1" si="509">($B$8-$B$7)*($E$6*R4473)</f>
        <v>14400</v>
      </c>
      <c r="U4473" s="61">
        <f t="shared" ref="U4473:U4536" ca="1" si="510">T4473+((S4473-$B$7)*($E$6*(1-R4473)))</f>
        <v>13026.911705668586</v>
      </c>
      <c r="V4473" s="39">
        <f t="shared" ref="V4473:V4536" ca="1" si="511">U4473/$E$4</f>
        <v>8.5703366484661758E-2</v>
      </c>
      <c r="W4473" s="48">
        <f t="shared" ref="W4473:W4536" ca="1" si="512">(1+V4473)^($J$29/$J$30)-1</f>
        <v>0.94830697403061026</v>
      </c>
    </row>
    <row r="4474" spans="17:23" x14ac:dyDescent="0.2">
      <c r="Q4474">
        <f t="shared" si="506"/>
        <v>4458</v>
      </c>
      <c r="R4474" s="48">
        <f t="shared" ca="1" si="507"/>
        <v>0.35</v>
      </c>
      <c r="S4474">
        <f t="shared" ca="1" si="508"/>
        <v>183.61550224519286</v>
      </c>
      <c r="T4474" s="61">
        <f t="shared" ca="1" si="509"/>
        <v>16800</v>
      </c>
      <c r="U4474" s="61">
        <f t="shared" ca="1" si="510"/>
        <v>13480.061167500286</v>
      </c>
      <c r="V4474" s="39">
        <f t="shared" ca="1" si="511"/>
        <v>8.8684612944080823E-2</v>
      </c>
      <c r="W4474" s="48">
        <f t="shared" ca="1" si="512"/>
        <v>0.99212648839015083</v>
      </c>
    </row>
    <row r="4475" spans="17:23" x14ac:dyDescent="0.2">
      <c r="Q4475">
        <f t="shared" si="506"/>
        <v>4459</v>
      </c>
      <c r="R4475" s="48">
        <f t="shared" ca="1" si="507"/>
        <v>0.35</v>
      </c>
      <c r="S4475">
        <f t="shared" ca="1" si="508"/>
        <v>173.23298656551913</v>
      </c>
      <c r="T4475" s="61">
        <f t="shared" ca="1" si="509"/>
        <v>16800</v>
      </c>
      <c r="U4475" s="61">
        <f t="shared" ca="1" si="510"/>
        <v>8081.1530140699469</v>
      </c>
      <c r="V4475" s="39">
        <f t="shared" ca="1" si="511"/>
        <v>5.3165480355723334E-2</v>
      </c>
      <c r="W4475" s="48">
        <f t="shared" ca="1" si="512"/>
        <v>0.5222029183218917</v>
      </c>
    </row>
    <row r="4476" spans="17:23" x14ac:dyDescent="0.2">
      <c r="Q4476">
        <f t="shared" si="506"/>
        <v>4460</v>
      </c>
      <c r="R4476" s="48">
        <f t="shared" ca="1" si="507"/>
        <v>0.3</v>
      </c>
      <c r="S4476">
        <f t="shared" ca="1" si="508"/>
        <v>176.13895073824091</v>
      </c>
      <c r="T4476" s="61">
        <f t="shared" ca="1" si="509"/>
        <v>14400</v>
      </c>
      <c r="U4476" s="61">
        <f t="shared" ca="1" si="510"/>
        <v>6637.8124134149084</v>
      </c>
      <c r="V4476" s="39">
        <f t="shared" ca="1" si="511"/>
        <v>4.3669818509308608E-2</v>
      </c>
      <c r="W4476" s="48">
        <f t="shared" ca="1" si="512"/>
        <v>0.4143847496707711</v>
      </c>
    </row>
    <row r="4477" spans="17:23" x14ac:dyDescent="0.2">
      <c r="Q4477">
        <f t="shared" si="506"/>
        <v>4461</v>
      </c>
      <c r="R4477" s="48">
        <f t="shared" ca="1" si="507"/>
        <v>0.3</v>
      </c>
      <c r="S4477">
        <f t="shared" ca="1" si="508"/>
        <v>223.71237213348243</v>
      </c>
      <c r="T4477" s="61">
        <f t="shared" ca="1" si="509"/>
        <v>14400</v>
      </c>
      <c r="U4477" s="61">
        <f t="shared" ca="1" si="510"/>
        <v>33278.928394750161</v>
      </c>
      <c r="V4477" s="39">
        <f t="shared" ca="1" si="511"/>
        <v>0.2189403183865142</v>
      </c>
      <c r="W4477" s="48">
        <f t="shared" ca="1" si="512"/>
        <v>3.9821080579294499</v>
      </c>
    </row>
    <row r="4478" spans="17:23" x14ac:dyDescent="0.2">
      <c r="Q4478">
        <f t="shared" si="506"/>
        <v>4462</v>
      </c>
      <c r="R4478" s="48">
        <f t="shared" ca="1" si="507"/>
        <v>0.4</v>
      </c>
      <c r="S4478">
        <f t="shared" ca="1" si="508"/>
        <v>212.26228757842853</v>
      </c>
      <c r="T4478" s="61">
        <f t="shared" ca="1" si="509"/>
        <v>19200</v>
      </c>
      <c r="U4478" s="61">
        <f t="shared" ca="1" si="510"/>
        <v>29885.898037645693</v>
      </c>
      <c r="V4478" s="39">
        <f t="shared" ca="1" si="511"/>
        <v>0.19661775024766903</v>
      </c>
      <c r="W4478" s="48">
        <f t="shared" ca="1" si="512"/>
        <v>3.2884982931292512</v>
      </c>
    </row>
    <row r="4479" spans="17:23" x14ac:dyDescent="0.2">
      <c r="Q4479">
        <f t="shared" si="506"/>
        <v>4463</v>
      </c>
      <c r="R4479" s="48">
        <f t="shared" ca="1" si="507"/>
        <v>0.3</v>
      </c>
      <c r="S4479">
        <f t="shared" ca="1" si="508"/>
        <v>193.92788709284827</v>
      </c>
      <c r="T4479" s="61">
        <f t="shared" ca="1" si="509"/>
        <v>14400</v>
      </c>
      <c r="U4479" s="61">
        <f t="shared" ca="1" si="510"/>
        <v>16599.616771995028</v>
      </c>
      <c r="V4479" s="39">
        <f t="shared" ca="1" si="511"/>
        <v>0.10920800507891466</v>
      </c>
      <c r="W4479" s="48">
        <f t="shared" ca="1" si="512"/>
        <v>1.3179571614719952</v>
      </c>
    </row>
    <row r="4480" spans="17:23" x14ac:dyDescent="0.2">
      <c r="Q4480">
        <f t="shared" si="506"/>
        <v>4464</v>
      </c>
      <c r="R4480" s="48">
        <f t="shared" ca="1" si="507"/>
        <v>0.217</v>
      </c>
      <c r="S4480">
        <f t="shared" ca="1" si="508"/>
        <v>160.51120073056941</v>
      </c>
      <c r="T4480" s="61">
        <f t="shared" ca="1" si="509"/>
        <v>10416</v>
      </c>
      <c r="U4480" s="61">
        <f t="shared" ca="1" si="510"/>
        <v>-8055.7838623713178</v>
      </c>
      <c r="V4480" s="39">
        <f t="shared" ca="1" si="511"/>
        <v>-5.2998578041916565E-2</v>
      </c>
      <c r="W4480" s="48">
        <f t="shared" ca="1" si="512"/>
        <v>-0.35704979185606567</v>
      </c>
    </row>
    <row r="4481" spans="17:23" x14ac:dyDescent="0.2">
      <c r="Q4481">
        <f t="shared" si="506"/>
        <v>4465</v>
      </c>
      <c r="R4481" s="48">
        <f t="shared" ca="1" si="507"/>
        <v>0.4</v>
      </c>
      <c r="S4481">
        <f t="shared" ca="1" si="508"/>
        <v>221.85510608131136</v>
      </c>
      <c r="T4481" s="61">
        <f t="shared" ca="1" si="509"/>
        <v>19200</v>
      </c>
      <c r="U4481" s="61">
        <f t="shared" ca="1" si="510"/>
        <v>34490.450919029456</v>
      </c>
      <c r="V4481" s="39">
        <f t="shared" ca="1" si="511"/>
        <v>0.22691086130940433</v>
      </c>
      <c r="W4481" s="48">
        <f t="shared" ca="1" si="512"/>
        <v>4.2525742603944483</v>
      </c>
    </row>
    <row r="4482" spans="17:23" x14ac:dyDescent="0.2">
      <c r="Q4482">
        <f t="shared" si="506"/>
        <v>4466</v>
      </c>
      <c r="R4482" s="48">
        <f t="shared" ca="1" si="507"/>
        <v>0.217</v>
      </c>
      <c r="S4482">
        <f t="shared" ca="1" si="508"/>
        <v>180.50104129412458</v>
      </c>
      <c r="T4482" s="61">
        <f t="shared" ca="1" si="509"/>
        <v>10416</v>
      </c>
      <c r="U4482" s="61">
        <f t="shared" ca="1" si="510"/>
        <v>4465.8522666396348</v>
      </c>
      <c r="V4482" s="39">
        <f t="shared" ca="1" si="511"/>
        <v>2.9380607017366018E-2</v>
      </c>
      <c r="W4482" s="48">
        <f t="shared" ca="1" si="512"/>
        <v>0.26475145662375121</v>
      </c>
    </row>
    <row r="4483" spans="17:23" x14ac:dyDescent="0.2">
      <c r="Q4483">
        <f t="shared" si="506"/>
        <v>4467</v>
      </c>
      <c r="R4483" s="48">
        <f t="shared" ca="1" si="507"/>
        <v>0.4</v>
      </c>
      <c r="S4483">
        <f t="shared" ca="1" si="508"/>
        <v>222.4298827025514</v>
      </c>
      <c r="T4483" s="61">
        <f t="shared" ca="1" si="509"/>
        <v>19200</v>
      </c>
      <c r="U4483" s="61">
        <f t="shared" ca="1" si="510"/>
        <v>34766.343697224671</v>
      </c>
      <c r="V4483" s="39">
        <f t="shared" ca="1" si="511"/>
        <v>0.22872594537647808</v>
      </c>
      <c r="W4483" s="48">
        <f t="shared" ca="1" si="512"/>
        <v>4.3159351953353609</v>
      </c>
    </row>
    <row r="4484" spans="17:23" x14ac:dyDescent="0.2">
      <c r="Q4484">
        <f t="shared" si="506"/>
        <v>4468</v>
      </c>
      <c r="R4484" s="48">
        <f t="shared" ca="1" si="507"/>
        <v>0.4</v>
      </c>
      <c r="S4484">
        <f t="shared" ca="1" si="508"/>
        <v>201.94926201063606</v>
      </c>
      <c r="T4484" s="61">
        <f t="shared" ca="1" si="509"/>
        <v>19200</v>
      </c>
      <c r="U4484" s="61">
        <f t="shared" ca="1" si="510"/>
        <v>24935.64576510531</v>
      </c>
      <c r="V4484" s="39">
        <f t="shared" ca="1" si="511"/>
        <v>0.16405030108621915</v>
      </c>
      <c r="W4484" s="48">
        <f t="shared" ca="1" si="512"/>
        <v>2.4285001611856325</v>
      </c>
    </row>
    <row r="4485" spans="17:23" x14ac:dyDescent="0.2">
      <c r="Q4485">
        <f t="shared" si="506"/>
        <v>4469</v>
      </c>
      <c r="R4485" s="48">
        <f t="shared" ca="1" si="507"/>
        <v>0.35</v>
      </c>
      <c r="S4485">
        <f t="shared" ca="1" si="508"/>
        <v>174.52830220185007</v>
      </c>
      <c r="T4485" s="61">
        <f t="shared" ca="1" si="509"/>
        <v>16800</v>
      </c>
      <c r="U4485" s="61">
        <f t="shared" ca="1" si="510"/>
        <v>8754.7171449620346</v>
      </c>
      <c r="V4485" s="39">
        <f t="shared" ca="1" si="511"/>
        <v>5.759682332211865E-2</v>
      </c>
      <c r="W4485" s="48">
        <f t="shared" ca="1" si="512"/>
        <v>0.57493755422403825</v>
      </c>
    </row>
    <row r="4486" spans="17:23" x14ac:dyDescent="0.2">
      <c r="Q4486">
        <f t="shared" si="506"/>
        <v>4470</v>
      </c>
      <c r="R4486" s="48">
        <f t="shared" ca="1" si="507"/>
        <v>0.3</v>
      </c>
      <c r="S4486">
        <f t="shared" ca="1" si="508"/>
        <v>188.92375865686381</v>
      </c>
      <c r="T4486" s="61">
        <f t="shared" ca="1" si="509"/>
        <v>14400</v>
      </c>
      <c r="U4486" s="61">
        <f t="shared" ca="1" si="510"/>
        <v>13797.304847843734</v>
      </c>
      <c r="V4486" s="39">
        <f t="shared" ca="1" si="511"/>
        <v>9.0771742420024559E-2</v>
      </c>
      <c r="W4486" s="48">
        <f t="shared" ca="1" si="512"/>
        <v>1.0233158407760659</v>
      </c>
    </row>
    <row r="4487" spans="17:23" x14ac:dyDescent="0.2">
      <c r="Q4487">
        <f t="shared" si="506"/>
        <v>4471</v>
      </c>
      <c r="R4487" s="48">
        <f t="shared" ca="1" si="507"/>
        <v>0.217</v>
      </c>
      <c r="S4487">
        <f t="shared" ca="1" si="508"/>
        <v>214.91864319288774</v>
      </c>
      <c r="T4487" s="61">
        <f t="shared" ca="1" si="509"/>
        <v>10416</v>
      </c>
      <c r="U4487" s="61">
        <f t="shared" ca="1" si="510"/>
        <v>26025.03809602488</v>
      </c>
      <c r="V4487" s="39">
        <f t="shared" ca="1" si="511"/>
        <v>0.17121735589490053</v>
      </c>
      <c r="W4487" s="48">
        <f t="shared" ca="1" si="512"/>
        <v>2.6035154156511493</v>
      </c>
    </row>
    <row r="4488" spans="17:23" x14ac:dyDescent="0.2">
      <c r="Q4488">
        <f t="shared" si="506"/>
        <v>4472</v>
      </c>
      <c r="R4488" s="48">
        <f t="shared" ca="1" si="507"/>
        <v>0.5</v>
      </c>
      <c r="S4488">
        <f t="shared" ca="1" si="508"/>
        <v>187.87576313510121</v>
      </c>
      <c r="T4488" s="61">
        <f t="shared" ca="1" si="509"/>
        <v>24000</v>
      </c>
      <c r="U4488" s="61">
        <f t="shared" ca="1" si="510"/>
        <v>23150.305254040482</v>
      </c>
      <c r="V4488" s="39">
        <f t="shared" ca="1" si="511"/>
        <v>0.15230463982921369</v>
      </c>
      <c r="W4488" s="48">
        <f t="shared" ca="1" si="512"/>
        <v>2.1577612940747395</v>
      </c>
    </row>
    <row r="4489" spans="17:23" x14ac:dyDescent="0.2">
      <c r="Q4489">
        <f t="shared" si="506"/>
        <v>4473</v>
      </c>
      <c r="R4489" s="48">
        <f t="shared" ca="1" si="507"/>
        <v>0.3</v>
      </c>
      <c r="S4489">
        <f t="shared" ca="1" si="508"/>
        <v>182.66396056038798</v>
      </c>
      <c r="T4489" s="61">
        <f t="shared" ca="1" si="509"/>
        <v>14400</v>
      </c>
      <c r="U4489" s="61">
        <f t="shared" ca="1" si="510"/>
        <v>10291.817913817267</v>
      </c>
      <c r="V4489" s="39">
        <f t="shared" ca="1" si="511"/>
        <v>6.7709328380376757E-2</v>
      </c>
      <c r="W4489" s="48">
        <f t="shared" ca="1" si="512"/>
        <v>0.70131897315176439</v>
      </c>
    </row>
    <row r="4490" spans="17:23" x14ac:dyDescent="0.2">
      <c r="Q4490">
        <f t="shared" si="506"/>
        <v>4474</v>
      </c>
      <c r="R4490" s="48">
        <f t="shared" ca="1" si="507"/>
        <v>0.5</v>
      </c>
      <c r="S4490">
        <f t="shared" ca="1" si="508"/>
        <v>206.33805749771216</v>
      </c>
      <c r="T4490" s="61">
        <f t="shared" ca="1" si="509"/>
        <v>24000</v>
      </c>
      <c r="U4490" s="61">
        <f t="shared" ca="1" si="510"/>
        <v>30535.222999084865</v>
      </c>
      <c r="V4490" s="39">
        <f t="shared" ca="1" si="511"/>
        <v>0.20088962499397936</v>
      </c>
      <c r="W4490" s="48">
        <f t="shared" ca="1" si="512"/>
        <v>3.4142651807508368</v>
      </c>
    </row>
    <row r="4491" spans="17:23" x14ac:dyDescent="0.2">
      <c r="Q4491">
        <f t="shared" si="506"/>
        <v>4475</v>
      </c>
      <c r="R4491" s="48">
        <f t="shared" ca="1" si="507"/>
        <v>0.4</v>
      </c>
      <c r="S4491">
        <f t="shared" ca="1" si="508"/>
        <v>195.44005550889474</v>
      </c>
      <c r="T4491" s="61">
        <f t="shared" ca="1" si="509"/>
        <v>19200</v>
      </c>
      <c r="U4491" s="61">
        <f t="shared" ca="1" si="510"/>
        <v>21811.226644269478</v>
      </c>
      <c r="V4491" s="39">
        <f t="shared" ca="1" si="511"/>
        <v>0.14349491213335183</v>
      </c>
      <c r="W4491" s="48">
        <f t="shared" ca="1" si="512"/>
        <v>1.9671832145475432</v>
      </c>
    </row>
    <row r="4492" spans="17:23" x14ac:dyDescent="0.2">
      <c r="Q4492">
        <f t="shared" si="506"/>
        <v>4476</v>
      </c>
      <c r="R4492" s="48">
        <f t="shared" ca="1" si="507"/>
        <v>0.3</v>
      </c>
      <c r="S4492">
        <f t="shared" ca="1" si="508"/>
        <v>187.75159636289797</v>
      </c>
      <c r="T4492" s="61">
        <f t="shared" ca="1" si="509"/>
        <v>14400</v>
      </c>
      <c r="U4492" s="61">
        <f t="shared" ca="1" si="510"/>
        <v>13140.893963222863</v>
      </c>
      <c r="V4492" s="39">
        <f t="shared" ca="1" si="511"/>
        <v>8.645324975804515E-2</v>
      </c>
      <c r="W4492" s="48">
        <f t="shared" ca="1" si="512"/>
        <v>0.95924872790583193</v>
      </c>
    </row>
    <row r="4493" spans="17:23" x14ac:dyDescent="0.2">
      <c r="Q4493">
        <f t="shared" si="506"/>
        <v>4477</v>
      </c>
      <c r="R4493" s="48">
        <f t="shared" ca="1" si="507"/>
        <v>0.35</v>
      </c>
      <c r="S4493">
        <f t="shared" ca="1" si="508"/>
        <v>165.95755448276279</v>
      </c>
      <c r="T4493" s="61">
        <f t="shared" ca="1" si="509"/>
        <v>16800</v>
      </c>
      <c r="U4493" s="61">
        <f t="shared" ca="1" si="510"/>
        <v>4297.92833103665</v>
      </c>
      <c r="V4493" s="39">
        <f t="shared" ca="1" si="511"/>
        <v>2.8275844283135856E-2</v>
      </c>
      <c r="W4493" s="48">
        <f t="shared" ca="1" si="512"/>
        <v>0.2537835991740387</v>
      </c>
    </row>
    <row r="4494" spans="17:23" x14ac:dyDescent="0.2">
      <c r="Q4494">
        <f t="shared" si="506"/>
        <v>4478</v>
      </c>
      <c r="R4494" s="48">
        <f t="shared" ca="1" si="507"/>
        <v>0.3</v>
      </c>
      <c r="S4494">
        <f t="shared" ca="1" si="508"/>
        <v>150.39408758074632</v>
      </c>
      <c r="T4494" s="61">
        <f t="shared" ca="1" si="509"/>
        <v>14400</v>
      </c>
      <c r="U4494" s="61">
        <f t="shared" ca="1" si="510"/>
        <v>-7779.3109547820641</v>
      </c>
      <c r="V4494" s="39">
        <f t="shared" ca="1" si="511"/>
        <v>-5.1179677334092524E-2</v>
      </c>
      <c r="W4494" s="48">
        <f t="shared" ca="1" si="512"/>
        <v>-0.34696461818070667</v>
      </c>
    </row>
    <row r="4495" spans="17:23" x14ac:dyDescent="0.2">
      <c r="Q4495">
        <f t="shared" si="506"/>
        <v>4479</v>
      </c>
      <c r="R4495" s="48">
        <f t="shared" ca="1" si="507"/>
        <v>0.4</v>
      </c>
      <c r="S4495">
        <f t="shared" ca="1" si="508"/>
        <v>174.47136353826917</v>
      </c>
      <c r="T4495" s="61">
        <f t="shared" ca="1" si="509"/>
        <v>19200</v>
      </c>
      <c r="U4495" s="61">
        <f t="shared" ca="1" si="510"/>
        <v>11746.254498369202</v>
      </c>
      <c r="V4495" s="39">
        <f t="shared" ca="1" si="511"/>
        <v>7.7277990120850015E-2</v>
      </c>
      <c r="W4495" s="48">
        <f t="shared" ca="1" si="512"/>
        <v>0.82900238252252612</v>
      </c>
    </row>
    <row r="4496" spans="17:23" x14ac:dyDescent="0.2">
      <c r="Q4496">
        <f t="shared" si="506"/>
        <v>4480</v>
      </c>
      <c r="R4496" s="48">
        <f t="shared" ca="1" si="507"/>
        <v>0.3</v>
      </c>
      <c r="S4496">
        <f t="shared" ca="1" si="508"/>
        <v>156.74355827908366</v>
      </c>
      <c r="T4496" s="61">
        <f t="shared" ca="1" si="509"/>
        <v>14400</v>
      </c>
      <c r="U4496" s="61">
        <f t="shared" ca="1" si="510"/>
        <v>-4223.6073637131522</v>
      </c>
      <c r="V4496" s="39">
        <f t="shared" ca="1" si="511"/>
        <v>-2.778689055074442E-2</v>
      </c>
      <c r="W4496" s="48">
        <f t="shared" ca="1" si="512"/>
        <v>-0.20433190016311176</v>
      </c>
    </row>
    <row r="4497" spans="17:23" x14ac:dyDescent="0.2">
      <c r="Q4497">
        <f t="shared" si="506"/>
        <v>4481</v>
      </c>
      <c r="R4497" s="48">
        <f t="shared" ca="1" si="507"/>
        <v>0.217</v>
      </c>
      <c r="S4497">
        <f t="shared" ca="1" si="508"/>
        <v>169.6133421994621</v>
      </c>
      <c r="T4497" s="61">
        <f t="shared" ca="1" si="509"/>
        <v>10416</v>
      </c>
      <c r="U4497" s="61">
        <f t="shared" ca="1" si="510"/>
        <v>-2354.2024462569425</v>
      </c>
      <c r="V4497" s="39">
        <f t="shared" ca="1" si="511"/>
        <v>-1.5488173988532517E-2</v>
      </c>
      <c r="W4497" s="48">
        <f t="shared" ca="1" si="512"/>
        <v>-0.11892217911811631</v>
      </c>
    </row>
    <row r="4498" spans="17:23" x14ac:dyDescent="0.2">
      <c r="Q4498">
        <f t="shared" si="506"/>
        <v>4482</v>
      </c>
      <c r="R4498" s="48">
        <f t="shared" ca="1" si="507"/>
        <v>0.35</v>
      </c>
      <c r="S4498">
        <f t="shared" ca="1" si="508"/>
        <v>163.74433776352961</v>
      </c>
      <c r="T4498" s="61">
        <f t="shared" ca="1" si="509"/>
        <v>16800</v>
      </c>
      <c r="U4498" s="61">
        <f t="shared" ca="1" si="510"/>
        <v>3147.0556370353988</v>
      </c>
      <c r="V4498" s="39">
        <f t="shared" ca="1" si="511"/>
        <v>2.0704313401548678E-2</v>
      </c>
      <c r="W4498" s="48">
        <f t="shared" ca="1" si="512"/>
        <v>0.18083300608888631</v>
      </c>
    </row>
    <row r="4499" spans="17:23" x14ac:dyDescent="0.2">
      <c r="Q4499">
        <f t="shared" ref="Q4499:Q4562" si="513">Q4498+1</f>
        <v>4483</v>
      </c>
      <c r="R4499" s="48">
        <f t="shared" ref="R4499:R4562" ca="1" si="514">LOOKUP(RAND(),$U$6:$U$12,$S$6:$S$12)</f>
        <v>0.35</v>
      </c>
      <c r="S4499">
        <f t="shared" ref="S4499:S4562" ca="1" si="515">_xlfn.NORM.INV(RAND(),$Q$5,$Q$10)</f>
        <v>193.68579428632231</v>
      </c>
      <c r="T4499" s="61">
        <f t="shared" ca="1" si="509"/>
        <v>16800</v>
      </c>
      <c r="U4499" s="61">
        <f t="shared" ca="1" si="510"/>
        <v>18716.613028887597</v>
      </c>
      <c r="V4499" s="39">
        <f t="shared" ca="1" si="511"/>
        <v>0.12313561203215524</v>
      </c>
      <c r="W4499" s="48">
        <f t="shared" ca="1" si="512"/>
        <v>1.5648452144059788</v>
      </c>
    </row>
    <row r="4500" spans="17:23" x14ac:dyDescent="0.2">
      <c r="Q4500">
        <f t="shared" si="513"/>
        <v>4484</v>
      </c>
      <c r="R4500" s="48">
        <f t="shared" ca="1" si="514"/>
        <v>0.4</v>
      </c>
      <c r="S4500">
        <f t="shared" ca="1" si="515"/>
        <v>187.23871877891756</v>
      </c>
      <c r="T4500" s="61">
        <f t="shared" ca="1" si="509"/>
        <v>19200</v>
      </c>
      <c r="U4500" s="61">
        <f t="shared" ca="1" si="510"/>
        <v>17874.585013880427</v>
      </c>
      <c r="V4500" s="39">
        <f t="shared" ca="1" si="511"/>
        <v>0.11759595403868701</v>
      </c>
      <c r="W4500" s="48">
        <f t="shared" ca="1" si="512"/>
        <v>1.4640161327698396</v>
      </c>
    </row>
    <row r="4501" spans="17:23" x14ac:dyDescent="0.2">
      <c r="Q4501">
        <f t="shared" si="513"/>
        <v>4485</v>
      </c>
      <c r="R4501" s="48">
        <f t="shared" ca="1" si="514"/>
        <v>0.3</v>
      </c>
      <c r="S4501">
        <f t="shared" ca="1" si="515"/>
        <v>193.52781212888826</v>
      </c>
      <c r="T4501" s="61">
        <f t="shared" ca="1" si="509"/>
        <v>14400</v>
      </c>
      <c r="U4501" s="61">
        <f t="shared" ca="1" si="510"/>
        <v>16375.574792177424</v>
      </c>
      <c r="V4501" s="39">
        <f t="shared" ca="1" si="511"/>
        <v>0.10773404468537778</v>
      </c>
      <c r="W4501" s="48">
        <f t="shared" ca="1" si="512"/>
        <v>1.2930910804999201</v>
      </c>
    </row>
    <row r="4502" spans="17:23" x14ac:dyDescent="0.2">
      <c r="Q4502">
        <f t="shared" si="513"/>
        <v>4486</v>
      </c>
      <c r="R4502" s="48">
        <f t="shared" ca="1" si="514"/>
        <v>0.45</v>
      </c>
      <c r="S4502">
        <f t="shared" ca="1" si="515"/>
        <v>190.99085008030235</v>
      </c>
      <c r="T4502" s="61">
        <f t="shared" ca="1" si="509"/>
        <v>21600</v>
      </c>
      <c r="U4502" s="61">
        <f t="shared" ca="1" si="510"/>
        <v>22035.974035333034</v>
      </c>
      <c r="V4502" s="39">
        <f t="shared" ca="1" si="511"/>
        <v>0.14497351339034892</v>
      </c>
      <c r="W4502" s="48">
        <f t="shared" ca="1" si="512"/>
        <v>1.9984468081947102</v>
      </c>
    </row>
    <row r="4503" spans="17:23" x14ac:dyDescent="0.2">
      <c r="Q4503">
        <f t="shared" si="513"/>
        <v>4487</v>
      </c>
      <c r="R4503" s="48">
        <f t="shared" ca="1" si="514"/>
        <v>0.45</v>
      </c>
      <c r="S4503">
        <f t="shared" ca="1" si="515"/>
        <v>190.2452720810669</v>
      </c>
      <c r="T4503" s="61">
        <f t="shared" ca="1" si="509"/>
        <v>21600</v>
      </c>
      <c r="U4503" s="61">
        <f t="shared" ca="1" si="510"/>
        <v>21707.919715669435</v>
      </c>
      <c r="V4503" s="39">
        <f t="shared" ca="1" si="511"/>
        <v>0.14281526128729891</v>
      </c>
      <c r="W4503" s="48">
        <f t="shared" ca="1" si="512"/>
        <v>1.9529087873208124</v>
      </c>
    </row>
    <row r="4504" spans="17:23" x14ac:dyDescent="0.2">
      <c r="Q4504">
        <f t="shared" si="513"/>
        <v>4488</v>
      </c>
      <c r="R4504" s="48">
        <f t="shared" ca="1" si="514"/>
        <v>0.45</v>
      </c>
      <c r="S4504">
        <f t="shared" ca="1" si="515"/>
        <v>217.4796246906601</v>
      </c>
      <c r="T4504" s="61">
        <f t="shared" ca="1" si="509"/>
        <v>21600</v>
      </c>
      <c r="U4504" s="61">
        <f t="shared" ca="1" si="510"/>
        <v>33691.034863890447</v>
      </c>
      <c r="V4504" s="39">
        <f t="shared" ca="1" si="511"/>
        <v>0.221651545157174</v>
      </c>
      <c r="W4504" s="48">
        <f t="shared" ca="1" si="512"/>
        <v>4.0727049836726454</v>
      </c>
    </row>
    <row r="4505" spans="17:23" x14ac:dyDescent="0.2">
      <c r="Q4505">
        <f t="shared" si="513"/>
        <v>4489</v>
      </c>
      <c r="R4505" s="48">
        <f t="shared" ca="1" si="514"/>
        <v>0.35</v>
      </c>
      <c r="S4505">
        <f t="shared" ca="1" si="515"/>
        <v>198.07839403969851</v>
      </c>
      <c r="T4505" s="61">
        <f t="shared" ca="1" si="509"/>
        <v>16800</v>
      </c>
      <c r="U4505" s="61">
        <f t="shared" ca="1" si="510"/>
        <v>21000.764900643226</v>
      </c>
      <c r="V4505" s="39">
        <f t="shared" ca="1" si="511"/>
        <v>0.13816292697791596</v>
      </c>
      <c r="W4505" s="48">
        <f t="shared" ca="1" si="512"/>
        <v>1.8568038350046479</v>
      </c>
    </row>
    <row r="4506" spans="17:23" x14ac:dyDescent="0.2">
      <c r="Q4506">
        <f t="shared" si="513"/>
        <v>4490</v>
      </c>
      <c r="R4506" s="48">
        <f t="shared" ca="1" si="514"/>
        <v>0.5</v>
      </c>
      <c r="S4506">
        <f t="shared" ca="1" si="515"/>
        <v>211.58346662077341</v>
      </c>
      <c r="T4506" s="61">
        <f t="shared" ca="1" si="509"/>
        <v>24000</v>
      </c>
      <c r="U4506" s="61">
        <f t="shared" ca="1" si="510"/>
        <v>32633.386648309362</v>
      </c>
      <c r="V4506" s="39">
        <f t="shared" ca="1" si="511"/>
        <v>0.21469333321256159</v>
      </c>
      <c r="W4506" s="48">
        <f t="shared" ca="1" si="512"/>
        <v>3.8430434591723817</v>
      </c>
    </row>
    <row r="4507" spans="17:23" x14ac:dyDescent="0.2">
      <c r="Q4507">
        <f t="shared" si="513"/>
        <v>4491</v>
      </c>
      <c r="R4507" s="48">
        <f t="shared" ca="1" si="514"/>
        <v>0.4</v>
      </c>
      <c r="S4507">
        <f t="shared" ca="1" si="515"/>
        <v>181.34323043320043</v>
      </c>
      <c r="T4507" s="61">
        <f t="shared" ca="1" si="509"/>
        <v>19200</v>
      </c>
      <c r="U4507" s="61">
        <f t="shared" ca="1" si="510"/>
        <v>15044.750607936207</v>
      </c>
      <c r="V4507" s="39">
        <f t="shared" ca="1" si="511"/>
        <v>9.8978622420632933E-2</v>
      </c>
      <c r="W4507" s="48">
        <f t="shared" ca="1" si="512"/>
        <v>1.1501478123019977</v>
      </c>
    </row>
    <row r="4508" spans="17:23" x14ac:dyDescent="0.2">
      <c r="Q4508">
        <f t="shared" si="513"/>
        <v>4492</v>
      </c>
      <c r="R4508" s="48">
        <f t="shared" ca="1" si="514"/>
        <v>0.4</v>
      </c>
      <c r="S4508">
        <f t="shared" ca="1" si="515"/>
        <v>182.72074742768197</v>
      </c>
      <c r="T4508" s="61">
        <f t="shared" ca="1" si="509"/>
        <v>19200</v>
      </c>
      <c r="U4508" s="61">
        <f t="shared" ca="1" si="510"/>
        <v>15705.958765287345</v>
      </c>
      <c r="V4508" s="39">
        <f t="shared" ca="1" si="511"/>
        <v>0.10332867608741675</v>
      </c>
      <c r="W4508" s="48">
        <f t="shared" ca="1" si="512"/>
        <v>1.220159808996427</v>
      </c>
    </row>
    <row r="4509" spans="17:23" x14ac:dyDescent="0.2">
      <c r="Q4509">
        <f t="shared" si="513"/>
        <v>4493</v>
      </c>
      <c r="R4509" s="48">
        <f t="shared" ca="1" si="514"/>
        <v>0.217</v>
      </c>
      <c r="S4509">
        <f t="shared" ca="1" si="515"/>
        <v>197.82617424707033</v>
      </c>
      <c r="T4509" s="61">
        <f t="shared" ca="1" si="509"/>
        <v>10416</v>
      </c>
      <c r="U4509" s="61">
        <f t="shared" ca="1" si="510"/>
        <v>15318.315548364852</v>
      </c>
      <c r="V4509" s="39">
        <f t="shared" ca="1" si="511"/>
        <v>0.10077839176555824</v>
      </c>
      <c r="W4509" s="48">
        <f t="shared" ca="1" si="512"/>
        <v>1.178875863918134</v>
      </c>
    </row>
    <row r="4510" spans="17:23" x14ac:dyDescent="0.2">
      <c r="Q4510">
        <f t="shared" si="513"/>
        <v>4494</v>
      </c>
      <c r="R4510" s="48">
        <f t="shared" ca="1" si="514"/>
        <v>0.4</v>
      </c>
      <c r="S4510">
        <f t="shared" ca="1" si="515"/>
        <v>210.4226172741912</v>
      </c>
      <c r="T4510" s="61">
        <f t="shared" ca="1" si="509"/>
        <v>19200</v>
      </c>
      <c r="U4510" s="61">
        <f t="shared" ca="1" si="510"/>
        <v>29002.856291611773</v>
      </c>
      <c r="V4510" s="39">
        <f t="shared" ca="1" si="511"/>
        <v>0.19080826507639326</v>
      </c>
      <c r="W4510" s="48">
        <f t="shared" ca="1" si="512"/>
        <v>3.122508821008724</v>
      </c>
    </row>
    <row r="4511" spans="17:23" x14ac:dyDescent="0.2">
      <c r="Q4511">
        <f t="shared" si="513"/>
        <v>4495</v>
      </c>
      <c r="R4511" s="48">
        <f t="shared" ca="1" si="514"/>
        <v>0.4</v>
      </c>
      <c r="S4511">
        <f t="shared" ca="1" si="515"/>
        <v>170.61777811347375</v>
      </c>
      <c r="T4511" s="61">
        <f t="shared" ca="1" si="509"/>
        <v>19200</v>
      </c>
      <c r="U4511" s="61">
        <f t="shared" ca="1" si="510"/>
        <v>9896.5334944673996</v>
      </c>
      <c r="V4511" s="39">
        <f t="shared" ca="1" si="511"/>
        <v>6.5108772989917102E-2</v>
      </c>
      <c r="W4511" s="48">
        <f t="shared" ca="1" si="512"/>
        <v>0.66799778041587787</v>
      </c>
    </row>
    <row r="4512" spans="17:23" x14ac:dyDescent="0.2">
      <c r="Q4512">
        <f t="shared" si="513"/>
        <v>4496</v>
      </c>
      <c r="R4512" s="48">
        <f t="shared" ca="1" si="514"/>
        <v>0.3</v>
      </c>
      <c r="S4512">
        <f t="shared" ca="1" si="515"/>
        <v>182.24368745332211</v>
      </c>
      <c r="T4512" s="61">
        <f t="shared" ca="1" si="509"/>
        <v>14400</v>
      </c>
      <c r="U4512" s="61">
        <f t="shared" ca="1" si="510"/>
        <v>10056.464973860382</v>
      </c>
      <c r="V4512" s="39">
        <f t="shared" ca="1" si="511"/>
        <v>6.6160953775397255E-2</v>
      </c>
      <c r="W4512" s="48">
        <f t="shared" ca="1" si="512"/>
        <v>0.68140991891505065</v>
      </c>
    </row>
    <row r="4513" spans="17:23" x14ac:dyDescent="0.2">
      <c r="Q4513">
        <f t="shared" si="513"/>
        <v>4497</v>
      </c>
      <c r="R4513" s="48">
        <f t="shared" ca="1" si="514"/>
        <v>0.35</v>
      </c>
      <c r="S4513">
        <f t="shared" ca="1" si="515"/>
        <v>167.75177791343765</v>
      </c>
      <c r="T4513" s="61">
        <f t="shared" ca="1" si="509"/>
        <v>16800</v>
      </c>
      <c r="U4513" s="61">
        <f t="shared" ca="1" si="510"/>
        <v>5230.9245149875787</v>
      </c>
      <c r="V4513" s="39">
        <f t="shared" ca="1" si="511"/>
        <v>3.4413977072286703E-2</v>
      </c>
      <c r="W4513" s="48">
        <f t="shared" ca="1" si="512"/>
        <v>0.31579354021752182</v>
      </c>
    </row>
    <row r="4514" spans="17:23" x14ac:dyDescent="0.2">
      <c r="Q4514">
        <f t="shared" si="513"/>
        <v>4498</v>
      </c>
      <c r="R4514" s="48">
        <f t="shared" ca="1" si="514"/>
        <v>0.3</v>
      </c>
      <c r="S4514">
        <f t="shared" ca="1" si="515"/>
        <v>169.06837061113237</v>
      </c>
      <c r="T4514" s="61">
        <f t="shared" ca="1" si="509"/>
        <v>14400</v>
      </c>
      <c r="U4514" s="61">
        <f t="shared" ca="1" si="510"/>
        <v>2678.287542234124</v>
      </c>
      <c r="V4514" s="39">
        <f t="shared" ca="1" si="511"/>
        <v>1.7620312777856077E-2</v>
      </c>
      <c r="W4514" s="48">
        <f t="shared" ca="1" si="512"/>
        <v>0.15220300084316296</v>
      </c>
    </row>
    <row r="4515" spans="17:23" x14ac:dyDescent="0.2">
      <c r="Q4515">
        <f t="shared" si="513"/>
        <v>4499</v>
      </c>
      <c r="R4515" s="48">
        <f t="shared" ca="1" si="514"/>
        <v>0.45</v>
      </c>
      <c r="S4515">
        <f t="shared" ca="1" si="515"/>
        <v>181.41243558322589</v>
      </c>
      <c r="T4515" s="61">
        <f t="shared" ca="1" si="509"/>
        <v>21600</v>
      </c>
      <c r="U4515" s="61">
        <f t="shared" ca="1" si="510"/>
        <v>17821.471656619389</v>
      </c>
      <c r="V4515" s="39">
        <f t="shared" ca="1" si="511"/>
        <v>0.11724652405670651</v>
      </c>
      <c r="W4515" s="48">
        <f t="shared" ca="1" si="512"/>
        <v>1.4577742374370657</v>
      </c>
    </row>
    <row r="4516" spans="17:23" x14ac:dyDescent="0.2">
      <c r="Q4516">
        <f t="shared" si="513"/>
        <v>4500</v>
      </c>
      <c r="R4516" s="48">
        <f t="shared" ca="1" si="514"/>
        <v>0.3</v>
      </c>
      <c r="S4516">
        <f t="shared" ca="1" si="515"/>
        <v>238.10957307520539</v>
      </c>
      <c r="T4516" s="61">
        <f t="shared" ca="1" si="509"/>
        <v>14400</v>
      </c>
      <c r="U4516" s="61">
        <f t="shared" ca="1" si="510"/>
        <v>41341.360922115018</v>
      </c>
      <c r="V4516" s="39">
        <f t="shared" ca="1" si="511"/>
        <v>0.27198263764549352</v>
      </c>
      <c r="W4516" s="48">
        <f t="shared" ca="1" si="512"/>
        <v>6.038149486893861</v>
      </c>
    </row>
    <row r="4517" spans="17:23" x14ac:dyDescent="0.2">
      <c r="Q4517">
        <f t="shared" si="513"/>
        <v>4501</v>
      </c>
      <c r="R4517" s="48">
        <f t="shared" ca="1" si="514"/>
        <v>0.217</v>
      </c>
      <c r="S4517">
        <f t="shared" ca="1" si="515"/>
        <v>211.45133867067983</v>
      </c>
      <c r="T4517" s="61">
        <f t="shared" ca="1" si="509"/>
        <v>10416</v>
      </c>
      <c r="U4517" s="61">
        <f t="shared" ca="1" si="510"/>
        <v>23853.118543313845</v>
      </c>
      <c r="V4517" s="39">
        <f t="shared" ca="1" si="511"/>
        <v>0.15692841146917003</v>
      </c>
      <c r="W4517" s="48">
        <f t="shared" ca="1" si="512"/>
        <v>2.262014940056531</v>
      </c>
    </row>
    <row r="4518" spans="17:23" x14ac:dyDescent="0.2">
      <c r="Q4518">
        <f t="shared" si="513"/>
        <v>4502</v>
      </c>
      <c r="R4518" s="48">
        <f t="shared" ca="1" si="514"/>
        <v>0.4</v>
      </c>
      <c r="S4518">
        <f t="shared" ca="1" si="515"/>
        <v>200.40410623745871</v>
      </c>
      <c r="T4518" s="61">
        <f t="shared" ca="1" si="509"/>
        <v>19200</v>
      </c>
      <c r="U4518" s="61">
        <f t="shared" ca="1" si="510"/>
        <v>24193.97099398018</v>
      </c>
      <c r="V4518" s="39">
        <f t="shared" ca="1" si="511"/>
        <v>0.15917086180250117</v>
      </c>
      <c r="W4518" s="48">
        <f t="shared" ca="1" si="512"/>
        <v>2.3136538601996026</v>
      </c>
    </row>
    <row r="4519" spans="17:23" x14ac:dyDescent="0.2">
      <c r="Q4519">
        <f t="shared" si="513"/>
        <v>4503</v>
      </c>
      <c r="R4519" s="48">
        <f t="shared" ca="1" si="514"/>
        <v>0.4</v>
      </c>
      <c r="S4519">
        <f t="shared" ca="1" si="515"/>
        <v>207.63565510320453</v>
      </c>
      <c r="T4519" s="61">
        <f t="shared" ca="1" si="509"/>
        <v>19200</v>
      </c>
      <c r="U4519" s="61">
        <f t="shared" ca="1" si="510"/>
        <v>27665.114449538174</v>
      </c>
      <c r="V4519" s="39">
        <f t="shared" ca="1" si="511"/>
        <v>0.18200733190485641</v>
      </c>
      <c r="W4519" s="48">
        <f t="shared" ca="1" si="512"/>
        <v>2.8817742200250085</v>
      </c>
    </row>
    <row r="4520" spans="17:23" x14ac:dyDescent="0.2">
      <c r="Q4520">
        <f t="shared" si="513"/>
        <v>4504</v>
      </c>
      <c r="R4520" s="48">
        <f t="shared" ca="1" si="514"/>
        <v>0.3</v>
      </c>
      <c r="S4520">
        <f t="shared" ca="1" si="515"/>
        <v>165.00966513859007</v>
      </c>
      <c r="T4520" s="61">
        <f t="shared" ca="1" si="509"/>
        <v>14400</v>
      </c>
      <c r="U4520" s="61">
        <f t="shared" ca="1" si="510"/>
        <v>405.41247761043633</v>
      </c>
      <c r="V4520" s="39">
        <f t="shared" ca="1" si="511"/>
        <v>2.6671873527002389E-3</v>
      </c>
      <c r="W4520" s="48">
        <f t="shared" ca="1" si="512"/>
        <v>2.1840132479386654E-2</v>
      </c>
    </row>
    <row r="4521" spans="17:23" x14ac:dyDescent="0.2">
      <c r="Q4521">
        <f t="shared" si="513"/>
        <v>4505</v>
      </c>
      <c r="R4521" s="48">
        <f t="shared" ca="1" si="514"/>
        <v>0.45</v>
      </c>
      <c r="S4521">
        <f t="shared" ca="1" si="515"/>
        <v>194.19159852372738</v>
      </c>
      <c r="T4521" s="61">
        <f t="shared" ca="1" si="509"/>
        <v>21600</v>
      </c>
      <c r="U4521" s="61">
        <f t="shared" ca="1" si="510"/>
        <v>23444.303350440048</v>
      </c>
      <c r="V4521" s="39">
        <f t="shared" ca="1" si="511"/>
        <v>0.15423883783184242</v>
      </c>
      <c r="W4521" s="48">
        <f t="shared" ca="1" si="512"/>
        <v>2.2010113163261664</v>
      </c>
    </row>
    <row r="4522" spans="17:23" x14ac:dyDescent="0.2">
      <c r="Q4522">
        <f t="shared" si="513"/>
        <v>4506</v>
      </c>
      <c r="R4522" s="48">
        <f t="shared" ca="1" si="514"/>
        <v>0.3</v>
      </c>
      <c r="S4522">
        <f t="shared" ca="1" si="515"/>
        <v>230.08467185959782</v>
      </c>
      <c r="T4522" s="61">
        <f t="shared" ca="1" si="509"/>
        <v>14400</v>
      </c>
      <c r="U4522" s="61">
        <f t="shared" ca="1" si="510"/>
        <v>36847.416241374784</v>
      </c>
      <c r="V4522" s="39">
        <f t="shared" ca="1" si="511"/>
        <v>0.24241721211430778</v>
      </c>
      <c r="W4522" s="48">
        <f t="shared" ca="1" si="512"/>
        <v>4.8158585731010621</v>
      </c>
    </row>
    <row r="4523" spans="17:23" x14ac:dyDescent="0.2">
      <c r="Q4523">
        <f t="shared" si="513"/>
        <v>4507</v>
      </c>
      <c r="R4523" s="48">
        <f t="shared" ca="1" si="514"/>
        <v>0.35</v>
      </c>
      <c r="S4523">
        <f t="shared" ca="1" si="515"/>
        <v>168.4297463442565</v>
      </c>
      <c r="T4523" s="61">
        <f t="shared" ca="1" si="509"/>
        <v>16800</v>
      </c>
      <c r="U4523" s="61">
        <f t="shared" ca="1" si="510"/>
        <v>5583.4680990133802</v>
      </c>
      <c r="V4523" s="39">
        <f t="shared" ca="1" si="511"/>
        <v>3.6733342756666974E-2</v>
      </c>
      <c r="W4523" s="48">
        <f t="shared" ca="1" si="512"/>
        <v>0.3399152044851188</v>
      </c>
    </row>
    <row r="4524" spans="17:23" x14ac:dyDescent="0.2">
      <c r="Q4524">
        <f t="shared" si="513"/>
        <v>4508</v>
      </c>
      <c r="R4524" s="48">
        <f t="shared" ca="1" si="514"/>
        <v>0.3</v>
      </c>
      <c r="S4524">
        <f t="shared" ca="1" si="515"/>
        <v>209.25180313411889</v>
      </c>
      <c r="T4524" s="61">
        <f t="shared" ca="1" si="509"/>
        <v>14400</v>
      </c>
      <c r="U4524" s="61">
        <f t="shared" ca="1" si="510"/>
        <v>25181.009755106577</v>
      </c>
      <c r="V4524" s="39">
        <f t="shared" ca="1" si="511"/>
        <v>0.16566453786254326</v>
      </c>
      <c r="W4524" s="48">
        <f t="shared" ca="1" si="512"/>
        <v>2.4672546605501395</v>
      </c>
    </row>
    <row r="4525" spans="17:23" x14ac:dyDescent="0.2">
      <c r="Q4525">
        <f t="shared" si="513"/>
        <v>4509</v>
      </c>
      <c r="R4525" s="48">
        <f t="shared" ca="1" si="514"/>
        <v>0.35</v>
      </c>
      <c r="S4525">
        <f t="shared" ca="1" si="515"/>
        <v>182.44936050812885</v>
      </c>
      <c r="T4525" s="61">
        <f t="shared" ca="1" si="509"/>
        <v>16800</v>
      </c>
      <c r="U4525" s="61">
        <f t="shared" ca="1" si="510"/>
        <v>12873.667464227001</v>
      </c>
      <c r="V4525" s="39">
        <f t="shared" ca="1" si="511"/>
        <v>8.4695180685703947E-2</v>
      </c>
      <c r="W4525" s="48">
        <f t="shared" ca="1" si="512"/>
        <v>0.93368070473732523</v>
      </c>
    </row>
    <row r="4526" spans="17:23" x14ac:dyDescent="0.2">
      <c r="Q4526">
        <f t="shared" si="513"/>
        <v>4510</v>
      </c>
      <c r="R4526" s="48">
        <f t="shared" ca="1" si="514"/>
        <v>0.35</v>
      </c>
      <c r="S4526">
        <f t="shared" ca="1" si="515"/>
        <v>142.66769844341692</v>
      </c>
      <c r="T4526" s="61">
        <f t="shared" ca="1" si="509"/>
        <v>16800</v>
      </c>
      <c r="U4526" s="61">
        <f t="shared" ca="1" si="510"/>
        <v>-7812.7968094231983</v>
      </c>
      <c r="V4526" s="39">
        <f t="shared" ca="1" si="511"/>
        <v>-5.1399979009363148E-2</v>
      </c>
      <c r="W4526" s="48">
        <f t="shared" ca="1" si="512"/>
        <v>-0.34819344979485956</v>
      </c>
    </row>
    <row r="4527" spans="17:23" x14ac:dyDescent="0.2">
      <c r="Q4527">
        <f t="shared" si="513"/>
        <v>4511</v>
      </c>
      <c r="R4527" s="48">
        <f t="shared" ca="1" si="514"/>
        <v>0.3</v>
      </c>
      <c r="S4527">
        <f t="shared" ca="1" si="515"/>
        <v>192.61714355227073</v>
      </c>
      <c r="T4527" s="61">
        <f t="shared" ca="1" si="509"/>
        <v>14400</v>
      </c>
      <c r="U4527" s="61">
        <f t="shared" ca="1" si="510"/>
        <v>15865.600389271611</v>
      </c>
      <c r="V4527" s="39">
        <f t="shared" ca="1" si="511"/>
        <v>0.10437894992941849</v>
      </c>
      <c r="W4527" s="48">
        <f t="shared" ca="1" si="512"/>
        <v>1.2373599694438062</v>
      </c>
    </row>
    <row r="4528" spans="17:23" x14ac:dyDescent="0.2">
      <c r="Q4528">
        <f t="shared" si="513"/>
        <v>4512</v>
      </c>
      <c r="R4528" s="48">
        <f t="shared" ca="1" si="514"/>
        <v>0.3</v>
      </c>
      <c r="S4528">
        <f t="shared" ca="1" si="515"/>
        <v>182.78258978163944</v>
      </c>
      <c r="T4528" s="61">
        <f t="shared" ca="1" si="509"/>
        <v>14400</v>
      </c>
      <c r="U4528" s="61">
        <f t="shared" ca="1" si="510"/>
        <v>10358.250277718089</v>
      </c>
      <c r="V4528" s="39">
        <f t="shared" ca="1" si="511"/>
        <v>6.8146383406040054E-2</v>
      </c>
      <c r="W4528" s="48">
        <f t="shared" ca="1" si="512"/>
        <v>0.70697590997468085</v>
      </c>
    </row>
    <row r="4529" spans="17:23" x14ac:dyDescent="0.2">
      <c r="Q4529">
        <f t="shared" si="513"/>
        <v>4513</v>
      </c>
      <c r="R4529" s="48">
        <f t="shared" ca="1" si="514"/>
        <v>0.4</v>
      </c>
      <c r="S4529">
        <f t="shared" ca="1" si="515"/>
        <v>190.80856763668558</v>
      </c>
      <c r="T4529" s="61">
        <f t="shared" ca="1" si="509"/>
        <v>19200</v>
      </c>
      <c r="U4529" s="61">
        <f t="shared" ca="1" si="510"/>
        <v>19588.11246560908</v>
      </c>
      <c r="V4529" s="39">
        <f t="shared" ca="1" si="511"/>
        <v>0.12886916095795448</v>
      </c>
      <c r="W4529" s="48">
        <f t="shared" ca="1" si="512"/>
        <v>1.6729950912563294</v>
      </c>
    </row>
    <row r="4530" spans="17:23" x14ac:dyDescent="0.2">
      <c r="Q4530">
        <f t="shared" si="513"/>
        <v>4514</v>
      </c>
      <c r="R4530" s="48">
        <f t="shared" ca="1" si="514"/>
        <v>0.45</v>
      </c>
      <c r="S4530">
        <f t="shared" ca="1" si="515"/>
        <v>180.83608184841449</v>
      </c>
      <c r="T4530" s="61">
        <f t="shared" ca="1" si="509"/>
        <v>21600</v>
      </c>
      <c r="U4530" s="61">
        <f t="shared" ca="1" si="510"/>
        <v>17567.876013302375</v>
      </c>
      <c r="V4530" s="39">
        <f t="shared" ca="1" si="511"/>
        <v>0.115578131666463</v>
      </c>
      <c r="W4530" s="48">
        <f t="shared" ca="1" si="512"/>
        <v>1.4281623207585681</v>
      </c>
    </row>
    <row r="4531" spans="17:23" x14ac:dyDescent="0.2">
      <c r="Q4531">
        <f t="shared" si="513"/>
        <v>4515</v>
      </c>
      <c r="R4531" s="48">
        <f t="shared" ca="1" si="514"/>
        <v>0.3</v>
      </c>
      <c r="S4531">
        <f t="shared" ca="1" si="515"/>
        <v>165.16760791258091</v>
      </c>
      <c r="T4531" s="61">
        <f t="shared" ca="1" si="509"/>
        <v>14400</v>
      </c>
      <c r="U4531" s="61">
        <f t="shared" ca="1" si="510"/>
        <v>493.86043104530654</v>
      </c>
      <c r="V4531" s="39">
        <f t="shared" ca="1" si="511"/>
        <v>3.2490817831928062E-3</v>
      </c>
      <c r="W4531" s="48">
        <f t="shared" ca="1" si="512"/>
        <v>2.6660131893016636E-2</v>
      </c>
    </row>
    <row r="4532" spans="17:23" x14ac:dyDescent="0.2">
      <c r="Q4532">
        <f t="shared" si="513"/>
        <v>4516</v>
      </c>
      <c r="R4532" s="48">
        <f t="shared" ca="1" si="514"/>
        <v>0.45</v>
      </c>
      <c r="S4532">
        <f t="shared" ca="1" si="515"/>
        <v>181.81669623244176</v>
      </c>
      <c r="T4532" s="61">
        <f t="shared" ca="1" si="509"/>
        <v>21600</v>
      </c>
      <c r="U4532" s="61">
        <f t="shared" ca="1" si="510"/>
        <v>17999.346342274373</v>
      </c>
      <c r="V4532" s="39">
        <f t="shared" ca="1" si="511"/>
        <v>0.11841675225180509</v>
      </c>
      <c r="W4532" s="48">
        <f t="shared" ca="1" si="512"/>
        <v>1.478732810304852</v>
      </c>
    </row>
    <row r="4533" spans="17:23" x14ac:dyDescent="0.2">
      <c r="Q4533">
        <f t="shared" si="513"/>
        <v>4517</v>
      </c>
      <c r="R4533" s="48">
        <f t="shared" ca="1" si="514"/>
        <v>0.217</v>
      </c>
      <c r="S4533">
        <f t="shared" ca="1" si="515"/>
        <v>165.04183346885586</v>
      </c>
      <c r="T4533" s="61">
        <f t="shared" ca="1" si="509"/>
        <v>10416</v>
      </c>
      <c r="U4533" s="61">
        <f t="shared" ca="1" si="510"/>
        <v>-5217.7955151086917</v>
      </c>
      <c r="V4533" s="39">
        <f t="shared" ca="1" si="511"/>
        <v>-3.4327602073083496E-2</v>
      </c>
      <c r="W4533" s="48">
        <f t="shared" ca="1" si="512"/>
        <v>-0.24672601586070875</v>
      </c>
    </row>
    <row r="4534" spans="17:23" x14ac:dyDescent="0.2">
      <c r="Q4534">
        <f t="shared" si="513"/>
        <v>4518</v>
      </c>
      <c r="R4534" s="48">
        <f t="shared" ca="1" si="514"/>
        <v>0.15</v>
      </c>
      <c r="S4534">
        <f t="shared" ca="1" si="515"/>
        <v>201.21149898057777</v>
      </c>
      <c r="T4534" s="61">
        <f t="shared" ca="1" si="509"/>
        <v>7200</v>
      </c>
      <c r="U4534" s="61">
        <f t="shared" ca="1" si="510"/>
        <v>14823.819306792884</v>
      </c>
      <c r="V4534" s="39">
        <f t="shared" ca="1" si="511"/>
        <v>9.7525127018374236E-2</v>
      </c>
      <c r="W4534" s="48">
        <f t="shared" ca="1" si="512"/>
        <v>1.1271899470455105</v>
      </c>
    </row>
    <row r="4535" spans="17:23" x14ac:dyDescent="0.2">
      <c r="Q4535">
        <f t="shared" si="513"/>
        <v>4519</v>
      </c>
      <c r="R4535" s="48">
        <f t="shared" ca="1" si="514"/>
        <v>0.3</v>
      </c>
      <c r="S4535">
        <f t="shared" ca="1" si="515"/>
        <v>186.53706847322312</v>
      </c>
      <c r="T4535" s="61">
        <f t="shared" ca="1" si="509"/>
        <v>14400</v>
      </c>
      <c r="U4535" s="61">
        <f t="shared" ca="1" si="510"/>
        <v>12460.758345004944</v>
      </c>
      <c r="V4535" s="39">
        <f t="shared" ca="1" si="511"/>
        <v>8.1978673322400955E-2</v>
      </c>
      <c r="W4535" s="48">
        <f t="shared" ca="1" si="512"/>
        <v>0.89474898157836957</v>
      </c>
    </row>
    <row r="4536" spans="17:23" x14ac:dyDescent="0.2">
      <c r="Q4536">
        <f t="shared" si="513"/>
        <v>4520</v>
      </c>
      <c r="R4536" s="48">
        <f t="shared" ca="1" si="514"/>
        <v>0.4</v>
      </c>
      <c r="S4536">
        <f t="shared" ca="1" si="515"/>
        <v>175.93421103449919</v>
      </c>
      <c r="T4536" s="61">
        <f t="shared" ca="1" si="509"/>
        <v>19200</v>
      </c>
      <c r="U4536" s="61">
        <f t="shared" ca="1" si="510"/>
        <v>12448.421296559609</v>
      </c>
      <c r="V4536" s="39">
        <f t="shared" ca="1" si="511"/>
        <v>8.1897508529997429E-2</v>
      </c>
      <c r="W4536" s="48">
        <f t="shared" ca="1" si="512"/>
        <v>0.89359641723013006</v>
      </c>
    </row>
    <row r="4537" spans="17:23" x14ac:dyDescent="0.2">
      <c r="Q4537">
        <f t="shared" si="513"/>
        <v>4521</v>
      </c>
      <c r="R4537" s="48">
        <f t="shared" ca="1" si="514"/>
        <v>0.4</v>
      </c>
      <c r="S4537">
        <f t="shared" ca="1" si="515"/>
        <v>202.92941210122839</v>
      </c>
      <c r="T4537" s="61">
        <f t="shared" ref="T4537:T4600" ca="1" si="516">($B$8-$B$7)*($E$6*R4537)</f>
        <v>19200</v>
      </c>
      <c r="U4537" s="61">
        <f t="shared" ref="U4537:U4600" ca="1" si="517">T4537+((S4537-$B$7)*($E$6*(1-R4537)))</f>
        <v>25406.117808589628</v>
      </c>
      <c r="V4537" s="39">
        <f t="shared" ref="V4537:V4600" ca="1" si="518">U4537/$E$4</f>
        <v>0.16714551189861598</v>
      </c>
      <c r="W4537" s="48">
        <f t="shared" ref="W4537:W4600" ca="1" si="519">(1+V4537)^($J$29/$J$30)-1</f>
        <v>2.5031470561354547</v>
      </c>
    </row>
    <row r="4538" spans="17:23" x14ac:dyDescent="0.2">
      <c r="Q4538">
        <f t="shared" si="513"/>
        <v>4522</v>
      </c>
      <c r="R4538" s="48">
        <f t="shared" ca="1" si="514"/>
        <v>0.45</v>
      </c>
      <c r="S4538">
        <f t="shared" ca="1" si="515"/>
        <v>213.04524215191705</v>
      </c>
      <c r="T4538" s="61">
        <f t="shared" ca="1" si="516"/>
        <v>21600</v>
      </c>
      <c r="U4538" s="61">
        <f t="shared" ca="1" si="517"/>
        <v>31739.906546843504</v>
      </c>
      <c r="V4538" s="39">
        <f t="shared" ca="1" si="518"/>
        <v>0.20881517465028621</v>
      </c>
      <c r="W4538" s="48">
        <f t="shared" ca="1" si="519"/>
        <v>3.6561860569205331</v>
      </c>
    </row>
    <row r="4539" spans="17:23" x14ac:dyDescent="0.2">
      <c r="Q4539">
        <f t="shared" si="513"/>
        <v>4523</v>
      </c>
      <c r="R4539" s="48">
        <f t="shared" ca="1" si="514"/>
        <v>0.3</v>
      </c>
      <c r="S4539">
        <f t="shared" ca="1" si="515"/>
        <v>198.14105884416358</v>
      </c>
      <c r="T4539" s="61">
        <f t="shared" ca="1" si="516"/>
        <v>14400</v>
      </c>
      <c r="U4539" s="61">
        <f t="shared" ca="1" si="517"/>
        <v>18958.992952731605</v>
      </c>
      <c r="V4539" s="39">
        <f t="shared" ca="1" si="518"/>
        <v>0.12473021679428688</v>
      </c>
      <c r="W4539" s="48">
        <f t="shared" ca="1" si="519"/>
        <v>1.5945314780096815</v>
      </c>
    </row>
    <row r="4540" spans="17:23" x14ac:dyDescent="0.2">
      <c r="Q4540">
        <f t="shared" si="513"/>
        <v>4524</v>
      </c>
      <c r="R4540" s="48">
        <f t="shared" ca="1" si="514"/>
        <v>0.3</v>
      </c>
      <c r="S4540">
        <f t="shared" ca="1" si="515"/>
        <v>210.38015063770888</v>
      </c>
      <c r="T4540" s="61">
        <f t="shared" ca="1" si="516"/>
        <v>14400</v>
      </c>
      <c r="U4540" s="61">
        <f t="shared" ca="1" si="517"/>
        <v>25812.884357116971</v>
      </c>
      <c r="V4540" s="39">
        <f t="shared" ca="1" si="518"/>
        <v>0.16982160761261164</v>
      </c>
      <c r="W4540" s="48">
        <f t="shared" ca="1" si="519"/>
        <v>2.5688308130701865</v>
      </c>
    </row>
    <row r="4541" spans="17:23" x14ac:dyDescent="0.2">
      <c r="Q4541">
        <f t="shared" si="513"/>
        <v>4525</v>
      </c>
      <c r="R4541" s="48">
        <f t="shared" ca="1" si="514"/>
        <v>0.5</v>
      </c>
      <c r="S4541">
        <f t="shared" ca="1" si="515"/>
        <v>174.07491345412654</v>
      </c>
      <c r="T4541" s="61">
        <f t="shared" ca="1" si="516"/>
        <v>24000</v>
      </c>
      <c r="U4541" s="61">
        <f t="shared" ca="1" si="517"/>
        <v>17629.965381650618</v>
      </c>
      <c r="V4541" s="39">
        <f t="shared" ca="1" si="518"/>
        <v>0.11598661435296459</v>
      </c>
      <c r="W4541" s="48">
        <f t="shared" ca="1" si="519"/>
        <v>1.4353833182460742</v>
      </c>
    </row>
    <row r="4542" spans="17:23" x14ac:dyDescent="0.2">
      <c r="Q4542">
        <f t="shared" si="513"/>
        <v>4526</v>
      </c>
      <c r="R4542" s="48">
        <f t="shared" ca="1" si="514"/>
        <v>0.35</v>
      </c>
      <c r="S4542">
        <f t="shared" ca="1" si="515"/>
        <v>161.46228192024697</v>
      </c>
      <c r="T4542" s="61">
        <f t="shared" ca="1" si="516"/>
        <v>16800</v>
      </c>
      <c r="U4542" s="61">
        <f t="shared" ca="1" si="517"/>
        <v>1960.3865985284228</v>
      </c>
      <c r="V4542" s="39">
        <f t="shared" ca="1" si="518"/>
        <v>1.2897280253476466E-2</v>
      </c>
      <c r="W4542" s="48">
        <f t="shared" ca="1" si="519"/>
        <v>0.10953656320939698</v>
      </c>
    </row>
    <row r="4543" spans="17:23" x14ac:dyDescent="0.2">
      <c r="Q4543">
        <f t="shared" si="513"/>
        <v>4527</v>
      </c>
      <c r="R4543" s="48">
        <f t="shared" ca="1" si="514"/>
        <v>0.5</v>
      </c>
      <c r="S4543">
        <f t="shared" ca="1" si="515"/>
        <v>195.69261784510664</v>
      </c>
      <c r="T4543" s="61">
        <f t="shared" ca="1" si="516"/>
        <v>24000</v>
      </c>
      <c r="U4543" s="61">
        <f t="shared" ca="1" si="517"/>
        <v>26277.047138042657</v>
      </c>
      <c r="V4543" s="39">
        <f t="shared" ca="1" si="518"/>
        <v>0.17287531011870169</v>
      </c>
      <c r="W4543" s="48">
        <f t="shared" ca="1" si="519"/>
        <v>2.6450996255125316</v>
      </c>
    </row>
    <row r="4544" spans="17:23" x14ac:dyDescent="0.2">
      <c r="Q4544">
        <f t="shared" si="513"/>
        <v>4528</v>
      </c>
      <c r="R4544" s="48">
        <f t="shared" ca="1" si="514"/>
        <v>0.45</v>
      </c>
      <c r="S4544">
        <f t="shared" ca="1" si="515"/>
        <v>220.89943439114546</v>
      </c>
      <c r="T4544" s="61">
        <f t="shared" ca="1" si="516"/>
        <v>21600</v>
      </c>
      <c r="U4544" s="61">
        <f t="shared" ca="1" si="517"/>
        <v>35195.751132104007</v>
      </c>
      <c r="V4544" s="39">
        <f t="shared" ca="1" si="518"/>
        <v>0.23155099429015794</v>
      </c>
      <c r="W4544" s="48">
        <f t="shared" ca="1" si="519"/>
        <v>4.4158853247555934</v>
      </c>
    </row>
    <row r="4545" spans="17:23" x14ac:dyDescent="0.2">
      <c r="Q4545">
        <f t="shared" si="513"/>
        <v>4529</v>
      </c>
      <c r="R4545" s="48">
        <f t="shared" ca="1" si="514"/>
        <v>0.217</v>
      </c>
      <c r="S4545">
        <f t="shared" ca="1" si="515"/>
        <v>186.80862600782362</v>
      </c>
      <c r="T4545" s="61">
        <f t="shared" ca="1" si="516"/>
        <v>10416</v>
      </c>
      <c r="U4545" s="61">
        <f t="shared" ca="1" si="517"/>
        <v>8416.9233313007153</v>
      </c>
      <c r="V4545" s="39">
        <f t="shared" ca="1" si="518"/>
        <v>5.5374495600662599E-2</v>
      </c>
      <c r="W4545" s="48">
        <f t="shared" ca="1" si="519"/>
        <v>0.54829421277698076</v>
      </c>
    </row>
    <row r="4546" spans="17:23" x14ac:dyDescent="0.2">
      <c r="Q4546">
        <f t="shared" si="513"/>
        <v>4530</v>
      </c>
      <c r="R4546" s="48">
        <f t="shared" ca="1" si="514"/>
        <v>0.4</v>
      </c>
      <c r="S4546">
        <f t="shared" ca="1" si="515"/>
        <v>184.04504841636515</v>
      </c>
      <c r="T4546" s="61">
        <f t="shared" ca="1" si="516"/>
        <v>19200</v>
      </c>
      <c r="U4546" s="61">
        <f t="shared" ca="1" si="517"/>
        <v>16341.623239855271</v>
      </c>
      <c r="V4546" s="39">
        <f t="shared" ca="1" si="518"/>
        <v>0.10751067920957415</v>
      </c>
      <c r="W4546" s="48">
        <f t="shared" ca="1" si="519"/>
        <v>1.2893433284564604</v>
      </c>
    </row>
    <row r="4547" spans="17:23" x14ac:dyDescent="0.2">
      <c r="Q4547">
        <f t="shared" si="513"/>
        <v>4531</v>
      </c>
      <c r="R4547" s="48">
        <f t="shared" ca="1" si="514"/>
        <v>0.45</v>
      </c>
      <c r="S4547">
        <f t="shared" ca="1" si="515"/>
        <v>184.49325779077719</v>
      </c>
      <c r="T4547" s="61">
        <f t="shared" ca="1" si="516"/>
        <v>21600</v>
      </c>
      <c r="U4547" s="61">
        <f t="shared" ca="1" si="517"/>
        <v>19177.033427941966</v>
      </c>
      <c r="V4547" s="39">
        <f t="shared" ca="1" si="518"/>
        <v>0.12616469360488136</v>
      </c>
      <c r="W4547" s="48">
        <f t="shared" ca="1" si="519"/>
        <v>1.6214936284303665</v>
      </c>
    </row>
    <row r="4548" spans="17:23" x14ac:dyDescent="0.2">
      <c r="Q4548">
        <f t="shared" si="513"/>
        <v>4532</v>
      </c>
      <c r="R4548" s="48">
        <f t="shared" ca="1" si="514"/>
        <v>0.217</v>
      </c>
      <c r="S4548">
        <f t="shared" ca="1" si="515"/>
        <v>178.46628163833165</v>
      </c>
      <c r="T4548" s="61">
        <f t="shared" ca="1" si="516"/>
        <v>10416</v>
      </c>
      <c r="U4548" s="61">
        <f t="shared" ca="1" si="517"/>
        <v>3191.2788182509466</v>
      </c>
      <c r="V4548" s="39">
        <f t="shared" ca="1" si="518"/>
        <v>2.099525538322991E-2</v>
      </c>
      <c r="W4548" s="48">
        <f t="shared" ca="1" si="519"/>
        <v>0.1835658539629883</v>
      </c>
    </row>
    <row r="4549" spans="17:23" x14ac:dyDescent="0.2">
      <c r="Q4549">
        <f t="shared" si="513"/>
        <v>4533</v>
      </c>
      <c r="R4549" s="48">
        <f t="shared" ca="1" si="514"/>
        <v>0.45</v>
      </c>
      <c r="S4549">
        <f t="shared" ca="1" si="515"/>
        <v>189.55087096008438</v>
      </c>
      <c r="T4549" s="61">
        <f t="shared" ca="1" si="516"/>
        <v>21600</v>
      </c>
      <c r="U4549" s="61">
        <f t="shared" ca="1" si="517"/>
        <v>21402.383222437129</v>
      </c>
      <c r="V4549" s="39">
        <f t="shared" ca="1" si="518"/>
        <v>0.14080515277919164</v>
      </c>
      <c r="W4549" s="48">
        <f t="shared" ca="1" si="519"/>
        <v>1.911043019447908</v>
      </c>
    </row>
    <row r="4550" spans="17:23" x14ac:dyDescent="0.2">
      <c r="Q4550">
        <f t="shared" si="513"/>
        <v>4534</v>
      </c>
      <c r="R4550" s="48">
        <f t="shared" ca="1" si="514"/>
        <v>0.3</v>
      </c>
      <c r="S4550">
        <f t="shared" ca="1" si="515"/>
        <v>146.90909868552251</v>
      </c>
      <c r="T4550" s="61">
        <f t="shared" ca="1" si="516"/>
        <v>14400</v>
      </c>
      <c r="U4550" s="61">
        <f t="shared" ca="1" si="517"/>
        <v>-9730.9047361073972</v>
      </c>
      <c r="V4550" s="39">
        <f t="shared" ca="1" si="518"/>
        <v>-6.4019110105969723E-2</v>
      </c>
      <c r="W4550" s="48">
        <f t="shared" ca="1" si="519"/>
        <v>-0.41528626385664635</v>
      </c>
    </row>
    <row r="4551" spans="17:23" x14ac:dyDescent="0.2">
      <c r="Q4551">
        <f t="shared" si="513"/>
        <v>4535</v>
      </c>
      <c r="R4551" s="48">
        <f t="shared" ca="1" si="514"/>
        <v>0.45</v>
      </c>
      <c r="S4551">
        <f t="shared" ca="1" si="515"/>
        <v>209.59465425377326</v>
      </c>
      <c r="T4551" s="61">
        <f t="shared" ca="1" si="516"/>
        <v>21600</v>
      </c>
      <c r="U4551" s="61">
        <f t="shared" ca="1" si="517"/>
        <v>30221.647871660236</v>
      </c>
      <c r="V4551" s="39">
        <f t="shared" ca="1" si="518"/>
        <v>0.19882663073460682</v>
      </c>
      <c r="W4551" s="48">
        <f t="shared" ca="1" si="519"/>
        <v>3.3531312683759289</v>
      </c>
    </row>
    <row r="4552" spans="17:23" x14ac:dyDescent="0.2">
      <c r="Q4552">
        <f t="shared" si="513"/>
        <v>4536</v>
      </c>
      <c r="R4552" s="48">
        <f t="shared" ca="1" si="514"/>
        <v>0.4</v>
      </c>
      <c r="S4552">
        <f t="shared" ca="1" si="515"/>
        <v>226.02243029303577</v>
      </c>
      <c r="T4552" s="61">
        <f t="shared" ca="1" si="516"/>
        <v>19200</v>
      </c>
      <c r="U4552" s="61">
        <f t="shared" ca="1" si="517"/>
        <v>36490.766540657169</v>
      </c>
      <c r="V4552" s="39">
        <f t="shared" ca="1" si="518"/>
        <v>0.24007083250432348</v>
      </c>
      <c r="W4552" s="48">
        <f t="shared" ca="1" si="519"/>
        <v>4.7273653117261318</v>
      </c>
    </row>
    <row r="4553" spans="17:23" x14ac:dyDescent="0.2">
      <c r="Q4553">
        <f t="shared" si="513"/>
        <v>4537</v>
      </c>
      <c r="R4553" s="48">
        <f t="shared" ca="1" si="514"/>
        <v>0.3</v>
      </c>
      <c r="S4553">
        <f t="shared" ca="1" si="515"/>
        <v>173.42704430483576</v>
      </c>
      <c r="T4553" s="61">
        <f t="shared" ca="1" si="516"/>
        <v>14400</v>
      </c>
      <c r="U4553" s="61">
        <f t="shared" ca="1" si="517"/>
        <v>5119.144810708025</v>
      </c>
      <c r="V4553" s="39">
        <f t="shared" ca="1" si="518"/>
        <v>3.3678584280973846E-2</v>
      </c>
      <c r="W4553" s="48">
        <f t="shared" ca="1" si="519"/>
        <v>0.30822528955182782</v>
      </c>
    </row>
    <row r="4554" spans="17:23" x14ac:dyDescent="0.2">
      <c r="Q4554">
        <f t="shared" si="513"/>
        <v>4538</v>
      </c>
      <c r="R4554" s="48">
        <f t="shared" ca="1" si="514"/>
        <v>0.217</v>
      </c>
      <c r="S4554">
        <f t="shared" ca="1" si="515"/>
        <v>206.60763861685788</v>
      </c>
      <c r="T4554" s="61">
        <f t="shared" ca="1" si="516"/>
        <v>10416</v>
      </c>
      <c r="U4554" s="61">
        <f t="shared" ca="1" si="517"/>
        <v>20819.024829599777</v>
      </c>
      <c r="V4554" s="39">
        <f t="shared" ca="1" si="518"/>
        <v>0.13696726861578801</v>
      </c>
      <c r="W4554" s="48">
        <f t="shared" ca="1" si="519"/>
        <v>1.83255216105437</v>
      </c>
    </row>
    <row r="4555" spans="17:23" x14ac:dyDescent="0.2">
      <c r="Q4555">
        <f t="shared" si="513"/>
        <v>4539</v>
      </c>
      <c r="R4555" s="48">
        <f t="shared" ca="1" si="514"/>
        <v>0.4</v>
      </c>
      <c r="S4555">
        <f t="shared" ca="1" si="515"/>
        <v>190.56472283002773</v>
      </c>
      <c r="T4555" s="61">
        <f t="shared" ca="1" si="516"/>
        <v>19200</v>
      </c>
      <c r="U4555" s="61">
        <f t="shared" ca="1" si="517"/>
        <v>19471.066958413314</v>
      </c>
      <c r="V4555" s="39">
        <f t="shared" ca="1" si="518"/>
        <v>0.12809912472640339</v>
      </c>
      <c r="W4555" s="48">
        <f t="shared" ca="1" si="519"/>
        <v>1.6582416635864088</v>
      </c>
    </row>
    <row r="4556" spans="17:23" x14ac:dyDescent="0.2">
      <c r="Q4556">
        <f t="shared" si="513"/>
        <v>4540</v>
      </c>
      <c r="R4556" s="48">
        <f t="shared" ca="1" si="514"/>
        <v>0.35</v>
      </c>
      <c r="S4556">
        <f t="shared" ca="1" si="515"/>
        <v>201.58665609696433</v>
      </c>
      <c r="T4556" s="61">
        <f t="shared" ca="1" si="516"/>
        <v>16800</v>
      </c>
      <c r="U4556" s="61">
        <f t="shared" ca="1" si="517"/>
        <v>22825.061170421453</v>
      </c>
      <c r="V4556" s="39">
        <f t="shared" ca="1" si="518"/>
        <v>0.15016487612119378</v>
      </c>
      <c r="W4556" s="48">
        <f t="shared" ca="1" si="519"/>
        <v>2.1105123479742463</v>
      </c>
    </row>
    <row r="4557" spans="17:23" x14ac:dyDescent="0.2">
      <c r="Q4557">
        <f t="shared" si="513"/>
        <v>4541</v>
      </c>
      <c r="R4557" s="48">
        <f t="shared" ca="1" si="514"/>
        <v>0.4</v>
      </c>
      <c r="S4557">
        <f t="shared" ca="1" si="515"/>
        <v>152.03879433870841</v>
      </c>
      <c r="T4557" s="61">
        <f t="shared" ca="1" si="516"/>
        <v>19200</v>
      </c>
      <c r="U4557" s="61">
        <f t="shared" ca="1" si="517"/>
        <v>978.62128258003941</v>
      </c>
      <c r="V4557" s="39">
        <f t="shared" ca="1" si="518"/>
        <v>6.4382979117107858E-3</v>
      </c>
      <c r="W4557" s="48">
        <f t="shared" ca="1" si="519"/>
        <v>5.3433003711180094E-2</v>
      </c>
    </row>
    <row r="4558" spans="17:23" x14ac:dyDescent="0.2">
      <c r="Q4558">
        <f t="shared" si="513"/>
        <v>4542</v>
      </c>
      <c r="R4558" s="48">
        <f t="shared" ca="1" si="514"/>
        <v>0.15</v>
      </c>
      <c r="S4558">
        <f t="shared" ca="1" si="515"/>
        <v>196.37013499812852</v>
      </c>
      <c r="T4558" s="61">
        <f t="shared" ca="1" si="516"/>
        <v>7200</v>
      </c>
      <c r="U4558" s="61">
        <f t="shared" ca="1" si="517"/>
        <v>11531.691798727394</v>
      </c>
      <c r="V4558" s="39">
        <f t="shared" ca="1" si="518"/>
        <v>7.5866393412680228E-2</v>
      </c>
      <c r="W4558" s="48">
        <f t="shared" ca="1" si="519"/>
        <v>0.80965354873331985</v>
      </c>
    </row>
    <row r="4559" spans="17:23" x14ac:dyDescent="0.2">
      <c r="Q4559">
        <f t="shared" si="513"/>
        <v>4543</v>
      </c>
      <c r="R4559" s="48">
        <f t="shared" ca="1" si="514"/>
        <v>0.217</v>
      </c>
      <c r="S4559">
        <f t="shared" ca="1" si="515"/>
        <v>191.78083279274429</v>
      </c>
      <c r="T4559" s="61">
        <f t="shared" ca="1" si="516"/>
        <v>10416</v>
      </c>
      <c r="U4559" s="61">
        <f t="shared" ca="1" si="517"/>
        <v>11531.513661375024</v>
      </c>
      <c r="V4559" s="39">
        <f t="shared" ca="1" si="518"/>
        <v>7.5865221456414625E-2</v>
      </c>
      <c r="W4559" s="48">
        <f t="shared" ca="1" si="519"/>
        <v>0.80963755951726912</v>
      </c>
    </row>
    <row r="4560" spans="17:23" x14ac:dyDescent="0.2">
      <c r="Q4560">
        <f t="shared" si="513"/>
        <v>4544</v>
      </c>
      <c r="R4560" s="48">
        <f t="shared" ca="1" si="514"/>
        <v>0.4</v>
      </c>
      <c r="S4560">
        <f t="shared" ca="1" si="515"/>
        <v>165.77099873791428</v>
      </c>
      <c r="T4560" s="61">
        <f t="shared" ca="1" si="516"/>
        <v>19200</v>
      </c>
      <c r="U4560" s="61">
        <f t="shared" ca="1" si="517"/>
        <v>7570.0793941988559</v>
      </c>
      <c r="V4560" s="39">
        <f t="shared" ca="1" si="518"/>
        <v>4.9803153909203E-2</v>
      </c>
      <c r="W4560" s="48">
        <f t="shared" ca="1" si="519"/>
        <v>0.48322932954735509</v>
      </c>
    </row>
    <row r="4561" spans="17:23" x14ac:dyDescent="0.2">
      <c r="Q4561">
        <f t="shared" si="513"/>
        <v>4545</v>
      </c>
      <c r="R4561" s="48">
        <f t="shared" ca="1" si="514"/>
        <v>0.3</v>
      </c>
      <c r="S4561">
        <f t="shared" ca="1" si="515"/>
        <v>182.53267788134249</v>
      </c>
      <c r="T4561" s="61">
        <f t="shared" ca="1" si="516"/>
        <v>14400</v>
      </c>
      <c r="U4561" s="61">
        <f t="shared" ca="1" si="517"/>
        <v>10218.299613551797</v>
      </c>
      <c r="V4561" s="39">
        <f t="shared" ca="1" si="518"/>
        <v>6.7225655352314451E-2</v>
      </c>
      <c r="W4561" s="48">
        <f t="shared" ca="1" si="519"/>
        <v>0.69507781042504635</v>
      </c>
    </row>
    <row r="4562" spans="17:23" x14ac:dyDescent="0.2">
      <c r="Q4562">
        <f t="shared" si="513"/>
        <v>4546</v>
      </c>
      <c r="R4562" s="48">
        <f t="shared" ca="1" si="514"/>
        <v>0.3</v>
      </c>
      <c r="S4562">
        <f t="shared" ca="1" si="515"/>
        <v>167.92142575122915</v>
      </c>
      <c r="T4562" s="61">
        <f t="shared" ca="1" si="516"/>
        <v>14400</v>
      </c>
      <c r="U4562" s="61">
        <f t="shared" ca="1" si="517"/>
        <v>2035.9984206883237</v>
      </c>
      <c r="V4562" s="39">
        <f t="shared" ca="1" si="518"/>
        <v>1.3394726451896866E-2</v>
      </c>
      <c r="W4562" s="48">
        <f t="shared" ca="1" si="519"/>
        <v>0.11396408932626456</v>
      </c>
    </row>
    <row r="4563" spans="17:23" x14ac:dyDescent="0.2">
      <c r="Q4563">
        <f t="shared" ref="Q4563:Q4626" si="520">Q4562+1</f>
        <v>4547</v>
      </c>
      <c r="R4563" s="48">
        <f t="shared" ref="R4563:R4626" ca="1" si="521">LOOKUP(RAND(),$U$6:$U$12,$S$6:$S$12)</f>
        <v>0.15</v>
      </c>
      <c r="S4563">
        <f t="shared" ref="S4563:S4626" ca="1" si="522">_xlfn.NORM.INV(RAND(),$Q$5,$Q$10)</f>
        <v>159.7078084803874</v>
      </c>
      <c r="T4563" s="61">
        <f t="shared" ca="1" si="516"/>
        <v>7200</v>
      </c>
      <c r="U4563" s="61">
        <f t="shared" ca="1" si="517"/>
        <v>-13398.690233336569</v>
      </c>
      <c r="V4563" s="39">
        <f t="shared" ca="1" si="518"/>
        <v>-8.8149277850898475E-2</v>
      </c>
      <c r="W4563" s="48">
        <f t="shared" ca="1" si="519"/>
        <v>-0.52691731390870644</v>
      </c>
    </row>
    <row r="4564" spans="17:23" x14ac:dyDescent="0.2">
      <c r="Q4564">
        <f t="shared" si="520"/>
        <v>4548</v>
      </c>
      <c r="R4564" s="48">
        <f t="shared" ca="1" si="521"/>
        <v>0.4</v>
      </c>
      <c r="S4564">
        <f t="shared" ca="1" si="522"/>
        <v>186.54933652641429</v>
      </c>
      <c r="T4564" s="61">
        <f t="shared" ca="1" si="516"/>
        <v>19200</v>
      </c>
      <c r="U4564" s="61">
        <f t="shared" ca="1" si="517"/>
        <v>17543.68153267886</v>
      </c>
      <c r="V4564" s="39">
        <f t="shared" ca="1" si="518"/>
        <v>0.1154189574518346</v>
      </c>
      <c r="W4564" s="48">
        <f t="shared" ca="1" si="519"/>
        <v>1.4253535876575452</v>
      </c>
    </row>
    <row r="4565" spans="17:23" x14ac:dyDescent="0.2">
      <c r="Q4565">
        <f t="shared" si="520"/>
        <v>4549</v>
      </c>
      <c r="R4565" s="48">
        <f t="shared" ca="1" si="521"/>
        <v>0.4</v>
      </c>
      <c r="S4565">
        <f t="shared" ca="1" si="522"/>
        <v>155.56411566974745</v>
      </c>
      <c r="T4565" s="61">
        <f t="shared" ca="1" si="516"/>
        <v>19200</v>
      </c>
      <c r="U4565" s="61">
        <f t="shared" ca="1" si="517"/>
        <v>2670.7755214787758</v>
      </c>
      <c r="V4565" s="39">
        <f t="shared" ca="1" si="518"/>
        <v>1.7570891588676158E-2</v>
      </c>
      <c r="W4565" s="48">
        <f t="shared" ca="1" si="519"/>
        <v>0.15174920367151778</v>
      </c>
    </row>
    <row r="4566" spans="17:23" x14ac:dyDescent="0.2">
      <c r="Q4566">
        <f t="shared" si="520"/>
        <v>4550</v>
      </c>
      <c r="R4566" s="48">
        <f t="shared" ca="1" si="521"/>
        <v>0.35</v>
      </c>
      <c r="S4566">
        <f t="shared" ca="1" si="522"/>
        <v>193.21156265889357</v>
      </c>
      <c r="T4566" s="61">
        <f t="shared" ca="1" si="516"/>
        <v>16800</v>
      </c>
      <c r="U4566" s="61">
        <f t="shared" ca="1" si="517"/>
        <v>18470.012582624655</v>
      </c>
      <c r="V4566" s="39">
        <f t="shared" ca="1" si="518"/>
        <v>0.1215132406751622</v>
      </c>
      <c r="W4566" s="48">
        <f t="shared" ca="1" si="519"/>
        <v>1.5349480580864956</v>
      </c>
    </row>
    <row r="4567" spans="17:23" x14ac:dyDescent="0.2">
      <c r="Q4567">
        <f t="shared" si="520"/>
        <v>4551</v>
      </c>
      <c r="R4567" s="48">
        <f t="shared" ca="1" si="521"/>
        <v>0.217</v>
      </c>
      <c r="S4567">
        <f t="shared" ca="1" si="522"/>
        <v>196.38813743048982</v>
      </c>
      <c r="T4567" s="61">
        <f t="shared" ca="1" si="516"/>
        <v>10416</v>
      </c>
      <c r="U4567" s="61">
        <f t="shared" ca="1" si="517"/>
        <v>14417.529286458823</v>
      </c>
      <c r="V4567" s="39">
        <f t="shared" ca="1" si="518"/>
        <v>9.4852166358281725E-2</v>
      </c>
      <c r="W4567" s="48">
        <f t="shared" ca="1" si="519"/>
        <v>1.0855311819894196</v>
      </c>
    </row>
    <row r="4568" spans="17:23" x14ac:dyDescent="0.2">
      <c r="Q4568">
        <f t="shared" si="520"/>
        <v>4552</v>
      </c>
      <c r="R4568" s="48">
        <f t="shared" ca="1" si="521"/>
        <v>0.35</v>
      </c>
      <c r="S4568">
        <f t="shared" ca="1" si="522"/>
        <v>204.23663372240853</v>
      </c>
      <c r="T4568" s="61">
        <f t="shared" ca="1" si="516"/>
        <v>16800</v>
      </c>
      <c r="U4568" s="61">
        <f t="shared" ca="1" si="517"/>
        <v>24203.049535652433</v>
      </c>
      <c r="V4568" s="39">
        <f t="shared" ca="1" si="518"/>
        <v>0.15923058905034496</v>
      </c>
      <c r="W4568" s="48">
        <f t="shared" ca="1" si="519"/>
        <v>2.3150389952024826</v>
      </c>
    </row>
    <row r="4569" spans="17:23" x14ac:dyDescent="0.2">
      <c r="Q4569">
        <f t="shared" si="520"/>
        <v>4553</v>
      </c>
      <c r="R4569" s="48">
        <f t="shared" ca="1" si="521"/>
        <v>0.3</v>
      </c>
      <c r="S4569">
        <f t="shared" ca="1" si="522"/>
        <v>168.31629886725761</v>
      </c>
      <c r="T4569" s="61">
        <f t="shared" ca="1" si="516"/>
        <v>14400</v>
      </c>
      <c r="U4569" s="61">
        <f t="shared" ca="1" si="517"/>
        <v>2257.1273656642643</v>
      </c>
      <c r="V4569" s="39">
        <f t="shared" ca="1" si="518"/>
        <v>1.4849522142528054E-2</v>
      </c>
      <c r="W4569" s="48">
        <f t="shared" ca="1" si="519"/>
        <v>0.12700153382154999</v>
      </c>
    </row>
    <row r="4570" spans="17:23" x14ac:dyDescent="0.2">
      <c r="Q4570">
        <f t="shared" si="520"/>
        <v>4554</v>
      </c>
      <c r="R4570" s="48">
        <f t="shared" ca="1" si="521"/>
        <v>0.4</v>
      </c>
      <c r="S4570">
        <f t="shared" ca="1" si="522"/>
        <v>146.12168880551621</v>
      </c>
      <c r="T4570" s="61">
        <f t="shared" ca="1" si="516"/>
        <v>19200</v>
      </c>
      <c r="U4570" s="61">
        <f t="shared" ca="1" si="517"/>
        <v>-1861.5893733522171</v>
      </c>
      <c r="V4570" s="39">
        <f t="shared" ca="1" si="518"/>
        <v>-1.2247298508896165E-2</v>
      </c>
      <c r="W4570" s="48">
        <f t="shared" ca="1" si="519"/>
        <v>-9.511962862095924E-2</v>
      </c>
    </row>
    <row r="4571" spans="17:23" x14ac:dyDescent="0.2">
      <c r="Q4571">
        <f t="shared" si="520"/>
        <v>4555</v>
      </c>
      <c r="R4571" s="48">
        <f t="shared" ca="1" si="521"/>
        <v>0.35</v>
      </c>
      <c r="S4571">
        <f t="shared" ca="1" si="522"/>
        <v>177.57897543255822</v>
      </c>
      <c r="T4571" s="61">
        <f t="shared" ca="1" si="516"/>
        <v>16800</v>
      </c>
      <c r="U4571" s="61">
        <f t="shared" ca="1" si="517"/>
        <v>10341.067224930277</v>
      </c>
      <c r="V4571" s="39">
        <f t="shared" ca="1" si="518"/>
        <v>6.8033337006120242E-2</v>
      </c>
      <c r="W4571" s="48">
        <f t="shared" ca="1" si="519"/>
        <v>0.70551113711481084</v>
      </c>
    </row>
    <row r="4572" spans="17:23" x14ac:dyDescent="0.2">
      <c r="Q4572">
        <f t="shared" si="520"/>
        <v>4556</v>
      </c>
      <c r="R4572" s="48">
        <f t="shared" ca="1" si="521"/>
        <v>0.15</v>
      </c>
      <c r="S4572">
        <f t="shared" ca="1" si="522"/>
        <v>177.27297591048591</v>
      </c>
      <c r="T4572" s="61">
        <f t="shared" ca="1" si="516"/>
        <v>7200</v>
      </c>
      <c r="U4572" s="61">
        <f t="shared" ca="1" si="517"/>
        <v>-1454.3763808695803</v>
      </c>
      <c r="V4572" s="39">
        <f t="shared" ca="1" si="518"/>
        <v>-9.5682656636156601E-3</v>
      </c>
      <c r="W4572" s="48">
        <f t="shared" ca="1" si="519"/>
        <v>-7.5019797612541406E-2</v>
      </c>
    </row>
    <row r="4573" spans="17:23" x14ac:dyDescent="0.2">
      <c r="Q4573">
        <f t="shared" si="520"/>
        <v>4557</v>
      </c>
      <c r="R4573" s="48">
        <f t="shared" ca="1" si="521"/>
        <v>0.3</v>
      </c>
      <c r="S4573">
        <f t="shared" ca="1" si="522"/>
        <v>175.81284198408832</v>
      </c>
      <c r="T4573" s="61">
        <f t="shared" ca="1" si="516"/>
        <v>14400</v>
      </c>
      <c r="U4573" s="61">
        <f t="shared" ca="1" si="517"/>
        <v>6455.1915110894606</v>
      </c>
      <c r="V4573" s="39">
        <f t="shared" ca="1" si="518"/>
        <v>4.2468365204535924E-2</v>
      </c>
      <c r="W4573" s="48">
        <f t="shared" ca="1" si="519"/>
        <v>0.40123205880103674</v>
      </c>
    </row>
    <row r="4574" spans="17:23" x14ac:dyDescent="0.2">
      <c r="Q4574">
        <f t="shared" si="520"/>
        <v>4558</v>
      </c>
      <c r="R4574" s="48">
        <f t="shared" ca="1" si="521"/>
        <v>0.4</v>
      </c>
      <c r="S4574">
        <f t="shared" ca="1" si="522"/>
        <v>181.85358862552403</v>
      </c>
      <c r="T4574" s="61">
        <f t="shared" ca="1" si="516"/>
        <v>19200</v>
      </c>
      <c r="U4574" s="61">
        <f t="shared" ca="1" si="517"/>
        <v>15289.722540251532</v>
      </c>
      <c r="V4574" s="39">
        <f t="shared" ca="1" si="518"/>
        <v>0.10059027987007588</v>
      </c>
      <c r="W4574" s="48">
        <f t="shared" ca="1" si="519"/>
        <v>1.1758575435583793</v>
      </c>
    </row>
    <row r="4575" spans="17:23" x14ac:dyDescent="0.2">
      <c r="Q4575">
        <f t="shared" si="520"/>
        <v>4559</v>
      </c>
      <c r="R4575" s="48">
        <f t="shared" ca="1" si="521"/>
        <v>0.35</v>
      </c>
      <c r="S4575">
        <f t="shared" ca="1" si="522"/>
        <v>194.86790165330098</v>
      </c>
      <c r="T4575" s="61">
        <f t="shared" ca="1" si="516"/>
        <v>16800</v>
      </c>
      <c r="U4575" s="61">
        <f t="shared" ca="1" si="517"/>
        <v>19331.308859716508</v>
      </c>
      <c r="V4575" s="39">
        <f t="shared" ca="1" si="518"/>
        <v>0.12717966355076649</v>
      </c>
      <c r="W4575" s="48">
        <f t="shared" ca="1" si="519"/>
        <v>1.640718898467723</v>
      </c>
    </row>
    <row r="4576" spans="17:23" x14ac:dyDescent="0.2">
      <c r="Q4576">
        <f t="shared" si="520"/>
        <v>4560</v>
      </c>
      <c r="R4576" s="48">
        <f t="shared" ca="1" si="521"/>
        <v>0.45</v>
      </c>
      <c r="S4576">
        <f t="shared" ca="1" si="522"/>
        <v>187.87694332243944</v>
      </c>
      <c r="T4576" s="61">
        <f t="shared" ca="1" si="516"/>
        <v>21600</v>
      </c>
      <c r="U4576" s="61">
        <f t="shared" ca="1" si="517"/>
        <v>20665.855061873357</v>
      </c>
      <c r="V4576" s="39">
        <f t="shared" ca="1" si="518"/>
        <v>0.13595957277548262</v>
      </c>
      <c r="W4576" s="48">
        <f t="shared" ca="1" si="519"/>
        <v>1.8122533081943013</v>
      </c>
    </row>
    <row r="4577" spans="17:23" x14ac:dyDescent="0.2">
      <c r="Q4577">
        <f t="shared" si="520"/>
        <v>4561</v>
      </c>
      <c r="R4577" s="48">
        <f t="shared" ca="1" si="521"/>
        <v>0.4</v>
      </c>
      <c r="S4577">
        <f t="shared" ca="1" si="522"/>
        <v>165.69173288089252</v>
      </c>
      <c r="T4577" s="61">
        <f t="shared" ca="1" si="516"/>
        <v>19200</v>
      </c>
      <c r="U4577" s="61">
        <f t="shared" ca="1" si="517"/>
        <v>7532.0317828284078</v>
      </c>
      <c r="V4577" s="39">
        <f t="shared" ca="1" si="518"/>
        <v>4.9552840676502681E-2</v>
      </c>
      <c r="W4577" s="48">
        <f t="shared" ca="1" si="519"/>
        <v>0.48036319596628219</v>
      </c>
    </row>
    <row r="4578" spans="17:23" x14ac:dyDescent="0.2">
      <c r="Q4578">
        <f t="shared" si="520"/>
        <v>4562</v>
      </c>
      <c r="R4578" s="48">
        <f t="shared" ca="1" si="521"/>
        <v>0.4</v>
      </c>
      <c r="S4578">
        <f t="shared" ca="1" si="522"/>
        <v>173.62957839928742</v>
      </c>
      <c r="T4578" s="61">
        <f t="shared" ca="1" si="516"/>
        <v>19200</v>
      </c>
      <c r="U4578" s="61">
        <f t="shared" ca="1" si="517"/>
        <v>11342.197631657964</v>
      </c>
      <c r="V4578" s="39">
        <f t="shared" ca="1" si="518"/>
        <v>7.4619721260907657E-2</v>
      </c>
      <c r="W4578" s="48">
        <f t="shared" ca="1" si="519"/>
        <v>0.79271481527663035</v>
      </c>
    </row>
    <row r="4579" spans="17:23" x14ac:dyDescent="0.2">
      <c r="Q4579">
        <f t="shared" si="520"/>
        <v>4563</v>
      </c>
      <c r="R4579" s="48">
        <f t="shared" ca="1" si="521"/>
        <v>0.35</v>
      </c>
      <c r="S4579">
        <f t="shared" ca="1" si="522"/>
        <v>200.65721870376387</v>
      </c>
      <c r="T4579" s="61">
        <f t="shared" ca="1" si="516"/>
        <v>16800</v>
      </c>
      <c r="U4579" s="61">
        <f t="shared" ca="1" si="517"/>
        <v>22341.753725957213</v>
      </c>
      <c r="V4579" s="39">
        <f t="shared" ca="1" si="518"/>
        <v>0.14698522188129745</v>
      </c>
      <c r="W4579" s="48">
        <f t="shared" ca="1" si="519"/>
        <v>2.0414460317030598</v>
      </c>
    </row>
    <row r="4580" spans="17:23" x14ac:dyDescent="0.2">
      <c r="Q4580">
        <f t="shared" si="520"/>
        <v>4564</v>
      </c>
      <c r="R4580" s="48">
        <f t="shared" ca="1" si="521"/>
        <v>0.35</v>
      </c>
      <c r="S4580">
        <f t="shared" ca="1" si="522"/>
        <v>184.48217760692097</v>
      </c>
      <c r="T4580" s="61">
        <f t="shared" ca="1" si="516"/>
        <v>16800</v>
      </c>
      <c r="U4580" s="61">
        <f t="shared" ca="1" si="517"/>
        <v>13930.732355598904</v>
      </c>
      <c r="V4580" s="39">
        <f t="shared" ca="1" si="518"/>
        <v>9.1649554971045419E-2</v>
      </c>
      <c r="W4580" s="48">
        <f t="shared" ca="1" si="519"/>
        <v>1.0365609297476897</v>
      </c>
    </row>
    <row r="4581" spans="17:23" x14ac:dyDescent="0.2">
      <c r="Q4581">
        <f t="shared" si="520"/>
        <v>4565</v>
      </c>
      <c r="R4581" s="48">
        <f t="shared" ca="1" si="521"/>
        <v>0.45</v>
      </c>
      <c r="S4581">
        <f t="shared" ca="1" si="522"/>
        <v>180.80946957926395</v>
      </c>
      <c r="T4581" s="61">
        <f t="shared" ca="1" si="516"/>
        <v>21600</v>
      </c>
      <c r="U4581" s="61">
        <f t="shared" ca="1" si="517"/>
        <v>17556.166614876136</v>
      </c>
      <c r="V4581" s="39">
        <f t="shared" ca="1" si="518"/>
        <v>0.1155010961505009</v>
      </c>
      <c r="W4581" s="48">
        <f t="shared" ca="1" si="519"/>
        <v>1.4268026228149178</v>
      </c>
    </row>
    <row r="4582" spans="17:23" x14ac:dyDescent="0.2">
      <c r="Q4582">
        <f t="shared" si="520"/>
        <v>4566</v>
      </c>
      <c r="R4582" s="48">
        <f t="shared" ca="1" si="521"/>
        <v>0.3</v>
      </c>
      <c r="S4582">
        <f t="shared" ca="1" si="522"/>
        <v>175.72796792833694</v>
      </c>
      <c r="T4582" s="61">
        <f t="shared" ca="1" si="516"/>
        <v>14400</v>
      </c>
      <c r="U4582" s="61">
        <f t="shared" ca="1" si="517"/>
        <v>6407.6620398686846</v>
      </c>
      <c r="V4582" s="39">
        <f t="shared" ca="1" si="518"/>
        <v>4.2155671314925557E-2</v>
      </c>
      <c r="W4582" s="48">
        <f t="shared" ca="1" si="519"/>
        <v>0.39782653607098051</v>
      </c>
    </row>
    <row r="4583" spans="17:23" x14ac:dyDescent="0.2">
      <c r="Q4583">
        <f t="shared" si="520"/>
        <v>4567</v>
      </c>
      <c r="R4583" s="48">
        <f t="shared" ca="1" si="521"/>
        <v>0.3</v>
      </c>
      <c r="S4583">
        <f t="shared" ca="1" si="522"/>
        <v>172.88915678422711</v>
      </c>
      <c r="T4583" s="61">
        <f t="shared" ca="1" si="516"/>
        <v>14400</v>
      </c>
      <c r="U4583" s="61">
        <f t="shared" ca="1" si="517"/>
        <v>4817.9277991671825</v>
      </c>
      <c r="V4583" s="39">
        <f t="shared" ca="1" si="518"/>
        <v>3.1696893415573565E-2</v>
      </c>
      <c r="W4583" s="48">
        <f t="shared" ca="1" si="519"/>
        <v>0.28802049624905934</v>
      </c>
    </row>
    <row r="4584" spans="17:23" x14ac:dyDescent="0.2">
      <c r="Q4584">
        <f t="shared" si="520"/>
        <v>4568</v>
      </c>
      <c r="R4584" s="48">
        <f t="shared" ca="1" si="521"/>
        <v>0.4</v>
      </c>
      <c r="S4584">
        <f t="shared" ca="1" si="522"/>
        <v>196.6914902258664</v>
      </c>
      <c r="T4584" s="61">
        <f t="shared" ca="1" si="516"/>
        <v>19200</v>
      </c>
      <c r="U4584" s="61">
        <f t="shared" ca="1" si="517"/>
        <v>22411.915308415875</v>
      </c>
      <c r="V4584" s="39">
        <f t="shared" ca="1" si="518"/>
        <v>0.14744681123957812</v>
      </c>
      <c r="W4584" s="48">
        <f t="shared" ca="1" si="519"/>
        <v>2.0513881727944026</v>
      </c>
    </row>
    <row r="4585" spans="17:23" x14ac:dyDescent="0.2">
      <c r="Q4585">
        <f t="shared" si="520"/>
        <v>4569</v>
      </c>
      <c r="R4585" s="48">
        <f t="shared" ca="1" si="521"/>
        <v>0.4</v>
      </c>
      <c r="S4585">
        <f t="shared" ca="1" si="522"/>
        <v>189.54076051731005</v>
      </c>
      <c r="T4585" s="61">
        <f t="shared" ca="1" si="516"/>
        <v>19200</v>
      </c>
      <c r="U4585" s="61">
        <f t="shared" ca="1" si="517"/>
        <v>18979.565048308825</v>
      </c>
      <c r="V4585" s="39">
        <f t="shared" ca="1" si="518"/>
        <v>0.12486555952834753</v>
      </c>
      <c r="W4585" s="48">
        <f t="shared" ca="1" si="519"/>
        <v>1.5970649242734019</v>
      </c>
    </row>
    <row r="4586" spans="17:23" x14ac:dyDescent="0.2">
      <c r="Q4586">
        <f t="shared" si="520"/>
        <v>4570</v>
      </c>
      <c r="R4586" s="48">
        <f t="shared" ca="1" si="521"/>
        <v>0.3</v>
      </c>
      <c r="S4586">
        <f t="shared" ca="1" si="522"/>
        <v>182.76694171932249</v>
      </c>
      <c r="T4586" s="61">
        <f t="shared" ca="1" si="516"/>
        <v>14400</v>
      </c>
      <c r="U4586" s="61">
        <f t="shared" ca="1" si="517"/>
        <v>10349.487362820593</v>
      </c>
      <c r="V4586" s="39">
        <f t="shared" ca="1" si="518"/>
        <v>6.8088732650135486E-2</v>
      </c>
      <c r="W4586" s="48">
        <f t="shared" ca="1" si="519"/>
        <v>0.70622877574618803</v>
      </c>
    </row>
    <row r="4587" spans="17:23" x14ac:dyDescent="0.2">
      <c r="Q4587">
        <f t="shared" si="520"/>
        <v>4571</v>
      </c>
      <c r="R4587" s="48">
        <f t="shared" ca="1" si="521"/>
        <v>0.4</v>
      </c>
      <c r="S4587">
        <f t="shared" ca="1" si="522"/>
        <v>164.8739337235067</v>
      </c>
      <c r="T4587" s="61">
        <f t="shared" ca="1" si="516"/>
        <v>19200</v>
      </c>
      <c r="U4587" s="61">
        <f t="shared" ca="1" si="517"/>
        <v>7139.4881872832138</v>
      </c>
      <c r="V4587" s="39">
        <f t="shared" ca="1" si="518"/>
        <v>4.6970317021600094E-2</v>
      </c>
      <c r="W4587" s="48">
        <f t="shared" ca="1" si="519"/>
        <v>0.45107507451457174</v>
      </c>
    </row>
    <row r="4588" spans="17:23" x14ac:dyDescent="0.2">
      <c r="Q4588">
        <f t="shared" si="520"/>
        <v>4572</v>
      </c>
      <c r="R4588" s="48">
        <f t="shared" ca="1" si="521"/>
        <v>0.3</v>
      </c>
      <c r="S4588">
        <f t="shared" ca="1" si="522"/>
        <v>173.13989842402447</v>
      </c>
      <c r="T4588" s="61">
        <f t="shared" ca="1" si="516"/>
        <v>14400</v>
      </c>
      <c r="U4588" s="61">
        <f t="shared" ca="1" si="517"/>
        <v>4958.3431174537</v>
      </c>
      <c r="V4588" s="39">
        <f t="shared" ca="1" si="518"/>
        <v>3.2620678404300656E-2</v>
      </c>
      <c r="W4588" s="48">
        <f t="shared" ca="1" si="519"/>
        <v>0.29740486074434536</v>
      </c>
    </row>
    <row r="4589" spans="17:23" x14ac:dyDescent="0.2">
      <c r="Q4589">
        <f t="shared" si="520"/>
        <v>4573</v>
      </c>
      <c r="R4589" s="48">
        <f t="shared" ca="1" si="521"/>
        <v>0.45</v>
      </c>
      <c r="S4589">
        <f t="shared" ca="1" si="522"/>
        <v>197.1646362548102</v>
      </c>
      <c r="T4589" s="61">
        <f t="shared" ca="1" si="516"/>
        <v>21600</v>
      </c>
      <c r="U4589" s="61">
        <f t="shared" ca="1" si="517"/>
        <v>24752.439952116489</v>
      </c>
      <c r="V4589" s="39">
        <f t="shared" ca="1" si="518"/>
        <v>0.1628449996849769</v>
      </c>
      <c r="W4589" s="48">
        <f t="shared" ca="1" si="519"/>
        <v>2.3998115192919767</v>
      </c>
    </row>
    <row r="4590" spans="17:23" x14ac:dyDescent="0.2">
      <c r="Q4590">
        <f t="shared" si="520"/>
        <v>4574</v>
      </c>
      <c r="R4590" s="48">
        <f t="shared" ca="1" si="521"/>
        <v>0.35</v>
      </c>
      <c r="S4590">
        <f t="shared" ca="1" si="522"/>
        <v>192.01671828343299</v>
      </c>
      <c r="T4590" s="61">
        <f t="shared" ca="1" si="516"/>
        <v>16800</v>
      </c>
      <c r="U4590" s="61">
        <f t="shared" ca="1" si="517"/>
        <v>17848.693507385156</v>
      </c>
      <c r="V4590" s="39">
        <f t="shared" ca="1" si="518"/>
        <v>0.1174256151801655</v>
      </c>
      <c r="W4590" s="48">
        <f t="shared" ca="1" si="519"/>
        <v>1.4609716223469569</v>
      </c>
    </row>
    <row r="4591" spans="17:23" x14ac:dyDescent="0.2">
      <c r="Q4591">
        <f t="shared" si="520"/>
        <v>4575</v>
      </c>
      <c r="R4591" s="48">
        <f t="shared" ca="1" si="521"/>
        <v>0.3</v>
      </c>
      <c r="S4591">
        <f t="shared" ca="1" si="522"/>
        <v>152.62475499071977</v>
      </c>
      <c r="T4591" s="61">
        <f t="shared" ca="1" si="516"/>
        <v>14400</v>
      </c>
      <c r="U4591" s="61">
        <f t="shared" ca="1" si="517"/>
        <v>-6530.1372051969302</v>
      </c>
      <c r="V4591" s="39">
        <f t="shared" ca="1" si="518"/>
        <v>-4.2961428981558754E-2</v>
      </c>
      <c r="W4591" s="48">
        <f t="shared" ca="1" si="519"/>
        <v>-0.29964766782653052</v>
      </c>
    </row>
    <row r="4592" spans="17:23" x14ac:dyDescent="0.2">
      <c r="Q4592">
        <f t="shared" si="520"/>
        <v>4576</v>
      </c>
      <c r="R4592" s="48">
        <f t="shared" ca="1" si="521"/>
        <v>0.4</v>
      </c>
      <c r="S4592">
        <f t="shared" ca="1" si="522"/>
        <v>180.41026868220737</v>
      </c>
      <c r="T4592" s="61">
        <f t="shared" ca="1" si="516"/>
        <v>19200</v>
      </c>
      <c r="U4592" s="61">
        <f t="shared" ca="1" si="517"/>
        <v>14596.928967459538</v>
      </c>
      <c r="V4592" s="39">
        <f t="shared" ca="1" si="518"/>
        <v>9.6032427417496957E-2</v>
      </c>
      <c r="W4592" s="48">
        <f t="shared" ca="1" si="519"/>
        <v>1.1038368135235728</v>
      </c>
    </row>
    <row r="4593" spans="17:23" x14ac:dyDescent="0.2">
      <c r="Q4593">
        <f t="shared" si="520"/>
        <v>4577</v>
      </c>
      <c r="R4593" s="48">
        <f t="shared" ca="1" si="521"/>
        <v>0.4</v>
      </c>
      <c r="S4593">
        <f t="shared" ca="1" si="522"/>
        <v>175.04467580136949</v>
      </c>
      <c r="T4593" s="61">
        <f t="shared" ca="1" si="516"/>
        <v>19200</v>
      </c>
      <c r="U4593" s="61">
        <f t="shared" ca="1" si="517"/>
        <v>12021.444384657356</v>
      </c>
      <c r="V4593" s="39">
        <f t="shared" ca="1" si="518"/>
        <v>7.9088449899061553E-2</v>
      </c>
      <c r="W4593" s="48">
        <f t="shared" ca="1" si="519"/>
        <v>0.85408379186247219</v>
      </c>
    </row>
    <row r="4594" spans="17:23" x14ac:dyDescent="0.2">
      <c r="Q4594">
        <f t="shared" si="520"/>
        <v>4578</v>
      </c>
      <c r="R4594" s="48">
        <f t="shared" ca="1" si="521"/>
        <v>0.4</v>
      </c>
      <c r="S4594">
        <f t="shared" ca="1" si="522"/>
        <v>189.11010981991791</v>
      </c>
      <c r="T4594" s="61">
        <f t="shared" ca="1" si="516"/>
        <v>19200</v>
      </c>
      <c r="U4594" s="61">
        <f t="shared" ca="1" si="517"/>
        <v>18772.852713560598</v>
      </c>
      <c r="V4594" s="39">
        <f t="shared" ca="1" si="518"/>
        <v>0.12350560995763551</v>
      </c>
      <c r="W4594" s="48">
        <f t="shared" ca="1" si="519"/>
        <v>1.5717066871560816</v>
      </c>
    </row>
    <row r="4595" spans="17:23" x14ac:dyDescent="0.2">
      <c r="Q4595">
        <f t="shared" si="520"/>
        <v>4579</v>
      </c>
      <c r="R4595" s="48">
        <f t="shared" ca="1" si="521"/>
        <v>0.45</v>
      </c>
      <c r="S4595">
        <f t="shared" ca="1" si="522"/>
        <v>186.40806021442728</v>
      </c>
      <c r="T4595" s="61">
        <f t="shared" ca="1" si="516"/>
        <v>21600</v>
      </c>
      <c r="U4595" s="61">
        <f t="shared" ca="1" si="517"/>
        <v>20019.546494348004</v>
      </c>
      <c r="V4595" s="39">
        <f t="shared" ca="1" si="518"/>
        <v>0.13170754272597371</v>
      </c>
      <c r="W4595" s="48">
        <f t="shared" ca="1" si="519"/>
        <v>1.7279986512416308</v>
      </c>
    </row>
    <row r="4596" spans="17:23" x14ac:dyDescent="0.2">
      <c r="Q4596">
        <f t="shared" si="520"/>
        <v>4580</v>
      </c>
      <c r="R4596" s="48">
        <f t="shared" ca="1" si="521"/>
        <v>0.45</v>
      </c>
      <c r="S4596">
        <f t="shared" ca="1" si="522"/>
        <v>224.51198180245083</v>
      </c>
      <c r="T4596" s="61">
        <f t="shared" ca="1" si="516"/>
        <v>21600</v>
      </c>
      <c r="U4596" s="61">
        <f t="shared" ca="1" si="517"/>
        <v>36785.271993078364</v>
      </c>
      <c r="V4596" s="39">
        <f t="shared" ca="1" si="518"/>
        <v>0.24200836837551556</v>
      </c>
      <c r="W4596" s="48">
        <f t="shared" ca="1" si="519"/>
        <v>4.8003534226419822</v>
      </c>
    </row>
    <row r="4597" spans="17:23" x14ac:dyDescent="0.2">
      <c r="Q4597">
        <f t="shared" si="520"/>
        <v>4581</v>
      </c>
      <c r="R4597" s="48">
        <f t="shared" ca="1" si="521"/>
        <v>0.35</v>
      </c>
      <c r="S4597">
        <f t="shared" ca="1" si="522"/>
        <v>209.82018772291178</v>
      </c>
      <c r="T4597" s="61">
        <f t="shared" ca="1" si="516"/>
        <v>16800</v>
      </c>
      <c r="U4597" s="61">
        <f t="shared" ca="1" si="517"/>
        <v>27106.497615914126</v>
      </c>
      <c r="V4597" s="39">
        <f t="shared" ca="1" si="518"/>
        <v>0.17833222115732977</v>
      </c>
      <c r="W4597" s="48">
        <f t="shared" ca="1" si="519"/>
        <v>2.7849545366222377</v>
      </c>
    </row>
    <row r="4598" spans="17:23" x14ac:dyDescent="0.2">
      <c r="Q4598">
        <f t="shared" si="520"/>
        <v>4582</v>
      </c>
      <c r="R4598" s="48">
        <f t="shared" ca="1" si="521"/>
        <v>0.3</v>
      </c>
      <c r="S4598">
        <f t="shared" ca="1" si="522"/>
        <v>217.39042299289275</v>
      </c>
      <c r="T4598" s="61">
        <f t="shared" ca="1" si="516"/>
        <v>14400</v>
      </c>
      <c r="U4598" s="61">
        <f t="shared" ca="1" si="517"/>
        <v>29738.63687601994</v>
      </c>
      <c r="V4598" s="39">
        <f t="shared" ca="1" si="518"/>
        <v>0.19564892681592067</v>
      </c>
      <c r="W4598" s="48">
        <f t="shared" ca="1" si="519"/>
        <v>3.2604164994612566</v>
      </c>
    </row>
    <row r="4599" spans="17:23" x14ac:dyDescent="0.2">
      <c r="Q4599">
        <f t="shared" si="520"/>
        <v>4583</v>
      </c>
      <c r="R4599" s="48">
        <f t="shared" ca="1" si="521"/>
        <v>0.35</v>
      </c>
      <c r="S4599">
        <f t="shared" ca="1" si="522"/>
        <v>155.75184963943983</v>
      </c>
      <c r="T4599" s="61">
        <f t="shared" ca="1" si="516"/>
        <v>16800</v>
      </c>
      <c r="U4599" s="61">
        <f t="shared" ca="1" si="517"/>
        <v>-1009.0381874912891</v>
      </c>
      <c r="V4599" s="39">
        <f t="shared" ca="1" si="518"/>
        <v>-6.638409128232165E-3</v>
      </c>
      <c r="W4599" s="48">
        <f t="shared" ca="1" si="519"/>
        <v>-5.2591002132038711E-2</v>
      </c>
    </row>
    <row r="4600" spans="17:23" x14ac:dyDescent="0.2">
      <c r="Q4600">
        <f t="shared" si="520"/>
        <v>4584</v>
      </c>
      <c r="R4600" s="48">
        <f t="shared" ca="1" si="521"/>
        <v>0.15</v>
      </c>
      <c r="S4600">
        <f t="shared" ca="1" si="522"/>
        <v>193.51336567025555</v>
      </c>
      <c r="T4600" s="61">
        <f t="shared" ca="1" si="516"/>
        <v>7200</v>
      </c>
      <c r="U4600" s="61">
        <f t="shared" ca="1" si="517"/>
        <v>9589.0886557737758</v>
      </c>
      <c r="V4600" s="39">
        <f t="shared" ca="1" si="518"/>
        <v>6.3086109577459054E-2</v>
      </c>
      <c r="W4600" s="48">
        <f t="shared" ca="1" si="519"/>
        <v>0.64247814085645261</v>
      </c>
    </row>
    <row r="4601" spans="17:23" x14ac:dyDescent="0.2">
      <c r="Q4601">
        <f t="shared" si="520"/>
        <v>4585</v>
      </c>
      <c r="R4601" s="48">
        <f t="shared" ca="1" si="521"/>
        <v>0.45</v>
      </c>
      <c r="S4601">
        <f t="shared" ca="1" si="522"/>
        <v>188.44779218327767</v>
      </c>
      <c r="T4601" s="61">
        <f t="shared" ref="T4601:T4664" ca="1" si="523">($B$8-$B$7)*($E$6*R4601)</f>
        <v>21600</v>
      </c>
      <c r="U4601" s="61">
        <f t="shared" ref="U4601:U4664" ca="1" si="524">T4601+((S4601-$B$7)*($E$6*(1-R4601)))</f>
        <v>20917.028560642175</v>
      </c>
      <c r="V4601" s="39">
        <f t="shared" ref="V4601:V4664" ca="1" si="525">U4601/$E$4</f>
        <v>0.13761203000422484</v>
      </c>
      <c r="W4601" s="48">
        <f t="shared" ref="W4601:W4664" ca="1" si="526">(1+V4601)^($J$29/$J$30)-1</f>
        <v>1.8456074091613699</v>
      </c>
    </row>
    <row r="4602" spans="17:23" x14ac:dyDescent="0.2">
      <c r="Q4602">
        <f t="shared" si="520"/>
        <v>4586</v>
      </c>
      <c r="R4602" s="48">
        <f t="shared" ca="1" si="521"/>
        <v>0.4</v>
      </c>
      <c r="S4602">
        <f t="shared" ca="1" si="522"/>
        <v>203.06286894818177</v>
      </c>
      <c r="T4602" s="61">
        <f t="shared" ca="1" si="523"/>
        <v>19200</v>
      </c>
      <c r="U4602" s="61">
        <f t="shared" ca="1" si="524"/>
        <v>25470.177095127252</v>
      </c>
      <c r="V4602" s="39">
        <f t="shared" ca="1" si="525"/>
        <v>0.16756695457320561</v>
      </c>
      <c r="W4602" s="48">
        <f t="shared" ca="1" si="526"/>
        <v>2.5134203533821622</v>
      </c>
    </row>
    <row r="4603" spans="17:23" x14ac:dyDescent="0.2">
      <c r="Q4603">
        <f t="shared" si="520"/>
        <v>4587</v>
      </c>
      <c r="R4603" s="48">
        <f t="shared" ca="1" si="521"/>
        <v>0.3</v>
      </c>
      <c r="S4603">
        <f t="shared" ca="1" si="522"/>
        <v>192.21117085717748</v>
      </c>
      <c r="T4603" s="61">
        <f t="shared" ca="1" si="523"/>
        <v>14400</v>
      </c>
      <c r="U4603" s="61">
        <f t="shared" ca="1" si="524"/>
        <v>15638.255680019389</v>
      </c>
      <c r="V4603" s="39">
        <f t="shared" ca="1" si="525"/>
        <v>0.10288326105275913</v>
      </c>
      <c r="W4603" s="48">
        <f t="shared" ca="1" si="526"/>
        <v>1.2129004004164523</v>
      </c>
    </row>
    <row r="4604" spans="17:23" x14ac:dyDescent="0.2">
      <c r="Q4604">
        <f t="shared" si="520"/>
        <v>4588</v>
      </c>
      <c r="R4604" s="48">
        <f t="shared" ca="1" si="521"/>
        <v>0.45</v>
      </c>
      <c r="S4604">
        <f t="shared" ca="1" si="522"/>
        <v>162.0356186329515</v>
      </c>
      <c r="T4604" s="61">
        <f t="shared" ca="1" si="523"/>
        <v>21600</v>
      </c>
      <c r="U4604" s="61">
        <f t="shared" ca="1" si="524"/>
        <v>9295.672198498658</v>
      </c>
      <c r="V4604" s="39">
        <f t="shared" ca="1" si="525"/>
        <v>6.1155738148017488E-2</v>
      </c>
      <c r="W4604" s="48">
        <f t="shared" ca="1" si="526"/>
        <v>0.61844282688986896</v>
      </c>
    </row>
    <row r="4605" spans="17:23" x14ac:dyDescent="0.2">
      <c r="Q4605">
        <f t="shared" si="520"/>
        <v>4589</v>
      </c>
      <c r="R4605" s="48">
        <f t="shared" ca="1" si="521"/>
        <v>0.217</v>
      </c>
      <c r="S4605">
        <f t="shared" ca="1" si="522"/>
        <v>208.85207307291427</v>
      </c>
      <c r="T4605" s="61">
        <f t="shared" ca="1" si="523"/>
        <v>10416</v>
      </c>
      <c r="U4605" s="61">
        <f t="shared" ca="1" si="524"/>
        <v>22224.938572873496</v>
      </c>
      <c r="V4605" s="39">
        <f t="shared" ca="1" si="525"/>
        <v>0.14621670113732563</v>
      </c>
      <c r="W4605" s="48">
        <f t="shared" ca="1" si="526"/>
        <v>2.024955913197378</v>
      </c>
    </row>
    <row r="4606" spans="17:23" x14ac:dyDescent="0.2">
      <c r="Q4606">
        <f t="shared" si="520"/>
        <v>4590</v>
      </c>
      <c r="R4606" s="48">
        <f t="shared" ca="1" si="521"/>
        <v>0.3</v>
      </c>
      <c r="S4606">
        <f t="shared" ca="1" si="522"/>
        <v>159.56559979253174</v>
      </c>
      <c r="T4606" s="61">
        <f t="shared" ca="1" si="523"/>
        <v>14400</v>
      </c>
      <c r="U4606" s="61">
        <f t="shared" ca="1" si="524"/>
        <v>-2643.2641161822248</v>
      </c>
      <c r="V4606" s="39">
        <f t="shared" ca="1" si="525"/>
        <v>-1.7389895501198849E-2</v>
      </c>
      <c r="W4606" s="48">
        <f t="shared" ca="1" si="526"/>
        <v>-0.13263223875831265</v>
      </c>
    </row>
    <row r="4607" spans="17:23" x14ac:dyDescent="0.2">
      <c r="Q4607">
        <f t="shared" si="520"/>
        <v>4591</v>
      </c>
      <c r="R4607" s="48">
        <f t="shared" ca="1" si="521"/>
        <v>0.4</v>
      </c>
      <c r="S4607">
        <f t="shared" ca="1" si="522"/>
        <v>181.61045724820019</v>
      </c>
      <c r="T4607" s="61">
        <f t="shared" ca="1" si="523"/>
        <v>19200</v>
      </c>
      <c r="U4607" s="61">
        <f t="shared" ca="1" si="524"/>
        <v>15173.019479136092</v>
      </c>
      <c r="V4607" s="39">
        <f t="shared" ca="1" si="525"/>
        <v>9.9822496573263766E-2</v>
      </c>
      <c r="W4607" s="48">
        <f t="shared" ca="1" si="526"/>
        <v>1.163576174851694</v>
      </c>
    </row>
    <row r="4608" spans="17:23" x14ac:dyDescent="0.2">
      <c r="Q4608">
        <f t="shared" si="520"/>
        <v>4592</v>
      </c>
      <c r="R4608" s="48">
        <f t="shared" ca="1" si="521"/>
        <v>0.3</v>
      </c>
      <c r="S4608">
        <f t="shared" ca="1" si="522"/>
        <v>190.8915859583272</v>
      </c>
      <c r="T4608" s="61">
        <f t="shared" ca="1" si="523"/>
        <v>14400</v>
      </c>
      <c r="U4608" s="61">
        <f t="shared" ca="1" si="524"/>
        <v>14899.288136663232</v>
      </c>
      <c r="V4608" s="39">
        <f t="shared" ca="1" si="525"/>
        <v>9.8021632478047571E-2</v>
      </c>
      <c r="W4608" s="48">
        <f t="shared" ca="1" si="526"/>
        <v>1.1350079317636661</v>
      </c>
    </row>
    <row r="4609" spans="17:23" x14ac:dyDescent="0.2">
      <c r="Q4609">
        <f t="shared" si="520"/>
        <v>4593</v>
      </c>
      <c r="R4609" s="48">
        <f t="shared" ca="1" si="521"/>
        <v>0.35</v>
      </c>
      <c r="S4609">
        <f t="shared" ca="1" si="522"/>
        <v>183.51180078212241</v>
      </c>
      <c r="T4609" s="61">
        <f t="shared" ca="1" si="523"/>
        <v>16800</v>
      </c>
      <c r="U4609" s="61">
        <f t="shared" ca="1" si="524"/>
        <v>13426.136406703652</v>
      </c>
      <c r="V4609" s="39">
        <f t="shared" ca="1" si="525"/>
        <v>8.8329844780945077E-2</v>
      </c>
      <c r="W4609" s="48">
        <f t="shared" ca="1" si="526"/>
        <v>0.98686708278126378</v>
      </c>
    </row>
    <row r="4610" spans="17:23" x14ac:dyDescent="0.2">
      <c r="Q4610">
        <f t="shared" si="520"/>
        <v>4594</v>
      </c>
      <c r="R4610" s="48">
        <f t="shared" ca="1" si="521"/>
        <v>0.45</v>
      </c>
      <c r="S4610">
        <f t="shared" ca="1" si="522"/>
        <v>189.18542536922442</v>
      </c>
      <c r="T4610" s="61">
        <f t="shared" ca="1" si="523"/>
        <v>21600</v>
      </c>
      <c r="U4610" s="61">
        <f t="shared" ca="1" si="524"/>
        <v>21241.587162458745</v>
      </c>
      <c r="V4610" s="39">
        <f t="shared" ca="1" si="525"/>
        <v>0.13974728396354438</v>
      </c>
      <c r="W4610" s="48">
        <f t="shared" ca="1" si="526"/>
        <v>1.8892198531717157</v>
      </c>
    </row>
    <row r="4611" spans="17:23" x14ac:dyDescent="0.2">
      <c r="Q4611">
        <f t="shared" si="520"/>
        <v>4595</v>
      </c>
      <c r="R4611" s="48">
        <f t="shared" ca="1" si="521"/>
        <v>0.3</v>
      </c>
      <c r="S4611">
        <f t="shared" ca="1" si="522"/>
        <v>175.53747163804599</v>
      </c>
      <c r="T4611" s="61">
        <f t="shared" ca="1" si="523"/>
        <v>14400</v>
      </c>
      <c r="U4611" s="61">
        <f t="shared" ca="1" si="524"/>
        <v>6300.9841173057521</v>
      </c>
      <c r="V4611" s="39">
        <f t="shared" ca="1" si="525"/>
        <v>4.1453842877011524E-2</v>
      </c>
      <c r="W4611" s="48">
        <f t="shared" ca="1" si="526"/>
        <v>0.3902093900321526</v>
      </c>
    </row>
    <row r="4612" spans="17:23" x14ac:dyDescent="0.2">
      <c r="Q4612">
        <f t="shared" si="520"/>
        <v>4596</v>
      </c>
      <c r="R4612" s="48">
        <f t="shared" ca="1" si="521"/>
        <v>0.3</v>
      </c>
      <c r="S4612">
        <f t="shared" ca="1" si="522"/>
        <v>167.30073106911752</v>
      </c>
      <c r="T4612" s="61">
        <f t="shared" ca="1" si="523"/>
        <v>14400</v>
      </c>
      <c r="U4612" s="61">
        <f t="shared" ca="1" si="524"/>
        <v>1688.4093987058095</v>
      </c>
      <c r="V4612" s="39">
        <f t="shared" ca="1" si="525"/>
        <v>1.1107956570432957E-2</v>
      </c>
      <c r="W4612" s="48">
        <f t="shared" ca="1" si="526"/>
        <v>9.3737952064279595E-2</v>
      </c>
    </row>
    <row r="4613" spans="17:23" x14ac:dyDescent="0.2">
      <c r="Q4613">
        <f t="shared" si="520"/>
        <v>4597</v>
      </c>
      <c r="R4613" s="48">
        <f t="shared" ca="1" si="521"/>
        <v>0.35</v>
      </c>
      <c r="S4613">
        <f t="shared" ca="1" si="522"/>
        <v>214.34966642781575</v>
      </c>
      <c r="T4613" s="61">
        <f t="shared" ca="1" si="523"/>
        <v>16800</v>
      </c>
      <c r="U4613" s="61">
        <f t="shared" ca="1" si="524"/>
        <v>29461.826542464187</v>
      </c>
      <c r="V4613" s="39">
        <f t="shared" ca="1" si="525"/>
        <v>0.19382780620042228</v>
      </c>
      <c r="W4613" s="48">
        <f t="shared" ca="1" si="526"/>
        <v>3.208066530454035</v>
      </c>
    </row>
    <row r="4614" spans="17:23" x14ac:dyDescent="0.2">
      <c r="Q4614">
        <f t="shared" si="520"/>
        <v>4598</v>
      </c>
      <c r="R4614" s="48">
        <f t="shared" ca="1" si="521"/>
        <v>0.4</v>
      </c>
      <c r="S4614">
        <f t="shared" ca="1" si="522"/>
        <v>181.46894571170554</v>
      </c>
      <c r="T4614" s="61">
        <f t="shared" ca="1" si="523"/>
        <v>19200</v>
      </c>
      <c r="U4614" s="61">
        <f t="shared" ca="1" si="524"/>
        <v>15105.093941618661</v>
      </c>
      <c r="V4614" s="39">
        <f t="shared" ca="1" si="525"/>
        <v>9.9375618036964875E-2</v>
      </c>
      <c r="W4614" s="48">
        <f t="shared" ca="1" si="526"/>
        <v>1.1564559766379485</v>
      </c>
    </row>
    <row r="4615" spans="17:23" x14ac:dyDescent="0.2">
      <c r="Q4615">
        <f t="shared" si="520"/>
        <v>4599</v>
      </c>
      <c r="R4615" s="48">
        <f t="shared" ca="1" si="521"/>
        <v>0.15</v>
      </c>
      <c r="S4615">
        <f t="shared" ca="1" si="522"/>
        <v>176.63660053969775</v>
      </c>
      <c r="T4615" s="61">
        <f t="shared" ca="1" si="523"/>
        <v>7200</v>
      </c>
      <c r="U4615" s="61">
        <f t="shared" ca="1" si="524"/>
        <v>-1887.1116330055283</v>
      </c>
      <c r="V4615" s="39">
        <f t="shared" ca="1" si="525"/>
        <v>-1.2415208111878476E-2</v>
      </c>
      <c r="W4615" s="48">
        <f t="shared" ca="1" si="526"/>
        <v>-9.6366542171780645E-2</v>
      </c>
    </row>
    <row r="4616" spans="17:23" x14ac:dyDescent="0.2">
      <c r="Q4616">
        <f t="shared" si="520"/>
        <v>4600</v>
      </c>
      <c r="R4616" s="48">
        <f t="shared" ca="1" si="521"/>
        <v>0.3</v>
      </c>
      <c r="S4616">
        <f t="shared" ca="1" si="522"/>
        <v>194.99103058451897</v>
      </c>
      <c r="T4616" s="61">
        <f t="shared" ca="1" si="523"/>
        <v>14400</v>
      </c>
      <c r="U4616" s="61">
        <f t="shared" ca="1" si="524"/>
        <v>17194.977127330621</v>
      </c>
      <c r="V4616" s="39">
        <f t="shared" ca="1" si="525"/>
        <v>0.11312484952191199</v>
      </c>
      <c r="W4616" s="48">
        <f t="shared" ca="1" si="526"/>
        <v>1.3851877312478154</v>
      </c>
    </row>
    <row r="4617" spans="17:23" x14ac:dyDescent="0.2">
      <c r="Q4617">
        <f t="shared" si="520"/>
        <v>4601</v>
      </c>
      <c r="R4617" s="48">
        <f t="shared" ca="1" si="521"/>
        <v>0.35</v>
      </c>
      <c r="S4617">
        <f t="shared" ca="1" si="522"/>
        <v>215.05672208988082</v>
      </c>
      <c r="T4617" s="61">
        <f t="shared" ca="1" si="523"/>
        <v>16800</v>
      </c>
      <c r="U4617" s="61">
        <f t="shared" ca="1" si="524"/>
        <v>29829.495486738029</v>
      </c>
      <c r="V4617" s="39">
        <f t="shared" ca="1" si="525"/>
        <v>0.19624668083380281</v>
      </c>
      <c r="W4617" s="48">
        <f t="shared" ca="1" si="526"/>
        <v>3.2777235603771979</v>
      </c>
    </row>
    <row r="4618" spans="17:23" x14ac:dyDescent="0.2">
      <c r="Q4618">
        <f t="shared" si="520"/>
        <v>4602</v>
      </c>
      <c r="R4618" s="48">
        <f t="shared" ca="1" si="521"/>
        <v>0.35</v>
      </c>
      <c r="S4618">
        <f t="shared" ca="1" si="522"/>
        <v>224.10961303883425</v>
      </c>
      <c r="T4618" s="61">
        <f t="shared" ca="1" si="523"/>
        <v>16800</v>
      </c>
      <c r="U4618" s="61">
        <f t="shared" ca="1" si="524"/>
        <v>34536.998780193811</v>
      </c>
      <c r="V4618" s="39">
        <f t="shared" ca="1" si="525"/>
        <v>0.22721709723811717</v>
      </c>
      <c r="W4618" s="48">
        <f t="shared" ca="1" si="526"/>
        <v>4.2632176786400482</v>
      </c>
    </row>
    <row r="4619" spans="17:23" x14ac:dyDescent="0.2">
      <c r="Q4619">
        <f t="shared" si="520"/>
        <v>4603</v>
      </c>
      <c r="R4619" s="48">
        <f t="shared" ca="1" si="521"/>
        <v>0.45</v>
      </c>
      <c r="S4619">
        <f t="shared" ca="1" si="522"/>
        <v>163.13031221576651</v>
      </c>
      <c r="T4619" s="61">
        <f t="shared" ca="1" si="523"/>
        <v>21600</v>
      </c>
      <c r="U4619" s="61">
        <f t="shared" ca="1" si="524"/>
        <v>9777.3373749372622</v>
      </c>
      <c r="V4619" s="39">
        <f t="shared" ca="1" si="525"/>
        <v>6.4324587993008303E-2</v>
      </c>
      <c r="W4619" s="48">
        <f t="shared" ca="1" si="526"/>
        <v>0.65806287540598363</v>
      </c>
    </row>
    <row r="4620" spans="17:23" x14ac:dyDescent="0.2">
      <c r="Q4620">
        <f t="shared" si="520"/>
        <v>4604</v>
      </c>
      <c r="R4620" s="48">
        <f t="shared" ca="1" si="521"/>
        <v>0.4</v>
      </c>
      <c r="S4620">
        <f t="shared" ca="1" si="522"/>
        <v>168.81955801635041</v>
      </c>
      <c r="T4620" s="61">
        <f t="shared" ca="1" si="523"/>
        <v>19200</v>
      </c>
      <c r="U4620" s="61">
        <f t="shared" ca="1" si="524"/>
        <v>9033.3878478481984</v>
      </c>
      <c r="V4620" s="39">
        <f t="shared" ca="1" si="525"/>
        <v>5.9430183209527622E-2</v>
      </c>
      <c r="W4620" s="48">
        <f t="shared" ca="1" si="526"/>
        <v>0.59721930425466607</v>
      </c>
    </row>
    <row r="4621" spans="17:23" x14ac:dyDescent="0.2">
      <c r="Q4621">
        <f t="shared" si="520"/>
        <v>4605</v>
      </c>
      <c r="R4621" s="48">
        <f t="shared" ca="1" si="521"/>
        <v>0.217</v>
      </c>
      <c r="S4621">
        <f t="shared" ca="1" si="522"/>
        <v>169.68363061434871</v>
      </c>
      <c r="T4621" s="61">
        <f t="shared" ca="1" si="523"/>
        <v>10416</v>
      </c>
      <c r="U4621" s="61">
        <f t="shared" ca="1" si="524"/>
        <v>-2310.1737831719638</v>
      </c>
      <c r="V4621" s="39">
        <f t="shared" ca="1" si="525"/>
        <v>-1.5198511731394498E-2</v>
      </c>
      <c r="W4621" s="48">
        <f t="shared" ca="1" si="526"/>
        <v>-0.11681733494958535</v>
      </c>
    </row>
    <row r="4622" spans="17:23" x14ac:dyDescent="0.2">
      <c r="Q4622">
        <f t="shared" si="520"/>
        <v>4606</v>
      </c>
      <c r="R4622" s="48">
        <f t="shared" ca="1" si="521"/>
        <v>0.3</v>
      </c>
      <c r="S4622">
        <f t="shared" ca="1" si="522"/>
        <v>167.66774250415821</v>
      </c>
      <c r="T4622" s="61">
        <f t="shared" ca="1" si="523"/>
        <v>14400</v>
      </c>
      <c r="U4622" s="61">
        <f t="shared" ca="1" si="524"/>
        <v>1893.9358023285986</v>
      </c>
      <c r="V4622" s="39">
        <f t="shared" ca="1" si="525"/>
        <v>1.2460103962688148E-2</v>
      </c>
      <c r="W4622" s="48">
        <f t="shared" ca="1" si="526"/>
        <v>0.10565821529193009</v>
      </c>
    </row>
    <row r="4623" spans="17:23" x14ac:dyDescent="0.2">
      <c r="Q4623">
        <f t="shared" si="520"/>
        <v>4607</v>
      </c>
      <c r="R4623" s="48">
        <f t="shared" ca="1" si="521"/>
        <v>0.35</v>
      </c>
      <c r="S4623">
        <f t="shared" ca="1" si="522"/>
        <v>228.89370417471065</v>
      </c>
      <c r="T4623" s="61">
        <f t="shared" ca="1" si="523"/>
        <v>16800</v>
      </c>
      <c r="U4623" s="61">
        <f t="shared" ca="1" si="524"/>
        <v>37024.726170849535</v>
      </c>
      <c r="V4623" s="39">
        <f t="shared" ca="1" si="525"/>
        <v>0.24358372480822063</v>
      </c>
      <c r="W4623" s="48">
        <f t="shared" ca="1" si="526"/>
        <v>4.8602977870934909</v>
      </c>
    </row>
    <row r="4624" spans="17:23" x14ac:dyDescent="0.2">
      <c r="Q4624">
        <f t="shared" si="520"/>
        <v>4608</v>
      </c>
      <c r="R4624" s="48">
        <f t="shared" ca="1" si="521"/>
        <v>0.3</v>
      </c>
      <c r="S4624">
        <f t="shared" ca="1" si="522"/>
        <v>207.42847337765573</v>
      </c>
      <c r="T4624" s="61">
        <f t="shared" ca="1" si="523"/>
        <v>14400</v>
      </c>
      <c r="U4624" s="61">
        <f t="shared" ca="1" si="524"/>
        <v>24159.94509148721</v>
      </c>
      <c r="V4624" s="39">
        <f t="shared" ca="1" si="525"/>
        <v>0.1589470071808369</v>
      </c>
      <c r="W4624" s="48">
        <f t="shared" ca="1" si="526"/>
        <v>2.3084669597375393</v>
      </c>
    </row>
    <row r="4625" spans="17:23" x14ac:dyDescent="0.2">
      <c r="Q4625">
        <f t="shared" si="520"/>
        <v>4609</v>
      </c>
      <c r="R4625" s="48">
        <f t="shared" ca="1" si="521"/>
        <v>0.217</v>
      </c>
      <c r="S4625">
        <f t="shared" ca="1" si="522"/>
        <v>193.45562766309959</v>
      </c>
      <c r="T4625" s="61">
        <f t="shared" ca="1" si="523"/>
        <v>10416</v>
      </c>
      <c r="U4625" s="61">
        <f t="shared" ca="1" si="524"/>
        <v>12580.605168165584</v>
      </c>
      <c r="V4625" s="39">
        <f t="shared" ca="1" si="525"/>
        <v>8.2767139264247266E-2</v>
      </c>
      <c r="W4625" s="48">
        <f t="shared" ca="1" si="526"/>
        <v>0.90597748178745241</v>
      </c>
    </row>
    <row r="4626" spans="17:23" x14ac:dyDescent="0.2">
      <c r="Q4626">
        <f t="shared" si="520"/>
        <v>4610</v>
      </c>
      <c r="R4626" s="48">
        <f t="shared" ca="1" si="521"/>
        <v>0.45</v>
      </c>
      <c r="S4626">
        <f t="shared" ca="1" si="522"/>
        <v>193.75167645610813</v>
      </c>
      <c r="T4626" s="61">
        <f t="shared" ca="1" si="523"/>
        <v>21600</v>
      </c>
      <c r="U4626" s="61">
        <f t="shared" ca="1" si="524"/>
        <v>23250.737640687577</v>
      </c>
      <c r="V4626" s="39">
        <f t="shared" ca="1" si="525"/>
        <v>0.15296537921504985</v>
      </c>
      <c r="W4626" s="48">
        <f t="shared" ca="1" si="526"/>
        <v>2.1724779147138866</v>
      </c>
    </row>
    <row r="4627" spans="17:23" x14ac:dyDescent="0.2">
      <c r="Q4627">
        <f t="shared" ref="Q4627:Q4690" si="527">Q4626+1</f>
        <v>4611</v>
      </c>
      <c r="R4627" s="48">
        <f t="shared" ref="R4627:R4690" ca="1" si="528">LOOKUP(RAND(),$U$6:$U$12,$S$6:$S$12)</f>
        <v>0.3</v>
      </c>
      <c r="S4627">
        <f t="shared" ref="S4627:S4690" ca="1" si="529">_xlfn.NORM.INV(RAND(),$Q$5,$Q$10)</f>
        <v>201.88370678901106</v>
      </c>
      <c r="T4627" s="61">
        <f t="shared" ca="1" si="523"/>
        <v>14400</v>
      </c>
      <c r="U4627" s="61">
        <f t="shared" ca="1" si="524"/>
        <v>21054.875801846192</v>
      </c>
      <c r="V4627" s="39">
        <f t="shared" ca="1" si="525"/>
        <v>0.13851891974898811</v>
      </c>
      <c r="W4627" s="48">
        <f t="shared" ca="1" si="526"/>
        <v>1.8640595553090158</v>
      </c>
    </row>
    <row r="4628" spans="17:23" x14ac:dyDescent="0.2">
      <c r="Q4628">
        <f t="shared" si="527"/>
        <v>4612</v>
      </c>
      <c r="R4628" s="48">
        <f t="shared" ca="1" si="528"/>
        <v>0.35</v>
      </c>
      <c r="S4628">
        <f t="shared" ca="1" si="529"/>
        <v>167.76440738521475</v>
      </c>
      <c r="T4628" s="61">
        <f t="shared" ca="1" si="523"/>
        <v>16800</v>
      </c>
      <c r="U4628" s="61">
        <f t="shared" ca="1" si="524"/>
        <v>5237.4918403116717</v>
      </c>
      <c r="V4628" s="39">
        <f t="shared" ca="1" si="525"/>
        <v>3.4457183159945205E-2</v>
      </c>
      <c r="W4628" s="48">
        <f t="shared" ca="1" si="526"/>
        <v>0.31623938445833955</v>
      </c>
    </row>
    <row r="4629" spans="17:23" x14ac:dyDescent="0.2">
      <c r="Q4629">
        <f t="shared" si="527"/>
        <v>4613</v>
      </c>
      <c r="R4629" s="48">
        <f t="shared" ca="1" si="528"/>
        <v>0.217</v>
      </c>
      <c r="S4629">
        <f t="shared" ca="1" si="529"/>
        <v>212.59006277236156</v>
      </c>
      <c r="T4629" s="61">
        <f t="shared" ca="1" si="523"/>
        <v>10416</v>
      </c>
      <c r="U4629" s="61">
        <f t="shared" ca="1" si="524"/>
        <v>24566.415320607281</v>
      </c>
      <c r="V4629" s="39">
        <f t="shared" ca="1" si="525"/>
        <v>0.1616211534250479</v>
      </c>
      <c r="W4629" s="48">
        <f t="shared" ca="1" si="526"/>
        <v>2.3708970311505069</v>
      </c>
    </row>
    <row r="4630" spans="17:23" x14ac:dyDescent="0.2">
      <c r="Q4630">
        <f t="shared" si="527"/>
        <v>4614</v>
      </c>
      <c r="R4630" s="48">
        <f t="shared" ca="1" si="528"/>
        <v>0.3</v>
      </c>
      <c r="S4630">
        <f t="shared" ca="1" si="529"/>
        <v>190.70780753429918</v>
      </c>
      <c r="T4630" s="61">
        <f t="shared" ca="1" si="523"/>
        <v>14400</v>
      </c>
      <c r="U4630" s="61">
        <f t="shared" ca="1" si="524"/>
        <v>14796.37221920754</v>
      </c>
      <c r="V4630" s="39">
        <f t="shared" ca="1" si="525"/>
        <v>9.7344554073733811E-2</v>
      </c>
      <c r="W4630" s="48">
        <f t="shared" ca="1" si="526"/>
        <v>1.124352872250431</v>
      </c>
    </row>
    <row r="4631" spans="17:23" x14ac:dyDescent="0.2">
      <c r="Q4631">
        <f t="shared" si="527"/>
        <v>4615</v>
      </c>
      <c r="R4631" s="48">
        <f t="shared" ca="1" si="528"/>
        <v>0.4</v>
      </c>
      <c r="S4631">
        <f t="shared" ca="1" si="529"/>
        <v>194.27064059544495</v>
      </c>
      <c r="T4631" s="61">
        <f t="shared" ca="1" si="523"/>
        <v>19200</v>
      </c>
      <c r="U4631" s="61">
        <f t="shared" ca="1" si="524"/>
        <v>21249.907485813572</v>
      </c>
      <c r="V4631" s="39">
        <f t="shared" ca="1" si="525"/>
        <v>0.13980202293298402</v>
      </c>
      <c r="W4631" s="48">
        <f t="shared" ca="1" si="526"/>
        <v>1.8903455544379311</v>
      </c>
    </row>
    <row r="4632" spans="17:23" x14ac:dyDescent="0.2">
      <c r="Q4632">
        <f t="shared" si="527"/>
        <v>4616</v>
      </c>
      <c r="R4632" s="48">
        <f t="shared" ca="1" si="528"/>
        <v>0.4</v>
      </c>
      <c r="S4632">
        <f t="shared" ca="1" si="529"/>
        <v>203.73668992288438</v>
      </c>
      <c r="T4632" s="61">
        <f t="shared" ca="1" si="523"/>
        <v>19200</v>
      </c>
      <c r="U4632" s="61">
        <f t="shared" ca="1" si="524"/>
        <v>25793.611162984504</v>
      </c>
      <c r="V4632" s="39">
        <f t="shared" ca="1" si="525"/>
        <v>0.16969481028279279</v>
      </c>
      <c r="W4632" s="48">
        <f t="shared" ca="1" si="526"/>
        <v>2.5656944277490439</v>
      </c>
    </row>
    <row r="4633" spans="17:23" x14ac:dyDescent="0.2">
      <c r="Q4633">
        <f t="shared" si="527"/>
        <v>4617</v>
      </c>
      <c r="R4633" s="48">
        <f t="shared" ca="1" si="528"/>
        <v>0.4</v>
      </c>
      <c r="S4633">
        <f t="shared" ca="1" si="529"/>
        <v>207.88480276162673</v>
      </c>
      <c r="T4633" s="61">
        <f t="shared" ca="1" si="523"/>
        <v>19200</v>
      </c>
      <c r="U4633" s="61">
        <f t="shared" ca="1" si="524"/>
        <v>27784.705325580831</v>
      </c>
      <c r="V4633" s="39">
        <f t="shared" ca="1" si="525"/>
        <v>0.18279411398408441</v>
      </c>
      <c r="W4633" s="48">
        <f t="shared" ca="1" si="526"/>
        <v>2.9027816502367663</v>
      </c>
    </row>
    <row r="4634" spans="17:23" x14ac:dyDescent="0.2">
      <c r="Q4634">
        <f t="shared" si="527"/>
        <v>4618</v>
      </c>
      <c r="R4634" s="48">
        <f t="shared" ca="1" si="528"/>
        <v>0.35</v>
      </c>
      <c r="S4634">
        <f t="shared" ca="1" si="529"/>
        <v>140.77990836543484</v>
      </c>
      <c r="T4634" s="61">
        <f t="shared" ca="1" si="523"/>
        <v>16800</v>
      </c>
      <c r="U4634" s="61">
        <f t="shared" ca="1" si="524"/>
        <v>-8794.4476499738848</v>
      </c>
      <c r="V4634" s="39">
        <f t="shared" ca="1" si="525"/>
        <v>-5.7858208223512397E-2</v>
      </c>
      <c r="W4634" s="48">
        <f t="shared" ca="1" si="526"/>
        <v>-0.38332807055740192</v>
      </c>
    </row>
    <row r="4635" spans="17:23" x14ac:dyDescent="0.2">
      <c r="Q4635">
        <f t="shared" si="527"/>
        <v>4619</v>
      </c>
      <c r="R4635" s="48">
        <f t="shared" ca="1" si="528"/>
        <v>0.3</v>
      </c>
      <c r="S4635">
        <f t="shared" ca="1" si="529"/>
        <v>218.39052746513056</v>
      </c>
      <c r="T4635" s="61">
        <f t="shared" ca="1" si="523"/>
        <v>14400</v>
      </c>
      <c r="U4635" s="61">
        <f t="shared" ca="1" si="524"/>
        <v>30298.695380473113</v>
      </c>
      <c r="V4635" s="39">
        <f t="shared" ca="1" si="525"/>
        <v>0.19933352223995468</v>
      </c>
      <c r="W4635" s="48">
        <f t="shared" ca="1" si="526"/>
        <v>3.3680830767623613</v>
      </c>
    </row>
    <row r="4636" spans="17:23" x14ac:dyDescent="0.2">
      <c r="Q4636">
        <f t="shared" si="527"/>
        <v>4620</v>
      </c>
      <c r="R4636" s="48">
        <f t="shared" ca="1" si="528"/>
        <v>0.35</v>
      </c>
      <c r="S4636">
        <f t="shared" ca="1" si="529"/>
        <v>151.36030118945513</v>
      </c>
      <c r="T4636" s="61">
        <f t="shared" ca="1" si="523"/>
        <v>16800</v>
      </c>
      <c r="U4636" s="61">
        <f t="shared" ca="1" si="524"/>
        <v>-3292.6433814833326</v>
      </c>
      <c r="V4636" s="39">
        <f t="shared" ca="1" si="525"/>
        <v>-2.1662127509758766E-2</v>
      </c>
      <c r="W4636" s="48">
        <f t="shared" ca="1" si="526"/>
        <v>-0.16275197046147571</v>
      </c>
    </row>
    <row r="4637" spans="17:23" x14ac:dyDescent="0.2">
      <c r="Q4637">
        <f t="shared" si="527"/>
        <v>4621</v>
      </c>
      <c r="R4637" s="48">
        <f t="shared" ca="1" si="528"/>
        <v>0.35</v>
      </c>
      <c r="S4637">
        <f t="shared" ca="1" si="529"/>
        <v>176.35057380442655</v>
      </c>
      <c r="T4637" s="61">
        <f t="shared" ca="1" si="523"/>
        <v>16800</v>
      </c>
      <c r="U4637" s="61">
        <f t="shared" ca="1" si="524"/>
        <v>9702.2983783018026</v>
      </c>
      <c r="V4637" s="39">
        <f t="shared" ca="1" si="525"/>
        <v>6.383091038356449E-2</v>
      </c>
      <c r="W4637" s="48">
        <f t="shared" ca="1" si="526"/>
        <v>0.65183507732727008</v>
      </c>
    </row>
    <row r="4638" spans="17:23" x14ac:dyDescent="0.2">
      <c r="Q4638">
        <f t="shared" si="527"/>
        <v>4622</v>
      </c>
      <c r="R4638" s="48">
        <f t="shared" ca="1" si="528"/>
        <v>0.45</v>
      </c>
      <c r="S4638">
        <f t="shared" ca="1" si="529"/>
        <v>204.32583814413388</v>
      </c>
      <c r="T4638" s="61">
        <f t="shared" ca="1" si="523"/>
        <v>21600</v>
      </c>
      <c r="U4638" s="61">
        <f t="shared" ca="1" si="524"/>
        <v>27903.368783418911</v>
      </c>
      <c r="V4638" s="39">
        <f t="shared" ca="1" si="525"/>
        <v>0.183574794627756</v>
      </c>
      <c r="W4638" s="48">
        <f t="shared" ca="1" si="526"/>
        <v>2.9237246181931571</v>
      </c>
    </row>
    <row r="4639" spans="17:23" x14ac:dyDescent="0.2">
      <c r="Q4639">
        <f t="shared" si="527"/>
        <v>4623</v>
      </c>
      <c r="R4639" s="48">
        <f t="shared" ca="1" si="528"/>
        <v>0.3</v>
      </c>
      <c r="S4639">
        <f t="shared" ca="1" si="529"/>
        <v>188.97649040500136</v>
      </c>
      <c r="T4639" s="61">
        <f t="shared" ca="1" si="523"/>
        <v>14400</v>
      </c>
      <c r="U4639" s="61">
        <f t="shared" ca="1" si="524"/>
        <v>13826.834626800759</v>
      </c>
      <c r="V4639" s="39">
        <f t="shared" ca="1" si="525"/>
        <v>9.0966017281583947E-2</v>
      </c>
      <c r="W4639" s="48">
        <f t="shared" ca="1" si="526"/>
        <v>1.0262406786724223</v>
      </c>
    </row>
    <row r="4640" spans="17:23" x14ac:dyDescent="0.2">
      <c r="Q4640">
        <f t="shared" si="527"/>
        <v>4624</v>
      </c>
      <c r="R4640" s="48">
        <f t="shared" ca="1" si="528"/>
        <v>0.3</v>
      </c>
      <c r="S4640">
        <f t="shared" ca="1" si="529"/>
        <v>163.22055841252748</v>
      </c>
      <c r="T4640" s="61">
        <f t="shared" ca="1" si="523"/>
        <v>14400</v>
      </c>
      <c r="U4640" s="61">
        <f t="shared" ca="1" si="524"/>
        <v>-596.48728898461013</v>
      </c>
      <c r="V4640" s="39">
        <f t="shared" ca="1" si="525"/>
        <v>-3.9242584801619084E-3</v>
      </c>
      <c r="W4640" s="48">
        <f t="shared" ca="1" si="526"/>
        <v>-3.1389506311221615E-2</v>
      </c>
    </row>
    <row r="4641" spans="17:23" x14ac:dyDescent="0.2">
      <c r="Q4641">
        <f t="shared" si="527"/>
        <v>4625</v>
      </c>
      <c r="R4641" s="48">
        <f t="shared" ca="1" si="528"/>
        <v>0.217</v>
      </c>
      <c r="S4641">
        <f t="shared" ca="1" si="529"/>
        <v>169.79120024187554</v>
      </c>
      <c r="T4641" s="61">
        <f t="shared" ca="1" si="523"/>
        <v>10416</v>
      </c>
      <c r="U4641" s="61">
        <f t="shared" ca="1" si="524"/>
        <v>-2242.7921684891589</v>
      </c>
      <c r="V4641" s="39">
        <f t="shared" ca="1" si="525"/>
        <v>-1.4755211634797098E-2</v>
      </c>
      <c r="W4641" s="48">
        <f t="shared" ca="1" si="526"/>
        <v>-0.11358753824237078</v>
      </c>
    </row>
    <row r="4642" spans="17:23" x14ac:dyDescent="0.2">
      <c r="Q4642">
        <f t="shared" si="527"/>
        <v>4626</v>
      </c>
      <c r="R4642" s="48">
        <f t="shared" ca="1" si="528"/>
        <v>0.35</v>
      </c>
      <c r="S4642">
        <f t="shared" ca="1" si="529"/>
        <v>183.65205337091322</v>
      </c>
      <c r="T4642" s="61">
        <f t="shared" ca="1" si="523"/>
        <v>16800</v>
      </c>
      <c r="U4642" s="61">
        <f t="shared" ca="1" si="524"/>
        <v>13499.067752874875</v>
      </c>
      <c r="V4642" s="39">
        <f t="shared" ca="1" si="525"/>
        <v>8.8809656268913656E-2</v>
      </c>
      <c r="W4642" s="48">
        <f t="shared" ca="1" si="526"/>
        <v>0.99398315125794667</v>
      </c>
    </row>
    <row r="4643" spans="17:23" x14ac:dyDescent="0.2">
      <c r="Q4643">
        <f t="shared" si="527"/>
        <v>4627</v>
      </c>
      <c r="R4643" s="48">
        <f t="shared" ca="1" si="528"/>
        <v>0.5</v>
      </c>
      <c r="S4643">
        <f t="shared" ca="1" si="529"/>
        <v>187.71442839359455</v>
      </c>
      <c r="T4643" s="61">
        <f t="shared" ca="1" si="523"/>
        <v>24000</v>
      </c>
      <c r="U4643" s="61">
        <f t="shared" ca="1" si="524"/>
        <v>23085.771357437818</v>
      </c>
      <c r="V4643" s="39">
        <f t="shared" ca="1" si="525"/>
        <v>0.15188007471998563</v>
      </c>
      <c r="W4643" s="48">
        <f t="shared" ca="1" si="526"/>
        <v>2.1483365894185131</v>
      </c>
    </row>
    <row r="4644" spans="17:23" x14ac:dyDescent="0.2">
      <c r="Q4644">
        <f t="shared" si="527"/>
        <v>4628</v>
      </c>
      <c r="R4644" s="48">
        <f t="shared" ca="1" si="528"/>
        <v>0.35</v>
      </c>
      <c r="S4644">
        <f t="shared" ca="1" si="529"/>
        <v>170.28354975677735</v>
      </c>
      <c r="T4644" s="61">
        <f t="shared" ca="1" si="523"/>
        <v>16800</v>
      </c>
      <c r="U4644" s="61">
        <f t="shared" ca="1" si="524"/>
        <v>6547.4458735242206</v>
      </c>
      <c r="V4644" s="39">
        <f t="shared" ca="1" si="525"/>
        <v>4.3075301799501454E-2</v>
      </c>
      <c r="W4644" s="48">
        <f t="shared" ca="1" si="526"/>
        <v>0.40786292120944334</v>
      </c>
    </row>
    <row r="4645" spans="17:23" x14ac:dyDescent="0.2">
      <c r="Q4645">
        <f t="shared" si="527"/>
        <v>4629</v>
      </c>
      <c r="R4645" s="48">
        <f t="shared" ca="1" si="528"/>
        <v>0.35</v>
      </c>
      <c r="S4645">
        <f t="shared" ca="1" si="529"/>
        <v>222.90746059491102</v>
      </c>
      <c r="T4645" s="61">
        <f t="shared" ca="1" si="523"/>
        <v>16800</v>
      </c>
      <c r="U4645" s="61">
        <f t="shared" ca="1" si="524"/>
        <v>33911.879509353726</v>
      </c>
      <c r="V4645" s="39">
        <f t="shared" ca="1" si="525"/>
        <v>0.22310447045627452</v>
      </c>
      <c r="W4645" s="48">
        <f t="shared" ca="1" si="526"/>
        <v>4.1218469969741358</v>
      </c>
    </row>
    <row r="4646" spans="17:23" x14ac:dyDescent="0.2">
      <c r="Q4646">
        <f t="shared" si="527"/>
        <v>4630</v>
      </c>
      <c r="R4646" s="48">
        <f t="shared" ca="1" si="528"/>
        <v>0.45</v>
      </c>
      <c r="S4646">
        <f t="shared" ca="1" si="529"/>
        <v>198.8749175722441</v>
      </c>
      <c r="T4646" s="61">
        <f t="shared" ca="1" si="523"/>
        <v>21600</v>
      </c>
      <c r="U4646" s="61">
        <f t="shared" ca="1" si="524"/>
        <v>25504.963731787404</v>
      </c>
      <c r="V4646" s="39">
        <f t="shared" ca="1" si="525"/>
        <v>0.16779581402491714</v>
      </c>
      <c r="W4646" s="48">
        <f t="shared" ca="1" si="526"/>
        <v>2.5190102041529423</v>
      </c>
    </row>
    <row r="4647" spans="17:23" x14ac:dyDescent="0.2">
      <c r="Q4647">
        <f t="shared" si="527"/>
        <v>4631</v>
      </c>
      <c r="R4647" s="48">
        <f t="shared" ca="1" si="528"/>
        <v>0.4</v>
      </c>
      <c r="S4647">
        <f t="shared" ca="1" si="529"/>
        <v>218.25744529429016</v>
      </c>
      <c r="T4647" s="61">
        <f t="shared" ca="1" si="523"/>
        <v>19200</v>
      </c>
      <c r="U4647" s="61">
        <f t="shared" ca="1" si="524"/>
        <v>32763.573741259279</v>
      </c>
      <c r="V4647" s="39">
        <f t="shared" ca="1" si="525"/>
        <v>0.21554982724512683</v>
      </c>
      <c r="W4647" s="48">
        <f t="shared" ca="1" si="526"/>
        <v>3.8708115110920449</v>
      </c>
    </row>
    <row r="4648" spans="17:23" x14ac:dyDescent="0.2">
      <c r="Q4648">
        <f t="shared" si="527"/>
        <v>4632</v>
      </c>
      <c r="R4648" s="48">
        <f t="shared" ca="1" si="528"/>
        <v>0.3</v>
      </c>
      <c r="S4648">
        <f t="shared" ca="1" si="529"/>
        <v>210.73645534811726</v>
      </c>
      <c r="T4648" s="61">
        <f t="shared" ca="1" si="523"/>
        <v>14400</v>
      </c>
      <c r="U4648" s="61">
        <f t="shared" ca="1" si="524"/>
        <v>26012.414994945666</v>
      </c>
      <c r="V4648" s="39">
        <f t="shared" ca="1" si="525"/>
        <v>0.17113430917727412</v>
      </c>
      <c r="W4648" s="48">
        <f t="shared" ca="1" si="526"/>
        <v>2.6014434515867024</v>
      </c>
    </row>
    <row r="4649" spans="17:23" x14ac:dyDescent="0.2">
      <c r="Q4649">
        <f t="shared" si="527"/>
        <v>4633</v>
      </c>
      <c r="R4649" s="48">
        <f t="shared" ca="1" si="528"/>
        <v>0.217</v>
      </c>
      <c r="S4649">
        <f t="shared" ca="1" si="529"/>
        <v>154.18881592115349</v>
      </c>
      <c r="T4649" s="61">
        <f t="shared" ca="1" si="523"/>
        <v>10416</v>
      </c>
      <c r="U4649" s="61">
        <f t="shared" ca="1" si="524"/>
        <v>-12016.125706989453</v>
      </c>
      <c r="V4649" s="39">
        <f t="shared" ca="1" si="525"/>
        <v>-7.9053458598614817E-2</v>
      </c>
      <c r="W4649" s="48">
        <f t="shared" ca="1" si="526"/>
        <v>-0.48725502046354752</v>
      </c>
    </row>
    <row r="4650" spans="17:23" x14ac:dyDescent="0.2">
      <c r="Q4650">
        <f t="shared" si="527"/>
        <v>4634</v>
      </c>
      <c r="R4650" s="48">
        <f t="shared" ca="1" si="528"/>
        <v>0.5</v>
      </c>
      <c r="S4650">
        <f t="shared" ca="1" si="529"/>
        <v>214.40589839263208</v>
      </c>
      <c r="T4650" s="61">
        <f t="shared" ca="1" si="523"/>
        <v>24000</v>
      </c>
      <c r="U4650" s="61">
        <f t="shared" ca="1" si="524"/>
        <v>33762.359357052832</v>
      </c>
      <c r="V4650" s="39">
        <f t="shared" ca="1" si="525"/>
        <v>0.22212078524376863</v>
      </c>
      <c r="W4650" s="48">
        <f t="shared" ca="1" si="526"/>
        <v>4.0885306093341152</v>
      </c>
    </row>
    <row r="4651" spans="17:23" x14ac:dyDescent="0.2">
      <c r="Q4651">
        <f t="shared" si="527"/>
        <v>4635</v>
      </c>
      <c r="R4651" s="48">
        <f t="shared" ca="1" si="528"/>
        <v>0.4</v>
      </c>
      <c r="S4651">
        <f t="shared" ca="1" si="529"/>
        <v>208.75295001087136</v>
      </c>
      <c r="T4651" s="61">
        <f t="shared" ca="1" si="523"/>
        <v>19200</v>
      </c>
      <c r="U4651" s="61">
        <f t="shared" ca="1" si="524"/>
        <v>28201.416005218252</v>
      </c>
      <c r="V4651" s="39">
        <f t="shared" ca="1" si="525"/>
        <v>0.18553563161327796</v>
      </c>
      <c r="W4651" s="48">
        <f t="shared" ca="1" si="526"/>
        <v>2.97676223070569</v>
      </c>
    </row>
    <row r="4652" spans="17:23" x14ac:dyDescent="0.2">
      <c r="Q4652">
        <f t="shared" si="527"/>
        <v>4636</v>
      </c>
      <c r="R4652" s="48">
        <f t="shared" ca="1" si="528"/>
        <v>0.35</v>
      </c>
      <c r="S4652">
        <f t="shared" ca="1" si="529"/>
        <v>201.43469822754713</v>
      </c>
      <c r="T4652" s="61">
        <f t="shared" ca="1" si="523"/>
        <v>16800</v>
      </c>
      <c r="U4652" s="61">
        <f t="shared" ca="1" si="524"/>
        <v>22746.04307832451</v>
      </c>
      <c r="V4652" s="39">
        <f t="shared" ca="1" si="525"/>
        <v>0.14964502025213494</v>
      </c>
      <c r="W4652" s="48">
        <f t="shared" ca="1" si="526"/>
        <v>2.0991272367343461</v>
      </c>
    </row>
    <row r="4653" spans="17:23" x14ac:dyDescent="0.2">
      <c r="Q4653">
        <f t="shared" si="527"/>
        <v>4637</v>
      </c>
      <c r="R4653" s="48">
        <f t="shared" ca="1" si="528"/>
        <v>0.45</v>
      </c>
      <c r="S4653">
        <f t="shared" ca="1" si="529"/>
        <v>188.67102088423906</v>
      </c>
      <c r="T4653" s="61">
        <f t="shared" ca="1" si="523"/>
        <v>21600</v>
      </c>
      <c r="U4653" s="61">
        <f t="shared" ca="1" si="524"/>
        <v>21015.249189065184</v>
      </c>
      <c r="V4653" s="39">
        <f t="shared" ca="1" si="525"/>
        <v>0.13825821834911306</v>
      </c>
      <c r="W4653" s="48">
        <f t="shared" ca="1" si="526"/>
        <v>1.8587444491712901</v>
      </c>
    </row>
    <row r="4654" spans="17:23" x14ac:dyDescent="0.2">
      <c r="Q4654">
        <f t="shared" si="527"/>
        <v>4638</v>
      </c>
      <c r="R4654" s="48">
        <f t="shared" ca="1" si="528"/>
        <v>0.3</v>
      </c>
      <c r="S4654">
        <f t="shared" ca="1" si="529"/>
        <v>174.45655488280443</v>
      </c>
      <c r="T4654" s="61">
        <f t="shared" ca="1" si="523"/>
        <v>14400</v>
      </c>
      <c r="U4654" s="61">
        <f t="shared" ca="1" si="524"/>
        <v>5695.6707343704784</v>
      </c>
      <c r="V4654" s="39">
        <f t="shared" ca="1" si="525"/>
        <v>3.747151798927946E-2</v>
      </c>
      <c r="W4654" s="48">
        <f t="shared" ca="1" si="526"/>
        <v>0.34767320392632417</v>
      </c>
    </row>
    <row r="4655" spans="17:23" x14ac:dyDescent="0.2">
      <c r="Q4655">
        <f t="shared" si="527"/>
        <v>4639</v>
      </c>
      <c r="R4655" s="48">
        <f t="shared" ca="1" si="528"/>
        <v>0.15</v>
      </c>
      <c r="S4655">
        <f t="shared" ca="1" si="529"/>
        <v>201.12591958640425</v>
      </c>
      <c r="T4655" s="61">
        <f t="shared" ca="1" si="523"/>
        <v>7200</v>
      </c>
      <c r="U4655" s="61">
        <f t="shared" ca="1" si="524"/>
        <v>14765.62531875489</v>
      </c>
      <c r="V4655" s="39">
        <f t="shared" ca="1" si="525"/>
        <v>9.7142271833913746E-2</v>
      </c>
      <c r="W4655" s="48">
        <f t="shared" ca="1" si="526"/>
        <v>1.1211786515703737</v>
      </c>
    </row>
    <row r="4656" spans="17:23" x14ac:dyDescent="0.2">
      <c r="Q4656">
        <f t="shared" si="527"/>
        <v>4640</v>
      </c>
      <c r="R4656" s="48">
        <f t="shared" ca="1" si="528"/>
        <v>0.3</v>
      </c>
      <c r="S4656">
        <f t="shared" ca="1" si="529"/>
        <v>196.53610818926236</v>
      </c>
      <c r="T4656" s="61">
        <f t="shared" ca="1" si="523"/>
        <v>14400</v>
      </c>
      <c r="U4656" s="61">
        <f t="shared" ca="1" si="524"/>
        <v>18060.220585986925</v>
      </c>
      <c r="V4656" s="39">
        <f t="shared" ca="1" si="525"/>
        <v>0.1188172406972824</v>
      </c>
      <c r="W4656" s="48">
        <f t="shared" ca="1" si="526"/>
        <v>1.4859413846975538</v>
      </c>
    </row>
    <row r="4657" spans="17:23" x14ac:dyDescent="0.2">
      <c r="Q4657">
        <f t="shared" si="527"/>
        <v>4641</v>
      </c>
      <c r="R4657" s="48">
        <f t="shared" ca="1" si="528"/>
        <v>0.217</v>
      </c>
      <c r="S4657">
        <f t="shared" ca="1" si="529"/>
        <v>211.12272537598724</v>
      </c>
      <c r="T4657" s="61">
        <f t="shared" ca="1" si="523"/>
        <v>10416</v>
      </c>
      <c r="U4657" s="61">
        <f t="shared" ca="1" si="524"/>
        <v>23647.275175518407</v>
      </c>
      <c r="V4657" s="39">
        <f t="shared" ca="1" si="525"/>
        <v>0.15557417878630531</v>
      </c>
      <c r="W4657" s="48">
        <f t="shared" ca="1" si="526"/>
        <v>2.231172683233221</v>
      </c>
    </row>
    <row r="4658" spans="17:23" x14ac:dyDescent="0.2">
      <c r="Q4658">
        <f t="shared" si="527"/>
        <v>4642</v>
      </c>
      <c r="R4658" s="48">
        <f t="shared" ca="1" si="528"/>
        <v>0.3</v>
      </c>
      <c r="S4658">
        <f t="shared" ca="1" si="529"/>
        <v>205.19756021983687</v>
      </c>
      <c r="T4658" s="61">
        <f t="shared" ca="1" si="523"/>
        <v>14400</v>
      </c>
      <c r="U4658" s="61">
        <f t="shared" ca="1" si="524"/>
        <v>22910.633723108651</v>
      </c>
      <c r="V4658" s="39">
        <f t="shared" ca="1" si="525"/>
        <v>0.15072785344150427</v>
      </c>
      <c r="W4658" s="48">
        <f t="shared" ca="1" si="526"/>
        <v>2.1228831826258294</v>
      </c>
    </row>
    <row r="4659" spans="17:23" x14ac:dyDescent="0.2">
      <c r="Q4659">
        <f t="shared" si="527"/>
        <v>4643</v>
      </c>
      <c r="R4659" s="48">
        <f t="shared" ca="1" si="528"/>
        <v>0.3</v>
      </c>
      <c r="S4659">
        <f t="shared" ca="1" si="529"/>
        <v>162.74430930552361</v>
      </c>
      <c r="T4659" s="61">
        <f t="shared" ca="1" si="523"/>
        <v>14400</v>
      </c>
      <c r="U4659" s="61">
        <f t="shared" ca="1" si="524"/>
        <v>-863.1867889067762</v>
      </c>
      <c r="V4659" s="39">
        <f t="shared" ca="1" si="525"/>
        <v>-5.6788604533340543E-3</v>
      </c>
      <c r="W4659" s="48">
        <f t="shared" ca="1" si="526"/>
        <v>-4.514249098874501E-2</v>
      </c>
    </row>
    <row r="4660" spans="17:23" x14ac:dyDescent="0.2">
      <c r="Q4660">
        <f t="shared" si="527"/>
        <v>4644</v>
      </c>
      <c r="R4660" s="48">
        <f t="shared" ca="1" si="528"/>
        <v>0.35</v>
      </c>
      <c r="S4660">
        <f t="shared" ca="1" si="529"/>
        <v>200.69582497272492</v>
      </c>
      <c r="T4660" s="61">
        <f t="shared" ca="1" si="523"/>
        <v>16800</v>
      </c>
      <c r="U4660" s="61">
        <f t="shared" ca="1" si="524"/>
        <v>22361.828985816959</v>
      </c>
      <c r="V4660" s="39">
        <f t="shared" ca="1" si="525"/>
        <v>0.1471172959593221</v>
      </c>
      <c r="W4660" s="48">
        <f t="shared" ca="1" si="526"/>
        <v>2.0442878613721045</v>
      </c>
    </row>
    <row r="4661" spans="17:23" x14ac:dyDescent="0.2">
      <c r="Q4661">
        <f t="shared" si="527"/>
        <v>4645</v>
      </c>
      <c r="R4661" s="48">
        <f t="shared" ca="1" si="528"/>
        <v>0.4</v>
      </c>
      <c r="S4661">
        <f t="shared" ca="1" si="529"/>
        <v>150.71507051220919</v>
      </c>
      <c r="T4661" s="61">
        <f t="shared" ca="1" si="523"/>
        <v>19200</v>
      </c>
      <c r="U4661" s="61">
        <f t="shared" ca="1" si="524"/>
        <v>343.23384586041357</v>
      </c>
      <c r="V4661" s="39">
        <f t="shared" ca="1" si="525"/>
        <v>2.2581174069764049E-3</v>
      </c>
      <c r="W4661" s="48">
        <f t="shared" ca="1" si="526"/>
        <v>1.846357494001416E-2</v>
      </c>
    </row>
    <row r="4662" spans="17:23" x14ac:dyDescent="0.2">
      <c r="Q4662">
        <f t="shared" si="527"/>
        <v>4646</v>
      </c>
      <c r="R4662" s="48">
        <f t="shared" ca="1" si="528"/>
        <v>0.3</v>
      </c>
      <c r="S4662">
        <f t="shared" ca="1" si="529"/>
        <v>181.10117526777265</v>
      </c>
      <c r="T4662" s="61">
        <f t="shared" ca="1" si="523"/>
        <v>14400</v>
      </c>
      <c r="U4662" s="61">
        <f t="shared" ca="1" si="524"/>
        <v>9416.6581499526819</v>
      </c>
      <c r="V4662" s="39">
        <f t="shared" ca="1" si="525"/>
        <v>6.1951698354951852E-2</v>
      </c>
      <c r="W4662" s="48">
        <f t="shared" ca="1" si="526"/>
        <v>0.62831581062885089</v>
      </c>
    </row>
    <row r="4663" spans="17:23" x14ac:dyDescent="0.2">
      <c r="Q4663">
        <f t="shared" si="527"/>
        <v>4647</v>
      </c>
      <c r="R4663" s="48">
        <f t="shared" ca="1" si="528"/>
        <v>0.5</v>
      </c>
      <c r="S4663">
        <f t="shared" ca="1" si="529"/>
        <v>193.56843210104077</v>
      </c>
      <c r="T4663" s="61">
        <f t="shared" ca="1" si="523"/>
        <v>24000</v>
      </c>
      <c r="U4663" s="61">
        <f t="shared" ca="1" si="524"/>
        <v>25427.372840416308</v>
      </c>
      <c r="V4663" s="39">
        <f t="shared" ca="1" si="525"/>
        <v>0.16728534763431782</v>
      </c>
      <c r="W4663" s="48">
        <f t="shared" ca="1" si="526"/>
        <v>2.5065528385444633</v>
      </c>
    </row>
    <row r="4664" spans="17:23" x14ac:dyDescent="0.2">
      <c r="Q4664">
        <f t="shared" si="527"/>
        <v>4648</v>
      </c>
      <c r="R4664" s="48">
        <f t="shared" ca="1" si="528"/>
        <v>0.5</v>
      </c>
      <c r="S4664">
        <f t="shared" ca="1" si="529"/>
        <v>189.22054160304694</v>
      </c>
      <c r="T4664" s="61">
        <f t="shared" ca="1" si="523"/>
        <v>24000</v>
      </c>
      <c r="U4664" s="61">
        <f t="shared" ca="1" si="524"/>
        <v>23688.216641218776</v>
      </c>
      <c r="V4664" s="39">
        <f t="shared" ca="1" si="525"/>
        <v>0.15584353053433406</v>
      </c>
      <c r="W4664" s="48">
        <f t="shared" ca="1" si="526"/>
        <v>2.2372866410334167</v>
      </c>
    </row>
    <row r="4665" spans="17:23" x14ac:dyDescent="0.2">
      <c r="Q4665">
        <f t="shared" si="527"/>
        <v>4649</v>
      </c>
      <c r="R4665" s="48">
        <f t="shared" ca="1" si="528"/>
        <v>0.217</v>
      </c>
      <c r="S4665">
        <f t="shared" ca="1" si="529"/>
        <v>191.57617730066266</v>
      </c>
      <c r="T4665" s="61">
        <f t="shared" ref="T4665:T4728" ca="1" si="530">($B$8-$B$7)*($E$6*R4665)</f>
        <v>10416</v>
      </c>
      <c r="U4665" s="61">
        <f t="shared" ref="U4665:U4728" ca="1" si="531">T4665+((S4665-$B$7)*($E$6*(1-R4665)))</f>
        <v>11403.317461135093</v>
      </c>
      <c r="V4665" s="39">
        <f t="shared" ref="V4665:V4728" ca="1" si="532">U4665/$E$4</f>
        <v>7.5021825402204562E-2</v>
      </c>
      <c r="W4665" s="48">
        <f t="shared" ref="W4665:W4728" ca="1" si="533">(1+V4665)^($J$29/$J$30)-1</f>
        <v>0.798163016647224</v>
      </c>
    </row>
    <row r="4666" spans="17:23" x14ac:dyDescent="0.2">
      <c r="Q4666">
        <f t="shared" si="527"/>
        <v>4650</v>
      </c>
      <c r="R4666" s="48">
        <f t="shared" ca="1" si="528"/>
        <v>0.45</v>
      </c>
      <c r="S4666">
        <f t="shared" ca="1" si="529"/>
        <v>161.119204990931</v>
      </c>
      <c r="T4666" s="61">
        <f t="shared" ca="1" si="530"/>
        <v>21600</v>
      </c>
      <c r="U4666" s="61">
        <f t="shared" ca="1" si="531"/>
        <v>8892.4501960096368</v>
      </c>
      <c r="V4666" s="39">
        <f t="shared" ca="1" si="532"/>
        <v>5.8502961815852871E-2</v>
      </c>
      <c r="W4666" s="48">
        <f t="shared" ca="1" si="533"/>
        <v>0.58591601475418975</v>
      </c>
    </row>
    <row r="4667" spans="17:23" x14ac:dyDescent="0.2">
      <c r="Q4667">
        <f t="shared" si="527"/>
        <v>4651</v>
      </c>
      <c r="R4667" s="48">
        <f t="shared" ca="1" si="528"/>
        <v>0.35</v>
      </c>
      <c r="S4667">
        <f t="shared" ca="1" si="529"/>
        <v>193.44872134922539</v>
      </c>
      <c r="T4667" s="61">
        <f t="shared" ca="1" si="530"/>
        <v>16800</v>
      </c>
      <c r="U4667" s="61">
        <f t="shared" ca="1" si="531"/>
        <v>18593.335101597204</v>
      </c>
      <c r="V4667" s="39">
        <f t="shared" ca="1" si="532"/>
        <v>0.12232457303682372</v>
      </c>
      <c r="W4667" s="48">
        <f t="shared" ca="1" si="533"/>
        <v>1.5498609236754892</v>
      </c>
    </row>
    <row r="4668" spans="17:23" x14ac:dyDescent="0.2">
      <c r="Q4668">
        <f t="shared" si="527"/>
        <v>4652</v>
      </c>
      <c r="R4668" s="48">
        <f t="shared" ca="1" si="528"/>
        <v>0.3</v>
      </c>
      <c r="S4668">
        <f t="shared" ca="1" si="529"/>
        <v>216.32974627949505</v>
      </c>
      <c r="T4668" s="61">
        <f t="shared" ca="1" si="530"/>
        <v>14400</v>
      </c>
      <c r="U4668" s="61">
        <f t="shared" ca="1" si="531"/>
        <v>29144.65791651723</v>
      </c>
      <c r="V4668" s="39">
        <f t="shared" ca="1" si="532"/>
        <v>0.19174117050340284</v>
      </c>
      <c r="W4668" s="48">
        <f t="shared" ca="1" si="533"/>
        <v>3.1487780723842249</v>
      </c>
    </row>
    <row r="4669" spans="17:23" x14ac:dyDescent="0.2">
      <c r="Q4669">
        <f t="shared" si="527"/>
        <v>4653</v>
      </c>
      <c r="R4669" s="48">
        <f t="shared" ca="1" si="528"/>
        <v>0.35</v>
      </c>
      <c r="S4669">
        <f t="shared" ca="1" si="529"/>
        <v>169.19834558681492</v>
      </c>
      <c r="T4669" s="61">
        <f t="shared" ca="1" si="530"/>
        <v>16800</v>
      </c>
      <c r="U4669" s="61">
        <f t="shared" ca="1" si="531"/>
        <v>5983.1397051437598</v>
      </c>
      <c r="V4669" s="39">
        <f t="shared" ca="1" si="532"/>
        <v>3.9362761218051052E-2</v>
      </c>
      <c r="W4669" s="48">
        <f t="shared" ca="1" si="533"/>
        <v>0.36772957581622556</v>
      </c>
    </row>
    <row r="4670" spans="17:23" x14ac:dyDescent="0.2">
      <c r="Q4670">
        <f t="shared" si="527"/>
        <v>4654</v>
      </c>
      <c r="R4670" s="48">
        <f t="shared" ca="1" si="528"/>
        <v>0.3</v>
      </c>
      <c r="S4670">
        <f t="shared" ca="1" si="529"/>
        <v>143.18965507133134</v>
      </c>
      <c r="T4670" s="61">
        <f t="shared" ca="1" si="530"/>
        <v>14400</v>
      </c>
      <c r="U4670" s="61">
        <f t="shared" ca="1" si="531"/>
        <v>-11813.793160054447</v>
      </c>
      <c r="V4670" s="39">
        <f t="shared" ca="1" si="532"/>
        <v>-7.7722323421410833E-2</v>
      </c>
      <c r="W4670" s="48">
        <f t="shared" ca="1" si="533"/>
        <v>-0.48121272072171006</v>
      </c>
    </row>
    <row r="4671" spans="17:23" x14ac:dyDescent="0.2">
      <c r="Q4671">
        <f t="shared" si="527"/>
        <v>4655</v>
      </c>
      <c r="R4671" s="48">
        <f t="shared" ca="1" si="528"/>
        <v>0.15</v>
      </c>
      <c r="S4671">
        <f t="shared" ca="1" si="529"/>
        <v>182.98213823622336</v>
      </c>
      <c r="T4671" s="61">
        <f t="shared" ca="1" si="530"/>
        <v>7200</v>
      </c>
      <c r="U4671" s="61">
        <f t="shared" ca="1" si="531"/>
        <v>2427.8540006318872</v>
      </c>
      <c r="V4671" s="39">
        <f t="shared" ca="1" si="532"/>
        <v>1.597272368836768E-2</v>
      </c>
      <c r="W4671" s="48">
        <f t="shared" ca="1" si="533"/>
        <v>0.13715864978677805</v>
      </c>
    </row>
    <row r="4672" spans="17:23" x14ac:dyDescent="0.2">
      <c r="Q4672">
        <f t="shared" si="527"/>
        <v>4656</v>
      </c>
      <c r="R4672" s="48">
        <f t="shared" ca="1" si="528"/>
        <v>0.4</v>
      </c>
      <c r="S4672">
        <f t="shared" ca="1" si="529"/>
        <v>191.32796703220532</v>
      </c>
      <c r="T4672" s="61">
        <f t="shared" ca="1" si="530"/>
        <v>19200</v>
      </c>
      <c r="U4672" s="61">
        <f t="shared" ca="1" si="531"/>
        <v>19837.424175458553</v>
      </c>
      <c r="V4672" s="39">
        <f t="shared" ca="1" si="532"/>
        <v>0.13050936957538523</v>
      </c>
      <c r="W4672" s="48">
        <f t="shared" ca="1" si="533"/>
        <v>1.7046600148810516</v>
      </c>
    </row>
    <row r="4673" spans="17:23" x14ac:dyDescent="0.2">
      <c r="Q4673">
        <f t="shared" si="527"/>
        <v>4657</v>
      </c>
      <c r="R4673" s="48">
        <f t="shared" ca="1" si="528"/>
        <v>0.45</v>
      </c>
      <c r="S4673">
        <f t="shared" ca="1" si="529"/>
        <v>209.29864698099655</v>
      </c>
      <c r="T4673" s="61">
        <f t="shared" ca="1" si="530"/>
        <v>21600</v>
      </c>
      <c r="U4673" s="61">
        <f t="shared" ca="1" si="531"/>
        <v>30091.404671638484</v>
      </c>
      <c r="V4673" s="39">
        <f t="shared" ca="1" si="532"/>
        <v>0.19796976757656898</v>
      </c>
      <c r="W4673" s="48">
        <f t="shared" ca="1" si="533"/>
        <v>3.3279583412884328</v>
      </c>
    </row>
    <row r="4674" spans="17:23" x14ac:dyDescent="0.2">
      <c r="Q4674">
        <f t="shared" si="527"/>
        <v>4658</v>
      </c>
      <c r="R4674" s="48">
        <f t="shared" ca="1" si="528"/>
        <v>0.35</v>
      </c>
      <c r="S4674">
        <f t="shared" ca="1" si="529"/>
        <v>188.37972850628537</v>
      </c>
      <c r="T4674" s="61">
        <f t="shared" ca="1" si="530"/>
        <v>16800</v>
      </c>
      <c r="U4674" s="61">
        <f t="shared" ca="1" si="531"/>
        <v>15957.458823268395</v>
      </c>
      <c r="V4674" s="39">
        <f t="shared" ca="1" si="532"/>
        <v>0.10498328173202891</v>
      </c>
      <c r="W4674" s="48">
        <f t="shared" ca="1" si="533"/>
        <v>1.2473098678944723</v>
      </c>
    </row>
    <row r="4675" spans="17:23" x14ac:dyDescent="0.2">
      <c r="Q4675">
        <f t="shared" si="527"/>
        <v>4659</v>
      </c>
      <c r="R4675" s="48">
        <f t="shared" ca="1" si="528"/>
        <v>0.5</v>
      </c>
      <c r="S4675">
        <f t="shared" ca="1" si="529"/>
        <v>185.61149847182998</v>
      </c>
      <c r="T4675" s="61">
        <f t="shared" ca="1" si="530"/>
        <v>24000</v>
      </c>
      <c r="U4675" s="61">
        <f t="shared" ca="1" si="531"/>
        <v>22244.599388731989</v>
      </c>
      <c r="V4675" s="39">
        <f t="shared" ca="1" si="532"/>
        <v>0.14634604861007888</v>
      </c>
      <c r="W4675" s="48">
        <f t="shared" ca="1" si="533"/>
        <v>2.0277258182017612</v>
      </c>
    </row>
    <row r="4676" spans="17:23" x14ac:dyDescent="0.2">
      <c r="Q4676">
        <f t="shared" si="527"/>
        <v>4660</v>
      </c>
      <c r="R4676" s="48">
        <f t="shared" ca="1" si="528"/>
        <v>0.45</v>
      </c>
      <c r="S4676">
        <f t="shared" ca="1" si="529"/>
        <v>181.43061722330208</v>
      </c>
      <c r="T4676" s="61">
        <f t="shared" ca="1" si="530"/>
        <v>21600</v>
      </c>
      <c r="U4676" s="61">
        <f t="shared" ca="1" si="531"/>
        <v>17829.471578252913</v>
      </c>
      <c r="V4676" s="39">
        <f t="shared" ca="1" si="532"/>
        <v>0.11729915512008496</v>
      </c>
      <c r="W4676" s="48">
        <f t="shared" ca="1" si="533"/>
        <v>1.4587135025976887</v>
      </c>
    </row>
    <row r="4677" spans="17:23" x14ac:dyDescent="0.2">
      <c r="Q4677">
        <f t="shared" si="527"/>
        <v>4661</v>
      </c>
      <c r="R4677" s="48">
        <f t="shared" ca="1" si="528"/>
        <v>0.217</v>
      </c>
      <c r="S4677">
        <f t="shared" ca="1" si="529"/>
        <v>198.84722953348012</v>
      </c>
      <c r="T4677" s="61">
        <f t="shared" ca="1" si="530"/>
        <v>10416</v>
      </c>
      <c r="U4677" s="61">
        <f t="shared" ca="1" si="531"/>
        <v>15957.904579771945</v>
      </c>
      <c r="V4677" s="39">
        <f t="shared" ca="1" si="532"/>
        <v>0.1049862143406049</v>
      </c>
      <c r="W4677" s="48">
        <f t="shared" ca="1" si="533"/>
        <v>1.2473582456594827</v>
      </c>
    </row>
    <row r="4678" spans="17:23" x14ac:dyDescent="0.2">
      <c r="Q4678">
        <f t="shared" si="527"/>
        <v>4662</v>
      </c>
      <c r="R4678" s="48">
        <f t="shared" ca="1" si="528"/>
        <v>0.3</v>
      </c>
      <c r="S4678">
        <f t="shared" ca="1" si="529"/>
        <v>160.63847095778581</v>
      </c>
      <c r="T4678" s="61">
        <f t="shared" ca="1" si="530"/>
        <v>14400</v>
      </c>
      <c r="U4678" s="61">
        <f t="shared" ca="1" si="531"/>
        <v>-2042.456263639946</v>
      </c>
      <c r="V4678" s="39">
        <f t="shared" ca="1" si="532"/>
        <v>-1.3437212260789118E-2</v>
      </c>
      <c r="W4678" s="48">
        <f t="shared" ca="1" si="533"/>
        <v>-0.10392361091749069</v>
      </c>
    </row>
    <row r="4679" spans="17:23" x14ac:dyDescent="0.2">
      <c r="Q4679">
        <f t="shared" si="527"/>
        <v>4663</v>
      </c>
      <c r="R4679" s="48">
        <f t="shared" ca="1" si="528"/>
        <v>0.3</v>
      </c>
      <c r="S4679">
        <f t="shared" ca="1" si="529"/>
        <v>226.99650808306811</v>
      </c>
      <c r="T4679" s="61">
        <f t="shared" ca="1" si="530"/>
        <v>14400</v>
      </c>
      <c r="U4679" s="61">
        <f t="shared" ca="1" si="531"/>
        <v>35118.044526518141</v>
      </c>
      <c r="V4679" s="39">
        <f t="shared" ca="1" si="532"/>
        <v>0.23103976662182987</v>
      </c>
      <c r="W4679" s="48">
        <f t="shared" ca="1" si="533"/>
        <v>4.3976769645023763</v>
      </c>
    </row>
    <row r="4680" spans="17:23" x14ac:dyDescent="0.2">
      <c r="Q4680">
        <f t="shared" si="527"/>
        <v>4664</v>
      </c>
      <c r="R4680" s="48">
        <f t="shared" ca="1" si="528"/>
        <v>0.45</v>
      </c>
      <c r="S4680">
        <f t="shared" ca="1" si="529"/>
        <v>189.41670616005752</v>
      </c>
      <c r="T4680" s="61">
        <f t="shared" ca="1" si="530"/>
        <v>21600</v>
      </c>
      <c r="U4680" s="61">
        <f t="shared" ca="1" si="531"/>
        <v>21343.350710425308</v>
      </c>
      <c r="V4680" s="39">
        <f t="shared" ca="1" si="532"/>
        <v>0.14041678098964019</v>
      </c>
      <c r="W4680" s="48">
        <f t="shared" ca="1" si="533"/>
        <v>1.9030144247406016</v>
      </c>
    </row>
    <row r="4681" spans="17:23" x14ac:dyDescent="0.2">
      <c r="Q4681">
        <f t="shared" si="527"/>
        <v>4665</v>
      </c>
      <c r="R4681" s="48">
        <f t="shared" ca="1" si="528"/>
        <v>0.3</v>
      </c>
      <c r="S4681">
        <f t="shared" ca="1" si="529"/>
        <v>195.12846107300126</v>
      </c>
      <c r="T4681" s="61">
        <f t="shared" ca="1" si="530"/>
        <v>14400</v>
      </c>
      <c r="U4681" s="61">
        <f t="shared" ca="1" si="531"/>
        <v>17271.938200880708</v>
      </c>
      <c r="V4681" s="39">
        <f t="shared" ca="1" si="532"/>
        <v>0.11363117237421519</v>
      </c>
      <c r="W4681" s="48">
        <f t="shared" ca="1" si="533"/>
        <v>1.3940020557809407</v>
      </c>
    </row>
    <row r="4682" spans="17:23" x14ac:dyDescent="0.2">
      <c r="Q4682">
        <f t="shared" si="527"/>
        <v>4666</v>
      </c>
      <c r="R4682" s="48">
        <f t="shared" ca="1" si="528"/>
        <v>0.217</v>
      </c>
      <c r="S4682">
        <f t="shared" ca="1" si="529"/>
        <v>208.6213532529859</v>
      </c>
      <c r="T4682" s="61">
        <f t="shared" ca="1" si="530"/>
        <v>10416</v>
      </c>
      <c r="U4682" s="61">
        <f t="shared" ca="1" si="531"/>
        <v>22080.415677670368</v>
      </c>
      <c r="V4682" s="39">
        <f t="shared" ca="1" si="532"/>
        <v>0.14526589261625242</v>
      </c>
      <c r="W4682" s="48">
        <f t="shared" ca="1" si="533"/>
        <v>2.0046629671581129</v>
      </c>
    </row>
    <row r="4683" spans="17:23" x14ac:dyDescent="0.2">
      <c r="Q4683">
        <f t="shared" si="527"/>
        <v>4667</v>
      </c>
      <c r="R4683" s="48">
        <f t="shared" ca="1" si="528"/>
        <v>0.4</v>
      </c>
      <c r="S4683">
        <f t="shared" ca="1" si="529"/>
        <v>201.30995909415645</v>
      </c>
      <c r="T4683" s="61">
        <f t="shared" ca="1" si="530"/>
        <v>19200</v>
      </c>
      <c r="U4683" s="61">
        <f t="shared" ca="1" si="531"/>
        <v>24628.780365195096</v>
      </c>
      <c r="V4683" s="39">
        <f t="shared" ca="1" si="532"/>
        <v>0.16203144977102038</v>
      </c>
      <c r="W4683" s="48">
        <f t="shared" ca="1" si="533"/>
        <v>2.3805665404776</v>
      </c>
    </row>
    <row r="4684" spans="17:23" x14ac:dyDescent="0.2">
      <c r="Q4684">
        <f t="shared" si="527"/>
        <v>4668</v>
      </c>
      <c r="R4684" s="48">
        <f t="shared" ca="1" si="528"/>
        <v>0.35</v>
      </c>
      <c r="S4684">
        <f t="shared" ca="1" si="529"/>
        <v>169.81224153682078</v>
      </c>
      <c r="T4684" s="61">
        <f t="shared" ca="1" si="530"/>
        <v>16800</v>
      </c>
      <c r="U4684" s="61">
        <f t="shared" ca="1" si="531"/>
        <v>6302.365599146804</v>
      </c>
      <c r="V4684" s="39">
        <f t="shared" ca="1" si="532"/>
        <v>4.1462931573334236E-2</v>
      </c>
      <c r="W4684" s="48">
        <f t="shared" ca="1" si="533"/>
        <v>0.39030779921145742</v>
      </c>
    </row>
    <row r="4685" spans="17:23" x14ac:dyDescent="0.2">
      <c r="Q4685">
        <f t="shared" si="527"/>
        <v>4669</v>
      </c>
      <c r="R4685" s="48">
        <f t="shared" ca="1" si="528"/>
        <v>0.5</v>
      </c>
      <c r="S4685">
        <f t="shared" ca="1" si="529"/>
        <v>194.72467983887955</v>
      </c>
      <c r="T4685" s="61">
        <f t="shared" ca="1" si="530"/>
        <v>24000</v>
      </c>
      <c r="U4685" s="61">
        <f t="shared" ca="1" si="531"/>
        <v>25889.871935551822</v>
      </c>
      <c r="V4685" s="39">
        <f t="shared" ca="1" si="532"/>
        <v>0.17032810483915672</v>
      </c>
      <c r="W4685" s="48">
        <f t="shared" ca="1" si="533"/>
        <v>2.5813833755548217</v>
      </c>
    </row>
    <row r="4686" spans="17:23" x14ac:dyDescent="0.2">
      <c r="Q4686">
        <f t="shared" si="527"/>
        <v>4670</v>
      </c>
      <c r="R4686" s="48">
        <f t="shared" ca="1" si="528"/>
        <v>0.217</v>
      </c>
      <c r="S4686">
        <f t="shared" ca="1" si="529"/>
        <v>196.94573091924624</v>
      </c>
      <c r="T4686" s="61">
        <f t="shared" ca="1" si="530"/>
        <v>10416</v>
      </c>
      <c r="U4686" s="61">
        <f t="shared" ca="1" si="531"/>
        <v>14766.805847815847</v>
      </c>
      <c r="V4686" s="39">
        <f t="shared" ca="1" si="532"/>
        <v>9.715003847247268E-2</v>
      </c>
      <c r="W4686" s="48">
        <f t="shared" ca="1" si="533"/>
        <v>1.1213004491549121</v>
      </c>
    </row>
    <row r="4687" spans="17:23" x14ac:dyDescent="0.2">
      <c r="Q4687">
        <f t="shared" si="527"/>
        <v>4671</v>
      </c>
      <c r="R4687" s="48">
        <f t="shared" ca="1" si="528"/>
        <v>0.45</v>
      </c>
      <c r="S4687">
        <f t="shared" ca="1" si="529"/>
        <v>169.51720185990351</v>
      </c>
      <c r="T4687" s="61">
        <f t="shared" ca="1" si="530"/>
        <v>21600</v>
      </c>
      <c r="U4687" s="61">
        <f t="shared" ca="1" si="531"/>
        <v>12587.568818357542</v>
      </c>
      <c r="V4687" s="39">
        <f t="shared" ca="1" si="532"/>
        <v>8.2812952752352245E-2</v>
      </c>
      <c r="W4687" s="48">
        <f t="shared" ca="1" si="533"/>
        <v>0.90663169866569215</v>
      </c>
    </row>
    <row r="4688" spans="17:23" x14ac:dyDescent="0.2">
      <c r="Q4688">
        <f t="shared" si="527"/>
        <v>4672</v>
      </c>
      <c r="R4688" s="48">
        <f t="shared" ca="1" si="528"/>
        <v>0.4</v>
      </c>
      <c r="S4688">
        <f t="shared" ca="1" si="529"/>
        <v>190.01111430361459</v>
      </c>
      <c r="T4688" s="61">
        <f t="shared" ca="1" si="530"/>
        <v>19200</v>
      </c>
      <c r="U4688" s="61">
        <f t="shared" ca="1" si="531"/>
        <v>19205.334865735003</v>
      </c>
      <c r="V4688" s="39">
        <f t="shared" ca="1" si="532"/>
        <v>0.12635088727457239</v>
      </c>
      <c r="W4688" s="48">
        <f t="shared" ca="1" si="533"/>
        <v>1.6250112367058267</v>
      </c>
    </row>
    <row r="4689" spans="17:23" x14ac:dyDescent="0.2">
      <c r="Q4689">
        <f t="shared" si="527"/>
        <v>4673</v>
      </c>
      <c r="R4689" s="48">
        <f t="shared" ca="1" si="528"/>
        <v>0.45</v>
      </c>
      <c r="S4689">
        <f t="shared" ca="1" si="529"/>
        <v>192.56335258857828</v>
      </c>
      <c r="T4689" s="61">
        <f t="shared" ca="1" si="530"/>
        <v>21600</v>
      </c>
      <c r="U4689" s="61">
        <f t="shared" ca="1" si="531"/>
        <v>22727.875138974443</v>
      </c>
      <c r="V4689" s="39">
        <f t="shared" ca="1" si="532"/>
        <v>0.14952549433535817</v>
      </c>
      <c r="W4689" s="48">
        <f t="shared" ca="1" si="533"/>
        <v>2.096514729267934</v>
      </c>
    </row>
    <row r="4690" spans="17:23" x14ac:dyDescent="0.2">
      <c r="Q4690">
        <f t="shared" si="527"/>
        <v>4674</v>
      </c>
      <c r="R4690" s="48">
        <f t="shared" ca="1" si="528"/>
        <v>0.35</v>
      </c>
      <c r="S4690">
        <f t="shared" ca="1" si="529"/>
        <v>179.0878526709279</v>
      </c>
      <c r="T4690" s="61">
        <f t="shared" ca="1" si="530"/>
        <v>16800</v>
      </c>
      <c r="U4690" s="61">
        <f t="shared" ca="1" si="531"/>
        <v>11125.683388882509</v>
      </c>
      <c r="V4690" s="39">
        <f t="shared" ca="1" si="532"/>
        <v>7.31952854531744E-2</v>
      </c>
      <c r="W4690" s="48">
        <f t="shared" ca="1" si="533"/>
        <v>0.77353106473767563</v>
      </c>
    </row>
    <row r="4691" spans="17:23" x14ac:dyDescent="0.2">
      <c r="Q4691">
        <f t="shared" ref="Q4691:Q4754" si="534">Q4690+1</f>
        <v>4675</v>
      </c>
      <c r="R4691" s="48">
        <f t="shared" ref="R4691:R4754" ca="1" si="535">LOOKUP(RAND(),$U$6:$U$12,$S$6:$S$12)</f>
        <v>0.35</v>
      </c>
      <c r="S4691">
        <f t="shared" ref="S4691:S4754" ca="1" si="536">_xlfn.NORM.INV(RAND(),$Q$5,$Q$10)</f>
        <v>152.95384260476095</v>
      </c>
      <c r="T4691" s="61">
        <f t="shared" ca="1" si="530"/>
        <v>16800</v>
      </c>
      <c r="U4691" s="61">
        <f t="shared" ca="1" si="531"/>
        <v>-2464.0018455243044</v>
      </c>
      <c r="V4691" s="39">
        <f t="shared" ca="1" si="532"/>
        <v>-1.6210538457396739E-2</v>
      </c>
      <c r="W4691" s="48">
        <f t="shared" ca="1" si="533"/>
        <v>-0.12415212604006809</v>
      </c>
    </row>
    <row r="4692" spans="17:23" x14ac:dyDescent="0.2">
      <c r="Q4692">
        <f t="shared" si="534"/>
        <v>4676</v>
      </c>
      <c r="R4692" s="48">
        <f t="shared" ca="1" si="535"/>
        <v>0.3</v>
      </c>
      <c r="S4692">
        <f t="shared" ca="1" si="536"/>
        <v>182.00998471177456</v>
      </c>
      <c r="T4692" s="61">
        <f t="shared" ca="1" si="530"/>
        <v>14400</v>
      </c>
      <c r="U4692" s="61">
        <f t="shared" ca="1" si="531"/>
        <v>9925.5914385937558</v>
      </c>
      <c r="V4692" s="39">
        <f t="shared" ca="1" si="532"/>
        <v>6.5299943674958921E-2</v>
      </c>
      <c r="W4692" s="48">
        <f t="shared" ca="1" si="533"/>
        <v>0.67042763519815241</v>
      </c>
    </row>
    <row r="4693" spans="17:23" x14ac:dyDescent="0.2">
      <c r="Q4693">
        <f t="shared" si="534"/>
        <v>4677</v>
      </c>
      <c r="R4693" s="48">
        <f t="shared" ca="1" si="535"/>
        <v>0.4</v>
      </c>
      <c r="S4693">
        <f t="shared" ca="1" si="536"/>
        <v>184.71255657077023</v>
      </c>
      <c r="T4693" s="61">
        <f t="shared" ca="1" si="530"/>
        <v>19200</v>
      </c>
      <c r="U4693" s="61">
        <f t="shared" ca="1" si="531"/>
        <v>16662.027153969713</v>
      </c>
      <c r="V4693" s="39">
        <f t="shared" ca="1" si="532"/>
        <v>0.10961859969716917</v>
      </c>
      <c r="W4693" s="48">
        <f t="shared" ca="1" si="533"/>
        <v>1.3249259561360893</v>
      </c>
    </row>
    <row r="4694" spans="17:23" x14ac:dyDescent="0.2">
      <c r="Q4694">
        <f t="shared" si="534"/>
        <v>4678</v>
      </c>
      <c r="R4694" s="48">
        <f t="shared" ca="1" si="535"/>
        <v>0.35</v>
      </c>
      <c r="S4694">
        <f t="shared" ca="1" si="536"/>
        <v>173.47212027031512</v>
      </c>
      <c r="T4694" s="61">
        <f t="shared" ca="1" si="530"/>
        <v>16800</v>
      </c>
      <c r="U4694" s="61">
        <f t="shared" ca="1" si="531"/>
        <v>8205.5025405638607</v>
      </c>
      <c r="V4694" s="39">
        <f t="shared" ca="1" si="532"/>
        <v>5.3983569345814872E-2</v>
      </c>
      <c r="W4694" s="48">
        <f t="shared" ca="1" si="533"/>
        <v>0.53182029357466765</v>
      </c>
    </row>
    <row r="4695" spans="17:23" x14ac:dyDescent="0.2">
      <c r="Q4695">
        <f t="shared" si="534"/>
        <v>4679</v>
      </c>
      <c r="R4695" s="48">
        <f t="shared" ca="1" si="535"/>
        <v>0.4</v>
      </c>
      <c r="S4695">
        <f t="shared" ca="1" si="536"/>
        <v>178.35737313481678</v>
      </c>
      <c r="T4695" s="61">
        <f t="shared" ca="1" si="530"/>
        <v>19200</v>
      </c>
      <c r="U4695" s="61">
        <f t="shared" ca="1" si="531"/>
        <v>13611.539104712056</v>
      </c>
      <c r="V4695" s="39">
        <f t="shared" ca="1" si="532"/>
        <v>8.9549599373105623E-2</v>
      </c>
      <c r="W4695" s="48">
        <f t="shared" ca="1" si="533"/>
        <v>1.0050010246107601</v>
      </c>
    </row>
    <row r="4696" spans="17:23" x14ac:dyDescent="0.2">
      <c r="Q4696">
        <f t="shared" si="534"/>
        <v>4680</v>
      </c>
      <c r="R4696" s="48">
        <f t="shared" ca="1" si="535"/>
        <v>0.4</v>
      </c>
      <c r="S4696">
        <f t="shared" ca="1" si="536"/>
        <v>206.46591095370479</v>
      </c>
      <c r="T4696" s="61">
        <f t="shared" ca="1" si="530"/>
        <v>19200</v>
      </c>
      <c r="U4696" s="61">
        <f t="shared" ca="1" si="531"/>
        <v>27103.6372577783</v>
      </c>
      <c r="V4696" s="39">
        <f t="shared" ca="1" si="532"/>
        <v>0.17831340301169935</v>
      </c>
      <c r="W4696" s="48">
        <f t="shared" ca="1" si="533"/>
        <v>2.7844642777867836</v>
      </c>
    </row>
    <row r="4697" spans="17:23" x14ac:dyDescent="0.2">
      <c r="Q4697">
        <f t="shared" si="534"/>
        <v>4681</v>
      </c>
      <c r="R4697" s="48">
        <f t="shared" ca="1" si="535"/>
        <v>0.217</v>
      </c>
      <c r="S4697">
        <f t="shared" ca="1" si="536"/>
        <v>193.81639015429477</v>
      </c>
      <c r="T4697" s="61">
        <f t="shared" ca="1" si="530"/>
        <v>10416</v>
      </c>
      <c r="U4697" s="61">
        <f t="shared" ca="1" si="531"/>
        <v>12806.586792650241</v>
      </c>
      <c r="V4697" s="39">
        <f t="shared" ca="1" si="532"/>
        <v>8.4253860477962114E-2</v>
      </c>
      <c r="W4697" s="48">
        <f t="shared" ca="1" si="533"/>
        <v>0.92730859823088485</v>
      </c>
    </row>
    <row r="4698" spans="17:23" x14ac:dyDescent="0.2">
      <c r="Q4698">
        <f t="shared" si="534"/>
        <v>4682</v>
      </c>
      <c r="R4698" s="48">
        <f t="shared" ca="1" si="535"/>
        <v>0.5</v>
      </c>
      <c r="S4698">
        <f t="shared" ca="1" si="536"/>
        <v>204.55108267116339</v>
      </c>
      <c r="T4698" s="61">
        <f t="shared" ca="1" si="530"/>
        <v>24000</v>
      </c>
      <c r="U4698" s="61">
        <f t="shared" ca="1" si="531"/>
        <v>29820.433068465354</v>
      </c>
      <c r="V4698" s="39">
        <f t="shared" ca="1" si="532"/>
        <v>0.19618705966095629</v>
      </c>
      <c r="W4698" s="48">
        <f t="shared" ca="1" si="533"/>
        <v>3.2759945568648154</v>
      </c>
    </row>
    <row r="4699" spans="17:23" x14ac:dyDescent="0.2">
      <c r="Q4699">
        <f t="shared" si="534"/>
        <v>4683</v>
      </c>
      <c r="R4699" s="48">
        <f t="shared" ca="1" si="535"/>
        <v>0.3</v>
      </c>
      <c r="S4699">
        <f t="shared" ca="1" si="536"/>
        <v>152.86948119043558</v>
      </c>
      <c r="T4699" s="61">
        <f t="shared" ca="1" si="530"/>
        <v>14400</v>
      </c>
      <c r="U4699" s="61">
        <f t="shared" ca="1" si="531"/>
        <v>-6393.0905333560768</v>
      </c>
      <c r="V4699" s="39">
        <f t="shared" ca="1" si="532"/>
        <v>-4.2059806140500505E-2</v>
      </c>
      <c r="W4699" s="48">
        <f t="shared" ca="1" si="533"/>
        <v>-0.29427799908151231</v>
      </c>
    </row>
    <row r="4700" spans="17:23" x14ac:dyDescent="0.2">
      <c r="Q4700">
        <f t="shared" si="534"/>
        <v>4684</v>
      </c>
      <c r="R4700" s="48">
        <f t="shared" ca="1" si="535"/>
        <v>0.4</v>
      </c>
      <c r="S4700">
        <f t="shared" ca="1" si="536"/>
        <v>192.92652975063902</v>
      </c>
      <c r="T4700" s="61">
        <f t="shared" ca="1" si="530"/>
        <v>19200</v>
      </c>
      <c r="U4700" s="61">
        <f t="shared" ca="1" si="531"/>
        <v>20604.734280306729</v>
      </c>
      <c r="V4700" s="39">
        <f t="shared" ca="1" si="532"/>
        <v>0.135557462370439</v>
      </c>
      <c r="W4700" s="48">
        <f t="shared" ca="1" si="533"/>
        <v>1.8041889340820525</v>
      </c>
    </row>
    <row r="4701" spans="17:23" x14ac:dyDescent="0.2">
      <c r="Q4701">
        <f t="shared" si="534"/>
        <v>4685</v>
      </c>
      <c r="R4701" s="48">
        <f t="shared" ca="1" si="535"/>
        <v>0.5</v>
      </c>
      <c r="S4701">
        <f t="shared" ca="1" si="536"/>
        <v>158.54997110886461</v>
      </c>
      <c r="T4701" s="61">
        <f t="shared" ca="1" si="530"/>
        <v>24000</v>
      </c>
      <c r="U4701" s="61">
        <f t="shared" ca="1" si="531"/>
        <v>11419.988443545844</v>
      </c>
      <c r="V4701" s="39">
        <f t="shared" ca="1" si="532"/>
        <v>7.5131502918064766E-2</v>
      </c>
      <c r="W4701" s="48">
        <f t="shared" ca="1" si="533"/>
        <v>0.79965157985428093</v>
      </c>
    </row>
    <row r="4702" spans="17:23" x14ac:dyDescent="0.2">
      <c r="Q4702">
        <f t="shared" si="534"/>
        <v>4686</v>
      </c>
      <c r="R4702" s="48">
        <f t="shared" ca="1" si="535"/>
        <v>0.35</v>
      </c>
      <c r="S4702">
        <f t="shared" ca="1" si="536"/>
        <v>218.31563466733911</v>
      </c>
      <c r="T4702" s="61">
        <f t="shared" ca="1" si="530"/>
        <v>16800</v>
      </c>
      <c r="U4702" s="61">
        <f t="shared" ca="1" si="531"/>
        <v>31524.130027016337</v>
      </c>
      <c r="V4702" s="39">
        <f t="shared" ca="1" si="532"/>
        <v>0.20739559228300222</v>
      </c>
      <c r="W4702" s="48">
        <f t="shared" ca="1" si="533"/>
        <v>3.6120189932085616</v>
      </c>
    </row>
    <row r="4703" spans="17:23" x14ac:dyDescent="0.2">
      <c r="Q4703">
        <f t="shared" si="534"/>
        <v>4687</v>
      </c>
      <c r="R4703" s="48">
        <f t="shared" ca="1" si="535"/>
        <v>0.5</v>
      </c>
      <c r="S4703">
        <f t="shared" ca="1" si="536"/>
        <v>199.77321113257284</v>
      </c>
      <c r="T4703" s="61">
        <f t="shared" ca="1" si="530"/>
        <v>24000</v>
      </c>
      <c r="U4703" s="61">
        <f t="shared" ca="1" si="531"/>
        <v>27909.284453029137</v>
      </c>
      <c r="V4703" s="39">
        <f t="shared" ca="1" si="532"/>
        <v>0.18361371350677064</v>
      </c>
      <c r="W4703" s="48">
        <f t="shared" ca="1" si="533"/>
        <v>2.9247712508010797</v>
      </c>
    </row>
    <row r="4704" spans="17:23" x14ac:dyDescent="0.2">
      <c r="Q4704">
        <f t="shared" si="534"/>
        <v>4688</v>
      </c>
      <c r="R4704" s="48">
        <f t="shared" ca="1" si="535"/>
        <v>0.4</v>
      </c>
      <c r="S4704">
        <f t="shared" ca="1" si="536"/>
        <v>195.09068010526244</v>
      </c>
      <c r="T4704" s="61">
        <f t="shared" ca="1" si="530"/>
        <v>19200</v>
      </c>
      <c r="U4704" s="61">
        <f t="shared" ca="1" si="531"/>
        <v>21643.526450525969</v>
      </c>
      <c r="V4704" s="39">
        <f t="shared" ca="1" si="532"/>
        <v>0.14239162138503927</v>
      </c>
      <c r="W4704" s="48">
        <f t="shared" ca="1" si="533"/>
        <v>1.944041743625033</v>
      </c>
    </row>
    <row r="4705" spans="17:23" x14ac:dyDescent="0.2">
      <c r="Q4705">
        <f t="shared" si="534"/>
        <v>4689</v>
      </c>
      <c r="R4705" s="48">
        <f t="shared" ca="1" si="535"/>
        <v>0.35</v>
      </c>
      <c r="S4705">
        <f t="shared" ca="1" si="536"/>
        <v>226.2767165717533</v>
      </c>
      <c r="T4705" s="61">
        <f t="shared" ca="1" si="530"/>
        <v>16800</v>
      </c>
      <c r="U4705" s="61">
        <f t="shared" ca="1" si="531"/>
        <v>35663.892617311714</v>
      </c>
      <c r="V4705" s="39">
        <f t="shared" ca="1" si="532"/>
        <v>0.2346308724823139</v>
      </c>
      <c r="W4705" s="48">
        <f t="shared" ca="1" si="533"/>
        <v>4.5267249620160053</v>
      </c>
    </row>
    <row r="4706" spans="17:23" x14ac:dyDescent="0.2">
      <c r="Q4706">
        <f t="shared" si="534"/>
        <v>4690</v>
      </c>
      <c r="R4706" s="48">
        <f t="shared" ca="1" si="535"/>
        <v>0.4</v>
      </c>
      <c r="S4706">
        <f t="shared" ca="1" si="536"/>
        <v>202.39759931645008</v>
      </c>
      <c r="T4706" s="61">
        <f t="shared" ca="1" si="530"/>
        <v>19200</v>
      </c>
      <c r="U4706" s="61">
        <f t="shared" ca="1" si="531"/>
        <v>25150.847671896041</v>
      </c>
      <c r="V4706" s="39">
        <f t="shared" ca="1" si="532"/>
        <v>0.16546610310457921</v>
      </c>
      <c r="W4706" s="48">
        <f t="shared" ca="1" si="533"/>
        <v>2.4624700411453633</v>
      </c>
    </row>
    <row r="4707" spans="17:23" x14ac:dyDescent="0.2">
      <c r="Q4707">
        <f t="shared" si="534"/>
        <v>4691</v>
      </c>
      <c r="R4707" s="48">
        <f t="shared" ca="1" si="535"/>
        <v>0.35</v>
      </c>
      <c r="S4707">
        <f t="shared" ca="1" si="536"/>
        <v>168.84768707886531</v>
      </c>
      <c r="T4707" s="61">
        <f t="shared" ca="1" si="530"/>
        <v>16800</v>
      </c>
      <c r="U4707" s="61">
        <f t="shared" ca="1" si="531"/>
        <v>5800.79728100996</v>
      </c>
      <c r="V4707" s="39">
        <f t="shared" ca="1" si="532"/>
        <v>3.8163140006644475E-2</v>
      </c>
      <c r="W4707" s="48">
        <f t="shared" ca="1" si="533"/>
        <v>0.35497764769034612</v>
      </c>
    </row>
    <row r="4708" spans="17:23" x14ac:dyDescent="0.2">
      <c r="Q4708">
        <f t="shared" si="534"/>
        <v>4692</v>
      </c>
      <c r="R4708" s="48">
        <f t="shared" ca="1" si="535"/>
        <v>0.35</v>
      </c>
      <c r="S4708">
        <f t="shared" ca="1" si="536"/>
        <v>187.25012189149541</v>
      </c>
      <c r="T4708" s="61">
        <f t="shared" ca="1" si="530"/>
        <v>16800</v>
      </c>
      <c r="U4708" s="61">
        <f t="shared" ca="1" si="531"/>
        <v>15370.063383577613</v>
      </c>
      <c r="V4708" s="39">
        <f t="shared" ca="1" si="532"/>
        <v>0.10111883804985272</v>
      </c>
      <c r="W4708" s="48">
        <f t="shared" ca="1" si="533"/>
        <v>1.1843477765381807</v>
      </c>
    </row>
    <row r="4709" spans="17:23" x14ac:dyDescent="0.2">
      <c r="Q4709">
        <f t="shared" si="534"/>
        <v>4693</v>
      </c>
      <c r="R4709" s="48">
        <f t="shared" ca="1" si="535"/>
        <v>0.4</v>
      </c>
      <c r="S4709">
        <f t="shared" ca="1" si="536"/>
        <v>170.58742930746084</v>
      </c>
      <c r="T4709" s="61">
        <f t="shared" ca="1" si="530"/>
        <v>19200</v>
      </c>
      <c r="U4709" s="61">
        <f t="shared" ca="1" si="531"/>
        <v>9881.9660675812011</v>
      </c>
      <c r="V4709" s="39">
        <f t="shared" ca="1" si="532"/>
        <v>6.5012934655139479E-2</v>
      </c>
      <c r="W4709" s="48">
        <f t="shared" ca="1" si="533"/>
        <v>0.66678080395956041</v>
      </c>
    </row>
    <row r="4710" spans="17:23" x14ac:dyDescent="0.2">
      <c r="Q4710">
        <f t="shared" si="534"/>
        <v>4694</v>
      </c>
      <c r="R4710" s="48">
        <f t="shared" ca="1" si="535"/>
        <v>0.4</v>
      </c>
      <c r="S4710">
        <f t="shared" ca="1" si="536"/>
        <v>188.4579317027644</v>
      </c>
      <c r="T4710" s="61">
        <f t="shared" ca="1" si="530"/>
        <v>19200</v>
      </c>
      <c r="U4710" s="61">
        <f t="shared" ca="1" si="531"/>
        <v>18459.80721732691</v>
      </c>
      <c r="V4710" s="39">
        <f t="shared" ca="1" si="532"/>
        <v>0.12144610011399283</v>
      </c>
      <c r="W4710" s="48">
        <f t="shared" ca="1" si="533"/>
        <v>1.5337173996423417</v>
      </c>
    </row>
    <row r="4711" spans="17:23" x14ac:dyDescent="0.2">
      <c r="Q4711">
        <f t="shared" si="534"/>
        <v>4695</v>
      </c>
      <c r="R4711" s="48">
        <f t="shared" ca="1" si="535"/>
        <v>0.45</v>
      </c>
      <c r="S4711">
        <f t="shared" ca="1" si="536"/>
        <v>148.79414871882022</v>
      </c>
      <c r="T4711" s="61">
        <f t="shared" ca="1" si="530"/>
        <v>21600</v>
      </c>
      <c r="U4711" s="61">
        <f t="shared" ca="1" si="531"/>
        <v>3469.425436280897</v>
      </c>
      <c r="V4711" s="39">
        <f t="shared" ca="1" si="532"/>
        <v>2.2825167343953269E-2</v>
      </c>
      <c r="W4711" s="48">
        <f t="shared" ca="1" si="533"/>
        <v>0.20088187479793707</v>
      </c>
    </row>
    <row r="4712" spans="17:23" x14ac:dyDescent="0.2">
      <c r="Q4712">
        <f t="shared" si="534"/>
        <v>4696</v>
      </c>
      <c r="R4712" s="48">
        <f t="shared" ca="1" si="535"/>
        <v>0.35</v>
      </c>
      <c r="S4712">
        <f t="shared" ca="1" si="536"/>
        <v>192.45456933299621</v>
      </c>
      <c r="T4712" s="61">
        <f t="shared" ca="1" si="530"/>
        <v>16800</v>
      </c>
      <c r="U4712" s="61">
        <f t="shared" ca="1" si="531"/>
        <v>18076.37605315803</v>
      </c>
      <c r="V4712" s="39">
        <f t="shared" ca="1" si="532"/>
        <v>0.11892352666551335</v>
      </c>
      <c r="W4712" s="48">
        <f t="shared" ca="1" si="533"/>
        <v>1.4878575576886424</v>
      </c>
    </row>
    <row r="4713" spans="17:23" x14ac:dyDescent="0.2">
      <c r="Q4713">
        <f t="shared" si="534"/>
        <v>4697</v>
      </c>
      <c r="R4713" s="48">
        <f t="shared" ca="1" si="535"/>
        <v>0.4</v>
      </c>
      <c r="S4713">
        <f t="shared" ca="1" si="536"/>
        <v>177.63116940459679</v>
      </c>
      <c r="T4713" s="61">
        <f t="shared" ca="1" si="530"/>
        <v>19200</v>
      </c>
      <c r="U4713" s="61">
        <f t="shared" ca="1" si="531"/>
        <v>13262.961314206459</v>
      </c>
      <c r="V4713" s="39">
        <f t="shared" ca="1" si="532"/>
        <v>8.7256324435568813E-2</v>
      </c>
      <c r="W4713" s="48">
        <f t="shared" ca="1" si="533"/>
        <v>0.97102631781103121</v>
      </c>
    </row>
    <row r="4714" spans="17:23" x14ac:dyDescent="0.2">
      <c r="Q4714">
        <f t="shared" si="534"/>
        <v>4698</v>
      </c>
      <c r="R4714" s="48">
        <f t="shared" ca="1" si="535"/>
        <v>0.3</v>
      </c>
      <c r="S4714">
        <f t="shared" ca="1" si="536"/>
        <v>172.65156098320341</v>
      </c>
      <c r="T4714" s="61">
        <f t="shared" ca="1" si="530"/>
        <v>14400</v>
      </c>
      <c r="U4714" s="61">
        <f t="shared" ca="1" si="531"/>
        <v>4684.8741505939106</v>
      </c>
      <c r="V4714" s="39">
        <f t="shared" ca="1" si="532"/>
        <v>3.0821540464433621E-2</v>
      </c>
      <c r="W4714" s="48">
        <f t="shared" ca="1" si="533"/>
        <v>0.27918309985865797</v>
      </c>
    </row>
    <row r="4715" spans="17:23" x14ac:dyDescent="0.2">
      <c r="Q4715">
        <f t="shared" si="534"/>
        <v>4699</v>
      </c>
      <c r="R4715" s="48">
        <f t="shared" ca="1" si="535"/>
        <v>0.4</v>
      </c>
      <c r="S4715">
        <f t="shared" ca="1" si="536"/>
        <v>195.49500361744452</v>
      </c>
      <c r="T4715" s="61">
        <f t="shared" ca="1" si="530"/>
        <v>19200</v>
      </c>
      <c r="U4715" s="61">
        <f t="shared" ca="1" si="531"/>
        <v>21837.60173637337</v>
      </c>
      <c r="V4715" s="39">
        <f t="shared" ca="1" si="532"/>
        <v>0.14366843247614058</v>
      </c>
      <c r="W4715" s="48">
        <f t="shared" ca="1" si="533"/>
        <v>1.9708372705827055</v>
      </c>
    </row>
    <row r="4716" spans="17:23" x14ac:dyDescent="0.2">
      <c r="Q4716">
        <f t="shared" si="534"/>
        <v>4700</v>
      </c>
      <c r="R4716" s="48">
        <f t="shared" ca="1" si="535"/>
        <v>0.35</v>
      </c>
      <c r="S4716">
        <f t="shared" ca="1" si="536"/>
        <v>185.16718912430048</v>
      </c>
      <c r="T4716" s="61">
        <f t="shared" ca="1" si="530"/>
        <v>16800</v>
      </c>
      <c r="U4716" s="61">
        <f t="shared" ca="1" si="531"/>
        <v>14286.938344636248</v>
      </c>
      <c r="V4716" s="39">
        <f t="shared" ca="1" si="532"/>
        <v>9.3993015425238469E-2</v>
      </c>
      <c r="W4716" s="48">
        <f t="shared" ca="1" si="533"/>
        <v>1.0722938780891109</v>
      </c>
    </row>
    <row r="4717" spans="17:23" x14ac:dyDescent="0.2">
      <c r="Q4717">
        <f t="shared" si="534"/>
        <v>4701</v>
      </c>
      <c r="R4717" s="48">
        <f t="shared" ca="1" si="535"/>
        <v>0.3</v>
      </c>
      <c r="S4717">
        <f t="shared" ca="1" si="536"/>
        <v>183.0810078007396</v>
      </c>
      <c r="T4717" s="61">
        <f t="shared" ca="1" si="530"/>
        <v>14400</v>
      </c>
      <c r="U4717" s="61">
        <f t="shared" ca="1" si="531"/>
        <v>10525.364368414175</v>
      </c>
      <c r="V4717" s="39">
        <f t="shared" ca="1" si="532"/>
        <v>6.9245818213251153E-2</v>
      </c>
      <c r="W4717" s="48">
        <f t="shared" ca="1" si="533"/>
        <v>0.72127921051541755</v>
      </c>
    </row>
    <row r="4718" spans="17:23" x14ac:dyDescent="0.2">
      <c r="Q4718">
        <f t="shared" si="534"/>
        <v>4702</v>
      </c>
      <c r="R4718" s="48">
        <f t="shared" ca="1" si="535"/>
        <v>0.3</v>
      </c>
      <c r="S4718">
        <f t="shared" ca="1" si="536"/>
        <v>159.63119217931251</v>
      </c>
      <c r="T4718" s="61">
        <f t="shared" ca="1" si="530"/>
        <v>14400</v>
      </c>
      <c r="U4718" s="61">
        <f t="shared" ca="1" si="531"/>
        <v>-2606.5323795849981</v>
      </c>
      <c r="V4718" s="39">
        <f t="shared" ca="1" si="532"/>
        <v>-1.7148239339374989E-2</v>
      </c>
      <c r="W4718" s="48">
        <f t="shared" ca="1" si="533"/>
        <v>-0.13090050924796326</v>
      </c>
    </row>
    <row r="4719" spans="17:23" x14ac:dyDescent="0.2">
      <c r="Q4719">
        <f t="shared" si="534"/>
        <v>4703</v>
      </c>
      <c r="R4719" s="48">
        <f t="shared" ca="1" si="535"/>
        <v>0.4</v>
      </c>
      <c r="S4719">
        <f t="shared" ca="1" si="536"/>
        <v>173.70293883924975</v>
      </c>
      <c r="T4719" s="61">
        <f t="shared" ca="1" si="530"/>
        <v>19200</v>
      </c>
      <c r="U4719" s="61">
        <f t="shared" ca="1" si="531"/>
        <v>11377.410642839881</v>
      </c>
      <c r="V4719" s="39">
        <f t="shared" ca="1" si="532"/>
        <v>7.4851385808157117E-2</v>
      </c>
      <c r="W4719" s="48">
        <f t="shared" ca="1" si="533"/>
        <v>0.79585192156945594</v>
      </c>
    </row>
    <row r="4720" spans="17:23" x14ac:dyDescent="0.2">
      <c r="Q4720">
        <f t="shared" si="534"/>
        <v>4704</v>
      </c>
      <c r="R4720" s="48">
        <f t="shared" ca="1" si="535"/>
        <v>0.4</v>
      </c>
      <c r="S4720">
        <f t="shared" ca="1" si="536"/>
        <v>240.63167416585682</v>
      </c>
      <c r="T4720" s="61">
        <f t="shared" ca="1" si="530"/>
        <v>19200</v>
      </c>
      <c r="U4720" s="61">
        <f t="shared" ca="1" si="531"/>
        <v>43503.203599611275</v>
      </c>
      <c r="V4720" s="39">
        <f t="shared" ca="1" si="532"/>
        <v>0.28620528683954788</v>
      </c>
      <c r="W4720" s="48">
        <f t="shared" ca="1" si="533"/>
        <v>6.702432673673913</v>
      </c>
    </row>
    <row r="4721" spans="17:23" x14ac:dyDescent="0.2">
      <c r="Q4721">
        <f t="shared" si="534"/>
        <v>4705</v>
      </c>
      <c r="R4721" s="48">
        <f t="shared" ca="1" si="535"/>
        <v>0.4</v>
      </c>
      <c r="S4721">
        <f t="shared" ca="1" si="536"/>
        <v>182.53821339843805</v>
      </c>
      <c r="T4721" s="61">
        <f t="shared" ca="1" si="530"/>
        <v>19200</v>
      </c>
      <c r="U4721" s="61">
        <f t="shared" ca="1" si="531"/>
        <v>15618.342431250261</v>
      </c>
      <c r="V4721" s="39">
        <f t="shared" ca="1" si="532"/>
        <v>0.10275225283717276</v>
      </c>
      <c r="W4721" s="48">
        <f t="shared" ca="1" si="533"/>
        <v>1.2107691828665295</v>
      </c>
    </row>
    <row r="4722" spans="17:23" x14ac:dyDescent="0.2">
      <c r="Q4722">
        <f t="shared" si="534"/>
        <v>4706</v>
      </c>
      <c r="R4722" s="48">
        <f t="shared" ca="1" si="535"/>
        <v>0.45</v>
      </c>
      <c r="S4722">
        <f t="shared" ca="1" si="536"/>
        <v>195.37699869850186</v>
      </c>
      <c r="T4722" s="61">
        <f t="shared" ca="1" si="530"/>
        <v>21600</v>
      </c>
      <c r="U4722" s="61">
        <f t="shared" ca="1" si="531"/>
        <v>23965.87942734082</v>
      </c>
      <c r="V4722" s="39">
        <f t="shared" ca="1" si="532"/>
        <v>0.15767025939040014</v>
      </c>
      <c r="W4722" s="48">
        <f t="shared" ca="1" si="533"/>
        <v>2.2790194846990963</v>
      </c>
    </row>
    <row r="4723" spans="17:23" x14ac:dyDescent="0.2">
      <c r="Q4723">
        <f t="shared" si="534"/>
        <v>4707</v>
      </c>
      <c r="R4723" s="48">
        <f t="shared" ca="1" si="535"/>
        <v>0.5</v>
      </c>
      <c r="S4723">
        <f t="shared" ca="1" si="536"/>
        <v>204.51997823557804</v>
      </c>
      <c r="T4723" s="61">
        <f t="shared" ca="1" si="530"/>
        <v>24000</v>
      </c>
      <c r="U4723" s="61">
        <f t="shared" ca="1" si="531"/>
        <v>29807.991294231215</v>
      </c>
      <c r="V4723" s="39">
        <f t="shared" ca="1" si="532"/>
        <v>0.1961052058831001</v>
      </c>
      <c r="W4723" s="48">
        <f t="shared" ca="1" si="533"/>
        <v>3.2736218097181915</v>
      </c>
    </row>
    <row r="4724" spans="17:23" x14ac:dyDescent="0.2">
      <c r="Q4724">
        <f t="shared" si="534"/>
        <v>4708</v>
      </c>
      <c r="R4724" s="48">
        <f t="shared" ca="1" si="535"/>
        <v>0.35</v>
      </c>
      <c r="S4724">
        <f t="shared" ca="1" si="536"/>
        <v>215.18887803110988</v>
      </c>
      <c r="T4724" s="61">
        <f t="shared" ca="1" si="530"/>
        <v>16800</v>
      </c>
      <c r="U4724" s="61">
        <f t="shared" ca="1" si="531"/>
        <v>29898.216576177139</v>
      </c>
      <c r="V4724" s="39">
        <f t="shared" ca="1" si="532"/>
        <v>0.1966987932643233</v>
      </c>
      <c r="W4724" s="48">
        <f t="shared" ca="1" si="533"/>
        <v>3.2908547002827095</v>
      </c>
    </row>
    <row r="4725" spans="17:23" x14ac:dyDescent="0.2">
      <c r="Q4725">
        <f t="shared" si="534"/>
        <v>4709</v>
      </c>
      <c r="R4725" s="48">
        <f t="shared" ca="1" si="535"/>
        <v>0.217</v>
      </c>
      <c r="S4725">
        <f t="shared" ca="1" si="536"/>
        <v>171.24947907421972</v>
      </c>
      <c r="T4725" s="61">
        <f t="shared" ca="1" si="530"/>
        <v>10416</v>
      </c>
      <c r="U4725" s="61">
        <f t="shared" ca="1" si="531"/>
        <v>-1329.3263079087665</v>
      </c>
      <c r="V4725" s="39">
        <f t="shared" ca="1" si="532"/>
        <v>-8.7455678151892539E-3</v>
      </c>
      <c r="W4725" s="48">
        <f t="shared" ca="1" si="533"/>
        <v>-6.8769344138963517E-2</v>
      </c>
    </row>
    <row r="4726" spans="17:23" x14ac:dyDescent="0.2">
      <c r="Q4726">
        <f t="shared" si="534"/>
        <v>4710</v>
      </c>
      <c r="R4726" s="48">
        <f t="shared" ca="1" si="535"/>
        <v>0.35</v>
      </c>
      <c r="S4726">
        <f t="shared" ca="1" si="536"/>
        <v>202.87273251195504</v>
      </c>
      <c r="T4726" s="61">
        <f t="shared" ca="1" si="530"/>
        <v>16800</v>
      </c>
      <c r="U4726" s="61">
        <f t="shared" ca="1" si="531"/>
        <v>23493.820906216621</v>
      </c>
      <c r="V4726" s="39">
        <f t="shared" ca="1" si="532"/>
        <v>0.15456461122510934</v>
      </c>
      <c r="W4726" s="48">
        <f t="shared" ca="1" si="533"/>
        <v>2.208346708620792</v>
      </c>
    </row>
    <row r="4727" spans="17:23" x14ac:dyDescent="0.2">
      <c r="Q4727">
        <f t="shared" si="534"/>
        <v>4711</v>
      </c>
      <c r="R4727" s="48">
        <f t="shared" ca="1" si="535"/>
        <v>0.5</v>
      </c>
      <c r="S4727">
        <f t="shared" ca="1" si="536"/>
        <v>206.56098450382478</v>
      </c>
      <c r="T4727" s="61">
        <f t="shared" ca="1" si="530"/>
        <v>24000</v>
      </c>
      <c r="U4727" s="61">
        <f t="shared" ca="1" si="531"/>
        <v>30624.393801529914</v>
      </c>
      <c r="V4727" s="39">
        <f t="shared" ca="1" si="532"/>
        <v>0.20147627501006521</v>
      </c>
      <c r="W4727" s="48">
        <f t="shared" ca="1" si="533"/>
        <v>3.431786596738462</v>
      </c>
    </row>
    <row r="4728" spans="17:23" x14ac:dyDescent="0.2">
      <c r="Q4728">
        <f t="shared" si="534"/>
        <v>4712</v>
      </c>
      <c r="R4728" s="48">
        <f t="shared" ca="1" si="535"/>
        <v>0.35</v>
      </c>
      <c r="S4728">
        <f t="shared" ca="1" si="536"/>
        <v>166.75531973803876</v>
      </c>
      <c r="T4728" s="61">
        <f t="shared" ca="1" si="530"/>
        <v>16800</v>
      </c>
      <c r="U4728" s="61">
        <f t="shared" ca="1" si="531"/>
        <v>4712.7662637801568</v>
      </c>
      <c r="V4728" s="39">
        <f t="shared" ca="1" si="532"/>
        <v>3.100504120907998E-2</v>
      </c>
      <c r="W4728" s="48">
        <f t="shared" ca="1" si="533"/>
        <v>0.28103127150848972</v>
      </c>
    </row>
    <row r="4729" spans="17:23" x14ac:dyDescent="0.2">
      <c r="Q4729">
        <f t="shared" si="534"/>
        <v>4713</v>
      </c>
      <c r="R4729" s="48">
        <f t="shared" ca="1" si="535"/>
        <v>0.35</v>
      </c>
      <c r="S4729">
        <f t="shared" ca="1" si="536"/>
        <v>173.28936539123845</v>
      </c>
      <c r="T4729" s="61">
        <f t="shared" ref="T4729:T4792" ca="1" si="537">($B$8-$B$7)*($E$6*R4729)</f>
        <v>16800</v>
      </c>
      <c r="U4729" s="61">
        <f t="shared" ref="U4729:U4792" ca="1" si="538">T4729+((S4729-$B$7)*($E$6*(1-R4729)))</f>
        <v>8110.470003443992</v>
      </c>
      <c r="V4729" s="39">
        <f t="shared" ref="V4729:V4792" ca="1" si="539">U4729/$E$4</f>
        <v>5.3358355285815735E-2</v>
      </c>
      <c r="W4729" s="48">
        <f t="shared" ref="W4729:W4792" ca="1" si="540">(1+V4729)^($J$29/$J$30)-1</f>
        <v>0.52446555526982852</v>
      </c>
    </row>
    <row r="4730" spans="17:23" x14ac:dyDescent="0.2">
      <c r="Q4730">
        <f t="shared" si="534"/>
        <v>4714</v>
      </c>
      <c r="R4730" s="48">
        <f t="shared" ca="1" si="535"/>
        <v>0.217</v>
      </c>
      <c r="S4730">
        <f t="shared" ca="1" si="536"/>
        <v>183.34207845465428</v>
      </c>
      <c r="T4730" s="61">
        <f t="shared" ca="1" si="537"/>
        <v>10416</v>
      </c>
      <c r="U4730" s="61">
        <f t="shared" ca="1" si="538"/>
        <v>6245.4779439954445</v>
      </c>
      <c r="V4730" s="39">
        <f t="shared" ca="1" si="539"/>
        <v>4.1088670684180553E-2</v>
      </c>
      <c r="W4730" s="48">
        <f t="shared" ca="1" si="540"/>
        <v>0.38626048352911502</v>
      </c>
    </row>
    <row r="4731" spans="17:23" x14ac:dyDescent="0.2">
      <c r="Q4731">
        <f t="shared" si="534"/>
        <v>4715</v>
      </c>
      <c r="R4731" s="48">
        <f t="shared" ca="1" si="535"/>
        <v>0.35</v>
      </c>
      <c r="S4731">
        <f t="shared" ca="1" si="536"/>
        <v>181.12486540091399</v>
      </c>
      <c r="T4731" s="61">
        <f t="shared" ca="1" si="537"/>
        <v>16800</v>
      </c>
      <c r="U4731" s="61">
        <f t="shared" ca="1" si="538"/>
        <v>12184.930008475276</v>
      </c>
      <c r="V4731" s="39">
        <f t="shared" ca="1" si="539"/>
        <v>8.0164013213653129E-2</v>
      </c>
      <c r="W4731" s="48">
        <f t="shared" ca="1" si="540"/>
        <v>0.86912657365177148</v>
      </c>
    </row>
    <row r="4732" spans="17:23" x14ac:dyDescent="0.2">
      <c r="Q4732">
        <f t="shared" si="534"/>
        <v>4716</v>
      </c>
      <c r="R4732" s="48">
        <f t="shared" ca="1" si="535"/>
        <v>0.3</v>
      </c>
      <c r="S4732">
        <f t="shared" ca="1" si="536"/>
        <v>186.49155443295541</v>
      </c>
      <c r="T4732" s="61">
        <f t="shared" ca="1" si="537"/>
        <v>14400</v>
      </c>
      <c r="U4732" s="61">
        <f t="shared" ca="1" si="538"/>
        <v>12435.270482455031</v>
      </c>
      <c r="V4732" s="39">
        <f t="shared" ca="1" si="539"/>
        <v>8.1810990016151525E-2</v>
      </c>
      <c r="W4732" s="48">
        <f t="shared" ca="1" si="540"/>
        <v>0.8923685052927246</v>
      </c>
    </row>
    <row r="4733" spans="17:23" x14ac:dyDescent="0.2">
      <c r="Q4733">
        <f t="shared" si="534"/>
        <v>4717</v>
      </c>
      <c r="R4733" s="48">
        <f t="shared" ca="1" si="535"/>
        <v>0.45</v>
      </c>
      <c r="S4733">
        <f t="shared" ca="1" si="536"/>
        <v>171.54574276309626</v>
      </c>
      <c r="T4733" s="61">
        <f t="shared" ca="1" si="537"/>
        <v>21600</v>
      </c>
      <c r="U4733" s="61">
        <f t="shared" ca="1" si="538"/>
        <v>13480.126815762353</v>
      </c>
      <c r="V4733" s="39">
        <f t="shared" ca="1" si="539"/>
        <v>8.8685044840541793E-2</v>
      </c>
      <c r="W4733" s="48">
        <f t="shared" ca="1" si="540"/>
        <v>0.99213289864703902</v>
      </c>
    </row>
    <row r="4734" spans="17:23" x14ac:dyDescent="0.2">
      <c r="Q4734">
        <f t="shared" si="534"/>
        <v>4718</v>
      </c>
      <c r="R4734" s="48">
        <f t="shared" ca="1" si="535"/>
        <v>0.3</v>
      </c>
      <c r="S4734">
        <f t="shared" ca="1" si="536"/>
        <v>191.46384762364528</v>
      </c>
      <c r="T4734" s="61">
        <f t="shared" ca="1" si="537"/>
        <v>14400</v>
      </c>
      <c r="U4734" s="61">
        <f t="shared" ca="1" si="538"/>
        <v>15219.754669241356</v>
      </c>
      <c r="V4734" s="39">
        <f t="shared" ca="1" si="539"/>
        <v>0.10012996492921945</v>
      </c>
      <c r="W4734" s="48">
        <f t="shared" ca="1" si="540"/>
        <v>1.1684870861151317</v>
      </c>
    </row>
    <row r="4735" spans="17:23" x14ac:dyDescent="0.2">
      <c r="Q4735">
        <f t="shared" si="534"/>
        <v>4719</v>
      </c>
      <c r="R4735" s="48">
        <f t="shared" ca="1" si="535"/>
        <v>0.45</v>
      </c>
      <c r="S4735">
        <f t="shared" ca="1" si="536"/>
        <v>166.08296582724074</v>
      </c>
      <c r="T4735" s="61">
        <f t="shared" ca="1" si="537"/>
        <v>21600</v>
      </c>
      <c r="U4735" s="61">
        <f t="shared" ca="1" si="538"/>
        <v>11076.504963985924</v>
      </c>
      <c r="V4735" s="39">
        <f t="shared" ca="1" si="539"/>
        <v>7.2871743184117918E-2</v>
      </c>
      <c r="W4735" s="48">
        <f t="shared" ca="1" si="540"/>
        <v>0.76919889033792677</v>
      </c>
    </row>
    <row r="4736" spans="17:23" x14ac:dyDescent="0.2">
      <c r="Q4736">
        <f t="shared" si="534"/>
        <v>4720</v>
      </c>
      <c r="R4736" s="48">
        <f t="shared" ca="1" si="535"/>
        <v>0.35</v>
      </c>
      <c r="S4736">
        <f t="shared" ca="1" si="536"/>
        <v>147.14845638675101</v>
      </c>
      <c r="T4736" s="61">
        <f t="shared" ca="1" si="537"/>
        <v>16800</v>
      </c>
      <c r="U4736" s="61">
        <f t="shared" ca="1" si="538"/>
        <v>-5482.8026788894749</v>
      </c>
      <c r="V4736" s="39">
        <f t="shared" ca="1" si="539"/>
        <v>-3.6071070255851809E-2</v>
      </c>
      <c r="W4736" s="48">
        <f t="shared" ca="1" si="540"/>
        <v>-0.25768653043330381</v>
      </c>
    </row>
    <row r="4737" spans="17:23" x14ac:dyDescent="0.2">
      <c r="Q4737">
        <f t="shared" si="534"/>
        <v>4721</v>
      </c>
      <c r="R4737" s="48">
        <f t="shared" ca="1" si="535"/>
        <v>0.4</v>
      </c>
      <c r="S4737">
        <f t="shared" ca="1" si="536"/>
        <v>229.1990600694225</v>
      </c>
      <c r="T4737" s="61">
        <f t="shared" ca="1" si="537"/>
        <v>19200</v>
      </c>
      <c r="U4737" s="61">
        <f t="shared" ca="1" si="538"/>
        <v>38015.548833322799</v>
      </c>
      <c r="V4737" s="39">
        <f t="shared" ca="1" si="539"/>
        <v>0.25010229495607106</v>
      </c>
      <c r="W4737" s="48">
        <f t="shared" ca="1" si="540"/>
        <v>5.114150824541011</v>
      </c>
    </row>
    <row r="4738" spans="17:23" x14ac:dyDescent="0.2">
      <c r="Q4738">
        <f t="shared" si="534"/>
        <v>4722</v>
      </c>
      <c r="R4738" s="48">
        <f t="shared" ca="1" si="535"/>
        <v>0.217</v>
      </c>
      <c r="S4738">
        <f t="shared" ca="1" si="536"/>
        <v>207.17732563309335</v>
      </c>
      <c r="T4738" s="61">
        <f t="shared" ca="1" si="537"/>
        <v>10416</v>
      </c>
      <c r="U4738" s="61">
        <f t="shared" ca="1" si="538"/>
        <v>21175.876776569672</v>
      </c>
      <c r="V4738" s="39">
        <f t="shared" ca="1" si="539"/>
        <v>0.13931497879322152</v>
      </c>
      <c r="W4738" s="48">
        <f t="shared" ca="1" si="540"/>
        <v>1.8803430382598143</v>
      </c>
    </row>
    <row r="4739" spans="17:23" x14ac:dyDescent="0.2">
      <c r="Q4739">
        <f t="shared" si="534"/>
        <v>4723</v>
      </c>
      <c r="R4739" s="48">
        <f t="shared" ca="1" si="535"/>
        <v>0.4</v>
      </c>
      <c r="S4739">
        <f t="shared" ca="1" si="536"/>
        <v>204.27800974137079</v>
      </c>
      <c r="T4739" s="61">
        <f t="shared" ca="1" si="537"/>
        <v>19200</v>
      </c>
      <c r="U4739" s="61">
        <f t="shared" ca="1" si="538"/>
        <v>26053.44467585798</v>
      </c>
      <c r="V4739" s="39">
        <f t="shared" ca="1" si="539"/>
        <v>0.17140424128853934</v>
      </c>
      <c r="W4739" s="48">
        <f t="shared" ca="1" si="540"/>
        <v>2.6081819127385137</v>
      </c>
    </row>
    <row r="4740" spans="17:23" x14ac:dyDescent="0.2">
      <c r="Q4740">
        <f t="shared" si="534"/>
        <v>4724</v>
      </c>
      <c r="R4740" s="48">
        <f t="shared" ca="1" si="535"/>
        <v>0.217</v>
      </c>
      <c r="S4740">
        <f t="shared" ca="1" si="536"/>
        <v>212.15459356016154</v>
      </c>
      <c r="T4740" s="61">
        <f t="shared" ca="1" si="537"/>
        <v>10416</v>
      </c>
      <c r="U4740" s="61">
        <f t="shared" ca="1" si="538"/>
        <v>24293.637406085189</v>
      </c>
      <c r="V4740" s="39">
        <f t="shared" ca="1" si="539"/>
        <v>0.1598265618821394</v>
      </c>
      <c r="W4740" s="48">
        <f t="shared" ca="1" si="540"/>
        <v>2.3288880328493557</v>
      </c>
    </row>
    <row r="4741" spans="17:23" x14ac:dyDescent="0.2">
      <c r="Q4741">
        <f t="shared" si="534"/>
        <v>4725</v>
      </c>
      <c r="R4741" s="48">
        <f t="shared" ca="1" si="535"/>
        <v>0.15</v>
      </c>
      <c r="S4741">
        <f t="shared" ca="1" si="536"/>
        <v>174.03014606071883</v>
      </c>
      <c r="T4741" s="61">
        <f t="shared" ca="1" si="537"/>
        <v>7200</v>
      </c>
      <c r="U4741" s="61">
        <f t="shared" ca="1" si="538"/>
        <v>-3659.5006787111924</v>
      </c>
      <c r="V4741" s="39">
        <f t="shared" ca="1" si="539"/>
        <v>-2.4075662359942056E-2</v>
      </c>
      <c r="W4741" s="48">
        <f t="shared" ca="1" si="540"/>
        <v>-0.17935901078649275</v>
      </c>
    </row>
    <row r="4742" spans="17:23" x14ac:dyDescent="0.2">
      <c r="Q4742">
        <f t="shared" si="534"/>
        <v>4726</v>
      </c>
      <c r="R4742" s="48">
        <f t="shared" ca="1" si="535"/>
        <v>0.35</v>
      </c>
      <c r="S4742">
        <f t="shared" ca="1" si="536"/>
        <v>176.20210166193985</v>
      </c>
      <c r="T4742" s="61">
        <f t="shared" ca="1" si="537"/>
        <v>16800</v>
      </c>
      <c r="U4742" s="61">
        <f t="shared" ca="1" si="538"/>
        <v>9625.0928642087219</v>
      </c>
      <c r="V4742" s="39">
        <f t="shared" ca="1" si="539"/>
        <v>6.3322979369794224E-2</v>
      </c>
      <c r="W4742" s="48">
        <f t="shared" ca="1" si="540"/>
        <v>0.64544888509610443</v>
      </c>
    </row>
    <row r="4743" spans="17:23" x14ac:dyDescent="0.2">
      <c r="Q4743">
        <f t="shared" si="534"/>
        <v>4727</v>
      </c>
      <c r="R4743" s="48">
        <f t="shared" ca="1" si="535"/>
        <v>0.35</v>
      </c>
      <c r="S4743">
        <f t="shared" ca="1" si="536"/>
        <v>171.00326661829178</v>
      </c>
      <c r="T4743" s="61">
        <f t="shared" ca="1" si="537"/>
        <v>16800</v>
      </c>
      <c r="U4743" s="61">
        <f t="shared" ca="1" si="538"/>
        <v>6921.6986415117226</v>
      </c>
      <c r="V4743" s="39">
        <f t="shared" ca="1" si="539"/>
        <v>4.5537491062577123E-2</v>
      </c>
      <c r="W4743" s="48">
        <f t="shared" ca="1" si="540"/>
        <v>0.43504569148784</v>
      </c>
    </row>
    <row r="4744" spans="17:23" x14ac:dyDescent="0.2">
      <c r="Q4744">
        <f t="shared" si="534"/>
        <v>4728</v>
      </c>
      <c r="R4744" s="48">
        <f t="shared" ca="1" si="535"/>
        <v>0.3</v>
      </c>
      <c r="S4744">
        <f t="shared" ca="1" si="536"/>
        <v>174.97203336783721</v>
      </c>
      <c r="T4744" s="61">
        <f t="shared" ca="1" si="537"/>
        <v>14400</v>
      </c>
      <c r="U4744" s="61">
        <f t="shared" ca="1" si="538"/>
        <v>5984.3386859888396</v>
      </c>
      <c r="V4744" s="39">
        <f t="shared" ca="1" si="539"/>
        <v>3.937064924992658E-2</v>
      </c>
      <c r="W4744" s="48">
        <f t="shared" ca="1" si="540"/>
        <v>0.36781377227236267</v>
      </c>
    </row>
    <row r="4745" spans="17:23" x14ac:dyDescent="0.2">
      <c r="Q4745">
        <f t="shared" si="534"/>
        <v>4729</v>
      </c>
      <c r="R4745" s="48">
        <f t="shared" ca="1" si="535"/>
        <v>0.3</v>
      </c>
      <c r="S4745">
        <f t="shared" ca="1" si="536"/>
        <v>180.57520510169027</v>
      </c>
      <c r="T4745" s="61">
        <f t="shared" ca="1" si="537"/>
        <v>14400</v>
      </c>
      <c r="U4745" s="61">
        <f t="shared" ca="1" si="538"/>
        <v>9122.1148569465531</v>
      </c>
      <c r="V4745" s="39">
        <f t="shared" ca="1" si="539"/>
        <v>6.0013913532543116E-2</v>
      </c>
      <c r="W4745" s="48">
        <f t="shared" ca="1" si="540"/>
        <v>0.60437143991032549</v>
      </c>
    </row>
    <row r="4746" spans="17:23" x14ac:dyDescent="0.2">
      <c r="Q4746">
        <f t="shared" si="534"/>
        <v>4730</v>
      </c>
      <c r="R4746" s="48">
        <f t="shared" ca="1" si="535"/>
        <v>0.45</v>
      </c>
      <c r="S4746">
        <f t="shared" ca="1" si="536"/>
        <v>144.78440711556999</v>
      </c>
      <c r="T4746" s="61">
        <f t="shared" ca="1" si="537"/>
        <v>21600</v>
      </c>
      <c r="U4746" s="61">
        <f t="shared" ca="1" si="538"/>
        <v>1705.1391308507918</v>
      </c>
      <c r="V4746" s="39">
        <f t="shared" ca="1" si="539"/>
        <v>1.1218020597702577E-2</v>
      </c>
      <c r="W4746" s="48">
        <f t="shared" ca="1" si="540"/>
        <v>9.4704024294488098E-2</v>
      </c>
    </row>
    <row r="4747" spans="17:23" x14ac:dyDescent="0.2">
      <c r="Q4747">
        <f t="shared" si="534"/>
        <v>4731</v>
      </c>
      <c r="R4747" s="48">
        <f t="shared" ca="1" si="535"/>
        <v>0.3</v>
      </c>
      <c r="S4747">
        <f t="shared" ca="1" si="536"/>
        <v>192.05254129372878</v>
      </c>
      <c r="T4747" s="61">
        <f t="shared" ca="1" si="537"/>
        <v>14400</v>
      </c>
      <c r="U4747" s="61">
        <f t="shared" ca="1" si="538"/>
        <v>15549.423124488116</v>
      </c>
      <c r="V4747" s="39">
        <f t="shared" ca="1" si="539"/>
        <v>0.10229883634531656</v>
      </c>
      <c r="W4747" s="48">
        <f t="shared" ca="1" si="540"/>
        <v>1.2034069716865101</v>
      </c>
    </row>
    <row r="4748" spans="17:23" x14ac:dyDescent="0.2">
      <c r="Q4748">
        <f t="shared" si="534"/>
        <v>4732</v>
      </c>
      <c r="R4748" s="48">
        <f t="shared" ca="1" si="535"/>
        <v>0.35</v>
      </c>
      <c r="S4748">
        <f t="shared" ca="1" si="536"/>
        <v>180.70988299961431</v>
      </c>
      <c r="T4748" s="61">
        <f t="shared" ca="1" si="537"/>
        <v>16800</v>
      </c>
      <c r="U4748" s="61">
        <f t="shared" ca="1" si="538"/>
        <v>11969.139159799441</v>
      </c>
      <c r="V4748" s="39">
        <f t="shared" ca="1" si="539"/>
        <v>7.8744336577627902E-2</v>
      </c>
      <c r="W4748" s="48">
        <f t="shared" ca="1" si="540"/>
        <v>0.84929350226387945</v>
      </c>
    </row>
    <row r="4749" spans="17:23" x14ac:dyDescent="0.2">
      <c r="Q4749">
        <f t="shared" si="534"/>
        <v>4733</v>
      </c>
      <c r="R4749" s="48">
        <f t="shared" ca="1" si="535"/>
        <v>0.3</v>
      </c>
      <c r="S4749">
        <f t="shared" ca="1" si="536"/>
        <v>209.39682937209577</v>
      </c>
      <c r="T4749" s="61">
        <f t="shared" ca="1" si="537"/>
        <v>14400</v>
      </c>
      <c r="U4749" s="61">
        <f t="shared" ca="1" si="538"/>
        <v>25262.224448373629</v>
      </c>
      <c r="V4749" s="39">
        <f t="shared" ca="1" si="539"/>
        <v>0.16619884505508967</v>
      </c>
      <c r="W4749" s="48">
        <f t="shared" ca="1" si="540"/>
        <v>2.4801665978700695</v>
      </c>
    </row>
    <row r="4750" spans="17:23" x14ac:dyDescent="0.2">
      <c r="Q4750">
        <f t="shared" si="534"/>
        <v>4734</v>
      </c>
      <c r="R4750" s="48">
        <f t="shared" ca="1" si="535"/>
        <v>0.45</v>
      </c>
      <c r="S4750">
        <f t="shared" ca="1" si="536"/>
        <v>159.55120316349615</v>
      </c>
      <c r="T4750" s="61">
        <f t="shared" ca="1" si="537"/>
        <v>21600</v>
      </c>
      <c r="U4750" s="61">
        <f t="shared" ca="1" si="538"/>
        <v>8202.5293919383057</v>
      </c>
      <c r="V4750" s="39">
        <f t="shared" ca="1" si="539"/>
        <v>5.3964009157488856E-2</v>
      </c>
      <c r="W4750" s="48">
        <f t="shared" ca="1" si="540"/>
        <v>0.53158972574914687</v>
      </c>
    </row>
    <row r="4751" spans="17:23" x14ac:dyDescent="0.2">
      <c r="Q4751">
        <f t="shared" si="534"/>
        <v>4735</v>
      </c>
      <c r="R4751" s="48">
        <f t="shared" ca="1" si="535"/>
        <v>0.35</v>
      </c>
      <c r="S4751">
        <f t="shared" ca="1" si="536"/>
        <v>186.66862967198514</v>
      </c>
      <c r="T4751" s="61">
        <f t="shared" ca="1" si="537"/>
        <v>16800</v>
      </c>
      <c r="U4751" s="61">
        <f t="shared" ca="1" si="538"/>
        <v>15067.687429432275</v>
      </c>
      <c r="V4751" s="39">
        <f t="shared" ca="1" si="539"/>
        <v>9.9129522562054442E-2</v>
      </c>
      <c r="W4751" s="48">
        <f t="shared" ca="1" si="540"/>
        <v>1.1525436704691314</v>
      </c>
    </row>
    <row r="4752" spans="17:23" x14ac:dyDescent="0.2">
      <c r="Q4752">
        <f t="shared" si="534"/>
        <v>4736</v>
      </c>
      <c r="R4752" s="48">
        <f t="shared" ca="1" si="535"/>
        <v>0.4</v>
      </c>
      <c r="S4752">
        <f t="shared" ca="1" si="536"/>
        <v>181.47744636169304</v>
      </c>
      <c r="T4752" s="61">
        <f t="shared" ca="1" si="537"/>
        <v>19200</v>
      </c>
      <c r="U4752" s="61">
        <f t="shared" ca="1" si="538"/>
        <v>15109.174253612659</v>
      </c>
      <c r="V4752" s="39">
        <f t="shared" ca="1" si="539"/>
        <v>9.9402462194820115E-2</v>
      </c>
      <c r="W4752" s="48">
        <f t="shared" ca="1" si="540"/>
        <v>1.1568831088602232</v>
      </c>
    </row>
    <row r="4753" spans="17:23" x14ac:dyDescent="0.2">
      <c r="Q4753">
        <f t="shared" si="534"/>
        <v>4737</v>
      </c>
      <c r="R4753" s="48">
        <f t="shared" ca="1" si="535"/>
        <v>0.3</v>
      </c>
      <c r="S4753">
        <f t="shared" ca="1" si="536"/>
        <v>209.18213317917809</v>
      </c>
      <c r="T4753" s="61">
        <f t="shared" ca="1" si="537"/>
        <v>14400</v>
      </c>
      <c r="U4753" s="61">
        <f t="shared" ca="1" si="538"/>
        <v>25141.994580339735</v>
      </c>
      <c r="V4753" s="39">
        <f t="shared" ca="1" si="539"/>
        <v>0.16540785908118247</v>
      </c>
      <c r="W4753" s="48">
        <f t="shared" ca="1" si="540"/>
        <v>2.4610667721564692</v>
      </c>
    </row>
    <row r="4754" spans="17:23" x14ac:dyDescent="0.2">
      <c r="Q4754">
        <f t="shared" si="534"/>
        <v>4738</v>
      </c>
      <c r="R4754" s="48">
        <f t="shared" ca="1" si="535"/>
        <v>0.217</v>
      </c>
      <c r="S4754">
        <f t="shared" ca="1" si="536"/>
        <v>165.78595983743168</v>
      </c>
      <c r="T4754" s="61">
        <f t="shared" ca="1" si="537"/>
        <v>10416</v>
      </c>
      <c r="U4754" s="61">
        <f t="shared" ca="1" si="538"/>
        <v>-4751.6747578327977</v>
      </c>
      <c r="V4754" s="39">
        <f t="shared" ca="1" si="539"/>
        <v>-3.1261018143636826E-2</v>
      </c>
      <c r="W4754" s="48">
        <f t="shared" ca="1" si="540"/>
        <v>-0.22710298925356776</v>
      </c>
    </row>
    <row r="4755" spans="17:23" x14ac:dyDescent="0.2">
      <c r="Q4755">
        <f t="shared" ref="Q4755:Q4818" si="541">Q4754+1</f>
        <v>4739</v>
      </c>
      <c r="R4755" s="48">
        <f t="shared" ref="R4755:R4818" ca="1" si="542">LOOKUP(RAND(),$U$6:$U$12,$S$6:$S$12)</f>
        <v>0.4</v>
      </c>
      <c r="S4755">
        <f t="shared" ref="S4755:S4818" ca="1" si="543">_xlfn.NORM.INV(RAND(),$Q$5,$Q$10)</f>
        <v>206.9948577424658</v>
      </c>
      <c r="T4755" s="61">
        <f t="shared" ca="1" si="537"/>
        <v>19200</v>
      </c>
      <c r="U4755" s="61">
        <f t="shared" ca="1" si="538"/>
        <v>27357.531716383583</v>
      </c>
      <c r="V4755" s="39">
        <f t="shared" ca="1" si="539"/>
        <v>0.17998376129199725</v>
      </c>
      <c r="W4755" s="48">
        <f t="shared" ca="1" si="540"/>
        <v>2.8281986960489616</v>
      </c>
    </row>
    <row r="4756" spans="17:23" x14ac:dyDescent="0.2">
      <c r="Q4756">
        <f t="shared" si="541"/>
        <v>4740</v>
      </c>
      <c r="R4756" s="48">
        <f t="shared" ca="1" si="542"/>
        <v>0.5</v>
      </c>
      <c r="S4756">
        <f t="shared" ca="1" si="543"/>
        <v>172.47766926892848</v>
      </c>
      <c r="T4756" s="61">
        <f t="shared" ca="1" si="537"/>
        <v>24000</v>
      </c>
      <c r="U4756" s="61">
        <f t="shared" ca="1" si="538"/>
        <v>16991.06770757139</v>
      </c>
      <c r="V4756" s="39">
        <f t="shared" ca="1" si="539"/>
        <v>0.11178334018139073</v>
      </c>
      <c r="W4756" s="48">
        <f t="shared" ca="1" si="540"/>
        <v>1.3619714667304117</v>
      </c>
    </row>
    <row r="4757" spans="17:23" x14ac:dyDescent="0.2">
      <c r="Q4757">
        <f t="shared" si="541"/>
        <v>4741</v>
      </c>
      <c r="R4757" s="48">
        <f t="shared" ca="1" si="542"/>
        <v>0.3</v>
      </c>
      <c r="S4757">
        <f t="shared" ca="1" si="543"/>
        <v>197.14998597546108</v>
      </c>
      <c r="T4757" s="61">
        <f t="shared" ca="1" si="537"/>
        <v>14400</v>
      </c>
      <c r="U4757" s="61">
        <f t="shared" ca="1" si="538"/>
        <v>18403.992146258202</v>
      </c>
      <c r="V4757" s="39">
        <f t="shared" ca="1" si="539"/>
        <v>0.12107889569906712</v>
      </c>
      <c r="W4757" s="48">
        <f t="shared" ca="1" si="540"/>
        <v>1.526995957880124</v>
      </c>
    </row>
    <row r="4758" spans="17:23" x14ac:dyDescent="0.2">
      <c r="Q4758">
        <f t="shared" si="541"/>
        <v>4742</v>
      </c>
      <c r="R4758" s="48">
        <f t="shared" ca="1" si="542"/>
        <v>0.3</v>
      </c>
      <c r="S4758">
        <f t="shared" ca="1" si="543"/>
        <v>183.65391513222841</v>
      </c>
      <c r="T4758" s="61">
        <f t="shared" ca="1" si="537"/>
        <v>14400</v>
      </c>
      <c r="U4758" s="61">
        <f t="shared" ca="1" si="538"/>
        <v>10846.192474047908</v>
      </c>
      <c r="V4758" s="39">
        <f t="shared" ca="1" si="539"/>
        <v>7.1356529434525709E-2</v>
      </c>
      <c r="W4758" s="48">
        <f t="shared" ca="1" si="540"/>
        <v>0.74903366429807439</v>
      </c>
    </row>
    <row r="4759" spans="17:23" x14ac:dyDescent="0.2">
      <c r="Q4759">
        <f t="shared" si="541"/>
        <v>4743</v>
      </c>
      <c r="R4759" s="48">
        <f t="shared" ca="1" si="542"/>
        <v>0.45</v>
      </c>
      <c r="S4759">
        <f t="shared" ca="1" si="543"/>
        <v>171.84558893448019</v>
      </c>
      <c r="T4759" s="61">
        <f t="shared" ca="1" si="537"/>
        <v>21600</v>
      </c>
      <c r="U4759" s="61">
        <f t="shared" ca="1" si="538"/>
        <v>13612.059131171281</v>
      </c>
      <c r="V4759" s="39">
        <f t="shared" ca="1" si="539"/>
        <v>8.9553020599811059E-2</v>
      </c>
      <c r="W4759" s="48">
        <f t="shared" ca="1" si="540"/>
        <v>1.0050520909406329</v>
      </c>
    </row>
    <row r="4760" spans="17:23" x14ac:dyDescent="0.2">
      <c r="Q4760">
        <f t="shared" si="541"/>
        <v>4744</v>
      </c>
      <c r="R4760" s="48">
        <f t="shared" ca="1" si="542"/>
        <v>0.3</v>
      </c>
      <c r="S4760">
        <f t="shared" ca="1" si="543"/>
        <v>178.91266410687047</v>
      </c>
      <c r="T4760" s="61">
        <f t="shared" ca="1" si="537"/>
        <v>14400</v>
      </c>
      <c r="U4760" s="61">
        <f t="shared" ca="1" si="538"/>
        <v>8191.0918998474608</v>
      </c>
      <c r="V4760" s="39">
        <f t="shared" ca="1" si="539"/>
        <v>5.3888762498996455E-2</v>
      </c>
      <c r="W4760" s="48">
        <f t="shared" ca="1" si="540"/>
        <v>0.53070303129635144</v>
      </c>
    </row>
    <row r="4761" spans="17:23" x14ac:dyDescent="0.2">
      <c r="Q4761">
        <f t="shared" si="541"/>
        <v>4745</v>
      </c>
      <c r="R4761" s="48">
        <f t="shared" ca="1" si="542"/>
        <v>0.4</v>
      </c>
      <c r="S4761">
        <f t="shared" ca="1" si="543"/>
        <v>193.46708944618908</v>
      </c>
      <c r="T4761" s="61">
        <f t="shared" ca="1" si="537"/>
        <v>19200</v>
      </c>
      <c r="U4761" s="61">
        <f t="shared" ca="1" si="538"/>
        <v>20864.202934170757</v>
      </c>
      <c r="V4761" s="39">
        <f t="shared" ca="1" si="539"/>
        <v>0.1372644929879655</v>
      </c>
      <c r="W4761" s="48">
        <f t="shared" ca="1" si="540"/>
        <v>1.8385638765838364</v>
      </c>
    </row>
    <row r="4762" spans="17:23" x14ac:dyDescent="0.2">
      <c r="Q4762">
        <f t="shared" si="541"/>
        <v>4746</v>
      </c>
      <c r="R4762" s="48">
        <f t="shared" ca="1" si="542"/>
        <v>0.5</v>
      </c>
      <c r="S4762">
        <f t="shared" ca="1" si="543"/>
        <v>184.55122065215366</v>
      </c>
      <c r="T4762" s="61">
        <f t="shared" ca="1" si="537"/>
        <v>24000</v>
      </c>
      <c r="U4762" s="61">
        <f t="shared" ca="1" si="538"/>
        <v>21820.488260861464</v>
      </c>
      <c r="V4762" s="39">
        <f t="shared" ca="1" si="539"/>
        <v>0.143555843821457</v>
      </c>
      <c r="W4762" s="48">
        <f t="shared" ca="1" si="540"/>
        <v>1.9684658875986343</v>
      </c>
    </row>
    <row r="4763" spans="17:23" x14ac:dyDescent="0.2">
      <c r="Q4763">
        <f t="shared" si="541"/>
        <v>4747</v>
      </c>
      <c r="R4763" s="48">
        <f t="shared" ca="1" si="542"/>
        <v>0.217</v>
      </c>
      <c r="S4763">
        <f t="shared" ca="1" si="543"/>
        <v>197.27507154391921</v>
      </c>
      <c r="T4763" s="61">
        <f t="shared" ca="1" si="537"/>
        <v>10416</v>
      </c>
      <c r="U4763" s="61">
        <f t="shared" ca="1" si="538"/>
        <v>14973.104815110994</v>
      </c>
      <c r="V4763" s="39">
        <f t="shared" ca="1" si="539"/>
        <v>9.8507268520467067E-2</v>
      </c>
      <c r="W4763" s="48">
        <f t="shared" ca="1" si="540"/>
        <v>1.1426791244431751</v>
      </c>
    </row>
    <row r="4764" spans="17:23" x14ac:dyDescent="0.2">
      <c r="Q4764">
        <f t="shared" si="541"/>
        <v>4748</v>
      </c>
      <c r="R4764" s="48">
        <f t="shared" ca="1" si="542"/>
        <v>0.3</v>
      </c>
      <c r="S4764">
        <f t="shared" ca="1" si="543"/>
        <v>194.6691958320456</v>
      </c>
      <c r="T4764" s="61">
        <f t="shared" ca="1" si="537"/>
        <v>14400</v>
      </c>
      <c r="U4764" s="61">
        <f t="shared" ca="1" si="538"/>
        <v>17014.749665945536</v>
      </c>
      <c r="V4764" s="39">
        <f t="shared" ca="1" si="539"/>
        <v>0.11193914253911537</v>
      </c>
      <c r="W4764" s="48">
        <f t="shared" ca="1" si="540"/>
        <v>1.3646575858194234</v>
      </c>
    </row>
    <row r="4765" spans="17:23" x14ac:dyDescent="0.2">
      <c r="Q4765">
        <f t="shared" si="541"/>
        <v>4749</v>
      </c>
      <c r="R4765" s="48">
        <f t="shared" ca="1" si="542"/>
        <v>0.4</v>
      </c>
      <c r="S4765">
        <f t="shared" ca="1" si="543"/>
        <v>201.8951985743611</v>
      </c>
      <c r="T4765" s="61">
        <f t="shared" ca="1" si="537"/>
        <v>19200</v>
      </c>
      <c r="U4765" s="61">
        <f t="shared" ca="1" si="538"/>
        <v>24909.69531569333</v>
      </c>
      <c r="V4765" s="39">
        <f t="shared" ca="1" si="539"/>
        <v>0.16387957444535087</v>
      </c>
      <c r="W4765" s="48">
        <f t="shared" ca="1" si="540"/>
        <v>2.4244236596908699</v>
      </c>
    </row>
    <row r="4766" spans="17:23" x14ac:dyDescent="0.2">
      <c r="Q4766">
        <f t="shared" si="541"/>
        <v>4750</v>
      </c>
      <c r="R4766" s="48">
        <f t="shared" ca="1" si="542"/>
        <v>0.4</v>
      </c>
      <c r="S4766">
        <f t="shared" ca="1" si="543"/>
        <v>201.4534669792921</v>
      </c>
      <c r="T4766" s="61">
        <f t="shared" ca="1" si="537"/>
        <v>19200</v>
      </c>
      <c r="U4766" s="61">
        <f t="shared" ca="1" si="538"/>
        <v>24697.664150060209</v>
      </c>
      <c r="V4766" s="39">
        <f t="shared" ca="1" si="539"/>
        <v>0.16248463256618559</v>
      </c>
      <c r="W4766" s="48">
        <f t="shared" ca="1" si="540"/>
        <v>2.3912750158173774</v>
      </c>
    </row>
    <row r="4767" spans="17:23" x14ac:dyDescent="0.2">
      <c r="Q4767">
        <f t="shared" si="541"/>
        <v>4751</v>
      </c>
      <c r="R4767" s="48">
        <f t="shared" ca="1" si="542"/>
        <v>0.4</v>
      </c>
      <c r="S4767">
        <f t="shared" ca="1" si="543"/>
        <v>214.85900557438998</v>
      </c>
      <c r="T4767" s="61">
        <f t="shared" ca="1" si="537"/>
        <v>19200</v>
      </c>
      <c r="U4767" s="61">
        <f t="shared" ca="1" si="538"/>
        <v>31132.32267570719</v>
      </c>
      <c r="V4767" s="39">
        <f t="shared" ca="1" si="539"/>
        <v>0.20481791234017888</v>
      </c>
      <c r="W4767" s="48">
        <f t="shared" ca="1" si="540"/>
        <v>3.5327586337434331</v>
      </c>
    </row>
    <row r="4768" spans="17:23" x14ac:dyDescent="0.2">
      <c r="Q4768">
        <f t="shared" si="541"/>
        <v>4752</v>
      </c>
      <c r="R4768" s="48">
        <f t="shared" ca="1" si="542"/>
        <v>0.45</v>
      </c>
      <c r="S4768">
        <f t="shared" ca="1" si="543"/>
        <v>180.48458422933422</v>
      </c>
      <c r="T4768" s="61">
        <f t="shared" ca="1" si="537"/>
        <v>21600</v>
      </c>
      <c r="U4768" s="61">
        <f t="shared" ca="1" si="538"/>
        <v>17413.217060907056</v>
      </c>
      <c r="V4768" s="39">
        <f t="shared" ca="1" si="539"/>
        <v>0.11456063855859905</v>
      </c>
      <c r="W4768" s="48">
        <f t="shared" ca="1" si="540"/>
        <v>1.4102570252671902</v>
      </c>
    </row>
    <row r="4769" spans="17:23" x14ac:dyDescent="0.2">
      <c r="Q4769">
        <f t="shared" si="541"/>
        <v>4753</v>
      </c>
      <c r="R4769" s="48">
        <f t="shared" ca="1" si="542"/>
        <v>0.3</v>
      </c>
      <c r="S4769">
        <f t="shared" ca="1" si="543"/>
        <v>202.79328376558996</v>
      </c>
      <c r="T4769" s="61">
        <f t="shared" ca="1" si="537"/>
        <v>14400</v>
      </c>
      <c r="U4769" s="61">
        <f t="shared" ca="1" si="538"/>
        <v>21564.238908730378</v>
      </c>
      <c r="V4769" s="39">
        <f t="shared" ca="1" si="539"/>
        <v>0.14186999282059459</v>
      </c>
      <c r="W4769" s="48">
        <f t="shared" ca="1" si="540"/>
        <v>1.9331558101895201</v>
      </c>
    </row>
    <row r="4770" spans="17:23" x14ac:dyDescent="0.2">
      <c r="Q4770">
        <f t="shared" si="541"/>
        <v>4754</v>
      </c>
      <c r="R4770" s="48">
        <f t="shared" ca="1" si="542"/>
        <v>0.35</v>
      </c>
      <c r="S4770">
        <f t="shared" ca="1" si="543"/>
        <v>206.2869096341378</v>
      </c>
      <c r="T4770" s="61">
        <f t="shared" ca="1" si="537"/>
        <v>16800</v>
      </c>
      <c r="U4770" s="61">
        <f t="shared" ca="1" si="538"/>
        <v>25269.193009751656</v>
      </c>
      <c r="V4770" s="39">
        <f t="shared" ca="1" si="539"/>
        <v>0.16624469085362931</v>
      </c>
      <c r="W4770" s="48">
        <f t="shared" ca="1" si="540"/>
        <v>2.4812764574231512</v>
      </c>
    </row>
    <row r="4771" spans="17:23" x14ac:dyDescent="0.2">
      <c r="Q4771">
        <f t="shared" si="541"/>
        <v>4755</v>
      </c>
      <c r="R4771" s="48">
        <f t="shared" ca="1" si="542"/>
        <v>0.45</v>
      </c>
      <c r="S4771">
        <f t="shared" ca="1" si="543"/>
        <v>202.72126337065757</v>
      </c>
      <c r="T4771" s="61">
        <f t="shared" ca="1" si="537"/>
        <v>21600</v>
      </c>
      <c r="U4771" s="61">
        <f t="shared" ca="1" si="538"/>
        <v>27197.355883089331</v>
      </c>
      <c r="V4771" s="39">
        <f t="shared" ca="1" si="539"/>
        <v>0.17892997291506138</v>
      </c>
      <c r="W4771" s="48">
        <f t="shared" ca="1" si="540"/>
        <v>2.8005564391201396</v>
      </c>
    </row>
    <row r="4772" spans="17:23" x14ac:dyDescent="0.2">
      <c r="Q4772">
        <f t="shared" si="541"/>
        <v>4756</v>
      </c>
      <c r="R4772" s="48">
        <f t="shared" ca="1" si="542"/>
        <v>0.217</v>
      </c>
      <c r="S4772">
        <f t="shared" ca="1" si="543"/>
        <v>204.08339127998093</v>
      </c>
      <c r="T4772" s="61">
        <f t="shared" ca="1" si="537"/>
        <v>10416</v>
      </c>
      <c r="U4772" s="61">
        <f t="shared" ca="1" si="538"/>
        <v>19237.836297780053</v>
      </c>
      <c r="V4772" s="39">
        <f t="shared" ca="1" si="539"/>
        <v>0.12656471248539508</v>
      </c>
      <c r="W4772" s="48">
        <f t="shared" ca="1" si="540"/>
        <v>1.6290559698757336</v>
      </c>
    </row>
    <row r="4773" spans="17:23" x14ac:dyDescent="0.2">
      <c r="Q4773">
        <f t="shared" si="541"/>
        <v>4757</v>
      </c>
      <c r="R4773" s="48">
        <f t="shared" ca="1" si="542"/>
        <v>0.3</v>
      </c>
      <c r="S4773">
        <f t="shared" ca="1" si="543"/>
        <v>165.18552067217942</v>
      </c>
      <c r="T4773" s="61">
        <f t="shared" ca="1" si="537"/>
        <v>14400</v>
      </c>
      <c r="U4773" s="61">
        <f t="shared" ca="1" si="538"/>
        <v>503.89157642047576</v>
      </c>
      <c r="V4773" s="39">
        <f t="shared" ca="1" si="539"/>
        <v>3.3150761606610245E-3</v>
      </c>
      <c r="W4773" s="48">
        <f t="shared" ca="1" si="540"/>
        <v>2.7208038820091263E-2</v>
      </c>
    </row>
    <row r="4774" spans="17:23" x14ac:dyDescent="0.2">
      <c r="Q4774">
        <f t="shared" si="541"/>
        <v>4758</v>
      </c>
      <c r="R4774" s="48">
        <f t="shared" ca="1" si="542"/>
        <v>0.45</v>
      </c>
      <c r="S4774">
        <f t="shared" ca="1" si="543"/>
        <v>178.49917526360099</v>
      </c>
      <c r="T4774" s="61">
        <f t="shared" ca="1" si="537"/>
        <v>21600</v>
      </c>
      <c r="U4774" s="61">
        <f t="shared" ca="1" si="538"/>
        <v>16539.637115984435</v>
      </c>
      <c r="V4774" s="39">
        <f t="shared" ca="1" si="539"/>
        <v>0.10881340207884496</v>
      </c>
      <c r="W4774" s="48">
        <f t="shared" ca="1" si="540"/>
        <v>1.3112770477340643</v>
      </c>
    </row>
    <row r="4775" spans="17:23" x14ac:dyDescent="0.2">
      <c r="Q4775">
        <f t="shared" si="541"/>
        <v>4759</v>
      </c>
      <c r="R4775" s="48">
        <f t="shared" ca="1" si="542"/>
        <v>0.217</v>
      </c>
      <c r="S4775">
        <f t="shared" ca="1" si="543"/>
        <v>194.95000174862233</v>
      </c>
      <c r="T4775" s="61">
        <f t="shared" ca="1" si="537"/>
        <v>10416</v>
      </c>
      <c r="U4775" s="61">
        <f t="shared" ca="1" si="538"/>
        <v>13516.681095337026</v>
      </c>
      <c r="V4775" s="39">
        <f t="shared" ca="1" si="539"/>
        <v>8.892553352195412E-2</v>
      </c>
      <c r="W4775" s="48">
        <f t="shared" ca="1" si="540"/>
        <v>0.99570506901659828</v>
      </c>
    </row>
    <row r="4776" spans="17:23" x14ac:dyDescent="0.2">
      <c r="Q4776">
        <f t="shared" si="541"/>
        <v>4760</v>
      </c>
      <c r="R4776" s="48">
        <f t="shared" ca="1" si="542"/>
        <v>0.35</v>
      </c>
      <c r="S4776">
        <f t="shared" ca="1" si="543"/>
        <v>219.56451437157529</v>
      </c>
      <c r="T4776" s="61">
        <f t="shared" ca="1" si="537"/>
        <v>16800</v>
      </c>
      <c r="U4776" s="61">
        <f t="shared" ca="1" si="538"/>
        <v>32173.547473219151</v>
      </c>
      <c r="V4776" s="39">
        <f t="shared" ca="1" si="539"/>
        <v>0.21166807548170494</v>
      </c>
      <c r="W4776" s="48">
        <f t="shared" ca="1" si="540"/>
        <v>3.7460703914599023</v>
      </c>
    </row>
    <row r="4777" spans="17:23" x14ac:dyDescent="0.2">
      <c r="Q4777">
        <f t="shared" si="541"/>
        <v>4761</v>
      </c>
      <c r="R4777" s="48">
        <f t="shared" ca="1" si="542"/>
        <v>0.4</v>
      </c>
      <c r="S4777">
        <f t="shared" ca="1" si="543"/>
        <v>184.53831026828959</v>
      </c>
      <c r="T4777" s="61">
        <f t="shared" ca="1" si="537"/>
        <v>19200</v>
      </c>
      <c r="U4777" s="61">
        <f t="shared" ca="1" si="538"/>
        <v>16578.388928779004</v>
      </c>
      <c r="V4777" s="39">
        <f t="shared" ca="1" si="539"/>
        <v>0.10906834821565134</v>
      </c>
      <c r="W4777" s="48">
        <f t="shared" ca="1" si="540"/>
        <v>1.315591020419328</v>
      </c>
    </row>
    <row r="4778" spans="17:23" x14ac:dyDescent="0.2">
      <c r="Q4778">
        <f t="shared" si="541"/>
        <v>4762</v>
      </c>
      <c r="R4778" s="48">
        <f t="shared" ca="1" si="542"/>
        <v>0.4</v>
      </c>
      <c r="S4778">
        <f t="shared" ca="1" si="543"/>
        <v>214.15228132666678</v>
      </c>
      <c r="T4778" s="61">
        <f t="shared" ca="1" si="537"/>
        <v>19200</v>
      </c>
      <c r="U4778" s="61">
        <f t="shared" ca="1" si="538"/>
        <v>30793.095036800056</v>
      </c>
      <c r="V4778" s="39">
        <f t="shared" ca="1" si="539"/>
        <v>0.20258615155789511</v>
      </c>
      <c r="W4778" s="48">
        <f t="shared" ca="1" si="540"/>
        <v>3.4651020279871272</v>
      </c>
    </row>
    <row r="4779" spans="17:23" x14ac:dyDescent="0.2">
      <c r="Q4779">
        <f t="shared" si="541"/>
        <v>4763</v>
      </c>
      <c r="R4779" s="48">
        <f t="shared" ca="1" si="542"/>
        <v>0.35</v>
      </c>
      <c r="S4779">
        <f t="shared" ca="1" si="543"/>
        <v>201.51809472072054</v>
      </c>
      <c r="T4779" s="61">
        <f t="shared" ca="1" si="537"/>
        <v>16800</v>
      </c>
      <c r="U4779" s="61">
        <f t="shared" ca="1" si="538"/>
        <v>22789.40925477468</v>
      </c>
      <c r="V4779" s="39">
        <f t="shared" ca="1" si="539"/>
        <v>0.14993032404457027</v>
      </c>
      <c r="W4779" s="48">
        <f t="shared" ca="1" si="540"/>
        <v>2.1053710049584771</v>
      </c>
    </row>
    <row r="4780" spans="17:23" x14ac:dyDescent="0.2">
      <c r="Q4780">
        <f t="shared" si="541"/>
        <v>4764</v>
      </c>
      <c r="R4780" s="48">
        <f t="shared" ca="1" si="542"/>
        <v>0.217</v>
      </c>
      <c r="S4780">
        <f t="shared" ca="1" si="543"/>
        <v>204.19568507014293</v>
      </c>
      <c r="T4780" s="61">
        <f t="shared" ca="1" si="537"/>
        <v>10416</v>
      </c>
      <c r="U4780" s="61">
        <f t="shared" ca="1" si="538"/>
        <v>19308.177127937532</v>
      </c>
      <c r="V4780" s="39">
        <f t="shared" ca="1" si="539"/>
        <v>0.12702748110485218</v>
      </c>
      <c r="W4780" s="48">
        <f t="shared" ca="1" si="540"/>
        <v>1.6378284484271259</v>
      </c>
    </row>
    <row r="4781" spans="17:23" x14ac:dyDescent="0.2">
      <c r="Q4781">
        <f t="shared" si="541"/>
        <v>4765</v>
      </c>
      <c r="R4781" s="48">
        <f t="shared" ca="1" si="542"/>
        <v>0.217</v>
      </c>
      <c r="S4781">
        <f t="shared" ca="1" si="543"/>
        <v>203.91530494016567</v>
      </c>
      <c r="T4781" s="61">
        <f t="shared" ca="1" si="537"/>
        <v>10416</v>
      </c>
      <c r="U4781" s="61">
        <f t="shared" ca="1" si="538"/>
        <v>19132.547014519776</v>
      </c>
      <c r="V4781" s="39">
        <f t="shared" ca="1" si="539"/>
        <v>0.12587201983236695</v>
      </c>
      <c r="W4781" s="48">
        <f t="shared" ca="1" si="540"/>
        <v>1.615972729737944</v>
      </c>
    </row>
    <row r="4782" spans="17:23" x14ac:dyDescent="0.2">
      <c r="Q4782">
        <f t="shared" si="541"/>
        <v>4766</v>
      </c>
      <c r="R4782" s="48">
        <f t="shared" ca="1" si="542"/>
        <v>0.3</v>
      </c>
      <c r="S4782">
        <f t="shared" ca="1" si="543"/>
        <v>211.1140128559741</v>
      </c>
      <c r="T4782" s="61">
        <f t="shared" ca="1" si="537"/>
        <v>14400</v>
      </c>
      <c r="U4782" s="61">
        <f t="shared" ca="1" si="538"/>
        <v>26223.847199345495</v>
      </c>
      <c r="V4782" s="39">
        <f t="shared" ca="1" si="539"/>
        <v>0.17252531052200984</v>
      </c>
      <c r="W4782" s="48">
        <f t="shared" ca="1" si="540"/>
        <v>2.6362862008994803</v>
      </c>
    </row>
    <row r="4783" spans="17:23" x14ac:dyDescent="0.2">
      <c r="Q4783">
        <f t="shared" si="541"/>
        <v>4767</v>
      </c>
      <c r="R4783" s="48">
        <f t="shared" ca="1" si="542"/>
        <v>0.3</v>
      </c>
      <c r="S4783">
        <f t="shared" ca="1" si="543"/>
        <v>193.21629259882147</v>
      </c>
      <c r="T4783" s="61">
        <f t="shared" ca="1" si="537"/>
        <v>14400</v>
      </c>
      <c r="U4783" s="61">
        <f t="shared" ca="1" si="538"/>
        <v>16201.123855340022</v>
      </c>
      <c r="V4783" s="39">
        <f t="shared" ca="1" si="539"/>
        <v>0.10658634115355277</v>
      </c>
      <c r="W4783" s="48">
        <f t="shared" ca="1" si="540"/>
        <v>1.2738912928178086</v>
      </c>
    </row>
    <row r="4784" spans="17:23" x14ac:dyDescent="0.2">
      <c r="Q4784">
        <f t="shared" si="541"/>
        <v>4768</v>
      </c>
      <c r="R4784" s="48">
        <f t="shared" ca="1" si="542"/>
        <v>0.3</v>
      </c>
      <c r="S4784">
        <f t="shared" ca="1" si="543"/>
        <v>158.32597285853114</v>
      </c>
      <c r="T4784" s="61">
        <f t="shared" ca="1" si="537"/>
        <v>14400</v>
      </c>
      <c r="U4784" s="61">
        <f t="shared" ca="1" si="538"/>
        <v>-3337.4551992225606</v>
      </c>
      <c r="V4784" s="39">
        <f t="shared" ca="1" si="539"/>
        <v>-2.1956942100148424E-2</v>
      </c>
      <c r="W4784" s="48">
        <f t="shared" ca="1" si="540"/>
        <v>-0.16479619834631398</v>
      </c>
    </row>
    <row r="4785" spans="17:23" x14ac:dyDescent="0.2">
      <c r="Q4785">
        <f t="shared" si="541"/>
        <v>4769</v>
      </c>
      <c r="R4785" s="48">
        <f t="shared" ca="1" si="542"/>
        <v>0.3</v>
      </c>
      <c r="S4785">
        <f t="shared" ca="1" si="543"/>
        <v>199.61791696619204</v>
      </c>
      <c r="T4785" s="61">
        <f t="shared" ca="1" si="537"/>
        <v>14400</v>
      </c>
      <c r="U4785" s="61">
        <f t="shared" ca="1" si="538"/>
        <v>19786.033501067541</v>
      </c>
      <c r="V4785" s="39">
        <f t="shared" ca="1" si="539"/>
        <v>0.13017127303333909</v>
      </c>
      <c r="W4785" s="48">
        <f t="shared" ca="1" si="540"/>
        <v>1.6981061448420651</v>
      </c>
    </row>
    <row r="4786" spans="17:23" x14ac:dyDescent="0.2">
      <c r="Q4786">
        <f t="shared" si="541"/>
        <v>4770</v>
      </c>
      <c r="R4786" s="48">
        <f t="shared" ca="1" si="542"/>
        <v>0.35</v>
      </c>
      <c r="S4786">
        <f t="shared" ca="1" si="543"/>
        <v>173.26661261847272</v>
      </c>
      <c r="T4786" s="61">
        <f t="shared" ca="1" si="537"/>
        <v>16800</v>
      </c>
      <c r="U4786" s="61">
        <f t="shared" ca="1" si="538"/>
        <v>8098.6385616058142</v>
      </c>
      <c r="V4786" s="39">
        <f t="shared" ca="1" si="539"/>
        <v>5.3280516852669831E-2</v>
      </c>
      <c r="W4786" s="48">
        <f t="shared" ca="1" si="540"/>
        <v>0.52355206946420818</v>
      </c>
    </row>
    <row r="4787" spans="17:23" x14ac:dyDescent="0.2">
      <c r="Q4787">
        <f t="shared" si="541"/>
        <v>4771</v>
      </c>
      <c r="R4787" s="48">
        <f t="shared" ca="1" si="542"/>
        <v>0.4</v>
      </c>
      <c r="S4787">
        <f t="shared" ca="1" si="543"/>
        <v>188.72911372441601</v>
      </c>
      <c r="T4787" s="61">
        <f t="shared" ca="1" si="537"/>
        <v>19200</v>
      </c>
      <c r="U4787" s="61">
        <f t="shared" ca="1" si="538"/>
        <v>18589.974587719684</v>
      </c>
      <c r="V4787" s="39">
        <f t="shared" ca="1" si="539"/>
        <v>0.12230246439289266</v>
      </c>
      <c r="W4787" s="48">
        <f t="shared" ca="1" si="540"/>
        <v>1.5494535339615472</v>
      </c>
    </row>
    <row r="4788" spans="17:23" x14ac:dyDescent="0.2">
      <c r="Q4788">
        <f t="shared" si="541"/>
        <v>4772</v>
      </c>
      <c r="R4788" s="48">
        <f t="shared" ca="1" si="542"/>
        <v>0.45</v>
      </c>
      <c r="S4788">
        <f t="shared" ca="1" si="543"/>
        <v>190.33803601902591</v>
      </c>
      <c r="T4788" s="61">
        <f t="shared" ca="1" si="537"/>
        <v>21600</v>
      </c>
      <c r="U4788" s="61">
        <f t="shared" ca="1" si="538"/>
        <v>21748.735848371398</v>
      </c>
      <c r="V4788" s="39">
        <f t="shared" ca="1" si="539"/>
        <v>0.14308378847612763</v>
      </c>
      <c r="W4788" s="48">
        <f t="shared" ca="1" si="540"/>
        <v>1.9585413426898888</v>
      </c>
    </row>
    <row r="4789" spans="17:23" x14ac:dyDescent="0.2">
      <c r="Q4789">
        <f t="shared" si="541"/>
        <v>4773</v>
      </c>
      <c r="R4789" s="48">
        <f t="shared" ca="1" si="542"/>
        <v>0.3</v>
      </c>
      <c r="S4789">
        <f t="shared" ca="1" si="543"/>
        <v>183.34849329230946</v>
      </c>
      <c r="T4789" s="61">
        <f t="shared" ca="1" si="537"/>
        <v>14400</v>
      </c>
      <c r="U4789" s="61">
        <f t="shared" ca="1" si="538"/>
        <v>10675.156243693295</v>
      </c>
      <c r="V4789" s="39">
        <f t="shared" ca="1" si="539"/>
        <v>7.0231291076929575E-2</v>
      </c>
      <c r="W4789" s="48">
        <f t="shared" ca="1" si="540"/>
        <v>0.73418909332745619</v>
      </c>
    </row>
    <row r="4790" spans="17:23" x14ac:dyDescent="0.2">
      <c r="Q4790">
        <f t="shared" si="541"/>
        <v>4774</v>
      </c>
      <c r="R4790" s="48">
        <f t="shared" ca="1" si="542"/>
        <v>0.3</v>
      </c>
      <c r="S4790">
        <f t="shared" ca="1" si="543"/>
        <v>201.20638139802983</v>
      </c>
      <c r="T4790" s="61">
        <f t="shared" ca="1" si="537"/>
        <v>14400</v>
      </c>
      <c r="U4790" s="61">
        <f t="shared" ca="1" si="538"/>
        <v>20675.573582896708</v>
      </c>
      <c r="V4790" s="39">
        <f t="shared" ca="1" si="539"/>
        <v>0.13602351041379412</v>
      </c>
      <c r="W4790" s="48">
        <f t="shared" ca="1" si="540"/>
        <v>1.8135374571894074</v>
      </c>
    </row>
    <row r="4791" spans="17:23" x14ac:dyDescent="0.2">
      <c r="Q4791">
        <f t="shared" si="541"/>
        <v>4775</v>
      </c>
      <c r="R4791" s="48">
        <f t="shared" ca="1" si="542"/>
        <v>0.45</v>
      </c>
      <c r="S4791">
        <f t="shared" ca="1" si="543"/>
        <v>166.78292788087506</v>
      </c>
      <c r="T4791" s="61">
        <f t="shared" ca="1" si="537"/>
        <v>21600</v>
      </c>
      <c r="U4791" s="61">
        <f t="shared" ca="1" si="538"/>
        <v>11384.488267585028</v>
      </c>
      <c r="V4791" s="39">
        <f t="shared" ca="1" si="539"/>
        <v>7.4897949128848867E-2</v>
      </c>
      <c r="W4791" s="48">
        <f t="shared" ca="1" si="540"/>
        <v>0.79648304353142918</v>
      </c>
    </row>
    <row r="4792" spans="17:23" x14ac:dyDescent="0.2">
      <c r="Q4792">
        <f t="shared" si="541"/>
        <v>4776</v>
      </c>
      <c r="R4792" s="48">
        <f t="shared" ca="1" si="542"/>
        <v>0.4</v>
      </c>
      <c r="S4792">
        <f t="shared" ca="1" si="543"/>
        <v>158.4367271712855</v>
      </c>
      <c r="T4792" s="61">
        <f t="shared" ca="1" si="537"/>
        <v>19200</v>
      </c>
      <c r="U4792" s="61">
        <f t="shared" ca="1" si="538"/>
        <v>4049.6290422170387</v>
      </c>
      <c r="V4792" s="39">
        <f t="shared" ca="1" si="539"/>
        <v>2.6642296330375254E-2</v>
      </c>
      <c r="W4792" s="48">
        <f t="shared" ca="1" si="540"/>
        <v>0.23771888107424477</v>
      </c>
    </row>
    <row r="4793" spans="17:23" x14ac:dyDescent="0.2">
      <c r="Q4793">
        <f t="shared" si="541"/>
        <v>4777</v>
      </c>
      <c r="R4793" s="48">
        <f t="shared" ca="1" si="542"/>
        <v>0.15</v>
      </c>
      <c r="S4793">
        <f t="shared" ca="1" si="543"/>
        <v>206.29751450127495</v>
      </c>
      <c r="T4793" s="61">
        <f t="shared" ref="T4793:T4856" ca="1" si="544">($B$8-$B$7)*($E$6*R4793)</f>
        <v>7200</v>
      </c>
      <c r="U4793" s="61">
        <f t="shared" ref="U4793:U4856" ca="1" si="545">T4793+((S4793-$B$7)*($E$6*(1-R4793)))</f>
        <v>18282.309860866964</v>
      </c>
      <c r="V4793" s="39">
        <f t="shared" ref="V4793:V4856" ca="1" si="546">U4793/$E$4</f>
        <v>0.12027835434780898</v>
      </c>
      <c r="W4793" s="48">
        <f t="shared" ref="W4793:W4856" ca="1" si="547">(1+V4793)^($J$29/$J$30)-1</f>
        <v>1.5123967248457415</v>
      </c>
    </row>
    <row r="4794" spans="17:23" x14ac:dyDescent="0.2">
      <c r="Q4794">
        <f t="shared" si="541"/>
        <v>4778</v>
      </c>
      <c r="R4794" s="48">
        <f t="shared" ca="1" si="542"/>
        <v>0.45</v>
      </c>
      <c r="S4794">
        <f t="shared" ca="1" si="543"/>
        <v>173.50607684431694</v>
      </c>
      <c r="T4794" s="61">
        <f t="shared" ca="1" si="544"/>
        <v>21600</v>
      </c>
      <c r="U4794" s="61">
        <f t="shared" ca="1" si="545"/>
        <v>14342.673811499451</v>
      </c>
      <c r="V4794" s="39">
        <f t="shared" ca="1" si="546"/>
        <v>9.4359696128285861E-2</v>
      </c>
      <c r="W4794" s="48">
        <f t="shared" ca="1" si="547"/>
        <v>1.0779344457250919</v>
      </c>
    </row>
    <row r="4795" spans="17:23" x14ac:dyDescent="0.2">
      <c r="Q4795">
        <f t="shared" si="541"/>
        <v>4779</v>
      </c>
      <c r="R4795" s="48">
        <f t="shared" ca="1" si="542"/>
        <v>0.35</v>
      </c>
      <c r="S4795">
        <f t="shared" ca="1" si="543"/>
        <v>169.87780273704533</v>
      </c>
      <c r="T4795" s="61">
        <f t="shared" ca="1" si="544"/>
        <v>16800</v>
      </c>
      <c r="U4795" s="61">
        <f t="shared" ca="1" si="545"/>
        <v>6336.4574232635714</v>
      </c>
      <c r="V4795" s="39">
        <f t="shared" ca="1" si="546"/>
        <v>4.1687219889891915E-2</v>
      </c>
      <c r="W4795" s="48">
        <f t="shared" ca="1" si="547"/>
        <v>0.39273824932238743</v>
      </c>
    </row>
    <row r="4796" spans="17:23" x14ac:dyDescent="0.2">
      <c r="Q4796">
        <f t="shared" si="541"/>
        <v>4780</v>
      </c>
      <c r="R4796" s="48">
        <f t="shared" ca="1" si="542"/>
        <v>0.3</v>
      </c>
      <c r="S4796">
        <f t="shared" ca="1" si="543"/>
        <v>177.86196066862891</v>
      </c>
      <c r="T4796" s="61">
        <f t="shared" ca="1" si="544"/>
        <v>14400</v>
      </c>
      <c r="U4796" s="61">
        <f t="shared" ca="1" si="545"/>
        <v>7602.6979744321898</v>
      </c>
      <c r="V4796" s="39">
        <f t="shared" ca="1" si="546"/>
        <v>5.001774983179072E-2</v>
      </c>
      <c r="W4796" s="48">
        <f t="shared" ca="1" si="547"/>
        <v>0.48569036525224218</v>
      </c>
    </row>
    <row r="4797" spans="17:23" x14ac:dyDescent="0.2">
      <c r="Q4797">
        <f t="shared" si="541"/>
        <v>4781</v>
      </c>
      <c r="R4797" s="48">
        <f t="shared" ca="1" si="542"/>
        <v>0.45</v>
      </c>
      <c r="S4797">
        <f t="shared" ca="1" si="543"/>
        <v>206.09278668689561</v>
      </c>
      <c r="T4797" s="61">
        <f t="shared" ca="1" si="544"/>
        <v>21600</v>
      </c>
      <c r="U4797" s="61">
        <f t="shared" ca="1" si="545"/>
        <v>28680.826142234069</v>
      </c>
      <c r="V4797" s="39">
        <f t="shared" ca="1" si="546"/>
        <v>0.18868964567259255</v>
      </c>
      <c r="W4797" s="48">
        <f t="shared" ca="1" si="547"/>
        <v>3.0633925487419722</v>
      </c>
    </row>
    <row r="4798" spans="17:23" x14ac:dyDescent="0.2">
      <c r="Q4798">
        <f t="shared" si="541"/>
        <v>4782</v>
      </c>
      <c r="R4798" s="48">
        <f t="shared" ca="1" si="542"/>
        <v>0.35</v>
      </c>
      <c r="S4798">
        <f t="shared" ca="1" si="543"/>
        <v>186.8982099018005</v>
      </c>
      <c r="T4798" s="61">
        <f t="shared" ca="1" si="544"/>
        <v>16800</v>
      </c>
      <c r="U4798" s="61">
        <f t="shared" ca="1" si="545"/>
        <v>15187.06914893626</v>
      </c>
      <c r="V4798" s="39">
        <f t="shared" ca="1" si="546"/>
        <v>9.991492861142276E-2</v>
      </c>
      <c r="W4798" s="48">
        <f t="shared" ca="1" si="547"/>
        <v>1.1650514813309738</v>
      </c>
    </row>
    <row r="4799" spans="17:23" x14ac:dyDescent="0.2">
      <c r="Q4799">
        <f t="shared" si="541"/>
        <v>4783</v>
      </c>
      <c r="R4799" s="48">
        <f t="shared" ca="1" si="542"/>
        <v>0.3</v>
      </c>
      <c r="S4799">
        <f t="shared" ca="1" si="543"/>
        <v>212.76325349983358</v>
      </c>
      <c r="T4799" s="61">
        <f t="shared" ca="1" si="544"/>
        <v>14400</v>
      </c>
      <c r="U4799" s="61">
        <f t="shared" ca="1" si="545"/>
        <v>27147.421959906806</v>
      </c>
      <c r="V4799" s="39">
        <f t="shared" ca="1" si="546"/>
        <v>0.17860146026254478</v>
      </c>
      <c r="W4799" s="48">
        <f t="shared" ca="1" si="547"/>
        <v>2.7919749753160801</v>
      </c>
    </row>
    <row r="4800" spans="17:23" x14ac:dyDescent="0.2">
      <c r="Q4800">
        <f t="shared" si="541"/>
        <v>4784</v>
      </c>
      <c r="R4800" s="48">
        <f t="shared" ca="1" si="542"/>
        <v>0.3</v>
      </c>
      <c r="S4800">
        <f t="shared" ca="1" si="543"/>
        <v>237.2832959294619</v>
      </c>
      <c r="T4800" s="61">
        <f t="shared" ca="1" si="544"/>
        <v>14400</v>
      </c>
      <c r="U4800" s="61">
        <f t="shared" ca="1" si="545"/>
        <v>40878.645720498665</v>
      </c>
      <c r="V4800" s="39">
        <f t="shared" ca="1" si="546"/>
        <v>0.26893845868749122</v>
      </c>
      <c r="W4800" s="48">
        <f t="shared" ca="1" si="547"/>
        <v>5.902682156788476</v>
      </c>
    </row>
    <row r="4801" spans="17:23" x14ac:dyDescent="0.2">
      <c r="Q4801">
        <f t="shared" si="541"/>
        <v>4785</v>
      </c>
      <c r="R4801" s="48">
        <f t="shared" ca="1" si="542"/>
        <v>0.217</v>
      </c>
      <c r="S4801">
        <f t="shared" ca="1" si="543"/>
        <v>203.94226048344441</v>
      </c>
      <c r="T4801" s="61">
        <f t="shared" ca="1" si="544"/>
        <v>10416</v>
      </c>
      <c r="U4801" s="61">
        <f t="shared" ca="1" si="545"/>
        <v>19149.431966829579</v>
      </c>
      <c r="V4801" s="39">
        <f t="shared" ca="1" si="546"/>
        <v>0.12598310504493143</v>
      </c>
      <c r="W4801" s="48">
        <f t="shared" ca="1" si="547"/>
        <v>1.6180670020303056</v>
      </c>
    </row>
    <row r="4802" spans="17:23" x14ac:dyDescent="0.2">
      <c r="Q4802">
        <f t="shared" si="541"/>
        <v>4786</v>
      </c>
      <c r="R4802" s="48">
        <f t="shared" ca="1" si="542"/>
        <v>0.45</v>
      </c>
      <c r="S4802">
        <f t="shared" ca="1" si="543"/>
        <v>169.75857055800353</v>
      </c>
      <c r="T4802" s="61">
        <f t="shared" ca="1" si="544"/>
        <v>21600</v>
      </c>
      <c r="U4802" s="61">
        <f t="shared" ca="1" si="545"/>
        <v>12693.771045521551</v>
      </c>
      <c r="V4802" s="39">
        <f t="shared" ca="1" si="546"/>
        <v>8.3511651615273366E-2</v>
      </c>
      <c r="W4802" s="48">
        <f t="shared" ca="1" si="547"/>
        <v>0.91663354800327346</v>
      </c>
    </row>
    <row r="4803" spans="17:23" x14ac:dyDescent="0.2">
      <c r="Q4803">
        <f t="shared" si="541"/>
        <v>4787</v>
      </c>
      <c r="R4803" s="48">
        <f t="shared" ca="1" si="542"/>
        <v>0.45</v>
      </c>
      <c r="S4803">
        <f t="shared" ca="1" si="543"/>
        <v>233.43027223168815</v>
      </c>
      <c r="T4803" s="61">
        <f t="shared" ca="1" si="544"/>
        <v>21600</v>
      </c>
      <c r="U4803" s="61">
        <f t="shared" ca="1" si="545"/>
        <v>40709.319781942788</v>
      </c>
      <c r="V4803" s="39">
        <f t="shared" ca="1" si="546"/>
        <v>0.26782447224962358</v>
      </c>
      <c r="W4803" s="48">
        <f t="shared" ca="1" si="547"/>
        <v>5.8536837136942692</v>
      </c>
    </row>
    <row r="4804" spans="17:23" x14ac:dyDescent="0.2">
      <c r="Q4804">
        <f t="shared" si="541"/>
        <v>4788</v>
      </c>
      <c r="R4804" s="48">
        <f t="shared" ca="1" si="542"/>
        <v>0.4</v>
      </c>
      <c r="S4804">
        <f t="shared" ca="1" si="543"/>
        <v>143.53545183549983</v>
      </c>
      <c r="T4804" s="61">
        <f t="shared" ca="1" si="544"/>
        <v>19200</v>
      </c>
      <c r="U4804" s="61">
        <f t="shared" ca="1" si="545"/>
        <v>-3102.9831189600809</v>
      </c>
      <c r="V4804" s="39">
        <f t="shared" ca="1" si="546"/>
        <v>-2.0414362624737375E-2</v>
      </c>
      <c r="W4804" s="48">
        <f t="shared" ca="1" si="547"/>
        <v>-0.15405138582442679</v>
      </c>
    </row>
    <row r="4805" spans="17:23" x14ac:dyDescent="0.2">
      <c r="Q4805">
        <f t="shared" si="541"/>
        <v>4789</v>
      </c>
      <c r="R4805" s="48">
        <f t="shared" ca="1" si="542"/>
        <v>0.217</v>
      </c>
      <c r="S4805">
        <f t="shared" ca="1" si="543"/>
        <v>197.37177368158498</v>
      </c>
      <c r="T4805" s="61">
        <f t="shared" ca="1" si="544"/>
        <v>10416</v>
      </c>
      <c r="U4805" s="61">
        <f t="shared" ca="1" si="545"/>
        <v>15033.679034144832</v>
      </c>
      <c r="V4805" s="39">
        <f t="shared" ca="1" si="546"/>
        <v>9.8905783119373897E-2</v>
      </c>
      <c r="W4805" s="48">
        <f t="shared" ca="1" si="547"/>
        <v>1.148992171544903</v>
      </c>
    </row>
    <row r="4806" spans="17:23" x14ac:dyDescent="0.2">
      <c r="Q4806">
        <f t="shared" si="541"/>
        <v>4790</v>
      </c>
      <c r="R4806" s="48">
        <f t="shared" ca="1" si="542"/>
        <v>0.3</v>
      </c>
      <c r="S4806">
        <f t="shared" ca="1" si="543"/>
        <v>181.80044668089212</v>
      </c>
      <c r="T4806" s="61">
        <f t="shared" ca="1" si="544"/>
        <v>14400</v>
      </c>
      <c r="U4806" s="61">
        <f t="shared" ca="1" si="545"/>
        <v>9808.250141299588</v>
      </c>
      <c r="V4806" s="39">
        <f t="shared" ca="1" si="546"/>
        <v>6.452796145591834E-2</v>
      </c>
      <c r="W4806" s="48">
        <f t="shared" ca="1" si="547"/>
        <v>0.6606344350996447</v>
      </c>
    </row>
    <row r="4807" spans="17:23" x14ac:dyDescent="0.2">
      <c r="Q4807">
        <f t="shared" si="541"/>
        <v>4791</v>
      </c>
      <c r="R4807" s="48">
        <f t="shared" ca="1" si="542"/>
        <v>0.35</v>
      </c>
      <c r="S4807">
        <f t="shared" ca="1" si="543"/>
        <v>214.08105062501488</v>
      </c>
      <c r="T4807" s="61">
        <f t="shared" ca="1" si="544"/>
        <v>16800</v>
      </c>
      <c r="U4807" s="61">
        <f t="shared" ca="1" si="545"/>
        <v>29322.14632500774</v>
      </c>
      <c r="V4807" s="39">
        <f t="shared" ca="1" si="546"/>
        <v>0.19290885740136671</v>
      </c>
      <c r="W4807" s="48">
        <f t="shared" ca="1" si="547"/>
        <v>3.1818651487166179</v>
      </c>
    </row>
    <row r="4808" spans="17:23" x14ac:dyDescent="0.2">
      <c r="Q4808">
        <f t="shared" si="541"/>
        <v>4792</v>
      </c>
      <c r="R4808" s="48">
        <f t="shared" ca="1" si="542"/>
        <v>0.3</v>
      </c>
      <c r="S4808">
        <f t="shared" ca="1" si="543"/>
        <v>192.2260330751046</v>
      </c>
      <c r="T4808" s="61">
        <f t="shared" ca="1" si="544"/>
        <v>14400</v>
      </c>
      <c r="U4808" s="61">
        <f t="shared" ca="1" si="545"/>
        <v>15646.578522058573</v>
      </c>
      <c r="V4808" s="39">
        <f t="shared" ca="1" si="546"/>
        <v>0.10293801659249061</v>
      </c>
      <c r="W4808" s="48">
        <f t="shared" ca="1" si="547"/>
        <v>1.213791687066843</v>
      </c>
    </row>
    <row r="4809" spans="17:23" x14ac:dyDescent="0.2">
      <c r="Q4809">
        <f t="shared" si="541"/>
        <v>4793</v>
      </c>
      <c r="R4809" s="48">
        <f t="shared" ca="1" si="542"/>
        <v>0.45</v>
      </c>
      <c r="S4809">
        <f t="shared" ca="1" si="543"/>
        <v>170.73849407830809</v>
      </c>
      <c r="T4809" s="61">
        <f t="shared" ca="1" si="544"/>
        <v>21600</v>
      </c>
      <c r="U4809" s="61">
        <f t="shared" ca="1" si="545"/>
        <v>13124.937394455561</v>
      </c>
      <c r="V4809" s="39">
        <f t="shared" ca="1" si="546"/>
        <v>8.6348272331944476E-2</v>
      </c>
      <c r="W4809" s="48">
        <f t="shared" ca="1" si="547"/>
        <v>0.95771373772333224</v>
      </c>
    </row>
    <row r="4810" spans="17:23" x14ac:dyDescent="0.2">
      <c r="Q4810">
        <f t="shared" si="541"/>
        <v>4794</v>
      </c>
      <c r="R4810" s="48">
        <f t="shared" ca="1" si="542"/>
        <v>0.35</v>
      </c>
      <c r="S4810">
        <f t="shared" ca="1" si="543"/>
        <v>205.94275557429927</v>
      </c>
      <c r="T4810" s="61">
        <f t="shared" ca="1" si="544"/>
        <v>16800</v>
      </c>
      <c r="U4810" s="61">
        <f t="shared" ca="1" si="545"/>
        <v>25090.232898635622</v>
      </c>
      <c r="V4810" s="39">
        <f t="shared" ca="1" si="546"/>
        <v>0.16506732170155014</v>
      </c>
      <c r="W4810" s="48">
        <f t="shared" ca="1" si="547"/>
        <v>2.4528722053473642</v>
      </c>
    </row>
    <row r="4811" spans="17:23" x14ac:dyDescent="0.2">
      <c r="Q4811">
        <f t="shared" si="541"/>
        <v>4795</v>
      </c>
      <c r="R4811" s="48">
        <f t="shared" ca="1" si="542"/>
        <v>0.45</v>
      </c>
      <c r="S4811">
        <f t="shared" ca="1" si="543"/>
        <v>194.66747395011427</v>
      </c>
      <c r="T4811" s="61">
        <f t="shared" ca="1" si="544"/>
        <v>21600</v>
      </c>
      <c r="U4811" s="61">
        <f t="shared" ca="1" si="545"/>
        <v>23653.688538050279</v>
      </c>
      <c r="V4811" s="39">
        <f t="shared" ca="1" si="546"/>
        <v>0.15561637196085709</v>
      </c>
      <c r="W4811" s="48">
        <f t="shared" ca="1" si="547"/>
        <v>2.2321297478810931</v>
      </c>
    </row>
    <row r="4812" spans="17:23" x14ac:dyDescent="0.2">
      <c r="Q4812">
        <f t="shared" si="541"/>
        <v>4796</v>
      </c>
      <c r="R4812" s="48">
        <f t="shared" ca="1" si="542"/>
        <v>0.4</v>
      </c>
      <c r="S4812">
        <f t="shared" ca="1" si="543"/>
        <v>207.93582452146563</v>
      </c>
      <c r="T4812" s="61">
        <f t="shared" ca="1" si="544"/>
        <v>19200</v>
      </c>
      <c r="U4812" s="61">
        <f t="shared" ca="1" si="545"/>
        <v>27809.195770303504</v>
      </c>
      <c r="V4812" s="39">
        <f t="shared" ca="1" si="546"/>
        <v>0.1829552353309441</v>
      </c>
      <c r="W4812" s="48">
        <f t="shared" ca="1" si="547"/>
        <v>2.9070959358043127</v>
      </c>
    </row>
    <row r="4813" spans="17:23" x14ac:dyDescent="0.2">
      <c r="Q4813">
        <f t="shared" si="541"/>
        <v>4797</v>
      </c>
      <c r="R4813" s="48">
        <f t="shared" ca="1" si="542"/>
        <v>0.4</v>
      </c>
      <c r="S4813">
        <f t="shared" ca="1" si="543"/>
        <v>210.62240535384251</v>
      </c>
      <c r="T4813" s="61">
        <f t="shared" ca="1" si="544"/>
        <v>19200</v>
      </c>
      <c r="U4813" s="61">
        <f t="shared" ca="1" si="545"/>
        <v>29098.754569844405</v>
      </c>
      <c r="V4813" s="39">
        <f t="shared" ca="1" si="546"/>
        <v>0.19143917480160794</v>
      </c>
      <c r="W4813" s="48">
        <f t="shared" ca="1" si="547"/>
        <v>3.1402582979126246</v>
      </c>
    </row>
    <row r="4814" spans="17:23" x14ac:dyDescent="0.2">
      <c r="Q4814">
        <f t="shared" si="541"/>
        <v>4798</v>
      </c>
      <c r="R4814" s="48">
        <f t="shared" ca="1" si="542"/>
        <v>0.3</v>
      </c>
      <c r="S4814">
        <f t="shared" ca="1" si="543"/>
        <v>183.22613751468006</v>
      </c>
      <c r="T4814" s="61">
        <f t="shared" ca="1" si="544"/>
        <v>14400</v>
      </c>
      <c r="U4814" s="61">
        <f t="shared" ca="1" si="545"/>
        <v>10606.637008220834</v>
      </c>
      <c r="V4814" s="39">
        <f t="shared" ca="1" si="546"/>
        <v>6.97805066330318E-2</v>
      </c>
      <c r="W4814" s="48">
        <f t="shared" ca="1" si="547"/>
        <v>0.72827323527919918</v>
      </c>
    </row>
    <row r="4815" spans="17:23" x14ac:dyDescent="0.2">
      <c r="Q4815">
        <f t="shared" si="541"/>
        <v>4799</v>
      </c>
      <c r="R4815" s="48">
        <f t="shared" ca="1" si="542"/>
        <v>0.4</v>
      </c>
      <c r="S4815">
        <f t="shared" ca="1" si="543"/>
        <v>178.31948955741893</v>
      </c>
      <c r="T4815" s="61">
        <f t="shared" ca="1" si="544"/>
        <v>19200</v>
      </c>
      <c r="U4815" s="61">
        <f t="shared" ca="1" si="545"/>
        <v>13593.354987561088</v>
      </c>
      <c r="V4815" s="39">
        <f t="shared" ca="1" si="546"/>
        <v>8.9429967023428217E-2</v>
      </c>
      <c r="W4815" s="48">
        <f t="shared" ca="1" si="547"/>
        <v>1.0032160705898483</v>
      </c>
    </row>
    <row r="4816" spans="17:23" x14ac:dyDescent="0.2">
      <c r="Q4816">
        <f t="shared" si="541"/>
        <v>4800</v>
      </c>
      <c r="R4816" s="48">
        <f t="shared" ca="1" si="542"/>
        <v>0.3</v>
      </c>
      <c r="S4816">
        <f t="shared" ca="1" si="543"/>
        <v>168.66702808728544</v>
      </c>
      <c r="T4816" s="61">
        <f t="shared" ca="1" si="544"/>
        <v>14400</v>
      </c>
      <c r="U4816" s="61">
        <f t="shared" ca="1" si="545"/>
        <v>2453.5357288798496</v>
      </c>
      <c r="V4816" s="39">
        <f t="shared" ca="1" si="546"/>
        <v>1.6141682426841115E-2</v>
      </c>
      <c r="W4816" s="48">
        <f t="shared" ca="1" si="547"/>
        <v>0.13869346758936341</v>
      </c>
    </row>
    <row r="4817" spans="17:23" x14ac:dyDescent="0.2">
      <c r="Q4817">
        <f t="shared" si="541"/>
        <v>4801</v>
      </c>
      <c r="R4817" s="48">
        <f t="shared" ca="1" si="542"/>
        <v>0.3</v>
      </c>
      <c r="S4817">
        <f t="shared" ca="1" si="543"/>
        <v>186.63625722971281</v>
      </c>
      <c r="T4817" s="61">
        <f t="shared" ca="1" si="544"/>
        <v>14400</v>
      </c>
      <c r="U4817" s="61">
        <f t="shared" ca="1" si="545"/>
        <v>12516.304048639175</v>
      </c>
      <c r="V4817" s="39">
        <f t="shared" ca="1" si="546"/>
        <v>8.2344105583152472E-2</v>
      </c>
      <c r="W4817" s="48">
        <f t="shared" ca="1" si="547"/>
        <v>0.89994585086646595</v>
      </c>
    </row>
    <row r="4818" spans="17:23" x14ac:dyDescent="0.2">
      <c r="Q4818">
        <f t="shared" si="541"/>
        <v>4802</v>
      </c>
      <c r="R4818" s="48">
        <f t="shared" ca="1" si="542"/>
        <v>0.4</v>
      </c>
      <c r="S4818">
        <f t="shared" ca="1" si="543"/>
        <v>223.74030130295</v>
      </c>
      <c r="T4818" s="61">
        <f t="shared" ca="1" si="544"/>
        <v>19200</v>
      </c>
      <c r="U4818" s="61">
        <f t="shared" ca="1" si="545"/>
        <v>35395.344625416001</v>
      </c>
      <c r="V4818" s="39">
        <f t="shared" ca="1" si="546"/>
        <v>0.23286410937773686</v>
      </c>
      <c r="W4818" s="48">
        <f t="shared" ca="1" si="547"/>
        <v>4.4629014769014352</v>
      </c>
    </row>
    <row r="4819" spans="17:23" x14ac:dyDescent="0.2">
      <c r="Q4819">
        <f t="shared" ref="Q4819:Q4882" si="548">Q4818+1</f>
        <v>4803</v>
      </c>
      <c r="R4819" s="48">
        <f t="shared" ref="R4819:R4882" ca="1" si="549">LOOKUP(RAND(),$U$6:$U$12,$S$6:$S$12)</f>
        <v>0.4</v>
      </c>
      <c r="S4819">
        <f t="shared" ref="S4819:S4882" ca="1" si="550">_xlfn.NORM.INV(RAND(),$Q$5,$Q$10)</f>
        <v>177.28556547097958</v>
      </c>
      <c r="T4819" s="61">
        <f t="shared" ca="1" si="544"/>
        <v>19200</v>
      </c>
      <c r="U4819" s="61">
        <f t="shared" ca="1" si="545"/>
        <v>13097.071426070197</v>
      </c>
      <c r="V4819" s="39">
        <f t="shared" ca="1" si="546"/>
        <v>8.6164943592567086E-2</v>
      </c>
      <c r="W4819" s="48">
        <f t="shared" ca="1" si="547"/>
        <v>0.95503561522914193</v>
      </c>
    </row>
    <row r="4820" spans="17:23" x14ac:dyDescent="0.2">
      <c r="Q4820">
        <f t="shared" si="548"/>
        <v>4804</v>
      </c>
      <c r="R4820" s="48">
        <f t="shared" ca="1" si="549"/>
        <v>0.4</v>
      </c>
      <c r="S4820">
        <f t="shared" ca="1" si="550"/>
        <v>199.57326534626188</v>
      </c>
      <c r="T4820" s="61">
        <f t="shared" ca="1" si="544"/>
        <v>19200</v>
      </c>
      <c r="U4820" s="61">
        <f t="shared" ca="1" si="545"/>
        <v>23795.1673662057</v>
      </c>
      <c r="V4820" s="39">
        <f t="shared" ca="1" si="546"/>
        <v>0.1565471537250375</v>
      </c>
      <c r="W4820" s="48">
        <f t="shared" ca="1" si="547"/>
        <v>2.2533059125799282</v>
      </c>
    </row>
    <row r="4821" spans="17:23" x14ac:dyDescent="0.2">
      <c r="Q4821">
        <f t="shared" si="548"/>
        <v>4805</v>
      </c>
      <c r="R4821" s="48">
        <f t="shared" ca="1" si="549"/>
        <v>0.3</v>
      </c>
      <c r="S4821">
        <f t="shared" ca="1" si="550"/>
        <v>174.29442382959317</v>
      </c>
      <c r="T4821" s="61">
        <f t="shared" ca="1" si="544"/>
        <v>14400</v>
      </c>
      <c r="U4821" s="61">
        <f t="shared" ca="1" si="545"/>
        <v>5604.8773445721763</v>
      </c>
      <c r="V4821" s="39">
        <f t="shared" ca="1" si="546"/>
        <v>3.6874193056395894E-2</v>
      </c>
      <c r="W4821" s="48">
        <f t="shared" ca="1" si="547"/>
        <v>0.34139246867888939</v>
      </c>
    </row>
    <row r="4822" spans="17:23" x14ac:dyDescent="0.2">
      <c r="Q4822">
        <f t="shared" si="548"/>
        <v>4806</v>
      </c>
      <c r="R4822" s="48">
        <f t="shared" ca="1" si="549"/>
        <v>0.45</v>
      </c>
      <c r="S4822">
        <f t="shared" ca="1" si="550"/>
        <v>201.15165175268058</v>
      </c>
      <c r="T4822" s="61">
        <f t="shared" ca="1" si="544"/>
        <v>21600</v>
      </c>
      <c r="U4822" s="61">
        <f t="shared" ca="1" si="545"/>
        <v>26506.726771179456</v>
      </c>
      <c r="V4822" s="39">
        <f t="shared" ca="1" si="546"/>
        <v>0.17438636033670696</v>
      </c>
      <c r="W4822" s="48">
        <f t="shared" ca="1" si="547"/>
        <v>2.6833650781655267</v>
      </c>
    </row>
    <row r="4823" spans="17:23" x14ac:dyDescent="0.2">
      <c r="Q4823">
        <f t="shared" si="548"/>
        <v>4807</v>
      </c>
      <c r="R4823" s="48">
        <f t="shared" ca="1" si="549"/>
        <v>0.3</v>
      </c>
      <c r="S4823">
        <f t="shared" ca="1" si="550"/>
        <v>208.58339120567882</v>
      </c>
      <c r="T4823" s="61">
        <f t="shared" ca="1" si="544"/>
        <v>14400</v>
      </c>
      <c r="U4823" s="61">
        <f t="shared" ca="1" si="545"/>
        <v>24806.699075180142</v>
      </c>
      <c r="V4823" s="39">
        <f t="shared" ca="1" si="546"/>
        <v>0.16320196759986935</v>
      </c>
      <c r="W4823" s="48">
        <f t="shared" ca="1" si="547"/>
        <v>2.4082860684820426</v>
      </c>
    </row>
    <row r="4824" spans="17:23" x14ac:dyDescent="0.2">
      <c r="Q4824">
        <f t="shared" si="548"/>
        <v>4808</v>
      </c>
      <c r="R4824" s="48">
        <f t="shared" ca="1" si="549"/>
        <v>0.4</v>
      </c>
      <c r="S4824">
        <f t="shared" ca="1" si="550"/>
        <v>207.01136889373839</v>
      </c>
      <c r="T4824" s="61">
        <f t="shared" ca="1" si="544"/>
        <v>19200</v>
      </c>
      <c r="U4824" s="61">
        <f t="shared" ca="1" si="545"/>
        <v>27365.45706899443</v>
      </c>
      <c r="V4824" s="39">
        <f t="shared" ca="1" si="546"/>
        <v>0.18003590176970019</v>
      </c>
      <c r="W4824" s="48">
        <f t="shared" ca="1" si="547"/>
        <v>2.82957097382491</v>
      </c>
    </row>
    <row r="4825" spans="17:23" x14ac:dyDescent="0.2">
      <c r="Q4825">
        <f t="shared" si="548"/>
        <v>4809</v>
      </c>
      <c r="R4825" s="48">
        <f t="shared" ca="1" si="549"/>
        <v>0.4</v>
      </c>
      <c r="S4825">
        <f t="shared" ca="1" si="550"/>
        <v>178.80918062054872</v>
      </c>
      <c r="T4825" s="61">
        <f t="shared" ca="1" si="544"/>
        <v>19200</v>
      </c>
      <c r="U4825" s="61">
        <f t="shared" ca="1" si="545"/>
        <v>13828.406697863384</v>
      </c>
      <c r="V4825" s="39">
        <f t="shared" ca="1" si="546"/>
        <v>9.0976359854364364E-2</v>
      </c>
      <c r="W4825" s="48">
        <f t="shared" ca="1" si="547"/>
        <v>1.0263964915622608</v>
      </c>
    </row>
    <row r="4826" spans="17:23" x14ac:dyDescent="0.2">
      <c r="Q4826">
        <f t="shared" si="548"/>
        <v>4810</v>
      </c>
      <c r="R4826" s="48">
        <f t="shared" ca="1" si="549"/>
        <v>0.4</v>
      </c>
      <c r="S4826">
        <f t="shared" ca="1" si="550"/>
        <v>198.68942014848585</v>
      </c>
      <c r="T4826" s="61">
        <f t="shared" ca="1" si="544"/>
        <v>19200</v>
      </c>
      <c r="U4826" s="61">
        <f t="shared" ca="1" si="545"/>
        <v>23370.921671273209</v>
      </c>
      <c r="V4826" s="39">
        <f t="shared" ca="1" si="546"/>
        <v>0.15375606362679742</v>
      </c>
      <c r="W4826" s="48">
        <f t="shared" ca="1" si="547"/>
        <v>2.1901677999008835</v>
      </c>
    </row>
    <row r="4827" spans="17:23" x14ac:dyDescent="0.2">
      <c r="Q4827">
        <f t="shared" si="548"/>
        <v>4811</v>
      </c>
      <c r="R4827" s="48">
        <f t="shared" ca="1" si="549"/>
        <v>0.35</v>
      </c>
      <c r="S4827">
        <f t="shared" ca="1" si="550"/>
        <v>157.45124025091565</v>
      </c>
      <c r="T4827" s="61">
        <f t="shared" ca="1" si="544"/>
        <v>16800</v>
      </c>
      <c r="U4827" s="61">
        <f t="shared" ca="1" si="545"/>
        <v>-125.35506952386277</v>
      </c>
      <c r="V4827" s="39">
        <f t="shared" ca="1" si="546"/>
        <v>-8.2470440476225507E-4</v>
      </c>
      <c r="W4827" s="48">
        <f t="shared" ca="1" si="547"/>
        <v>-6.6696871526866763E-3</v>
      </c>
    </row>
    <row r="4828" spans="17:23" x14ac:dyDescent="0.2">
      <c r="Q4828">
        <f t="shared" si="548"/>
        <v>4812</v>
      </c>
      <c r="R4828" s="48">
        <f t="shared" ca="1" si="549"/>
        <v>0.3</v>
      </c>
      <c r="S4828">
        <f t="shared" ca="1" si="550"/>
        <v>196.86945372394803</v>
      </c>
      <c r="T4828" s="61">
        <f t="shared" ca="1" si="544"/>
        <v>14400</v>
      </c>
      <c r="U4828" s="61">
        <f t="shared" ca="1" si="545"/>
        <v>18246.894085410895</v>
      </c>
      <c r="V4828" s="39">
        <f t="shared" ca="1" si="546"/>
        <v>0.12004535582507168</v>
      </c>
      <c r="W4828" s="48">
        <f t="shared" ca="1" si="547"/>
        <v>1.5081615177541789</v>
      </c>
    </row>
    <row r="4829" spans="17:23" x14ac:dyDescent="0.2">
      <c r="Q4829">
        <f t="shared" si="548"/>
        <v>4813</v>
      </c>
      <c r="R4829" s="48">
        <f t="shared" ca="1" si="549"/>
        <v>0.45</v>
      </c>
      <c r="S4829">
        <f t="shared" ca="1" si="550"/>
        <v>199.43958186292826</v>
      </c>
      <c r="T4829" s="61">
        <f t="shared" ca="1" si="544"/>
        <v>21600</v>
      </c>
      <c r="U4829" s="61">
        <f t="shared" ca="1" si="545"/>
        <v>25753.416019688437</v>
      </c>
      <c r="V4829" s="39">
        <f t="shared" ca="1" si="546"/>
        <v>0.16943036855058183</v>
      </c>
      <c r="W4829" s="48">
        <f t="shared" ca="1" si="547"/>
        <v>2.5591611243875061</v>
      </c>
    </row>
    <row r="4830" spans="17:23" x14ac:dyDescent="0.2">
      <c r="Q4830">
        <f t="shared" si="548"/>
        <v>4814</v>
      </c>
      <c r="R4830" s="48">
        <f t="shared" ca="1" si="549"/>
        <v>0.217</v>
      </c>
      <c r="S4830">
        <f t="shared" ca="1" si="550"/>
        <v>147.69729495010472</v>
      </c>
      <c r="T4830" s="61">
        <f t="shared" ca="1" si="544"/>
        <v>10416</v>
      </c>
      <c r="U4830" s="61">
        <f t="shared" ca="1" si="545"/>
        <v>-16082.414443254402</v>
      </c>
      <c r="V4830" s="39">
        <f t="shared" ca="1" si="546"/>
        <v>-0.10580535817930528</v>
      </c>
      <c r="W4830" s="48">
        <f t="shared" ca="1" si="547"/>
        <v>-0.59629877438091494</v>
      </c>
    </row>
    <row r="4831" spans="17:23" x14ac:dyDescent="0.2">
      <c r="Q4831">
        <f t="shared" si="548"/>
        <v>4815</v>
      </c>
      <c r="R4831" s="48">
        <f t="shared" ca="1" si="549"/>
        <v>0.3</v>
      </c>
      <c r="S4831">
        <f t="shared" ca="1" si="550"/>
        <v>208.61098833927434</v>
      </c>
      <c r="T4831" s="61">
        <f t="shared" ca="1" si="544"/>
        <v>14400</v>
      </c>
      <c r="U4831" s="61">
        <f t="shared" ca="1" si="545"/>
        <v>24822.153469993631</v>
      </c>
      <c r="V4831" s="39">
        <f t="shared" ca="1" si="546"/>
        <v>0.16330364124995811</v>
      </c>
      <c r="W4831" s="48">
        <f t="shared" ca="1" si="547"/>
        <v>2.4107032243280342</v>
      </c>
    </row>
    <row r="4832" spans="17:23" x14ac:dyDescent="0.2">
      <c r="Q4832">
        <f t="shared" si="548"/>
        <v>4816</v>
      </c>
      <c r="R4832" s="48">
        <f t="shared" ca="1" si="549"/>
        <v>0.217</v>
      </c>
      <c r="S4832">
        <f t="shared" ca="1" si="550"/>
        <v>208.57985888697274</v>
      </c>
      <c r="T4832" s="61">
        <f t="shared" ca="1" si="544"/>
        <v>10416</v>
      </c>
      <c r="U4832" s="61">
        <f t="shared" ca="1" si="545"/>
        <v>22054.423606799726</v>
      </c>
      <c r="V4832" s="39">
        <f t="shared" ca="1" si="546"/>
        <v>0.14509489214999821</v>
      </c>
      <c r="W4832" s="48">
        <f t="shared" ca="1" si="547"/>
        <v>2.0010260238452156</v>
      </c>
    </row>
    <row r="4833" spans="17:23" x14ac:dyDescent="0.2">
      <c r="Q4833">
        <f t="shared" si="548"/>
        <v>4817</v>
      </c>
      <c r="R4833" s="48">
        <f t="shared" ca="1" si="549"/>
        <v>0.35</v>
      </c>
      <c r="S4833">
        <f t="shared" ca="1" si="550"/>
        <v>206.8357847872914</v>
      </c>
      <c r="T4833" s="61">
        <f t="shared" ca="1" si="544"/>
        <v>16800</v>
      </c>
      <c r="U4833" s="61">
        <f t="shared" ca="1" si="545"/>
        <v>25554.608089391528</v>
      </c>
      <c r="V4833" s="39">
        <f t="shared" ca="1" si="546"/>
        <v>0.16812242164073374</v>
      </c>
      <c r="W4833" s="48">
        <f t="shared" ca="1" si="547"/>
        <v>2.5270010392692752</v>
      </c>
    </row>
    <row r="4834" spans="17:23" x14ac:dyDescent="0.2">
      <c r="Q4834">
        <f t="shared" si="548"/>
        <v>4818</v>
      </c>
      <c r="R4834" s="48">
        <f t="shared" ca="1" si="549"/>
        <v>0.15</v>
      </c>
      <c r="S4834">
        <f t="shared" ca="1" si="550"/>
        <v>172.21934254005163</v>
      </c>
      <c r="T4834" s="61">
        <f t="shared" ca="1" si="544"/>
        <v>7200</v>
      </c>
      <c r="U4834" s="61">
        <f t="shared" ca="1" si="545"/>
        <v>-4890.8470727648928</v>
      </c>
      <c r="V4834" s="39">
        <f t="shared" ca="1" si="546"/>
        <v>-3.21766254787164E-2</v>
      </c>
      <c r="W4834" s="48">
        <f t="shared" ca="1" si="547"/>
        <v>-0.23300833536654486</v>
      </c>
    </row>
    <row r="4835" spans="17:23" x14ac:dyDescent="0.2">
      <c r="Q4835">
        <f t="shared" si="548"/>
        <v>4819</v>
      </c>
      <c r="R4835" s="48">
        <f t="shared" ca="1" si="549"/>
        <v>0.217</v>
      </c>
      <c r="S4835">
        <f t="shared" ca="1" si="550"/>
        <v>218.41532355628405</v>
      </c>
      <c r="T4835" s="61">
        <f t="shared" ca="1" si="544"/>
        <v>10416</v>
      </c>
      <c r="U4835" s="61">
        <f t="shared" ca="1" si="545"/>
        <v>28215.358675656327</v>
      </c>
      <c r="V4835" s="39">
        <f t="shared" ca="1" si="546"/>
        <v>0.1856273597082653</v>
      </c>
      <c r="W4835" s="48">
        <f t="shared" ca="1" si="547"/>
        <v>2.9792586481980075</v>
      </c>
    </row>
    <row r="4836" spans="17:23" x14ac:dyDescent="0.2">
      <c r="Q4836">
        <f t="shared" si="548"/>
        <v>4820</v>
      </c>
      <c r="R4836" s="48">
        <f t="shared" ca="1" si="549"/>
        <v>0.45</v>
      </c>
      <c r="S4836">
        <f t="shared" ca="1" si="550"/>
        <v>186.28268428097741</v>
      </c>
      <c r="T4836" s="61">
        <f t="shared" ca="1" si="544"/>
        <v>21600</v>
      </c>
      <c r="U4836" s="61">
        <f t="shared" ca="1" si="545"/>
        <v>19964.381083630058</v>
      </c>
      <c r="V4836" s="39">
        <f t="shared" ca="1" si="546"/>
        <v>0.13134461239230302</v>
      </c>
      <c r="W4836" s="48">
        <f t="shared" ca="1" si="547"/>
        <v>1.7209107378781181</v>
      </c>
    </row>
    <row r="4837" spans="17:23" x14ac:dyDescent="0.2">
      <c r="Q4837">
        <f t="shared" si="548"/>
        <v>4821</v>
      </c>
      <c r="R4837" s="48">
        <f t="shared" ca="1" si="549"/>
        <v>0.4</v>
      </c>
      <c r="S4837">
        <f t="shared" ca="1" si="550"/>
        <v>182.96122947676321</v>
      </c>
      <c r="T4837" s="61">
        <f t="shared" ca="1" si="544"/>
        <v>19200</v>
      </c>
      <c r="U4837" s="61">
        <f t="shared" ca="1" si="545"/>
        <v>15821.39014884634</v>
      </c>
      <c r="V4837" s="39">
        <f t="shared" ca="1" si="546"/>
        <v>0.10408809308451539</v>
      </c>
      <c r="W4837" s="48">
        <f t="shared" ca="1" si="547"/>
        <v>1.2325849985306365</v>
      </c>
    </row>
    <row r="4838" spans="17:23" x14ac:dyDescent="0.2">
      <c r="Q4838">
        <f t="shared" si="548"/>
        <v>4822</v>
      </c>
      <c r="R4838" s="48">
        <f t="shared" ca="1" si="549"/>
        <v>0.3</v>
      </c>
      <c r="S4838">
        <f t="shared" ca="1" si="550"/>
        <v>201.57515784565459</v>
      </c>
      <c r="T4838" s="61">
        <f t="shared" ca="1" si="544"/>
        <v>14400</v>
      </c>
      <c r="U4838" s="61">
        <f t="shared" ca="1" si="545"/>
        <v>20882.08839356657</v>
      </c>
      <c r="V4838" s="39">
        <f t="shared" ca="1" si="546"/>
        <v>0.1373821604839906</v>
      </c>
      <c r="W4838" s="48">
        <f t="shared" ca="1" si="547"/>
        <v>1.840946930263462</v>
      </c>
    </row>
    <row r="4839" spans="17:23" x14ac:dyDescent="0.2">
      <c r="Q4839">
        <f t="shared" si="548"/>
        <v>4823</v>
      </c>
      <c r="R4839" s="48">
        <f t="shared" ca="1" si="549"/>
        <v>0.45</v>
      </c>
      <c r="S4839">
        <f t="shared" ca="1" si="550"/>
        <v>188.36419080382015</v>
      </c>
      <c r="T4839" s="61">
        <f t="shared" ca="1" si="544"/>
        <v>21600</v>
      </c>
      <c r="U4839" s="61">
        <f t="shared" ca="1" si="545"/>
        <v>20880.243953680867</v>
      </c>
      <c r="V4839" s="39">
        <f t="shared" ca="1" si="546"/>
        <v>0.13737002601105833</v>
      </c>
      <c r="W4839" s="48">
        <f t="shared" ca="1" si="547"/>
        <v>1.8407010965154185</v>
      </c>
    </row>
    <row r="4840" spans="17:23" x14ac:dyDescent="0.2">
      <c r="Q4840">
        <f t="shared" si="548"/>
        <v>4824</v>
      </c>
      <c r="R4840" s="48">
        <f t="shared" ca="1" si="549"/>
        <v>0.3</v>
      </c>
      <c r="S4840">
        <f t="shared" ca="1" si="550"/>
        <v>228.1002012276841</v>
      </c>
      <c r="T4840" s="61">
        <f t="shared" ca="1" si="544"/>
        <v>14400</v>
      </c>
      <c r="U4840" s="61">
        <f t="shared" ca="1" si="545"/>
        <v>35736.11268750309</v>
      </c>
      <c r="V4840" s="39">
        <f t="shared" ca="1" si="546"/>
        <v>0.23510600452304664</v>
      </c>
      <c r="W4840" s="48">
        <f t="shared" ca="1" si="547"/>
        <v>4.54400002732012</v>
      </c>
    </row>
    <row r="4841" spans="17:23" x14ac:dyDescent="0.2">
      <c r="Q4841">
        <f t="shared" si="548"/>
        <v>4825</v>
      </c>
      <c r="R4841" s="48">
        <f t="shared" ca="1" si="549"/>
        <v>0.45</v>
      </c>
      <c r="S4841">
        <f t="shared" ca="1" si="550"/>
        <v>207.44405375016871</v>
      </c>
      <c r="T4841" s="61">
        <f t="shared" ca="1" si="544"/>
        <v>21600</v>
      </c>
      <c r="U4841" s="61">
        <f t="shared" ca="1" si="545"/>
        <v>29275.383650074233</v>
      </c>
      <c r="V4841" s="39">
        <f t="shared" ca="1" si="546"/>
        <v>0.19260120822417259</v>
      </c>
      <c r="W4841" s="48">
        <f t="shared" ca="1" si="547"/>
        <v>3.1731253655018108</v>
      </c>
    </row>
    <row r="4842" spans="17:23" x14ac:dyDescent="0.2">
      <c r="Q4842">
        <f t="shared" si="548"/>
        <v>4826</v>
      </c>
      <c r="R4842" s="48">
        <f t="shared" ca="1" si="549"/>
        <v>0.35</v>
      </c>
      <c r="S4842">
        <f t="shared" ca="1" si="550"/>
        <v>193.37350366500823</v>
      </c>
      <c r="T4842" s="61">
        <f t="shared" ca="1" si="544"/>
        <v>16800</v>
      </c>
      <c r="U4842" s="61">
        <f t="shared" ca="1" si="545"/>
        <v>18554.221905804279</v>
      </c>
      <c r="V4842" s="39">
        <f t="shared" ca="1" si="546"/>
        <v>0.12206724938029131</v>
      </c>
      <c r="W4842" s="48">
        <f t="shared" ca="1" si="547"/>
        <v>1.5451228253730611</v>
      </c>
    </row>
    <row r="4843" spans="17:23" x14ac:dyDescent="0.2">
      <c r="Q4843">
        <f t="shared" si="548"/>
        <v>4827</v>
      </c>
      <c r="R4843" s="48">
        <f t="shared" ca="1" si="549"/>
        <v>0.15</v>
      </c>
      <c r="S4843">
        <f t="shared" ca="1" si="550"/>
        <v>181.56319356623635</v>
      </c>
      <c r="T4843" s="61">
        <f t="shared" ca="1" si="544"/>
        <v>7200</v>
      </c>
      <c r="U4843" s="61">
        <f t="shared" ca="1" si="545"/>
        <v>1462.9716250407182</v>
      </c>
      <c r="V4843" s="39">
        <f t="shared" ca="1" si="546"/>
        <v>9.6248133226363042E-3</v>
      </c>
      <c r="W4843" s="48">
        <f t="shared" ca="1" si="547"/>
        <v>8.0792565617143319E-2</v>
      </c>
    </row>
    <row r="4844" spans="17:23" x14ac:dyDescent="0.2">
      <c r="Q4844">
        <f t="shared" si="548"/>
        <v>4828</v>
      </c>
      <c r="R4844" s="48">
        <f t="shared" ca="1" si="549"/>
        <v>0.45</v>
      </c>
      <c r="S4844">
        <f t="shared" ca="1" si="550"/>
        <v>193.88255072555953</v>
      </c>
      <c r="T4844" s="61">
        <f t="shared" ca="1" si="544"/>
        <v>21600</v>
      </c>
      <c r="U4844" s="61">
        <f t="shared" ca="1" si="545"/>
        <v>23308.322319246192</v>
      </c>
      <c r="V4844" s="39">
        <f t="shared" ca="1" si="546"/>
        <v>0.15334422578451443</v>
      </c>
      <c r="W4844" s="48">
        <f t="shared" ca="1" si="547"/>
        <v>2.1809430417523958</v>
      </c>
    </row>
    <row r="4845" spans="17:23" x14ac:dyDescent="0.2">
      <c r="Q4845">
        <f t="shared" si="548"/>
        <v>4829</v>
      </c>
      <c r="R4845" s="48">
        <f t="shared" ca="1" si="549"/>
        <v>0.4</v>
      </c>
      <c r="S4845">
        <f t="shared" ca="1" si="550"/>
        <v>195.82742967286271</v>
      </c>
      <c r="T4845" s="61">
        <f t="shared" ca="1" si="544"/>
        <v>19200</v>
      </c>
      <c r="U4845" s="61">
        <f t="shared" ca="1" si="545"/>
        <v>21997.166242974097</v>
      </c>
      <c r="V4845" s="39">
        <f t="shared" ca="1" si="546"/>
        <v>0.14471819896693486</v>
      </c>
      <c r="W4845" s="48">
        <f t="shared" ca="1" si="547"/>
        <v>1.9930278936569317</v>
      </c>
    </row>
    <row r="4846" spans="17:23" x14ac:dyDescent="0.2">
      <c r="Q4846">
        <f t="shared" si="548"/>
        <v>4830</v>
      </c>
      <c r="R4846" s="48">
        <f t="shared" ca="1" si="549"/>
        <v>0.35</v>
      </c>
      <c r="S4846">
        <f t="shared" ca="1" si="550"/>
        <v>184.94889080941118</v>
      </c>
      <c r="T4846" s="61">
        <f t="shared" ca="1" si="544"/>
        <v>16800</v>
      </c>
      <c r="U4846" s="61">
        <f t="shared" ca="1" si="545"/>
        <v>14173.423220893816</v>
      </c>
      <c r="V4846" s="39">
        <f t="shared" ca="1" si="546"/>
        <v>9.3246205400617205E-2</v>
      </c>
      <c r="W4846" s="48">
        <f t="shared" ca="1" si="547"/>
        <v>1.0608473610872733</v>
      </c>
    </row>
    <row r="4847" spans="17:23" x14ac:dyDescent="0.2">
      <c r="Q4847">
        <f t="shared" si="548"/>
        <v>4831</v>
      </c>
      <c r="R4847" s="48">
        <f t="shared" ca="1" si="549"/>
        <v>0.35</v>
      </c>
      <c r="S4847">
        <f t="shared" ca="1" si="550"/>
        <v>195.96787834730804</v>
      </c>
      <c r="T4847" s="61">
        <f t="shared" ca="1" si="544"/>
        <v>16800</v>
      </c>
      <c r="U4847" s="61">
        <f t="shared" ca="1" si="545"/>
        <v>19903.296740600184</v>
      </c>
      <c r="V4847" s="39">
        <f t="shared" ca="1" si="546"/>
        <v>0.1309427417144749</v>
      </c>
      <c r="W4847" s="48">
        <f t="shared" ca="1" si="547"/>
        <v>1.7130811735999423</v>
      </c>
    </row>
    <row r="4848" spans="17:23" x14ac:dyDescent="0.2">
      <c r="Q4848">
        <f t="shared" si="548"/>
        <v>4832</v>
      </c>
      <c r="R4848" s="48">
        <f t="shared" ca="1" si="549"/>
        <v>0.45</v>
      </c>
      <c r="S4848">
        <f t="shared" ca="1" si="550"/>
        <v>219.68799567182924</v>
      </c>
      <c r="T4848" s="61">
        <f t="shared" ca="1" si="544"/>
        <v>21600</v>
      </c>
      <c r="U4848" s="61">
        <f t="shared" ca="1" si="545"/>
        <v>34662.718095604869</v>
      </c>
      <c r="V4848" s="39">
        <f t="shared" ca="1" si="546"/>
        <v>0.22804419799740044</v>
      </c>
      <c r="W4848" s="48">
        <f t="shared" ca="1" si="547"/>
        <v>4.2920586308328925</v>
      </c>
    </row>
    <row r="4849" spans="17:23" x14ac:dyDescent="0.2">
      <c r="Q4849">
        <f t="shared" si="548"/>
        <v>4833</v>
      </c>
      <c r="R4849" s="48">
        <f t="shared" ca="1" si="549"/>
        <v>0.45</v>
      </c>
      <c r="S4849">
        <f t="shared" ca="1" si="550"/>
        <v>206.4735591293408</v>
      </c>
      <c r="T4849" s="61">
        <f t="shared" ca="1" si="544"/>
        <v>21600</v>
      </c>
      <c r="U4849" s="61">
        <f t="shared" ca="1" si="545"/>
        <v>28848.366016909953</v>
      </c>
      <c r="V4849" s="39">
        <f t="shared" ca="1" si="546"/>
        <v>0.18979188169019706</v>
      </c>
      <c r="W4849" s="48">
        <f t="shared" ca="1" si="547"/>
        <v>3.0940550404717033</v>
      </c>
    </row>
    <row r="4850" spans="17:23" x14ac:dyDescent="0.2">
      <c r="Q4850">
        <f t="shared" si="548"/>
        <v>4834</v>
      </c>
      <c r="R4850" s="48">
        <f t="shared" ca="1" si="549"/>
        <v>0.3</v>
      </c>
      <c r="S4850">
        <f t="shared" ca="1" si="550"/>
        <v>179.55558966255018</v>
      </c>
      <c r="T4850" s="61">
        <f t="shared" ca="1" si="544"/>
        <v>14400</v>
      </c>
      <c r="U4850" s="61">
        <f t="shared" ca="1" si="545"/>
        <v>8551.1302110280994</v>
      </c>
      <c r="V4850" s="39">
        <f t="shared" ca="1" si="546"/>
        <v>5.6257435598869074E-2</v>
      </c>
      <c r="W4850" s="48">
        <f t="shared" ca="1" si="547"/>
        <v>0.55883202802986398</v>
      </c>
    </row>
    <row r="4851" spans="17:23" x14ac:dyDescent="0.2">
      <c r="Q4851">
        <f t="shared" si="548"/>
        <v>4835</v>
      </c>
      <c r="R4851" s="48">
        <f t="shared" ca="1" si="549"/>
        <v>0.4</v>
      </c>
      <c r="S4851">
        <f t="shared" ca="1" si="550"/>
        <v>204.99612847207305</v>
      </c>
      <c r="T4851" s="61">
        <f t="shared" ca="1" si="544"/>
        <v>19200</v>
      </c>
      <c r="U4851" s="61">
        <f t="shared" ca="1" si="545"/>
        <v>26398.141666595067</v>
      </c>
      <c r="V4851" s="39">
        <f t="shared" ca="1" si="546"/>
        <v>0.17367198464865177</v>
      </c>
      <c r="W4851" s="48">
        <f t="shared" ca="1" si="547"/>
        <v>2.6652307435155653</v>
      </c>
    </row>
    <row r="4852" spans="17:23" x14ac:dyDescent="0.2">
      <c r="Q4852">
        <f t="shared" si="548"/>
        <v>4836</v>
      </c>
      <c r="R4852" s="48">
        <f t="shared" ca="1" si="549"/>
        <v>0.35</v>
      </c>
      <c r="S4852">
        <f t="shared" ca="1" si="550"/>
        <v>166.34166005522187</v>
      </c>
      <c r="T4852" s="61">
        <f t="shared" ca="1" si="544"/>
        <v>16800</v>
      </c>
      <c r="U4852" s="61">
        <f t="shared" ca="1" si="545"/>
        <v>4497.6632287153698</v>
      </c>
      <c r="V4852" s="39">
        <f t="shared" ca="1" si="546"/>
        <v>2.9589889662601117E-2</v>
      </c>
      <c r="W4852" s="48">
        <f t="shared" ca="1" si="547"/>
        <v>0.26683862137208725</v>
      </c>
    </row>
    <row r="4853" spans="17:23" x14ac:dyDescent="0.2">
      <c r="Q4853">
        <f t="shared" si="548"/>
        <v>4837</v>
      </c>
      <c r="R4853" s="48">
        <f t="shared" ca="1" si="549"/>
        <v>0.45</v>
      </c>
      <c r="S4853">
        <f t="shared" ca="1" si="550"/>
        <v>179.79999437469283</v>
      </c>
      <c r="T4853" s="61">
        <f t="shared" ca="1" si="544"/>
        <v>21600</v>
      </c>
      <c r="U4853" s="61">
        <f t="shared" ca="1" si="545"/>
        <v>17111.997524864844</v>
      </c>
      <c r="V4853" s="39">
        <f t="shared" ca="1" si="546"/>
        <v>0.11257893108463714</v>
      </c>
      <c r="W4853" s="48">
        <f t="shared" ca="1" si="547"/>
        <v>1.3757159952578006</v>
      </c>
    </row>
    <row r="4854" spans="17:23" x14ac:dyDescent="0.2">
      <c r="Q4854">
        <f t="shared" si="548"/>
        <v>4838</v>
      </c>
      <c r="R4854" s="48">
        <f t="shared" ca="1" si="549"/>
        <v>0.217</v>
      </c>
      <c r="S4854">
        <f t="shared" ca="1" si="550"/>
        <v>184.90507254415058</v>
      </c>
      <c r="T4854" s="61">
        <f t="shared" ca="1" si="544"/>
        <v>10416</v>
      </c>
      <c r="U4854" s="61">
        <f t="shared" ca="1" si="545"/>
        <v>7224.5374416559262</v>
      </c>
      <c r="V4854" s="39">
        <f t="shared" ca="1" si="546"/>
        <v>4.7529851589841618E-2</v>
      </c>
      <c r="W4854" s="48">
        <f t="shared" ca="1" si="547"/>
        <v>0.45737721599030623</v>
      </c>
    </row>
    <row r="4855" spans="17:23" x14ac:dyDescent="0.2">
      <c r="Q4855">
        <f t="shared" si="548"/>
        <v>4839</v>
      </c>
      <c r="R4855" s="48">
        <f t="shared" ca="1" si="549"/>
        <v>0.45</v>
      </c>
      <c r="S4855">
        <f t="shared" ca="1" si="550"/>
        <v>182.3819872635095</v>
      </c>
      <c r="T4855" s="61">
        <f t="shared" ca="1" si="544"/>
        <v>21600</v>
      </c>
      <c r="U4855" s="61">
        <f t="shared" ca="1" si="545"/>
        <v>18248.074395944179</v>
      </c>
      <c r="V4855" s="39">
        <f t="shared" ca="1" si="546"/>
        <v>0.12005312102594855</v>
      </c>
      <c r="W4855" s="48">
        <f t="shared" ca="1" si="547"/>
        <v>1.5083025646854722</v>
      </c>
    </row>
    <row r="4856" spans="17:23" x14ac:dyDescent="0.2">
      <c r="Q4856">
        <f t="shared" si="548"/>
        <v>4840</v>
      </c>
      <c r="R4856" s="48">
        <f t="shared" ca="1" si="549"/>
        <v>0.35</v>
      </c>
      <c r="S4856">
        <f t="shared" ca="1" si="550"/>
        <v>192.45896010800146</v>
      </c>
      <c r="T4856" s="61">
        <f t="shared" ca="1" si="544"/>
        <v>16800</v>
      </c>
      <c r="U4856" s="61">
        <f t="shared" ca="1" si="545"/>
        <v>18078.659256160761</v>
      </c>
      <c r="V4856" s="39">
        <f t="shared" ca="1" si="546"/>
        <v>0.11893854773789975</v>
      </c>
      <c r="W4856" s="48">
        <f t="shared" ca="1" si="547"/>
        <v>1.488128468991643</v>
      </c>
    </row>
    <row r="4857" spans="17:23" x14ac:dyDescent="0.2">
      <c r="Q4857">
        <f t="shared" si="548"/>
        <v>4841</v>
      </c>
      <c r="R4857" s="48">
        <f t="shared" ca="1" si="549"/>
        <v>0.3</v>
      </c>
      <c r="S4857">
        <f t="shared" ca="1" si="550"/>
        <v>223.26971915396621</v>
      </c>
      <c r="T4857" s="61">
        <f t="shared" ref="T4857:T4920" ca="1" si="551">($B$8-$B$7)*($E$6*R4857)</f>
        <v>14400</v>
      </c>
      <c r="U4857" s="61">
        <f t="shared" ref="U4857:U4920" ca="1" si="552">T4857+((S4857-$B$7)*($E$6*(1-R4857)))</f>
        <v>33031.042726221072</v>
      </c>
      <c r="V4857" s="39">
        <f t="shared" ref="V4857:V4920" ca="1" si="553">U4857/$E$4</f>
        <v>0.21730949161987548</v>
      </c>
      <c r="W4857" s="48">
        <f t="shared" ref="W4857:W4920" ca="1" si="554">(1+V4857)^($J$29/$J$30)-1</f>
        <v>3.9282992138272785</v>
      </c>
    </row>
    <row r="4858" spans="17:23" x14ac:dyDescent="0.2">
      <c r="Q4858">
        <f t="shared" si="548"/>
        <v>4842</v>
      </c>
      <c r="R4858" s="48">
        <f t="shared" ca="1" si="549"/>
        <v>0.35</v>
      </c>
      <c r="S4858">
        <f t="shared" ca="1" si="550"/>
        <v>210.618735336638</v>
      </c>
      <c r="T4858" s="61">
        <f t="shared" ca="1" si="551"/>
        <v>16800</v>
      </c>
      <c r="U4858" s="61">
        <f t="shared" ca="1" si="552"/>
        <v>27521.742375051759</v>
      </c>
      <c r="V4858" s="39">
        <f t="shared" ca="1" si="553"/>
        <v>0.18106409457270894</v>
      </c>
      <c r="W4858" s="48">
        <f t="shared" ca="1" si="554"/>
        <v>2.8567200825637755</v>
      </c>
    </row>
    <row r="4859" spans="17:23" x14ac:dyDescent="0.2">
      <c r="Q4859">
        <f t="shared" si="548"/>
        <v>4843</v>
      </c>
      <c r="R4859" s="48">
        <f t="shared" ca="1" si="549"/>
        <v>0.35</v>
      </c>
      <c r="S4859">
        <f t="shared" ca="1" si="550"/>
        <v>195.4516967611184</v>
      </c>
      <c r="T4859" s="61">
        <f t="shared" ca="1" si="551"/>
        <v>16800</v>
      </c>
      <c r="U4859" s="61">
        <f t="shared" ca="1" si="552"/>
        <v>19634.882315781568</v>
      </c>
      <c r="V4859" s="39">
        <f t="shared" ca="1" si="553"/>
        <v>0.12917685734066822</v>
      </c>
      <c r="W4859" s="48">
        <f t="shared" ca="1" si="554"/>
        <v>1.6789104108715458</v>
      </c>
    </row>
    <row r="4860" spans="17:23" x14ac:dyDescent="0.2">
      <c r="Q4860">
        <f t="shared" si="548"/>
        <v>4844</v>
      </c>
      <c r="R4860" s="48">
        <f t="shared" ca="1" si="549"/>
        <v>0.15</v>
      </c>
      <c r="S4860">
        <f t="shared" ca="1" si="550"/>
        <v>182.99154078255049</v>
      </c>
      <c r="T4860" s="61">
        <f t="shared" ca="1" si="551"/>
        <v>7200</v>
      </c>
      <c r="U4860" s="61">
        <f t="shared" ca="1" si="552"/>
        <v>2434.2477321343313</v>
      </c>
      <c r="V4860" s="39">
        <f t="shared" ca="1" si="553"/>
        <v>1.6014787711410076E-2</v>
      </c>
      <c r="W4860" s="48">
        <f t="shared" ca="1" si="554"/>
        <v>0.13754058886984488</v>
      </c>
    </row>
    <row r="4861" spans="17:23" x14ac:dyDescent="0.2">
      <c r="Q4861">
        <f t="shared" si="548"/>
        <v>4845</v>
      </c>
      <c r="R4861" s="48">
        <f t="shared" ca="1" si="549"/>
        <v>0.217</v>
      </c>
      <c r="S4861">
        <f t="shared" ca="1" si="550"/>
        <v>176.17153351121982</v>
      </c>
      <c r="T4861" s="61">
        <f t="shared" ca="1" si="551"/>
        <v>10416</v>
      </c>
      <c r="U4861" s="61">
        <f t="shared" ca="1" si="552"/>
        <v>1753.8485914280955</v>
      </c>
      <c r="V4861" s="39">
        <f t="shared" ca="1" si="553"/>
        <v>1.1538477575184839E-2</v>
      </c>
      <c r="W4861" s="48">
        <f t="shared" ca="1" si="554"/>
        <v>9.7521053723159445E-2</v>
      </c>
    </row>
    <row r="4862" spans="17:23" x14ac:dyDescent="0.2">
      <c r="Q4862">
        <f t="shared" si="548"/>
        <v>4846</v>
      </c>
      <c r="R4862" s="48">
        <f t="shared" ca="1" si="549"/>
        <v>0.3</v>
      </c>
      <c r="S4862">
        <f t="shared" ca="1" si="550"/>
        <v>178.40788761471828</v>
      </c>
      <c r="T4862" s="61">
        <f t="shared" ca="1" si="551"/>
        <v>14400</v>
      </c>
      <c r="U4862" s="61">
        <f t="shared" ca="1" si="552"/>
        <v>7908.417064242235</v>
      </c>
      <c r="V4862" s="39">
        <f t="shared" ca="1" si="553"/>
        <v>5.20290596331726E-2</v>
      </c>
      <c r="W4862" s="48">
        <f t="shared" ca="1" si="554"/>
        <v>0.50893112319463363</v>
      </c>
    </row>
    <row r="4863" spans="17:23" x14ac:dyDescent="0.2">
      <c r="Q4863">
        <f t="shared" si="548"/>
        <v>4847</v>
      </c>
      <c r="R4863" s="48">
        <f t="shared" ca="1" si="549"/>
        <v>0.3</v>
      </c>
      <c r="S4863">
        <f t="shared" ca="1" si="550"/>
        <v>201.05059370344347</v>
      </c>
      <c r="T4863" s="61">
        <f t="shared" ca="1" si="551"/>
        <v>14400</v>
      </c>
      <c r="U4863" s="61">
        <f t="shared" ca="1" si="552"/>
        <v>20588.332473928342</v>
      </c>
      <c r="V4863" s="39">
        <f t="shared" ca="1" si="553"/>
        <v>0.13544955574952855</v>
      </c>
      <c r="W4863" s="48">
        <f t="shared" ca="1" si="554"/>
        <v>1.8020283067348832</v>
      </c>
    </row>
    <row r="4864" spans="17:23" x14ac:dyDescent="0.2">
      <c r="Q4864">
        <f t="shared" si="548"/>
        <v>4848</v>
      </c>
      <c r="R4864" s="48">
        <f t="shared" ca="1" si="549"/>
        <v>0.45</v>
      </c>
      <c r="S4864">
        <f t="shared" ca="1" si="550"/>
        <v>157.78227483198799</v>
      </c>
      <c r="T4864" s="61">
        <f t="shared" ca="1" si="551"/>
        <v>21600</v>
      </c>
      <c r="U4864" s="61">
        <f t="shared" ca="1" si="552"/>
        <v>7424.2009260747145</v>
      </c>
      <c r="V4864" s="39">
        <f t="shared" ca="1" si="553"/>
        <v>4.8843427145228387E-2</v>
      </c>
      <c r="W4864" s="48">
        <f t="shared" ca="1" si="554"/>
        <v>0.47226664142904018</v>
      </c>
    </row>
    <row r="4865" spans="17:23" x14ac:dyDescent="0.2">
      <c r="Q4865">
        <f t="shared" si="548"/>
        <v>4849</v>
      </c>
      <c r="R4865" s="48">
        <f t="shared" ca="1" si="549"/>
        <v>0.3</v>
      </c>
      <c r="S4865">
        <f t="shared" ca="1" si="550"/>
        <v>223.85669605075208</v>
      </c>
      <c r="T4865" s="61">
        <f t="shared" ca="1" si="551"/>
        <v>14400</v>
      </c>
      <c r="U4865" s="61">
        <f t="shared" ca="1" si="552"/>
        <v>33359.749788421163</v>
      </c>
      <c r="V4865" s="39">
        <f t="shared" ca="1" si="553"/>
        <v>0.21947203808171817</v>
      </c>
      <c r="W4865" s="48">
        <f t="shared" ca="1" si="554"/>
        <v>3.9997630472409309</v>
      </c>
    </row>
    <row r="4866" spans="17:23" x14ac:dyDescent="0.2">
      <c r="Q4866">
        <f t="shared" si="548"/>
        <v>4850</v>
      </c>
      <c r="R4866" s="48">
        <f t="shared" ca="1" si="549"/>
        <v>0.5</v>
      </c>
      <c r="S4866">
        <f t="shared" ca="1" si="550"/>
        <v>190.07451879319979</v>
      </c>
      <c r="T4866" s="61">
        <f t="shared" ca="1" si="551"/>
        <v>24000</v>
      </c>
      <c r="U4866" s="61">
        <f t="shared" ca="1" si="552"/>
        <v>24029.807517279914</v>
      </c>
      <c r="V4866" s="39">
        <f t="shared" ca="1" si="553"/>
        <v>0.15809083892947312</v>
      </c>
      <c r="W4866" s="48">
        <f t="shared" ca="1" si="554"/>
        <v>2.2886944330462371</v>
      </c>
    </row>
    <row r="4867" spans="17:23" x14ac:dyDescent="0.2">
      <c r="Q4867">
        <f t="shared" si="548"/>
        <v>4851</v>
      </c>
      <c r="R4867" s="48">
        <f t="shared" ca="1" si="549"/>
        <v>0.5</v>
      </c>
      <c r="S4867">
        <f t="shared" ca="1" si="550"/>
        <v>181.49856204700811</v>
      </c>
      <c r="T4867" s="61">
        <f t="shared" ca="1" si="551"/>
        <v>24000</v>
      </c>
      <c r="U4867" s="61">
        <f t="shared" ca="1" si="552"/>
        <v>20599.424818803243</v>
      </c>
      <c r="V4867" s="39">
        <f t="shared" ca="1" si="553"/>
        <v>0.13552253170265291</v>
      </c>
      <c r="W4867" s="48">
        <f t="shared" ca="1" si="554"/>
        <v>1.8034893532601228</v>
      </c>
    </row>
    <row r="4868" spans="17:23" x14ac:dyDescent="0.2">
      <c r="Q4868">
        <f t="shared" si="548"/>
        <v>4852</v>
      </c>
      <c r="R4868" s="48">
        <f t="shared" ca="1" si="549"/>
        <v>0.45</v>
      </c>
      <c r="S4868">
        <f t="shared" ca="1" si="550"/>
        <v>210.62105337693004</v>
      </c>
      <c r="T4868" s="61">
        <f t="shared" ca="1" si="551"/>
        <v>21600</v>
      </c>
      <c r="U4868" s="61">
        <f t="shared" ca="1" si="552"/>
        <v>30673.263485849217</v>
      </c>
      <c r="V4868" s="39">
        <f t="shared" ca="1" si="553"/>
        <v>0.20179778609111326</v>
      </c>
      <c r="W4868" s="48">
        <f t="shared" ca="1" si="554"/>
        <v>3.441414975737473</v>
      </c>
    </row>
    <row r="4869" spans="17:23" x14ac:dyDescent="0.2">
      <c r="Q4869">
        <f t="shared" si="548"/>
        <v>4853</v>
      </c>
      <c r="R4869" s="48">
        <f t="shared" ca="1" si="549"/>
        <v>0.3</v>
      </c>
      <c r="S4869">
        <f t="shared" ca="1" si="550"/>
        <v>192.91625769662718</v>
      </c>
      <c r="T4869" s="61">
        <f t="shared" ca="1" si="551"/>
        <v>14400</v>
      </c>
      <c r="U4869" s="61">
        <f t="shared" ca="1" si="552"/>
        <v>16033.104310111223</v>
      </c>
      <c r="V4869" s="39">
        <f t="shared" ca="1" si="553"/>
        <v>0.10548094940862647</v>
      </c>
      <c r="W4869" s="48">
        <f t="shared" ca="1" si="554"/>
        <v>1.2555327219663321</v>
      </c>
    </row>
    <row r="4870" spans="17:23" x14ac:dyDescent="0.2">
      <c r="Q4870">
        <f t="shared" si="548"/>
        <v>4854</v>
      </c>
      <c r="R4870" s="48">
        <f t="shared" ca="1" si="549"/>
        <v>0.35</v>
      </c>
      <c r="S4870">
        <f t="shared" ca="1" si="550"/>
        <v>181.60270313816014</v>
      </c>
      <c r="T4870" s="61">
        <f t="shared" ca="1" si="551"/>
        <v>16800</v>
      </c>
      <c r="U4870" s="61">
        <f t="shared" ca="1" si="552"/>
        <v>12433.40563184327</v>
      </c>
      <c r="V4870" s="39">
        <f t="shared" ca="1" si="553"/>
        <v>8.1798721262126783E-2</v>
      </c>
      <c r="W4870" s="48">
        <f t="shared" ca="1" si="554"/>
        <v>0.89219443782142061</v>
      </c>
    </row>
    <row r="4871" spans="17:23" x14ac:dyDescent="0.2">
      <c r="Q4871">
        <f t="shared" si="548"/>
        <v>4855</v>
      </c>
      <c r="R4871" s="48">
        <f t="shared" ca="1" si="549"/>
        <v>0.3</v>
      </c>
      <c r="S4871">
        <f t="shared" ca="1" si="550"/>
        <v>173.48867344964887</v>
      </c>
      <c r="T4871" s="61">
        <f t="shared" ca="1" si="551"/>
        <v>14400</v>
      </c>
      <c r="U4871" s="61">
        <f t="shared" ca="1" si="552"/>
        <v>5153.6571318033675</v>
      </c>
      <c r="V4871" s="39">
        <f t="shared" ca="1" si="553"/>
        <v>3.3905639025022152E-2</v>
      </c>
      <c r="W4871" s="48">
        <f t="shared" ca="1" si="554"/>
        <v>0.31055792653643577</v>
      </c>
    </row>
    <row r="4872" spans="17:23" x14ac:dyDescent="0.2">
      <c r="Q4872">
        <f t="shared" si="548"/>
        <v>4856</v>
      </c>
      <c r="R4872" s="48">
        <f t="shared" ca="1" si="549"/>
        <v>0.45</v>
      </c>
      <c r="S4872">
        <f t="shared" ca="1" si="550"/>
        <v>176.98868403293298</v>
      </c>
      <c r="T4872" s="61">
        <f t="shared" ca="1" si="551"/>
        <v>21600</v>
      </c>
      <c r="U4872" s="61">
        <f t="shared" ca="1" si="552"/>
        <v>15875.020974490511</v>
      </c>
      <c r="V4872" s="39">
        <f t="shared" ca="1" si="553"/>
        <v>0.10444092746375336</v>
      </c>
      <c r="W4872" s="48">
        <f t="shared" ca="1" si="554"/>
        <v>1.2383786055072816</v>
      </c>
    </row>
    <row r="4873" spans="17:23" x14ac:dyDescent="0.2">
      <c r="Q4873">
        <f t="shared" si="548"/>
        <v>4857</v>
      </c>
      <c r="R4873" s="48">
        <f t="shared" ca="1" si="549"/>
        <v>0.4</v>
      </c>
      <c r="S4873">
        <f t="shared" ca="1" si="550"/>
        <v>238.60673579851007</v>
      </c>
      <c r="T4873" s="61">
        <f t="shared" ca="1" si="551"/>
        <v>19200</v>
      </c>
      <c r="U4873" s="61">
        <f t="shared" ca="1" si="552"/>
        <v>42531.233183284836</v>
      </c>
      <c r="V4873" s="39">
        <f t="shared" ca="1" si="553"/>
        <v>0.27981074462687394</v>
      </c>
      <c r="W4873" s="48">
        <f t="shared" ca="1" si="554"/>
        <v>6.39726367243615</v>
      </c>
    </row>
    <row r="4874" spans="17:23" x14ac:dyDescent="0.2">
      <c r="Q4874">
        <f t="shared" si="548"/>
        <v>4858</v>
      </c>
      <c r="R4874" s="48">
        <f t="shared" ca="1" si="549"/>
        <v>0.4</v>
      </c>
      <c r="S4874">
        <f t="shared" ca="1" si="550"/>
        <v>183.79414011497803</v>
      </c>
      <c r="T4874" s="61">
        <f t="shared" ca="1" si="551"/>
        <v>19200</v>
      </c>
      <c r="U4874" s="61">
        <f t="shared" ca="1" si="552"/>
        <v>16221.187255189456</v>
      </c>
      <c r="V4874" s="39">
        <f t="shared" ca="1" si="553"/>
        <v>0.10671833720519379</v>
      </c>
      <c r="W4874" s="48">
        <f t="shared" ca="1" si="554"/>
        <v>1.2760922413187008</v>
      </c>
    </row>
    <row r="4875" spans="17:23" x14ac:dyDescent="0.2">
      <c r="Q4875">
        <f t="shared" si="548"/>
        <v>4859</v>
      </c>
      <c r="R4875" s="48">
        <f t="shared" ca="1" si="549"/>
        <v>0.4</v>
      </c>
      <c r="S4875">
        <f t="shared" ca="1" si="550"/>
        <v>183.8159501456206</v>
      </c>
      <c r="T4875" s="61">
        <f t="shared" ca="1" si="551"/>
        <v>19200</v>
      </c>
      <c r="U4875" s="61">
        <f t="shared" ca="1" si="552"/>
        <v>16231.65606989789</v>
      </c>
      <c r="V4875" s="39">
        <f t="shared" ca="1" si="553"/>
        <v>0.10678721098617033</v>
      </c>
      <c r="W4875" s="48">
        <f t="shared" ca="1" si="554"/>
        <v>1.2772414082673347</v>
      </c>
    </row>
    <row r="4876" spans="17:23" x14ac:dyDescent="0.2">
      <c r="Q4876">
        <f t="shared" si="548"/>
        <v>4860</v>
      </c>
      <c r="R4876" s="48">
        <f t="shared" ca="1" si="549"/>
        <v>0.217</v>
      </c>
      <c r="S4876">
        <f t="shared" ca="1" si="550"/>
        <v>220.52667010758802</v>
      </c>
      <c r="T4876" s="61">
        <f t="shared" ca="1" si="551"/>
        <v>10416</v>
      </c>
      <c r="U4876" s="61">
        <f t="shared" ca="1" si="552"/>
        <v>29537.906155393135</v>
      </c>
      <c r="V4876" s="39">
        <f t="shared" ca="1" si="553"/>
        <v>0.19432832996969168</v>
      </c>
      <c r="W4876" s="48">
        <f t="shared" ca="1" si="554"/>
        <v>3.2223980895212154</v>
      </c>
    </row>
    <row r="4877" spans="17:23" x14ac:dyDescent="0.2">
      <c r="Q4877">
        <f t="shared" si="548"/>
        <v>4861</v>
      </c>
      <c r="R4877" s="48">
        <f t="shared" ca="1" si="549"/>
        <v>0.4</v>
      </c>
      <c r="S4877">
        <f t="shared" ca="1" si="550"/>
        <v>149.28348630060864</v>
      </c>
      <c r="T4877" s="61">
        <f t="shared" ca="1" si="551"/>
        <v>19200</v>
      </c>
      <c r="U4877" s="61">
        <f t="shared" ca="1" si="552"/>
        <v>-343.92657570785013</v>
      </c>
      <c r="V4877" s="39">
        <f t="shared" ca="1" si="553"/>
        <v>-2.2626748401832248E-3</v>
      </c>
      <c r="W4877" s="48">
        <f t="shared" ca="1" si="554"/>
        <v>-1.8205836066687131E-2</v>
      </c>
    </row>
    <row r="4878" spans="17:23" x14ac:dyDescent="0.2">
      <c r="Q4878">
        <f t="shared" si="548"/>
        <v>4862</v>
      </c>
      <c r="R4878" s="48">
        <f t="shared" ca="1" si="549"/>
        <v>0.3</v>
      </c>
      <c r="S4878">
        <f t="shared" ca="1" si="550"/>
        <v>207.56831668239391</v>
      </c>
      <c r="T4878" s="61">
        <f t="shared" ca="1" si="551"/>
        <v>14400</v>
      </c>
      <c r="U4878" s="61">
        <f t="shared" ca="1" si="552"/>
        <v>24238.25734214059</v>
      </c>
      <c r="V4878" s="39">
        <f t="shared" ca="1" si="553"/>
        <v>0.1594622193561881</v>
      </c>
      <c r="W4878" s="48">
        <f t="shared" ca="1" si="554"/>
        <v>2.3204155379158125</v>
      </c>
    </row>
    <row r="4879" spans="17:23" x14ac:dyDescent="0.2">
      <c r="Q4879">
        <f t="shared" si="548"/>
        <v>4863</v>
      </c>
      <c r="R4879" s="48">
        <f t="shared" ca="1" si="549"/>
        <v>0.4</v>
      </c>
      <c r="S4879">
        <f t="shared" ca="1" si="550"/>
        <v>206.14895860262504</v>
      </c>
      <c r="T4879" s="61">
        <f t="shared" ca="1" si="551"/>
        <v>19200</v>
      </c>
      <c r="U4879" s="61">
        <f t="shared" ca="1" si="552"/>
        <v>26951.500129260021</v>
      </c>
      <c r="V4879" s="39">
        <f t="shared" ca="1" si="553"/>
        <v>0.17731250085039488</v>
      </c>
      <c r="W4879" s="48">
        <f t="shared" ca="1" si="554"/>
        <v>2.7584684174207563</v>
      </c>
    </row>
    <row r="4880" spans="17:23" x14ac:dyDescent="0.2">
      <c r="Q4880">
        <f t="shared" si="548"/>
        <v>4864</v>
      </c>
      <c r="R4880" s="48">
        <f t="shared" ca="1" si="549"/>
        <v>0.217</v>
      </c>
      <c r="S4880">
        <f t="shared" ca="1" si="550"/>
        <v>184.22153062172944</v>
      </c>
      <c r="T4880" s="61">
        <f t="shared" ca="1" si="551"/>
        <v>10416</v>
      </c>
      <c r="U4880" s="61">
        <f t="shared" ca="1" si="552"/>
        <v>6796.3667814513228</v>
      </c>
      <c r="V4880" s="39">
        <f t="shared" ca="1" si="553"/>
        <v>4.4712939351653443E-2</v>
      </c>
      <c r="W4880" s="48">
        <f t="shared" ca="1" si="554"/>
        <v>0.42589177739441153</v>
      </c>
    </row>
    <row r="4881" spans="17:23" x14ac:dyDescent="0.2">
      <c r="Q4881">
        <f t="shared" si="548"/>
        <v>4865</v>
      </c>
      <c r="R4881" s="48">
        <f t="shared" ca="1" si="549"/>
        <v>0.15</v>
      </c>
      <c r="S4881">
        <f t="shared" ca="1" si="550"/>
        <v>190.34831031003188</v>
      </c>
      <c r="T4881" s="61">
        <f t="shared" ca="1" si="551"/>
        <v>7200</v>
      </c>
      <c r="U4881" s="61">
        <f t="shared" ca="1" si="552"/>
        <v>7436.851010821676</v>
      </c>
      <c r="V4881" s="39">
        <f t="shared" ca="1" si="553"/>
        <v>4.892665138698471E-2</v>
      </c>
      <c r="W4881" s="48">
        <f t="shared" ca="1" si="554"/>
        <v>0.47321446725513394</v>
      </c>
    </row>
    <row r="4882" spans="17:23" x14ac:dyDescent="0.2">
      <c r="Q4882">
        <f t="shared" si="548"/>
        <v>4866</v>
      </c>
      <c r="R4882" s="48">
        <f t="shared" ca="1" si="549"/>
        <v>0.4</v>
      </c>
      <c r="S4882">
        <f t="shared" ca="1" si="550"/>
        <v>209.9247764741948</v>
      </c>
      <c r="T4882" s="61">
        <f t="shared" ca="1" si="551"/>
        <v>19200</v>
      </c>
      <c r="U4882" s="61">
        <f t="shared" ca="1" si="552"/>
        <v>28763.892707613504</v>
      </c>
      <c r="V4882" s="39">
        <f t="shared" ca="1" si="553"/>
        <v>0.18923613623429936</v>
      </c>
      <c r="W4882" s="48">
        <f t="shared" ca="1" si="554"/>
        <v>3.0785698066971579</v>
      </c>
    </row>
    <row r="4883" spans="17:23" x14ac:dyDescent="0.2">
      <c r="Q4883">
        <f t="shared" ref="Q4883:Q4946" si="555">Q4882+1</f>
        <v>4867</v>
      </c>
      <c r="R4883" s="48">
        <f t="shared" ref="R4883:R4946" ca="1" si="556">LOOKUP(RAND(),$U$6:$U$12,$S$6:$S$12)</f>
        <v>0.3</v>
      </c>
      <c r="S4883">
        <f t="shared" ref="S4883:S4946" ca="1" si="557">_xlfn.NORM.INV(RAND(),$Q$5,$Q$10)</f>
        <v>191.80537464592322</v>
      </c>
      <c r="T4883" s="61">
        <f t="shared" ca="1" si="551"/>
        <v>14400</v>
      </c>
      <c r="U4883" s="61">
        <f t="shared" ca="1" si="552"/>
        <v>15411.009801717006</v>
      </c>
      <c r="V4883" s="39">
        <f t="shared" ca="1" si="553"/>
        <v>0.10138822237971715</v>
      </c>
      <c r="W4883" s="48">
        <f t="shared" ca="1" si="554"/>
        <v>1.1886860614270507</v>
      </c>
    </row>
    <row r="4884" spans="17:23" x14ac:dyDescent="0.2">
      <c r="Q4884">
        <f t="shared" si="555"/>
        <v>4868</v>
      </c>
      <c r="R4884" s="48">
        <f t="shared" ca="1" si="556"/>
        <v>0.35</v>
      </c>
      <c r="S4884">
        <f t="shared" ca="1" si="557"/>
        <v>143.54832047794153</v>
      </c>
      <c r="T4884" s="61">
        <f t="shared" ca="1" si="551"/>
        <v>16800</v>
      </c>
      <c r="U4884" s="61">
        <f t="shared" ca="1" si="552"/>
        <v>-7354.8733514704036</v>
      </c>
      <c r="V4884" s="39">
        <f t="shared" ca="1" si="553"/>
        <v>-4.8387324680726339E-2</v>
      </c>
      <c r="W4884" s="48">
        <f t="shared" ca="1" si="554"/>
        <v>-0.33121205548741894</v>
      </c>
    </row>
    <row r="4885" spans="17:23" x14ac:dyDescent="0.2">
      <c r="Q4885">
        <f t="shared" si="555"/>
        <v>4869</v>
      </c>
      <c r="R4885" s="48">
        <f t="shared" ca="1" si="556"/>
        <v>0.5</v>
      </c>
      <c r="S4885">
        <f t="shared" ca="1" si="557"/>
        <v>152.8527118988828</v>
      </c>
      <c r="T4885" s="61">
        <f t="shared" ca="1" si="551"/>
        <v>24000</v>
      </c>
      <c r="U4885" s="61">
        <f t="shared" ca="1" si="552"/>
        <v>9141.0847595531213</v>
      </c>
      <c r="V4885" s="39">
        <f t="shared" ca="1" si="553"/>
        <v>6.0138715523375796E-2</v>
      </c>
      <c r="W4885" s="48">
        <f t="shared" ca="1" si="554"/>
        <v>0.60590421004330541</v>
      </c>
    </row>
    <row r="4886" spans="17:23" x14ac:dyDescent="0.2">
      <c r="Q4886">
        <f t="shared" si="555"/>
        <v>4870</v>
      </c>
      <c r="R4886" s="48">
        <f t="shared" ca="1" si="556"/>
        <v>0.45</v>
      </c>
      <c r="S4886">
        <f t="shared" ca="1" si="557"/>
        <v>223.8478786359853</v>
      </c>
      <c r="T4886" s="61">
        <f t="shared" ca="1" si="551"/>
        <v>21600</v>
      </c>
      <c r="U4886" s="61">
        <f t="shared" ca="1" si="552"/>
        <v>36493.066599833532</v>
      </c>
      <c r="V4886" s="39">
        <f t="shared" ca="1" si="553"/>
        <v>0.24008596447258904</v>
      </c>
      <c r="W4886" s="48">
        <f t="shared" ca="1" si="554"/>
        <v>4.7279322072232173</v>
      </c>
    </row>
    <row r="4887" spans="17:23" x14ac:dyDescent="0.2">
      <c r="Q4887">
        <f t="shared" si="555"/>
        <v>4871</v>
      </c>
      <c r="R4887" s="48">
        <f t="shared" ca="1" si="556"/>
        <v>0.35</v>
      </c>
      <c r="S4887">
        <f t="shared" ca="1" si="557"/>
        <v>209.97392446483479</v>
      </c>
      <c r="T4887" s="61">
        <f t="shared" ca="1" si="551"/>
        <v>16800</v>
      </c>
      <c r="U4887" s="61">
        <f t="shared" ca="1" si="552"/>
        <v>27186.440721714094</v>
      </c>
      <c r="V4887" s="39">
        <f t="shared" ca="1" si="553"/>
        <v>0.17885816264285589</v>
      </c>
      <c r="W4887" s="48">
        <f t="shared" ca="1" si="554"/>
        <v>2.7986791461868741</v>
      </c>
    </row>
    <row r="4888" spans="17:23" x14ac:dyDescent="0.2">
      <c r="Q4888">
        <f t="shared" si="555"/>
        <v>4872</v>
      </c>
      <c r="R4888" s="48">
        <f t="shared" ca="1" si="556"/>
        <v>0.3</v>
      </c>
      <c r="S4888">
        <f t="shared" ca="1" si="557"/>
        <v>199.32573708397805</v>
      </c>
      <c r="T4888" s="61">
        <f t="shared" ca="1" si="551"/>
        <v>14400</v>
      </c>
      <c r="U4888" s="61">
        <f t="shared" ca="1" si="552"/>
        <v>19622.412767027708</v>
      </c>
      <c r="V4888" s="39">
        <f t="shared" ca="1" si="553"/>
        <v>0.12909482083570861</v>
      </c>
      <c r="W4888" s="48">
        <f t="shared" ca="1" si="554"/>
        <v>1.6773321763516331</v>
      </c>
    </row>
    <row r="4889" spans="17:23" x14ac:dyDescent="0.2">
      <c r="Q4889">
        <f t="shared" si="555"/>
        <v>4873</v>
      </c>
      <c r="R4889" s="48">
        <f t="shared" ca="1" si="556"/>
        <v>0.35</v>
      </c>
      <c r="S4889">
        <f t="shared" ca="1" si="557"/>
        <v>187.88006193849688</v>
      </c>
      <c r="T4889" s="61">
        <f t="shared" ca="1" si="551"/>
        <v>16800</v>
      </c>
      <c r="U4889" s="61">
        <f t="shared" ca="1" si="552"/>
        <v>15697.632208018378</v>
      </c>
      <c r="V4889" s="39">
        <f t="shared" ca="1" si="553"/>
        <v>0.10327389610538407</v>
      </c>
      <c r="W4889" s="48">
        <f t="shared" ca="1" si="554"/>
        <v>1.2192658761386412</v>
      </c>
    </row>
    <row r="4890" spans="17:23" x14ac:dyDescent="0.2">
      <c r="Q4890">
        <f t="shared" si="555"/>
        <v>4874</v>
      </c>
      <c r="R4890" s="48">
        <f t="shared" ca="1" si="556"/>
        <v>0.3</v>
      </c>
      <c r="S4890">
        <f t="shared" ca="1" si="557"/>
        <v>186.10710828169593</v>
      </c>
      <c r="T4890" s="61">
        <f t="shared" ca="1" si="551"/>
        <v>14400</v>
      </c>
      <c r="U4890" s="61">
        <f t="shared" ca="1" si="552"/>
        <v>12219.980637749721</v>
      </c>
      <c r="V4890" s="39">
        <f t="shared" ca="1" si="553"/>
        <v>8.0394609458879746E-2</v>
      </c>
      <c r="W4890" s="48">
        <f t="shared" ca="1" si="554"/>
        <v>0.87236557597148834</v>
      </c>
    </row>
    <row r="4891" spans="17:23" x14ac:dyDescent="0.2">
      <c r="Q4891">
        <f t="shared" si="555"/>
        <v>4875</v>
      </c>
      <c r="R4891" s="48">
        <f t="shared" ca="1" si="556"/>
        <v>0.35</v>
      </c>
      <c r="S4891">
        <f t="shared" ca="1" si="557"/>
        <v>185.08890629734114</v>
      </c>
      <c r="T4891" s="61">
        <f t="shared" ca="1" si="551"/>
        <v>16800</v>
      </c>
      <c r="U4891" s="61">
        <f t="shared" ca="1" si="552"/>
        <v>14246.231274617392</v>
      </c>
      <c r="V4891" s="39">
        <f t="shared" ca="1" si="553"/>
        <v>9.3725205754061791E-2</v>
      </c>
      <c r="W4891" s="48">
        <f t="shared" ca="1" si="554"/>
        <v>1.0681827082787865</v>
      </c>
    </row>
    <row r="4892" spans="17:23" x14ac:dyDescent="0.2">
      <c r="Q4892">
        <f t="shared" si="555"/>
        <v>4876</v>
      </c>
      <c r="R4892" s="48">
        <f t="shared" ca="1" si="556"/>
        <v>0.35</v>
      </c>
      <c r="S4892">
        <f t="shared" ca="1" si="557"/>
        <v>206.51435199841589</v>
      </c>
      <c r="T4892" s="61">
        <f t="shared" ca="1" si="551"/>
        <v>16800</v>
      </c>
      <c r="U4892" s="61">
        <f t="shared" ca="1" si="552"/>
        <v>25387.463039176262</v>
      </c>
      <c r="V4892" s="39">
        <f t="shared" ca="1" si="553"/>
        <v>0.1670227831524754</v>
      </c>
      <c r="W4892" s="48">
        <f t="shared" ca="1" si="554"/>
        <v>2.5001603145836113</v>
      </c>
    </row>
    <row r="4893" spans="17:23" x14ac:dyDescent="0.2">
      <c r="Q4893">
        <f t="shared" si="555"/>
        <v>4877</v>
      </c>
      <c r="R4893" s="48">
        <f t="shared" ca="1" si="556"/>
        <v>0.4</v>
      </c>
      <c r="S4893">
        <f t="shared" ca="1" si="557"/>
        <v>195.40908372662554</v>
      </c>
      <c r="T4893" s="61">
        <f t="shared" ca="1" si="551"/>
        <v>19200</v>
      </c>
      <c r="U4893" s="61">
        <f t="shared" ca="1" si="552"/>
        <v>21796.360188780258</v>
      </c>
      <c r="V4893" s="39">
        <f t="shared" ca="1" si="553"/>
        <v>0.14339710650513326</v>
      </c>
      <c r="W4893" s="48">
        <f t="shared" ca="1" si="554"/>
        <v>1.9651253240952329</v>
      </c>
    </row>
    <row r="4894" spans="17:23" x14ac:dyDescent="0.2">
      <c r="Q4894">
        <f t="shared" si="555"/>
        <v>4878</v>
      </c>
      <c r="R4894" s="48">
        <f t="shared" ca="1" si="556"/>
        <v>0.45</v>
      </c>
      <c r="S4894">
        <f t="shared" ca="1" si="557"/>
        <v>208.79432128393947</v>
      </c>
      <c r="T4894" s="61">
        <f t="shared" ca="1" si="551"/>
        <v>21600</v>
      </c>
      <c r="U4894" s="61">
        <f t="shared" ca="1" si="552"/>
        <v>29869.501364933367</v>
      </c>
      <c r="V4894" s="39">
        <f t="shared" ca="1" si="553"/>
        <v>0.19650987740087741</v>
      </c>
      <c r="W4894" s="48">
        <f t="shared" ca="1" si="554"/>
        <v>3.2853635418244851</v>
      </c>
    </row>
    <row r="4895" spans="17:23" x14ac:dyDescent="0.2">
      <c r="Q4895">
        <f t="shared" si="555"/>
        <v>4879</v>
      </c>
      <c r="R4895" s="48">
        <f t="shared" ca="1" si="556"/>
        <v>0.4</v>
      </c>
      <c r="S4895">
        <f t="shared" ca="1" si="557"/>
        <v>229.78431024881155</v>
      </c>
      <c r="T4895" s="61">
        <f t="shared" ca="1" si="551"/>
        <v>19200</v>
      </c>
      <c r="U4895" s="61">
        <f t="shared" ca="1" si="552"/>
        <v>38296.468919429542</v>
      </c>
      <c r="V4895" s="39">
        <f t="shared" ca="1" si="553"/>
        <v>0.2519504534172996</v>
      </c>
      <c r="W4895" s="48">
        <f t="shared" ca="1" si="554"/>
        <v>5.1878553095668334</v>
      </c>
    </row>
    <row r="4896" spans="17:23" x14ac:dyDescent="0.2">
      <c r="Q4896">
        <f t="shared" si="555"/>
        <v>4880</v>
      </c>
      <c r="R4896" s="48">
        <f t="shared" ca="1" si="556"/>
        <v>0.3</v>
      </c>
      <c r="S4896">
        <f t="shared" ca="1" si="557"/>
        <v>177.76449873457361</v>
      </c>
      <c r="T4896" s="61">
        <f t="shared" ca="1" si="551"/>
        <v>14400</v>
      </c>
      <c r="U4896" s="61">
        <f t="shared" ca="1" si="552"/>
        <v>7548.1192913612194</v>
      </c>
      <c r="V4896" s="39">
        <f t="shared" ca="1" si="553"/>
        <v>4.9658679548429077E-2</v>
      </c>
      <c r="W4896" s="48">
        <f t="shared" ca="1" si="554"/>
        <v>0.48157447791126717</v>
      </c>
    </row>
    <row r="4897" spans="17:23" x14ac:dyDescent="0.2">
      <c r="Q4897">
        <f t="shared" si="555"/>
        <v>4881</v>
      </c>
      <c r="R4897" s="48">
        <f t="shared" ca="1" si="556"/>
        <v>0.3</v>
      </c>
      <c r="S4897">
        <f t="shared" ca="1" si="557"/>
        <v>213.7048127763012</v>
      </c>
      <c r="T4897" s="61">
        <f t="shared" ca="1" si="551"/>
        <v>14400</v>
      </c>
      <c r="U4897" s="61">
        <f t="shared" ca="1" si="552"/>
        <v>27674.69515472867</v>
      </c>
      <c r="V4897" s="39">
        <f t="shared" ca="1" si="553"/>
        <v>0.18207036286005704</v>
      </c>
      <c r="W4897" s="48">
        <f t="shared" ca="1" si="554"/>
        <v>2.8834535138238269</v>
      </c>
    </row>
    <row r="4898" spans="17:23" x14ac:dyDescent="0.2">
      <c r="Q4898">
        <f t="shared" si="555"/>
        <v>4882</v>
      </c>
      <c r="R4898" s="48">
        <f t="shared" ca="1" si="556"/>
        <v>0.217</v>
      </c>
      <c r="S4898">
        <f t="shared" ca="1" si="557"/>
        <v>192.14219412625647</v>
      </c>
      <c r="T4898" s="61">
        <f t="shared" ca="1" si="551"/>
        <v>10416</v>
      </c>
      <c r="U4898" s="61">
        <f t="shared" ca="1" si="552"/>
        <v>11757.870400687052</v>
      </c>
      <c r="V4898" s="39">
        <f t="shared" ca="1" si="553"/>
        <v>7.7354410530835874E-2</v>
      </c>
      <c r="W4898" s="48">
        <f t="shared" ca="1" si="554"/>
        <v>0.83005503675376868</v>
      </c>
    </row>
    <row r="4899" spans="17:23" x14ac:dyDescent="0.2">
      <c r="Q4899">
        <f t="shared" si="555"/>
        <v>4883</v>
      </c>
      <c r="R4899" s="48">
        <f t="shared" ca="1" si="556"/>
        <v>0.35</v>
      </c>
      <c r="S4899">
        <f t="shared" ca="1" si="557"/>
        <v>172.43235133746026</v>
      </c>
      <c r="T4899" s="61">
        <f t="shared" ca="1" si="551"/>
        <v>16800</v>
      </c>
      <c r="U4899" s="61">
        <f t="shared" ca="1" si="552"/>
        <v>7664.8226954793354</v>
      </c>
      <c r="V4899" s="39">
        <f t="shared" ca="1" si="553"/>
        <v>5.0426465101837729E-2</v>
      </c>
      <c r="W4899" s="48">
        <f t="shared" ca="1" si="554"/>
        <v>0.49038751059716867</v>
      </c>
    </row>
    <row r="4900" spans="17:23" x14ac:dyDescent="0.2">
      <c r="Q4900">
        <f t="shared" si="555"/>
        <v>4884</v>
      </c>
      <c r="R4900" s="48">
        <f t="shared" ca="1" si="556"/>
        <v>0.35</v>
      </c>
      <c r="S4900">
        <f t="shared" ca="1" si="557"/>
        <v>203.7526921192588</v>
      </c>
      <c r="T4900" s="61">
        <f t="shared" ca="1" si="551"/>
        <v>16800</v>
      </c>
      <c r="U4900" s="61">
        <f t="shared" ca="1" si="552"/>
        <v>23951.399902014575</v>
      </c>
      <c r="V4900" s="39">
        <f t="shared" ca="1" si="553"/>
        <v>0.15757499935535904</v>
      </c>
      <c r="W4900" s="48">
        <f t="shared" ca="1" si="554"/>
        <v>2.2768316064601897</v>
      </c>
    </row>
    <row r="4901" spans="17:23" x14ac:dyDescent="0.2">
      <c r="Q4901">
        <f t="shared" si="555"/>
        <v>4885</v>
      </c>
      <c r="R4901" s="48">
        <f t="shared" ca="1" si="556"/>
        <v>0.217</v>
      </c>
      <c r="S4901">
        <f t="shared" ca="1" si="557"/>
        <v>178.7626249552724</v>
      </c>
      <c r="T4901" s="61">
        <f t="shared" ca="1" si="551"/>
        <v>10416</v>
      </c>
      <c r="U4901" s="61">
        <f t="shared" ca="1" si="552"/>
        <v>3376.908271982632</v>
      </c>
      <c r="V4901" s="39">
        <f t="shared" ca="1" si="553"/>
        <v>2.2216501789359421E-2</v>
      </c>
      <c r="W4901" s="48">
        <f t="shared" ca="1" si="554"/>
        <v>0.19509772941712944</v>
      </c>
    </row>
    <row r="4902" spans="17:23" x14ac:dyDescent="0.2">
      <c r="Q4902">
        <f t="shared" si="555"/>
        <v>4886</v>
      </c>
      <c r="R4902" s="48">
        <f t="shared" ca="1" si="556"/>
        <v>0.4</v>
      </c>
      <c r="S4902">
        <f t="shared" ca="1" si="557"/>
        <v>170.24735453881721</v>
      </c>
      <c r="T4902" s="61">
        <f t="shared" ca="1" si="551"/>
        <v>19200</v>
      </c>
      <c r="U4902" s="61">
        <f t="shared" ca="1" si="552"/>
        <v>9718.7301786322587</v>
      </c>
      <c r="V4902" s="39">
        <f t="shared" ca="1" si="553"/>
        <v>6.3939014333106961E-2</v>
      </c>
      <c r="W4902" s="48">
        <f t="shared" ca="1" si="554"/>
        <v>0.65319706415973022</v>
      </c>
    </row>
    <row r="4903" spans="17:23" x14ac:dyDescent="0.2">
      <c r="Q4903">
        <f t="shared" si="555"/>
        <v>4887</v>
      </c>
      <c r="R4903" s="48">
        <f t="shared" ca="1" si="556"/>
        <v>0.3</v>
      </c>
      <c r="S4903">
        <f t="shared" ca="1" si="557"/>
        <v>208.38193559322238</v>
      </c>
      <c r="T4903" s="61">
        <f t="shared" ca="1" si="551"/>
        <v>14400</v>
      </c>
      <c r="U4903" s="61">
        <f t="shared" ca="1" si="552"/>
        <v>24693.883932204531</v>
      </c>
      <c r="V4903" s="39">
        <f t="shared" ca="1" si="553"/>
        <v>0.16245976271187193</v>
      </c>
      <c r="W4903" s="48">
        <f t="shared" ca="1" si="554"/>
        <v>2.3906865837302735</v>
      </c>
    </row>
    <row r="4904" spans="17:23" x14ac:dyDescent="0.2">
      <c r="Q4904">
        <f t="shared" si="555"/>
        <v>4888</v>
      </c>
      <c r="R4904" s="48">
        <f t="shared" ca="1" si="556"/>
        <v>0.45</v>
      </c>
      <c r="S4904">
        <f t="shared" ca="1" si="557"/>
        <v>204.35347326879517</v>
      </c>
      <c r="T4904" s="61">
        <f t="shared" ca="1" si="551"/>
        <v>21600</v>
      </c>
      <c r="U4904" s="61">
        <f t="shared" ca="1" si="552"/>
        <v>27915.528238269875</v>
      </c>
      <c r="V4904" s="39">
        <f t="shared" ca="1" si="553"/>
        <v>0.18365479104124918</v>
      </c>
      <c r="W4904" s="48">
        <f t="shared" ca="1" si="554"/>
        <v>2.925876200916568</v>
      </c>
    </row>
    <row r="4905" spans="17:23" x14ac:dyDescent="0.2">
      <c r="Q4905">
        <f t="shared" si="555"/>
        <v>4889</v>
      </c>
      <c r="R4905" s="48">
        <f t="shared" ca="1" si="556"/>
        <v>0.45</v>
      </c>
      <c r="S4905">
        <f t="shared" ca="1" si="557"/>
        <v>190.9134444527318</v>
      </c>
      <c r="T4905" s="61">
        <f t="shared" ca="1" si="551"/>
        <v>21600</v>
      </c>
      <c r="U4905" s="61">
        <f t="shared" ca="1" si="552"/>
        <v>22001.915559201989</v>
      </c>
      <c r="V4905" s="39">
        <f t="shared" ca="1" si="553"/>
        <v>0.14474944446843413</v>
      </c>
      <c r="W4905" s="48">
        <f t="shared" ca="1" si="554"/>
        <v>1.993690601599817</v>
      </c>
    </row>
    <row r="4906" spans="17:23" x14ac:dyDescent="0.2">
      <c r="Q4906">
        <f t="shared" si="555"/>
        <v>4890</v>
      </c>
      <c r="R4906" s="48">
        <f t="shared" ca="1" si="556"/>
        <v>0.4</v>
      </c>
      <c r="S4906">
        <f t="shared" ca="1" si="557"/>
        <v>167.41334956248235</v>
      </c>
      <c r="T4906" s="61">
        <f t="shared" ca="1" si="551"/>
        <v>19200</v>
      </c>
      <c r="U4906" s="61">
        <f t="shared" ca="1" si="552"/>
        <v>8358.4077899915283</v>
      </c>
      <c r="V4906" s="39">
        <f t="shared" ca="1" si="553"/>
        <v>5.4989524934154793E-2</v>
      </c>
      <c r="W4906" s="48">
        <f t="shared" ca="1" si="554"/>
        <v>0.54371920671726004</v>
      </c>
    </row>
    <row r="4907" spans="17:23" x14ac:dyDescent="0.2">
      <c r="Q4907">
        <f t="shared" si="555"/>
        <v>4891</v>
      </c>
      <c r="R4907" s="48">
        <f t="shared" ca="1" si="556"/>
        <v>0.35</v>
      </c>
      <c r="S4907">
        <f t="shared" ca="1" si="557"/>
        <v>175.88096889273328</v>
      </c>
      <c r="T4907" s="61">
        <f t="shared" ca="1" si="551"/>
        <v>16800</v>
      </c>
      <c r="U4907" s="61">
        <f t="shared" ca="1" si="552"/>
        <v>9458.1038242213053</v>
      </c>
      <c r="V4907" s="39">
        <f t="shared" ca="1" si="553"/>
        <v>6.2224367264613854E-2</v>
      </c>
      <c r="W4907" s="48">
        <f t="shared" ca="1" si="554"/>
        <v>0.63171008039544141</v>
      </c>
    </row>
    <row r="4908" spans="17:23" x14ac:dyDescent="0.2">
      <c r="Q4908">
        <f t="shared" si="555"/>
        <v>4892</v>
      </c>
      <c r="R4908" s="48">
        <f t="shared" ca="1" si="556"/>
        <v>0.5</v>
      </c>
      <c r="S4908">
        <f t="shared" ca="1" si="557"/>
        <v>163.2486318710894</v>
      </c>
      <c r="T4908" s="61">
        <f t="shared" ca="1" si="551"/>
        <v>24000</v>
      </c>
      <c r="U4908" s="61">
        <f t="shared" ca="1" si="552"/>
        <v>13299.45274843576</v>
      </c>
      <c r="V4908" s="39">
        <f t="shared" ca="1" si="553"/>
        <v>8.7496399660761587E-2</v>
      </c>
      <c r="W4908" s="48">
        <f t="shared" ca="1" si="554"/>
        <v>0.97455920002742658</v>
      </c>
    </row>
    <row r="4909" spans="17:23" x14ac:dyDescent="0.2">
      <c r="Q4909">
        <f t="shared" si="555"/>
        <v>4893</v>
      </c>
      <c r="R4909" s="48">
        <f t="shared" ca="1" si="556"/>
        <v>0.217</v>
      </c>
      <c r="S4909">
        <f t="shared" ca="1" si="557"/>
        <v>186.1887995236965</v>
      </c>
      <c r="T4909" s="61">
        <f t="shared" ca="1" si="551"/>
        <v>10416</v>
      </c>
      <c r="U4909" s="61">
        <f t="shared" ca="1" si="552"/>
        <v>8028.6640216434898</v>
      </c>
      <c r="V4909" s="39">
        <f t="shared" ca="1" si="553"/>
        <v>5.2820158037128223E-2</v>
      </c>
      <c r="W4909" s="48">
        <f t="shared" ca="1" si="554"/>
        <v>0.51815925803735108</v>
      </c>
    </row>
    <row r="4910" spans="17:23" x14ac:dyDescent="0.2">
      <c r="Q4910">
        <f t="shared" si="555"/>
        <v>4894</v>
      </c>
      <c r="R4910" s="48">
        <f t="shared" ca="1" si="556"/>
        <v>0.217</v>
      </c>
      <c r="S4910">
        <f t="shared" ca="1" si="557"/>
        <v>196.74974666985867</v>
      </c>
      <c r="T4910" s="61">
        <f t="shared" ca="1" si="551"/>
        <v>10416</v>
      </c>
      <c r="U4910" s="61">
        <f t="shared" ca="1" si="552"/>
        <v>14644.041313999467</v>
      </c>
      <c r="V4910" s="39">
        <f t="shared" ca="1" si="553"/>
        <v>9.6342377065785967E-2</v>
      </c>
      <c r="W4910" s="48">
        <f t="shared" ca="1" si="554"/>
        <v>1.1086673665466811</v>
      </c>
    </row>
    <row r="4911" spans="17:23" x14ac:dyDescent="0.2">
      <c r="Q4911">
        <f t="shared" si="555"/>
        <v>4895</v>
      </c>
      <c r="R4911" s="48">
        <f t="shared" ca="1" si="556"/>
        <v>0.3</v>
      </c>
      <c r="S4911">
        <f t="shared" ca="1" si="557"/>
        <v>176.45700773763284</v>
      </c>
      <c r="T4911" s="61">
        <f t="shared" ca="1" si="551"/>
        <v>14400</v>
      </c>
      <c r="U4911" s="61">
        <f t="shared" ca="1" si="552"/>
        <v>6815.9243330743884</v>
      </c>
      <c r="V4911" s="39">
        <f t="shared" ca="1" si="553"/>
        <v>4.4841607454436765E-2</v>
      </c>
      <c r="W4911" s="48">
        <f t="shared" ca="1" si="554"/>
        <v>0.42731683042255386</v>
      </c>
    </row>
    <row r="4912" spans="17:23" x14ac:dyDescent="0.2">
      <c r="Q4912">
        <f t="shared" si="555"/>
        <v>4896</v>
      </c>
      <c r="R4912" s="48">
        <f t="shared" ca="1" si="556"/>
        <v>0.5</v>
      </c>
      <c r="S4912">
        <f t="shared" ca="1" si="557"/>
        <v>174.29005538763445</v>
      </c>
      <c r="T4912" s="61">
        <f t="shared" ca="1" si="551"/>
        <v>24000</v>
      </c>
      <c r="U4912" s="61">
        <f t="shared" ca="1" si="552"/>
        <v>17716.022155053783</v>
      </c>
      <c r="V4912" s="39">
        <f t="shared" ca="1" si="553"/>
        <v>0.11655277733588015</v>
      </c>
      <c r="W4912" s="48">
        <f t="shared" ca="1" si="554"/>
        <v>1.4454228544225316</v>
      </c>
    </row>
    <row r="4913" spans="17:23" x14ac:dyDescent="0.2">
      <c r="Q4913">
        <f t="shared" si="555"/>
        <v>4897</v>
      </c>
      <c r="R4913" s="48">
        <f t="shared" ca="1" si="556"/>
        <v>0.3</v>
      </c>
      <c r="S4913">
        <f t="shared" ca="1" si="557"/>
        <v>161.56535562484927</v>
      </c>
      <c r="T4913" s="61">
        <f t="shared" ca="1" si="551"/>
        <v>14400</v>
      </c>
      <c r="U4913" s="61">
        <f t="shared" ca="1" si="552"/>
        <v>-1523.4008500844066</v>
      </c>
      <c r="V4913" s="39">
        <f t="shared" ca="1" si="553"/>
        <v>-1.0022374013713201E-2</v>
      </c>
      <c r="W4913" s="48">
        <f t="shared" ca="1" si="554"/>
        <v>-7.8454110216393702E-2</v>
      </c>
    </row>
    <row r="4914" spans="17:23" x14ac:dyDescent="0.2">
      <c r="Q4914">
        <f t="shared" si="555"/>
        <v>4898</v>
      </c>
      <c r="R4914" s="48">
        <f t="shared" ca="1" si="556"/>
        <v>0.4</v>
      </c>
      <c r="S4914">
        <f t="shared" ca="1" si="557"/>
        <v>191.12761041325618</v>
      </c>
      <c r="T4914" s="61">
        <f t="shared" ca="1" si="551"/>
        <v>19200</v>
      </c>
      <c r="U4914" s="61">
        <f t="shared" ca="1" si="552"/>
        <v>19741.252998362965</v>
      </c>
      <c r="V4914" s="39">
        <f t="shared" ca="1" si="553"/>
        <v>0.12987666446291424</v>
      </c>
      <c r="W4914" s="48">
        <f t="shared" ca="1" si="554"/>
        <v>1.6924066285883996</v>
      </c>
    </row>
    <row r="4915" spans="17:23" x14ac:dyDescent="0.2">
      <c r="Q4915">
        <f t="shared" si="555"/>
        <v>4899</v>
      </c>
      <c r="R4915" s="48">
        <f t="shared" ca="1" si="556"/>
        <v>0.4</v>
      </c>
      <c r="S4915">
        <f t="shared" ca="1" si="557"/>
        <v>210.14897836259539</v>
      </c>
      <c r="T4915" s="61">
        <f t="shared" ca="1" si="551"/>
        <v>19200</v>
      </c>
      <c r="U4915" s="61">
        <f t="shared" ca="1" si="552"/>
        <v>28871.509614045786</v>
      </c>
      <c r="V4915" s="39">
        <f t="shared" ca="1" si="553"/>
        <v>0.18994414219766964</v>
      </c>
      <c r="W4915" s="48">
        <f t="shared" ca="1" si="554"/>
        <v>3.0983065965861565</v>
      </c>
    </row>
    <row r="4916" spans="17:23" x14ac:dyDescent="0.2">
      <c r="Q4916">
        <f t="shared" si="555"/>
        <v>4900</v>
      </c>
      <c r="R4916" s="48">
        <f t="shared" ca="1" si="556"/>
        <v>0.45</v>
      </c>
      <c r="S4916">
        <f t="shared" ca="1" si="557"/>
        <v>176.27359907709803</v>
      </c>
      <c r="T4916" s="61">
        <f t="shared" ca="1" si="551"/>
        <v>21600</v>
      </c>
      <c r="U4916" s="61">
        <f t="shared" ca="1" si="552"/>
        <v>15560.383593923132</v>
      </c>
      <c r="V4916" s="39">
        <f t="shared" ca="1" si="553"/>
        <v>0.10237094469686271</v>
      </c>
      <c r="W4916" s="48">
        <f t="shared" ca="1" si="554"/>
        <v>1.2045763695692977</v>
      </c>
    </row>
    <row r="4917" spans="17:23" x14ac:dyDescent="0.2">
      <c r="Q4917">
        <f t="shared" si="555"/>
        <v>4901</v>
      </c>
      <c r="R4917" s="48">
        <f t="shared" ca="1" si="556"/>
        <v>0.35</v>
      </c>
      <c r="S4917">
        <f t="shared" ca="1" si="557"/>
        <v>190.09914297034092</v>
      </c>
      <c r="T4917" s="61">
        <f t="shared" ca="1" si="551"/>
        <v>16800</v>
      </c>
      <c r="U4917" s="61">
        <f t="shared" ca="1" si="552"/>
        <v>16851.554344577278</v>
      </c>
      <c r="V4917" s="39">
        <f t="shared" ca="1" si="553"/>
        <v>0.11086548910906104</v>
      </c>
      <c r="W4917" s="48">
        <f t="shared" ca="1" si="554"/>
        <v>1.3462014365935491</v>
      </c>
    </row>
    <row r="4918" spans="17:23" x14ac:dyDescent="0.2">
      <c r="Q4918">
        <f t="shared" si="555"/>
        <v>4902</v>
      </c>
      <c r="R4918" s="48">
        <f t="shared" ca="1" si="556"/>
        <v>0.35</v>
      </c>
      <c r="S4918">
        <f t="shared" ca="1" si="557"/>
        <v>186.10837095111583</v>
      </c>
      <c r="T4918" s="61">
        <f t="shared" ca="1" si="551"/>
        <v>16800</v>
      </c>
      <c r="U4918" s="61">
        <f t="shared" ca="1" si="552"/>
        <v>14776.352894580232</v>
      </c>
      <c r="V4918" s="39">
        <f t="shared" ca="1" si="553"/>
        <v>9.7212847990659421E-2</v>
      </c>
      <c r="W4918" s="48">
        <f t="shared" ca="1" si="554"/>
        <v>1.1222856627020543</v>
      </c>
    </row>
    <row r="4919" spans="17:23" x14ac:dyDescent="0.2">
      <c r="Q4919">
        <f t="shared" si="555"/>
        <v>4903</v>
      </c>
      <c r="R4919" s="48">
        <f t="shared" ca="1" si="556"/>
        <v>0.5</v>
      </c>
      <c r="S4919">
        <f t="shared" ca="1" si="557"/>
        <v>204.59038943526724</v>
      </c>
      <c r="T4919" s="61">
        <f t="shared" ca="1" si="551"/>
        <v>24000</v>
      </c>
      <c r="U4919" s="61">
        <f t="shared" ca="1" si="552"/>
        <v>29836.155774106897</v>
      </c>
      <c r="V4919" s="39">
        <f t="shared" ca="1" si="553"/>
        <v>0.19629049851386116</v>
      </c>
      <c r="W4919" s="48">
        <f t="shared" ca="1" si="554"/>
        <v>3.2789946561152581</v>
      </c>
    </row>
    <row r="4920" spans="17:23" x14ac:dyDescent="0.2">
      <c r="Q4920">
        <f t="shared" si="555"/>
        <v>4904</v>
      </c>
      <c r="R4920" s="48">
        <f t="shared" ca="1" si="556"/>
        <v>0.3</v>
      </c>
      <c r="S4920">
        <f t="shared" ca="1" si="557"/>
        <v>198.41847730224117</v>
      </c>
      <c r="T4920" s="61">
        <f t="shared" ca="1" si="551"/>
        <v>14400</v>
      </c>
      <c r="U4920" s="61">
        <f t="shared" ca="1" si="552"/>
        <v>19114.347289255056</v>
      </c>
      <c r="V4920" s="39">
        <f t="shared" ca="1" si="553"/>
        <v>0.12575228479773062</v>
      </c>
      <c r="W4920" s="48">
        <f t="shared" ca="1" si="554"/>
        <v>1.6137170285600204</v>
      </c>
    </row>
    <row r="4921" spans="17:23" x14ac:dyDescent="0.2">
      <c r="Q4921">
        <f t="shared" si="555"/>
        <v>4905</v>
      </c>
      <c r="R4921" s="48">
        <f t="shared" ca="1" si="556"/>
        <v>0.35</v>
      </c>
      <c r="S4921">
        <f t="shared" ca="1" si="557"/>
        <v>204.25893449321447</v>
      </c>
      <c r="T4921" s="61">
        <f t="shared" ref="T4921:T4984" ca="1" si="558">($B$8-$B$7)*($E$6*R4921)</f>
        <v>16800</v>
      </c>
      <c r="U4921" s="61">
        <f t="shared" ref="U4921:U4984" ca="1" si="559">T4921+((S4921-$B$7)*($E$6*(1-R4921)))</f>
        <v>24214.645936471523</v>
      </c>
      <c r="V4921" s="39">
        <f t="shared" ref="V4921:V4984" ca="1" si="560">U4921/$E$4</f>
        <v>0.15930688116099687</v>
      </c>
      <c r="W4921" s="48">
        <f t="shared" ref="W4921:W4984" ca="1" si="561">(1+V4921)^($J$29/$J$30)-1</f>
        <v>2.3168090243439368</v>
      </c>
    </row>
    <row r="4922" spans="17:23" x14ac:dyDescent="0.2">
      <c r="Q4922">
        <f t="shared" si="555"/>
        <v>4906</v>
      </c>
      <c r="R4922" s="48">
        <f t="shared" ca="1" si="556"/>
        <v>0.15</v>
      </c>
      <c r="S4922">
        <f t="shared" ca="1" si="557"/>
        <v>233.64671649171225</v>
      </c>
      <c r="T4922" s="61">
        <f t="shared" ca="1" si="558"/>
        <v>7200</v>
      </c>
      <c r="U4922" s="61">
        <f t="shared" ca="1" si="559"/>
        <v>36879.767214364329</v>
      </c>
      <c r="V4922" s="39">
        <f t="shared" ca="1" si="560"/>
        <v>0.24263004746292322</v>
      </c>
      <c r="W4922" s="48">
        <f t="shared" ca="1" si="561"/>
        <v>4.8239445970830133</v>
      </c>
    </row>
    <row r="4923" spans="17:23" x14ac:dyDescent="0.2">
      <c r="Q4923">
        <f t="shared" si="555"/>
        <v>4907</v>
      </c>
      <c r="R4923" s="48">
        <f t="shared" ca="1" si="556"/>
        <v>0.217</v>
      </c>
      <c r="S4923">
        <f t="shared" ca="1" si="557"/>
        <v>227.84966248377935</v>
      </c>
      <c r="T4923" s="61">
        <f t="shared" ca="1" si="558"/>
        <v>10416</v>
      </c>
      <c r="U4923" s="61">
        <f t="shared" ca="1" si="559"/>
        <v>34125.028579839389</v>
      </c>
      <c r="V4923" s="39">
        <f t="shared" ca="1" si="560"/>
        <v>0.22450676697262756</v>
      </c>
      <c r="W4923" s="48">
        <f t="shared" ca="1" si="561"/>
        <v>4.1696719073490005</v>
      </c>
    </row>
    <row r="4924" spans="17:23" x14ac:dyDescent="0.2">
      <c r="Q4924">
        <f t="shared" si="555"/>
        <v>4908</v>
      </c>
      <c r="R4924" s="48">
        <f t="shared" ca="1" si="556"/>
        <v>0.217</v>
      </c>
      <c r="S4924">
        <f t="shared" ca="1" si="557"/>
        <v>161.82915522235609</v>
      </c>
      <c r="T4924" s="61">
        <f t="shared" ca="1" si="558"/>
        <v>10416</v>
      </c>
      <c r="U4924" s="61">
        <f t="shared" ca="1" si="559"/>
        <v>-7230.2171687161426</v>
      </c>
      <c r="V4924" s="39">
        <f t="shared" ca="1" si="560"/>
        <v>-4.756721821523778E-2</v>
      </c>
      <c r="W4924" s="48">
        <f t="shared" ca="1" si="561"/>
        <v>-0.32652273551525168</v>
      </c>
    </row>
    <row r="4925" spans="17:23" x14ac:dyDescent="0.2">
      <c r="Q4925">
        <f t="shared" si="555"/>
        <v>4909</v>
      </c>
      <c r="R4925" s="48">
        <f t="shared" ca="1" si="556"/>
        <v>0.4</v>
      </c>
      <c r="S4925">
        <f t="shared" ca="1" si="557"/>
        <v>192.83541226485545</v>
      </c>
      <c r="T4925" s="61">
        <f t="shared" ca="1" si="558"/>
        <v>19200</v>
      </c>
      <c r="U4925" s="61">
        <f t="shared" ca="1" si="559"/>
        <v>20560.997887130616</v>
      </c>
      <c r="V4925" s="39">
        <f t="shared" ca="1" si="560"/>
        <v>0.1352697229416488</v>
      </c>
      <c r="W4925" s="48">
        <f t="shared" ca="1" si="561"/>
        <v>1.798430735554819</v>
      </c>
    </row>
    <row r="4926" spans="17:23" x14ac:dyDescent="0.2">
      <c r="Q4926">
        <f t="shared" si="555"/>
        <v>4910</v>
      </c>
      <c r="R4926" s="48">
        <f t="shared" ca="1" si="556"/>
        <v>0.3</v>
      </c>
      <c r="S4926">
        <f t="shared" ca="1" si="557"/>
        <v>208.88433417093154</v>
      </c>
      <c r="T4926" s="61">
        <f t="shared" ca="1" si="558"/>
        <v>14400</v>
      </c>
      <c r="U4926" s="61">
        <f t="shared" ca="1" si="559"/>
        <v>24975.22713572166</v>
      </c>
      <c r="V4926" s="39">
        <f t="shared" ca="1" si="560"/>
        <v>0.16431070484027407</v>
      </c>
      <c r="W4926" s="48">
        <f t="shared" ca="1" si="561"/>
        <v>2.4347261089698278</v>
      </c>
    </row>
    <row r="4927" spans="17:23" x14ac:dyDescent="0.2">
      <c r="Q4927">
        <f t="shared" si="555"/>
        <v>4911</v>
      </c>
      <c r="R4927" s="48">
        <f t="shared" ca="1" si="556"/>
        <v>0.45</v>
      </c>
      <c r="S4927">
        <f t="shared" ca="1" si="557"/>
        <v>206.46295197436586</v>
      </c>
      <c r="T4927" s="61">
        <f t="shared" ca="1" si="558"/>
        <v>21600</v>
      </c>
      <c r="U4927" s="61">
        <f t="shared" ca="1" si="559"/>
        <v>28843.698868720981</v>
      </c>
      <c r="V4927" s="39">
        <f t="shared" ca="1" si="560"/>
        <v>0.18976117676790119</v>
      </c>
      <c r="W4927" s="48">
        <f t="shared" ca="1" si="561"/>
        <v>3.0931981384266365</v>
      </c>
    </row>
    <row r="4928" spans="17:23" x14ac:dyDescent="0.2">
      <c r="Q4928">
        <f t="shared" si="555"/>
        <v>4912</v>
      </c>
      <c r="R4928" s="48">
        <f t="shared" ca="1" si="556"/>
        <v>0.35</v>
      </c>
      <c r="S4928">
        <f t="shared" ca="1" si="557"/>
        <v>157.94109841582903</v>
      </c>
      <c r="T4928" s="61">
        <f t="shared" ca="1" si="558"/>
        <v>16800</v>
      </c>
      <c r="U4928" s="61">
        <f t="shared" ca="1" si="559"/>
        <v>129.37117623109589</v>
      </c>
      <c r="V4928" s="39">
        <f t="shared" ca="1" si="560"/>
        <v>8.511261594151045E-4</v>
      </c>
      <c r="W4928" s="48">
        <f t="shared" ca="1" si="561"/>
        <v>6.9245069018706307E-3</v>
      </c>
    </row>
    <row r="4929" spans="17:23" x14ac:dyDescent="0.2">
      <c r="Q4929">
        <f t="shared" si="555"/>
        <v>4913</v>
      </c>
      <c r="R4929" s="48">
        <f t="shared" ca="1" si="556"/>
        <v>0.3</v>
      </c>
      <c r="S4929">
        <f t="shared" ca="1" si="557"/>
        <v>187.68190301802414</v>
      </c>
      <c r="T4929" s="61">
        <f t="shared" ca="1" si="558"/>
        <v>14400</v>
      </c>
      <c r="U4929" s="61">
        <f t="shared" ca="1" si="559"/>
        <v>13101.86569009352</v>
      </c>
      <c r="V4929" s="39">
        <f t="shared" ca="1" si="560"/>
        <v>8.6196484803246848E-2</v>
      </c>
      <c r="W4929" s="48">
        <f t="shared" ca="1" si="561"/>
        <v>0.95549615001858856</v>
      </c>
    </row>
    <row r="4930" spans="17:23" x14ac:dyDescent="0.2">
      <c r="Q4930">
        <f t="shared" si="555"/>
        <v>4914</v>
      </c>
      <c r="R4930" s="48">
        <f t="shared" ca="1" si="556"/>
        <v>0.35</v>
      </c>
      <c r="S4930">
        <f t="shared" ca="1" si="557"/>
        <v>191.28067732819133</v>
      </c>
      <c r="T4930" s="61">
        <f t="shared" ca="1" si="558"/>
        <v>16800</v>
      </c>
      <c r="U4930" s="61">
        <f t="shared" ca="1" si="559"/>
        <v>17465.952210659492</v>
      </c>
      <c r="V4930" s="39">
        <f t="shared" ca="1" si="560"/>
        <v>0.11490758033328613</v>
      </c>
      <c r="W4930" s="48">
        <f t="shared" ca="1" si="561"/>
        <v>1.4163492695395865</v>
      </c>
    </row>
    <row r="4931" spans="17:23" x14ac:dyDescent="0.2">
      <c r="Q4931">
        <f t="shared" si="555"/>
        <v>4915</v>
      </c>
      <c r="R4931" s="48">
        <f t="shared" ca="1" si="556"/>
        <v>0.35</v>
      </c>
      <c r="S4931">
        <f t="shared" ca="1" si="557"/>
        <v>209.52385376736879</v>
      </c>
      <c r="T4931" s="61">
        <f t="shared" ca="1" si="558"/>
        <v>16800</v>
      </c>
      <c r="U4931" s="61">
        <f t="shared" ca="1" si="559"/>
        <v>26952.40395903177</v>
      </c>
      <c r="V4931" s="39">
        <f t="shared" ca="1" si="560"/>
        <v>0.17731844709889322</v>
      </c>
      <c r="W4931" s="48">
        <f t="shared" ca="1" si="561"/>
        <v>2.7586223924709294</v>
      </c>
    </row>
    <row r="4932" spans="17:23" x14ac:dyDescent="0.2">
      <c r="Q4932">
        <f t="shared" si="555"/>
        <v>4916</v>
      </c>
      <c r="R4932" s="48">
        <f t="shared" ca="1" si="556"/>
        <v>0.4</v>
      </c>
      <c r="S4932">
        <f t="shared" ca="1" si="557"/>
        <v>201.70646271799521</v>
      </c>
      <c r="T4932" s="61">
        <f t="shared" ca="1" si="558"/>
        <v>19200</v>
      </c>
      <c r="U4932" s="61">
        <f t="shared" ca="1" si="559"/>
        <v>24819.102104637699</v>
      </c>
      <c r="V4932" s="39">
        <f t="shared" ca="1" si="560"/>
        <v>0.16328356647787959</v>
      </c>
      <c r="W4932" s="48">
        <f t="shared" ca="1" si="561"/>
        <v>2.4102258542746067</v>
      </c>
    </row>
    <row r="4933" spans="17:23" x14ac:dyDescent="0.2">
      <c r="Q4933">
        <f t="shared" si="555"/>
        <v>4917</v>
      </c>
      <c r="R4933" s="48">
        <f t="shared" ca="1" si="556"/>
        <v>0.35</v>
      </c>
      <c r="S4933">
        <f t="shared" ca="1" si="557"/>
        <v>191.45162749181736</v>
      </c>
      <c r="T4933" s="61">
        <f t="shared" ca="1" si="558"/>
        <v>16800</v>
      </c>
      <c r="U4933" s="61">
        <f t="shared" ca="1" si="559"/>
        <v>17554.846295745028</v>
      </c>
      <c r="V4933" s="39">
        <f t="shared" ca="1" si="560"/>
        <v>0.11549240984042781</v>
      </c>
      <c r="W4933" s="48">
        <f t="shared" ca="1" si="561"/>
        <v>1.4266493489498768</v>
      </c>
    </row>
    <row r="4934" spans="17:23" x14ac:dyDescent="0.2">
      <c r="Q4934">
        <f t="shared" si="555"/>
        <v>4918</v>
      </c>
      <c r="R4934" s="48">
        <f t="shared" ca="1" si="556"/>
        <v>0.4</v>
      </c>
      <c r="S4934">
        <f t="shared" ca="1" si="557"/>
        <v>182.69734458613678</v>
      </c>
      <c r="T4934" s="61">
        <f t="shared" ca="1" si="558"/>
        <v>19200</v>
      </c>
      <c r="U4934" s="61">
        <f t="shared" ca="1" si="559"/>
        <v>15694.725401345655</v>
      </c>
      <c r="V4934" s="39">
        <f t="shared" ca="1" si="560"/>
        <v>0.10325477237727404</v>
      </c>
      <c r="W4934" s="48">
        <f t="shared" ca="1" si="561"/>
        <v>1.2189538779029383</v>
      </c>
    </row>
    <row r="4935" spans="17:23" x14ac:dyDescent="0.2">
      <c r="Q4935">
        <f t="shared" si="555"/>
        <v>4919</v>
      </c>
      <c r="R4935" s="48">
        <f t="shared" ca="1" si="556"/>
        <v>0.5</v>
      </c>
      <c r="S4935">
        <f t="shared" ca="1" si="557"/>
        <v>201.09292270350636</v>
      </c>
      <c r="T4935" s="61">
        <f t="shared" ca="1" si="558"/>
        <v>24000</v>
      </c>
      <c r="U4935" s="61">
        <f t="shared" ca="1" si="559"/>
        <v>28437.169081402542</v>
      </c>
      <c r="V4935" s="39">
        <f t="shared" ca="1" si="560"/>
        <v>0.18708663869343778</v>
      </c>
      <c r="W4935" s="48">
        <f t="shared" ca="1" si="561"/>
        <v>3.019158731446927</v>
      </c>
    </row>
    <row r="4936" spans="17:23" x14ac:dyDescent="0.2">
      <c r="Q4936">
        <f t="shared" si="555"/>
        <v>4920</v>
      </c>
      <c r="R4936" s="48">
        <f t="shared" ca="1" si="556"/>
        <v>0.3</v>
      </c>
      <c r="S4936">
        <f t="shared" ca="1" si="557"/>
        <v>186.89767366966484</v>
      </c>
      <c r="T4936" s="61">
        <f t="shared" ca="1" si="558"/>
        <v>14400</v>
      </c>
      <c r="U4936" s="61">
        <f t="shared" ca="1" si="559"/>
        <v>12662.69725501231</v>
      </c>
      <c r="V4936" s="39">
        <f t="shared" ca="1" si="560"/>
        <v>8.3307218782975728E-2</v>
      </c>
      <c r="W4936" s="48">
        <f t="shared" ca="1" si="561"/>
        <v>0.9137023499445458</v>
      </c>
    </row>
    <row r="4937" spans="17:23" x14ac:dyDescent="0.2">
      <c r="Q4937">
        <f t="shared" si="555"/>
        <v>4921</v>
      </c>
      <c r="R4937" s="48">
        <f t="shared" ca="1" si="556"/>
        <v>0.4</v>
      </c>
      <c r="S4937">
        <f t="shared" ca="1" si="557"/>
        <v>194.66658716037685</v>
      </c>
      <c r="T4937" s="61">
        <f t="shared" ca="1" si="558"/>
        <v>19200</v>
      </c>
      <c r="U4937" s="61">
        <f t="shared" ca="1" si="559"/>
        <v>21439.961836980889</v>
      </c>
      <c r="V4937" s="39">
        <f t="shared" ca="1" si="560"/>
        <v>0.14105238050645322</v>
      </c>
      <c r="W4937" s="48">
        <f t="shared" ca="1" si="561"/>
        <v>1.9161639552926788</v>
      </c>
    </row>
    <row r="4938" spans="17:23" x14ac:dyDescent="0.2">
      <c r="Q4938">
        <f t="shared" si="555"/>
        <v>4922</v>
      </c>
      <c r="R4938" s="48">
        <f t="shared" ca="1" si="556"/>
        <v>0.3</v>
      </c>
      <c r="S4938">
        <f t="shared" ca="1" si="557"/>
        <v>206.91073862994818</v>
      </c>
      <c r="T4938" s="61">
        <f t="shared" ca="1" si="558"/>
        <v>14400</v>
      </c>
      <c r="U4938" s="61">
        <f t="shared" ca="1" si="559"/>
        <v>23870.013632770984</v>
      </c>
      <c r="V4938" s="39">
        <f t="shared" ca="1" si="560"/>
        <v>0.15703956337349331</v>
      </c>
      <c r="W4938" s="48">
        <f t="shared" ca="1" si="561"/>
        <v>2.2645578154329709</v>
      </c>
    </row>
    <row r="4939" spans="17:23" x14ac:dyDescent="0.2">
      <c r="Q4939">
        <f t="shared" si="555"/>
        <v>4923</v>
      </c>
      <c r="R4939" s="48">
        <f t="shared" ca="1" si="556"/>
        <v>0.35</v>
      </c>
      <c r="S4939">
        <f t="shared" ca="1" si="557"/>
        <v>202.64065639495604</v>
      </c>
      <c r="T4939" s="61">
        <f t="shared" ca="1" si="558"/>
        <v>16800</v>
      </c>
      <c r="U4939" s="61">
        <f t="shared" ca="1" si="559"/>
        <v>23373.141325377139</v>
      </c>
      <c r="V4939" s="39">
        <f t="shared" ca="1" si="560"/>
        <v>0.15377066661432329</v>
      </c>
      <c r="W4939" s="48">
        <f t="shared" ca="1" si="561"/>
        <v>2.1904953224005577</v>
      </c>
    </row>
    <row r="4940" spans="17:23" x14ac:dyDescent="0.2">
      <c r="Q4940">
        <f t="shared" si="555"/>
        <v>4924</v>
      </c>
      <c r="R4940" s="48">
        <f t="shared" ca="1" si="556"/>
        <v>0.217</v>
      </c>
      <c r="S4940">
        <f t="shared" ca="1" si="557"/>
        <v>209.8505308430118</v>
      </c>
      <c r="T4940" s="61">
        <f t="shared" ca="1" si="558"/>
        <v>10416</v>
      </c>
      <c r="U4940" s="61">
        <f t="shared" ca="1" si="559"/>
        <v>22850.372520062589</v>
      </c>
      <c r="V4940" s="39">
        <f t="shared" ca="1" si="560"/>
        <v>0.15033139815830651</v>
      </c>
      <c r="W4940" s="48">
        <f t="shared" ca="1" si="561"/>
        <v>2.1141670120793807</v>
      </c>
    </row>
    <row r="4941" spans="17:23" x14ac:dyDescent="0.2">
      <c r="Q4941">
        <f t="shared" si="555"/>
        <v>4925</v>
      </c>
      <c r="R4941" s="48">
        <f t="shared" ca="1" si="556"/>
        <v>0.4</v>
      </c>
      <c r="S4941">
        <f t="shared" ca="1" si="557"/>
        <v>208.0151307558807</v>
      </c>
      <c r="T4941" s="61">
        <f t="shared" ca="1" si="558"/>
        <v>19200</v>
      </c>
      <c r="U4941" s="61">
        <f t="shared" ca="1" si="559"/>
        <v>27847.262762822738</v>
      </c>
      <c r="V4941" s="39">
        <f t="shared" ca="1" si="560"/>
        <v>0.18320567607120222</v>
      </c>
      <c r="W4941" s="48">
        <f t="shared" ca="1" si="561"/>
        <v>2.9138101937550354</v>
      </c>
    </row>
    <row r="4942" spans="17:23" x14ac:dyDescent="0.2">
      <c r="Q4942">
        <f t="shared" si="555"/>
        <v>4926</v>
      </c>
      <c r="R4942" s="48">
        <f t="shared" ca="1" si="556"/>
        <v>0.217</v>
      </c>
      <c r="S4942">
        <f t="shared" ca="1" si="557"/>
        <v>195.42357183571187</v>
      </c>
      <c r="T4942" s="61">
        <f t="shared" ca="1" si="558"/>
        <v>10416</v>
      </c>
      <c r="U4942" s="61">
        <f t="shared" ca="1" si="559"/>
        <v>13813.325397889914</v>
      </c>
      <c r="V4942" s="39">
        <f t="shared" ca="1" si="560"/>
        <v>9.0877140775591544E-2</v>
      </c>
      <c r="W4942" s="48">
        <f t="shared" ca="1" si="561"/>
        <v>1.0249021695449061</v>
      </c>
    </row>
    <row r="4943" spans="17:23" x14ac:dyDescent="0.2">
      <c r="Q4943">
        <f t="shared" si="555"/>
        <v>4927</v>
      </c>
      <c r="R4943" s="48">
        <f t="shared" ca="1" si="556"/>
        <v>0.45</v>
      </c>
      <c r="S4943">
        <f t="shared" ca="1" si="557"/>
        <v>209.70737492830972</v>
      </c>
      <c r="T4943" s="61">
        <f t="shared" ca="1" si="558"/>
        <v>21600</v>
      </c>
      <c r="U4943" s="61">
        <f t="shared" ca="1" si="559"/>
        <v>30271.244968456278</v>
      </c>
      <c r="V4943" s="39">
        <f t="shared" ca="1" si="560"/>
        <v>0.19915292742405447</v>
      </c>
      <c r="W4943" s="48">
        <f t="shared" ca="1" si="561"/>
        <v>3.3627509061393157</v>
      </c>
    </row>
    <row r="4944" spans="17:23" x14ac:dyDescent="0.2">
      <c r="Q4944">
        <f t="shared" si="555"/>
        <v>4928</v>
      </c>
      <c r="R4944" s="48">
        <f t="shared" ca="1" si="556"/>
        <v>0.3</v>
      </c>
      <c r="S4944">
        <f t="shared" ca="1" si="557"/>
        <v>201.07570412712596</v>
      </c>
      <c r="T4944" s="61">
        <f t="shared" ca="1" si="558"/>
        <v>14400</v>
      </c>
      <c r="U4944" s="61">
        <f t="shared" ca="1" si="559"/>
        <v>20602.394311190539</v>
      </c>
      <c r="V4944" s="39">
        <f t="shared" ca="1" si="560"/>
        <v>0.13554206783677986</v>
      </c>
      <c r="W4944" s="48">
        <f t="shared" ca="1" si="561"/>
        <v>1.8038805981701662</v>
      </c>
    </row>
    <row r="4945" spans="17:23" x14ac:dyDescent="0.2">
      <c r="Q4945">
        <f t="shared" si="555"/>
        <v>4929</v>
      </c>
      <c r="R4945" s="48">
        <f t="shared" ca="1" si="556"/>
        <v>0.45</v>
      </c>
      <c r="S4945">
        <f t="shared" ca="1" si="557"/>
        <v>191.28556508112374</v>
      </c>
      <c r="T4945" s="61">
        <f t="shared" ca="1" si="558"/>
        <v>21600</v>
      </c>
      <c r="U4945" s="61">
        <f t="shared" ca="1" si="559"/>
        <v>22165.648635694444</v>
      </c>
      <c r="V4945" s="39">
        <f t="shared" ca="1" si="560"/>
        <v>0.14582663576114765</v>
      </c>
      <c r="W4945" s="48">
        <f t="shared" ca="1" si="561"/>
        <v>2.0166163245573756</v>
      </c>
    </row>
    <row r="4946" spans="17:23" x14ac:dyDescent="0.2">
      <c r="Q4946">
        <f t="shared" si="555"/>
        <v>4930</v>
      </c>
      <c r="R4946" s="48">
        <f t="shared" ca="1" si="556"/>
        <v>0.3</v>
      </c>
      <c r="S4946">
        <f t="shared" ca="1" si="557"/>
        <v>196.94795623625919</v>
      </c>
      <c r="T4946" s="61">
        <f t="shared" ca="1" si="558"/>
        <v>14400</v>
      </c>
      <c r="U4946" s="61">
        <f t="shared" ca="1" si="559"/>
        <v>18290.855492305145</v>
      </c>
      <c r="V4946" s="39">
        <f t="shared" ca="1" si="560"/>
        <v>0.12033457560727069</v>
      </c>
      <c r="W4946" s="48">
        <f t="shared" ca="1" si="561"/>
        <v>1.5134195954306535</v>
      </c>
    </row>
    <row r="4947" spans="17:23" x14ac:dyDescent="0.2">
      <c r="Q4947">
        <f t="shared" ref="Q4947:Q5010" si="562">Q4946+1</f>
        <v>4931</v>
      </c>
      <c r="R4947" s="48">
        <f t="shared" ref="R4947:R5010" ca="1" si="563">LOOKUP(RAND(),$U$6:$U$12,$S$6:$S$12)</f>
        <v>0.4</v>
      </c>
      <c r="S4947">
        <f t="shared" ref="S4947:S5010" ca="1" si="564">_xlfn.NORM.INV(RAND(),$Q$5,$Q$10)</f>
        <v>214.90720954244796</v>
      </c>
      <c r="T4947" s="61">
        <f t="shared" ca="1" si="558"/>
        <v>19200</v>
      </c>
      <c r="U4947" s="61">
        <f t="shared" ca="1" si="559"/>
        <v>31155.46058037502</v>
      </c>
      <c r="V4947" s="39">
        <f t="shared" ca="1" si="560"/>
        <v>0.20497013539720407</v>
      </c>
      <c r="W4947" s="48">
        <f t="shared" ca="1" si="561"/>
        <v>3.5374058948253468</v>
      </c>
    </row>
    <row r="4948" spans="17:23" x14ac:dyDescent="0.2">
      <c r="Q4948">
        <f t="shared" si="562"/>
        <v>4932</v>
      </c>
      <c r="R4948" s="48">
        <f t="shared" ca="1" si="563"/>
        <v>0.35</v>
      </c>
      <c r="S4948">
        <f t="shared" ca="1" si="564"/>
        <v>196.47170208992148</v>
      </c>
      <c r="T4948" s="61">
        <f t="shared" ca="1" si="558"/>
        <v>16800</v>
      </c>
      <c r="U4948" s="61">
        <f t="shared" ca="1" si="559"/>
        <v>20165.28508675917</v>
      </c>
      <c r="V4948" s="39">
        <f t="shared" ca="1" si="560"/>
        <v>0.13266634925499454</v>
      </c>
      <c r="W4948" s="48">
        <f t="shared" ca="1" si="561"/>
        <v>1.7468017663447126</v>
      </c>
    </row>
    <row r="4949" spans="17:23" x14ac:dyDescent="0.2">
      <c r="Q4949">
        <f t="shared" si="562"/>
        <v>4933</v>
      </c>
      <c r="R4949" s="48">
        <f t="shared" ca="1" si="563"/>
        <v>0.15</v>
      </c>
      <c r="S4949">
        <f t="shared" ca="1" si="564"/>
        <v>182.34651737947689</v>
      </c>
      <c r="T4949" s="61">
        <f t="shared" ca="1" si="558"/>
        <v>7200</v>
      </c>
      <c r="U4949" s="61">
        <f t="shared" ca="1" si="559"/>
        <v>1995.6318180442868</v>
      </c>
      <c r="V4949" s="39">
        <f t="shared" ca="1" si="560"/>
        <v>1.3129156697659782E-2</v>
      </c>
      <c r="W4949" s="48">
        <f t="shared" ca="1" si="561"/>
        <v>0.1115984589983201</v>
      </c>
    </row>
    <row r="4950" spans="17:23" x14ac:dyDescent="0.2">
      <c r="Q4950">
        <f t="shared" si="562"/>
        <v>4934</v>
      </c>
      <c r="R4950" s="48">
        <f t="shared" ca="1" si="563"/>
        <v>0.3</v>
      </c>
      <c r="S4950">
        <f t="shared" ca="1" si="564"/>
        <v>182.95519204055694</v>
      </c>
      <c r="T4950" s="61">
        <f t="shared" ca="1" si="558"/>
        <v>14400</v>
      </c>
      <c r="U4950" s="61">
        <f t="shared" ca="1" si="559"/>
        <v>10454.907542711884</v>
      </c>
      <c r="V4950" s="39">
        <f t="shared" ca="1" si="560"/>
        <v>6.8782286465209758E-2</v>
      </c>
      <c r="W4950" s="48">
        <f t="shared" ca="1" si="561"/>
        <v>0.7152360481667035</v>
      </c>
    </row>
    <row r="4951" spans="17:23" x14ac:dyDescent="0.2">
      <c r="Q4951">
        <f t="shared" si="562"/>
        <v>4935</v>
      </c>
      <c r="R4951" s="48">
        <f t="shared" ca="1" si="563"/>
        <v>0.217</v>
      </c>
      <c r="S4951">
        <f t="shared" ca="1" si="564"/>
        <v>182.18899759906733</v>
      </c>
      <c r="T4951" s="61">
        <f t="shared" ca="1" si="558"/>
        <v>10416</v>
      </c>
      <c r="U4951" s="61">
        <f t="shared" ca="1" si="559"/>
        <v>5523.1880960557792</v>
      </c>
      <c r="V4951" s="39">
        <f t="shared" ca="1" si="560"/>
        <v>3.6336763789840652E-2</v>
      </c>
      <c r="W4951" s="48">
        <f t="shared" ca="1" si="561"/>
        <v>0.33576346922572742</v>
      </c>
    </row>
    <row r="4952" spans="17:23" x14ac:dyDescent="0.2">
      <c r="Q4952">
        <f t="shared" si="562"/>
        <v>4936</v>
      </c>
      <c r="R4952" s="48">
        <f t="shared" ca="1" si="563"/>
        <v>0.35</v>
      </c>
      <c r="S4952">
        <f t="shared" ca="1" si="564"/>
        <v>188.57265511046614</v>
      </c>
      <c r="T4952" s="61">
        <f t="shared" ca="1" si="558"/>
        <v>16800</v>
      </c>
      <c r="U4952" s="61">
        <f t="shared" ca="1" si="559"/>
        <v>16057.780657442396</v>
      </c>
      <c r="V4952" s="39">
        <f t="shared" ca="1" si="560"/>
        <v>0.10564329379896313</v>
      </c>
      <c r="W4952" s="48">
        <f t="shared" ca="1" si="561"/>
        <v>1.2582208025315453</v>
      </c>
    </row>
    <row r="4953" spans="17:23" x14ac:dyDescent="0.2">
      <c r="Q4953">
        <f t="shared" si="562"/>
        <v>4937</v>
      </c>
      <c r="R4953" s="48">
        <f t="shared" ca="1" si="563"/>
        <v>0.35</v>
      </c>
      <c r="S4953">
        <f t="shared" ca="1" si="564"/>
        <v>154.75786049112307</v>
      </c>
      <c r="T4953" s="61">
        <f t="shared" ca="1" si="558"/>
        <v>16800</v>
      </c>
      <c r="U4953" s="61">
        <f t="shared" ca="1" si="559"/>
        <v>-1525.9125446160033</v>
      </c>
      <c r="V4953" s="39">
        <f t="shared" ca="1" si="560"/>
        <v>-1.0038898319842128E-2</v>
      </c>
      <c r="W4953" s="48">
        <f t="shared" ca="1" si="561"/>
        <v>-7.8578868501222088E-2</v>
      </c>
    </row>
    <row r="4954" spans="17:23" x14ac:dyDescent="0.2">
      <c r="Q4954">
        <f t="shared" si="562"/>
        <v>4938</v>
      </c>
      <c r="R4954" s="48">
        <f t="shared" ca="1" si="563"/>
        <v>0.35</v>
      </c>
      <c r="S4954">
        <f t="shared" ca="1" si="564"/>
        <v>187.0704141959321</v>
      </c>
      <c r="T4954" s="61">
        <f t="shared" ca="1" si="558"/>
        <v>16800</v>
      </c>
      <c r="U4954" s="61">
        <f t="shared" ca="1" si="559"/>
        <v>15276.615381884692</v>
      </c>
      <c r="V4954" s="39">
        <f t="shared" ca="1" si="560"/>
        <v>0.10050404856503087</v>
      </c>
      <c r="W4954" s="48">
        <f t="shared" ca="1" si="561"/>
        <v>1.1744751582413602</v>
      </c>
    </row>
    <row r="4955" spans="17:23" x14ac:dyDescent="0.2">
      <c r="Q4955">
        <f t="shared" si="562"/>
        <v>4939</v>
      </c>
      <c r="R4955" s="48">
        <f t="shared" ca="1" si="563"/>
        <v>0.217</v>
      </c>
      <c r="S4955">
        <f t="shared" ca="1" si="564"/>
        <v>161.14102693283226</v>
      </c>
      <c r="T4955" s="61">
        <f t="shared" ca="1" si="558"/>
        <v>10416</v>
      </c>
      <c r="U4955" s="61">
        <f t="shared" ca="1" si="559"/>
        <v>-7661.2607292738721</v>
      </c>
      <c r="V4955" s="39">
        <f t="shared" ca="1" si="560"/>
        <v>-5.0403031113643894E-2</v>
      </c>
      <c r="W4955" s="48">
        <f t="shared" ca="1" si="561"/>
        <v>-0.34261630777319441</v>
      </c>
    </row>
    <row r="4956" spans="17:23" x14ac:dyDescent="0.2">
      <c r="Q4956">
        <f t="shared" si="562"/>
        <v>4940</v>
      </c>
      <c r="R4956" s="48">
        <f t="shared" ca="1" si="563"/>
        <v>0.35</v>
      </c>
      <c r="S4956">
        <f t="shared" ca="1" si="564"/>
        <v>181.85109930196268</v>
      </c>
      <c r="T4956" s="61">
        <f t="shared" ca="1" si="558"/>
        <v>16800</v>
      </c>
      <c r="U4956" s="61">
        <f t="shared" ca="1" si="559"/>
        <v>12562.571637020592</v>
      </c>
      <c r="V4956" s="39">
        <f t="shared" ca="1" si="560"/>
        <v>8.2648497611977581E-2</v>
      </c>
      <c r="W4956" s="48">
        <f t="shared" ca="1" si="561"/>
        <v>0.90428419296065665</v>
      </c>
    </row>
    <row r="4957" spans="17:23" x14ac:dyDescent="0.2">
      <c r="Q4957">
        <f t="shared" si="562"/>
        <v>4941</v>
      </c>
      <c r="R4957" s="48">
        <f t="shared" ca="1" si="563"/>
        <v>0.35</v>
      </c>
      <c r="S4957">
        <f t="shared" ca="1" si="564"/>
        <v>216.23608499359256</v>
      </c>
      <c r="T4957" s="61">
        <f t="shared" ca="1" si="558"/>
        <v>16800</v>
      </c>
      <c r="U4957" s="61">
        <f t="shared" ca="1" si="559"/>
        <v>30442.764196668129</v>
      </c>
      <c r="V4957" s="39">
        <f t="shared" ca="1" si="560"/>
        <v>0.20028134339913242</v>
      </c>
      <c r="W4957" s="48">
        <f t="shared" ca="1" si="561"/>
        <v>3.3961618577619657</v>
      </c>
    </row>
    <row r="4958" spans="17:23" x14ac:dyDescent="0.2">
      <c r="Q4958">
        <f t="shared" si="562"/>
        <v>4942</v>
      </c>
      <c r="R4958" s="48">
        <f t="shared" ca="1" si="563"/>
        <v>0.4</v>
      </c>
      <c r="S4958">
        <f t="shared" ca="1" si="564"/>
        <v>192.00036995175617</v>
      </c>
      <c r="T4958" s="61">
        <f t="shared" ca="1" si="558"/>
        <v>19200</v>
      </c>
      <c r="U4958" s="61">
        <f t="shared" ca="1" si="559"/>
        <v>20160.177576842962</v>
      </c>
      <c r="V4958" s="39">
        <f t="shared" ca="1" si="560"/>
        <v>0.13263274721607213</v>
      </c>
      <c r="W4958" s="48">
        <f t="shared" ca="1" si="561"/>
        <v>1.7461408819578121</v>
      </c>
    </row>
    <row r="4959" spans="17:23" x14ac:dyDescent="0.2">
      <c r="Q4959">
        <f t="shared" si="562"/>
        <v>4943</v>
      </c>
      <c r="R4959" s="48">
        <f t="shared" ca="1" si="563"/>
        <v>0.4</v>
      </c>
      <c r="S4959">
        <f t="shared" ca="1" si="564"/>
        <v>187.73800316233914</v>
      </c>
      <c r="T4959" s="61">
        <f t="shared" ca="1" si="558"/>
        <v>19200</v>
      </c>
      <c r="U4959" s="61">
        <f t="shared" ca="1" si="559"/>
        <v>18114.241517922786</v>
      </c>
      <c r="V4959" s="39">
        <f t="shared" ca="1" si="560"/>
        <v>0.11917264156528148</v>
      </c>
      <c r="W4959" s="48">
        <f t="shared" ca="1" si="561"/>
        <v>1.4923537923404613</v>
      </c>
    </row>
    <row r="4960" spans="17:23" x14ac:dyDescent="0.2">
      <c r="Q4960">
        <f t="shared" si="562"/>
        <v>4944</v>
      </c>
      <c r="R4960" s="48">
        <f t="shared" ca="1" si="563"/>
        <v>0.35</v>
      </c>
      <c r="S4960">
        <f t="shared" ca="1" si="564"/>
        <v>210.94162218315984</v>
      </c>
      <c r="T4960" s="61">
        <f t="shared" ca="1" si="558"/>
        <v>16800</v>
      </c>
      <c r="U4960" s="61">
        <f t="shared" ca="1" si="559"/>
        <v>27689.643535243114</v>
      </c>
      <c r="V4960" s="39">
        <f t="shared" ca="1" si="560"/>
        <v>0.1821687074687047</v>
      </c>
      <c r="W4960" s="48">
        <f t="shared" ca="1" si="561"/>
        <v>2.88607491905181</v>
      </c>
    </row>
    <row r="4961" spans="17:23" x14ac:dyDescent="0.2">
      <c r="Q4961">
        <f t="shared" si="562"/>
        <v>4945</v>
      </c>
      <c r="R4961" s="48">
        <f t="shared" ca="1" si="563"/>
        <v>0.35</v>
      </c>
      <c r="S4961">
        <f t="shared" ca="1" si="564"/>
        <v>196.22982647028178</v>
      </c>
      <c r="T4961" s="61">
        <f t="shared" ca="1" si="558"/>
        <v>16800</v>
      </c>
      <c r="U4961" s="61">
        <f t="shared" ca="1" si="559"/>
        <v>20039.509764546525</v>
      </c>
      <c r="V4961" s="39">
        <f t="shared" ca="1" si="560"/>
        <v>0.13183888002991134</v>
      </c>
      <c r="W4961" s="48">
        <f t="shared" ca="1" si="561"/>
        <v>1.7305676127492857</v>
      </c>
    </row>
    <row r="4962" spans="17:23" x14ac:dyDescent="0.2">
      <c r="Q4962">
        <f t="shared" si="562"/>
        <v>4946</v>
      </c>
      <c r="R4962" s="48">
        <f t="shared" ca="1" si="563"/>
        <v>0.217</v>
      </c>
      <c r="S4962">
        <f t="shared" ca="1" si="564"/>
        <v>206.308030954228</v>
      </c>
      <c r="T4962" s="61">
        <f t="shared" ca="1" si="558"/>
        <v>10416</v>
      </c>
      <c r="U4962" s="61">
        <f t="shared" ca="1" si="559"/>
        <v>20631.350589728419</v>
      </c>
      <c r="V4962" s="39">
        <f t="shared" ca="1" si="560"/>
        <v>0.13573256966926592</v>
      </c>
      <c r="W4962" s="48">
        <f t="shared" ca="1" si="561"/>
        <v>1.8076982371781845</v>
      </c>
    </row>
    <row r="4963" spans="17:23" x14ac:dyDescent="0.2">
      <c r="Q4963">
        <f t="shared" si="562"/>
        <v>4947</v>
      </c>
      <c r="R4963" s="48">
        <f t="shared" ca="1" si="563"/>
        <v>0.3</v>
      </c>
      <c r="S4963">
        <f t="shared" ca="1" si="564"/>
        <v>191.87875798919893</v>
      </c>
      <c r="T4963" s="61">
        <f t="shared" ca="1" si="558"/>
        <v>14400</v>
      </c>
      <c r="U4963" s="61">
        <f t="shared" ca="1" si="559"/>
        <v>15452.104473951402</v>
      </c>
      <c r="V4963" s="39">
        <f t="shared" ca="1" si="560"/>
        <v>0.10165858206546975</v>
      </c>
      <c r="W4963" s="48">
        <f t="shared" ca="1" si="561"/>
        <v>1.1930476470141782</v>
      </c>
    </row>
    <row r="4964" spans="17:23" x14ac:dyDescent="0.2">
      <c r="Q4964">
        <f t="shared" si="562"/>
        <v>4948</v>
      </c>
      <c r="R4964" s="48">
        <f t="shared" ca="1" si="563"/>
        <v>0.217</v>
      </c>
      <c r="S4964">
        <f t="shared" ca="1" si="564"/>
        <v>204.00541871253191</v>
      </c>
      <c r="T4964" s="61">
        <f t="shared" ca="1" si="558"/>
        <v>10416</v>
      </c>
      <c r="U4964" s="61">
        <f t="shared" ca="1" si="559"/>
        <v>19188.994281529987</v>
      </c>
      <c r="V4964" s="39">
        <f t="shared" ca="1" si="560"/>
        <v>0.12624338343111835</v>
      </c>
      <c r="W4964" s="48">
        <f t="shared" ca="1" si="561"/>
        <v>1.622979747936443</v>
      </c>
    </row>
    <row r="4965" spans="17:23" x14ac:dyDescent="0.2">
      <c r="Q4965">
        <f t="shared" si="562"/>
        <v>4949</v>
      </c>
      <c r="R4965" s="48">
        <f t="shared" ca="1" si="563"/>
        <v>0.3</v>
      </c>
      <c r="S4965">
        <f t="shared" ca="1" si="564"/>
        <v>189.59418918985972</v>
      </c>
      <c r="T4965" s="61">
        <f t="shared" ca="1" si="558"/>
        <v>14400</v>
      </c>
      <c r="U4965" s="61">
        <f t="shared" ca="1" si="559"/>
        <v>14172.745946321444</v>
      </c>
      <c r="V4965" s="39">
        <f t="shared" ca="1" si="560"/>
        <v>9.3241749646851599E-2</v>
      </c>
      <c r="W4965" s="48">
        <f t="shared" ca="1" si="561"/>
        <v>1.0607792334875987</v>
      </c>
    </row>
    <row r="4966" spans="17:23" x14ac:dyDescent="0.2">
      <c r="Q4966">
        <f t="shared" si="562"/>
        <v>4950</v>
      </c>
      <c r="R4966" s="48">
        <f t="shared" ca="1" si="563"/>
        <v>0.4</v>
      </c>
      <c r="S4966">
        <f t="shared" ca="1" si="564"/>
        <v>211.42025419811387</v>
      </c>
      <c r="T4966" s="61">
        <f t="shared" ca="1" si="558"/>
        <v>19200</v>
      </c>
      <c r="U4966" s="61">
        <f t="shared" ca="1" si="559"/>
        <v>29481.722015094656</v>
      </c>
      <c r="V4966" s="39">
        <f t="shared" ca="1" si="560"/>
        <v>0.19395869746772801</v>
      </c>
      <c r="W4966" s="48">
        <f t="shared" ca="1" si="561"/>
        <v>3.2118102321569717</v>
      </c>
    </row>
    <row r="4967" spans="17:23" x14ac:dyDescent="0.2">
      <c r="Q4967">
        <f t="shared" si="562"/>
        <v>4951</v>
      </c>
      <c r="R4967" s="48">
        <f t="shared" ca="1" si="563"/>
        <v>0.3</v>
      </c>
      <c r="S4967">
        <f t="shared" ca="1" si="564"/>
        <v>204.71217097263266</v>
      </c>
      <c r="T4967" s="61">
        <f t="shared" ca="1" si="558"/>
        <v>14400</v>
      </c>
      <c r="U4967" s="61">
        <f t="shared" ca="1" si="559"/>
        <v>22638.815744674292</v>
      </c>
      <c r="V4967" s="39">
        <f t="shared" ca="1" si="560"/>
        <v>0.14893957726759402</v>
      </c>
      <c r="W4967" s="48">
        <f t="shared" ca="1" si="561"/>
        <v>2.0837361054942014</v>
      </c>
    </row>
    <row r="4968" spans="17:23" x14ac:dyDescent="0.2">
      <c r="Q4968">
        <f t="shared" si="562"/>
        <v>4952</v>
      </c>
      <c r="R4968" s="48">
        <f t="shared" ca="1" si="563"/>
        <v>0.45</v>
      </c>
      <c r="S4968">
        <f t="shared" ca="1" si="564"/>
        <v>170.77587072893797</v>
      </c>
      <c r="T4968" s="61">
        <f t="shared" ca="1" si="558"/>
        <v>21600</v>
      </c>
      <c r="U4968" s="61">
        <f t="shared" ca="1" si="559"/>
        <v>13141.383120732708</v>
      </c>
      <c r="V4968" s="39">
        <f t="shared" ca="1" si="560"/>
        <v>8.6456467899557285E-2</v>
      </c>
      <c r="W4968" s="48">
        <f t="shared" ca="1" si="561"/>
        <v>0.95929580054978514</v>
      </c>
    </row>
    <row r="4969" spans="17:23" x14ac:dyDescent="0.2">
      <c r="Q4969">
        <f t="shared" si="562"/>
        <v>4953</v>
      </c>
      <c r="R4969" s="48">
        <f t="shared" ca="1" si="563"/>
        <v>0.45</v>
      </c>
      <c r="S4969">
        <f t="shared" ca="1" si="564"/>
        <v>178.70725004361924</v>
      </c>
      <c r="T4969" s="61">
        <f t="shared" ca="1" si="558"/>
        <v>21600</v>
      </c>
      <c r="U4969" s="61">
        <f t="shared" ca="1" si="559"/>
        <v>16631.190019192465</v>
      </c>
      <c r="V4969" s="39">
        <f t="shared" ca="1" si="560"/>
        <v>0.10941572381047675</v>
      </c>
      <c r="W4969" s="48">
        <f t="shared" ca="1" si="561"/>
        <v>1.3214803639899677</v>
      </c>
    </row>
    <row r="4970" spans="17:23" x14ac:dyDescent="0.2">
      <c r="Q4970">
        <f t="shared" si="562"/>
        <v>4954</v>
      </c>
      <c r="R4970" s="48">
        <f t="shared" ca="1" si="563"/>
        <v>0.5</v>
      </c>
      <c r="S4970">
        <f t="shared" ca="1" si="564"/>
        <v>235.52824422332384</v>
      </c>
      <c r="T4970" s="61">
        <f t="shared" ca="1" si="558"/>
        <v>24000</v>
      </c>
      <c r="U4970" s="61">
        <f t="shared" ca="1" si="559"/>
        <v>42211.297689329534</v>
      </c>
      <c r="V4970" s="39">
        <f t="shared" ca="1" si="560"/>
        <v>0.2777059058508522</v>
      </c>
      <c r="W4970" s="48">
        <f t="shared" ca="1" si="561"/>
        <v>6.2991598289794464</v>
      </c>
    </row>
    <row r="4971" spans="17:23" x14ac:dyDescent="0.2">
      <c r="Q4971">
        <f t="shared" si="562"/>
        <v>4955</v>
      </c>
      <c r="R4971" s="48">
        <f t="shared" ca="1" si="563"/>
        <v>0.4</v>
      </c>
      <c r="S4971">
        <f t="shared" ca="1" si="564"/>
        <v>183.25123582507877</v>
      </c>
      <c r="T4971" s="61">
        <f t="shared" ca="1" si="558"/>
        <v>19200</v>
      </c>
      <c r="U4971" s="61">
        <f t="shared" ca="1" si="559"/>
        <v>15960.593196037808</v>
      </c>
      <c r="V4971" s="39">
        <f t="shared" ca="1" si="560"/>
        <v>0.10500390260551189</v>
      </c>
      <c r="W4971" s="48">
        <f t="shared" ca="1" si="561"/>
        <v>1.2476500594089646</v>
      </c>
    </row>
    <row r="4972" spans="17:23" x14ac:dyDescent="0.2">
      <c r="Q4972">
        <f t="shared" si="562"/>
        <v>4956</v>
      </c>
      <c r="R4972" s="48">
        <f t="shared" ca="1" si="563"/>
        <v>0.4</v>
      </c>
      <c r="S4972">
        <f t="shared" ca="1" si="564"/>
        <v>234.05661010794324</v>
      </c>
      <c r="T4972" s="61">
        <f t="shared" ca="1" si="558"/>
        <v>19200</v>
      </c>
      <c r="U4972" s="61">
        <f t="shared" ca="1" si="559"/>
        <v>40347.172851812757</v>
      </c>
      <c r="V4972" s="39">
        <f t="shared" ca="1" si="560"/>
        <v>0.26544192665666289</v>
      </c>
      <c r="W4972" s="48">
        <f t="shared" ca="1" si="561"/>
        <v>5.7499103069333657</v>
      </c>
    </row>
    <row r="4973" spans="17:23" x14ac:dyDescent="0.2">
      <c r="Q4973">
        <f t="shared" si="562"/>
        <v>4957</v>
      </c>
      <c r="R4973" s="48">
        <f t="shared" ca="1" si="563"/>
        <v>0.3</v>
      </c>
      <c r="S4973">
        <f t="shared" ca="1" si="564"/>
        <v>201.88089473891719</v>
      </c>
      <c r="T4973" s="61">
        <f t="shared" ca="1" si="558"/>
        <v>14400</v>
      </c>
      <c r="U4973" s="61">
        <f t="shared" ca="1" si="559"/>
        <v>21053.301053793628</v>
      </c>
      <c r="V4973" s="39">
        <f t="shared" ca="1" si="560"/>
        <v>0.13850855956443175</v>
      </c>
      <c r="W4973" s="48">
        <f t="shared" ca="1" si="561"/>
        <v>1.8638481696190965</v>
      </c>
    </row>
    <row r="4974" spans="17:23" x14ac:dyDescent="0.2">
      <c r="Q4974">
        <f t="shared" si="562"/>
        <v>4958</v>
      </c>
      <c r="R4974" s="48">
        <f t="shared" ca="1" si="563"/>
        <v>0.217</v>
      </c>
      <c r="S4974">
        <f t="shared" ca="1" si="564"/>
        <v>167.01744500716779</v>
      </c>
      <c r="T4974" s="61">
        <f t="shared" ca="1" si="558"/>
        <v>10416</v>
      </c>
      <c r="U4974" s="61">
        <f t="shared" ca="1" si="559"/>
        <v>-3980.2724475100931</v>
      </c>
      <c r="V4974" s="39">
        <f t="shared" ca="1" si="560"/>
        <v>-2.6186002944145349E-2</v>
      </c>
      <c r="W4974" s="48">
        <f t="shared" ca="1" si="561"/>
        <v>-0.19364244853962975</v>
      </c>
    </row>
    <row r="4975" spans="17:23" x14ac:dyDescent="0.2">
      <c r="Q4975">
        <f t="shared" si="562"/>
        <v>4959</v>
      </c>
      <c r="R4975" s="48">
        <f t="shared" ca="1" si="563"/>
        <v>0.3</v>
      </c>
      <c r="S4975">
        <f t="shared" ca="1" si="564"/>
        <v>174.39703789493501</v>
      </c>
      <c r="T4975" s="61">
        <f t="shared" ca="1" si="558"/>
        <v>14400</v>
      </c>
      <c r="U4975" s="61">
        <f t="shared" ca="1" si="559"/>
        <v>5662.341221163606</v>
      </c>
      <c r="V4975" s="39">
        <f t="shared" ca="1" si="560"/>
        <v>3.7252244876076354E-2</v>
      </c>
      <c r="W4975" s="48">
        <f t="shared" ca="1" si="561"/>
        <v>0.34536460867095142</v>
      </c>
    </row>
    <row r="4976" spans="17:23" x14ac:dyDescent="0.2">
      <c r="Q4976">
        <f t="shared" si="562"/>
        <v>4960</v>
      </c>
      <c r="R4976" s="48">
        <f t="shared" ca="1" si="563"/>
        <v>0.3</v>
      </c>
      <c r="S4976">
        <f t="shared" ca="1" si="564"/>
        <v>170.5154601357668</v>
      </c>
      <c r="T4976" s="61">
        <f t="shared" ca="1" si="558"/>
        <v>14400</v>
      </c>
      <c r="U4976" s="61">
        <f t="shared" ca="1" si="559"/>
        <v>3488.6576760294083</v>
      </c>
      <c r="V4976" s="39">
        <f t="shared" ca="1" si="560"/>
        <v>2.295169523703558E-2</v>
      </c>
      <c r="W4976" s="48">
        <f t="shared" ca="1" si="561"/>
        <v>0.20208734515809557</v>
      </c>
    </row>
    <row r="4977" spans="17:23" x14ac:dyDescent="0.2">
      <c r="Q4977">
        <f t="shared" si="562"/>
        <v>4961</v>
      </c>
      <c r="R4977" s="48">
        <f t="shared" ca="1" si="563"/>
        <v>0.217</v>
      </c>
      <c r="S4977">
        <f t="shared" ca="1" si="564"/>
        <v>165.89345525076649</v>
      </c>
      <c r="T4977" s="61">
        <f t="shared" ca="1" si="558"/>
        <v>10416</v>
      </c>
      <c r="U4977" s="61">
        <f t="shared" ca="1" si="559"/>
        <v>-4684.3396309198688</v>
      </c>
      <c r="V4977" s="39">
        <f t="shared" ca="1" si="560"/>
        <v>-3.0818023887630715E-2</v>
      </c>
      <c r="W4977" s="48">
        <f t="shared" ca="1" si="561"/>
        <v>-0.2242315508235887</v>
      </c>
    </row>
    <row r="4978" spans="17:23" x14ac:dyDescent="0.2">
      <c r="Q4978">
        <f t="shared" si="562"/>
        <v>4962</v>
      </c>
      <c r="R4978" s="48">
        <f t="shared" ca="1" si="563"/>
        <v>0.4</v>
      </c>
      <c r="S4978">
        <f t="shared" ca="1" si="564"/>
        <v>153.11517865104415</v>
      </c>
      <c r="T4978" s="61">
        <f t="shared" ca="1" si="558"/>
        <v>19200</v>
      </c>
      <c r="U4978" s="61">
        <f t="shared" ca="1" si="559"/>
        <v>1495.2857525011896</v>
      </c>
      <c r="V4978" s="39">
        <f t="shared" ca="1" si="560"/>
        <v>9.8374062664551946E-3</v>
      </c>
      <c r="W4978" s="48">
        <f t="shared" ca="1" si="561"/>
        <v>8.263986248930566E-2</v>
      </c>
    </row>
    <row r="4979" spans="17:23" x14ac:dyDescent="0.2">
      <c r="Q4979">
        <f t="shared" si="562"/>
        <v>4963</v>
      </c>
      <c r="R4979" s="48">
        <f t="shared" ca="1" si="563"/>
        <v>0.3</v>
      </c>
      <c r="S4979">
        <f t="shared" ca="1" si="564"/>
        <v>196.27723706111775</v>
      </c>
      <c r="T4979" s="61">
        <f t="shared" ca="1" si="558"/>
        <v>14400</v>
      </c>
      <c r="U4979" s="61">
        <f t="shared" ca="1" si="559"/>
        <v>17915.252754225938</v>
      </c>
      <c r="V4979" s="39">
        <f t="shared" ca="1" si="560"/>
        <v>0.11786350496201274</v>
      </c>
      <c r="W4979" s="48">
        <f t="shared" ca="1" si="561"/>
        <v>1.4688048062260286</v>
      </c>
    </row>
    <row r="4980" spans="17:23" x14ac:dyDescent="0.2">
      <c r="Q4980">
        <f t="shared" si="562"/>
        <v>4964</v>
      </c>
      <c r="R4980" s="48">
        <f t="shared" ca="1" si="563"/>
        <v>0.35</v>
      </c>
      <c r="S4980">
        <f t="shared" ca="1" si="564"/>
        <v>204.2620423409393</v>
      </c>
      <c r="T4980" s="61">
        <f t="shared" ca="1" si="558"/>
        <v>16800</v>
      </c>
      <c r="U4980" s="61">
        <f t="shared" ca="1" si="559"/>
        <v>24216.262017288438</v>
      </c>
      <c r="V4980" s="39">
        <f t="shared" ca="1" si="560"/>
        <v>0.15931751327163446</v>
      </c>
      <c r="W4980" s="48">
        <f t="shared" ca="1" si="561"/>
        <v>2.3170557623508379</v>
      </c>
    </row>
    <row r="4981" spans="17:23" x14ac:dyDescent="0.2">
      <c r="Q4981">
        <f t="shared" si="562"/>
        <v>4965</v>
      </c>
      <c r="R4981" s="48">
        <f t="shared" ca="1" si="563"/>
        <v>0.45</v>
      </c>
      <c r="S4981">
        <f t="shared" ca="1" si="564"/>
        <v>180.88332393309594</v>
      </c>
      <c r="T4981" s="61">
        <f t="shared" ca="1" si="558"/>
        <v>21600</v>
      </c>
      <c r="U4981" s="61">
        <f t="shared" ca="1" si="559"/>
        <v>17588.662530562211</v>
      </c>
      <c r="V4981" s="39">
        <f t="shared" ca="1" si="560"/>
        <v>0.11571488506948822</v>
      </c>
      <c r="W4981" s="48">
        <f t="shared" ca="1" si="561"/>
        <v>1.4305777010219392</v>
      </c>
    </row>
    <row r="4982" spans="17:23" x14ac:dyDescent="0.2">
      <c r="Q4982">
        <f t="shared" si="562"/>
        <v>4966</v>
      </c>
      <c r="R4982" s="48">
        <f t="shared" ca="1" si="563"/>
        <v>0.35</v>
      </c>
      <c r="S4982">
        <f t="shared" ca="1" si="564"/>
        <v>184.94171810223597</v>
      </c>
      <c r="T4982" s="61">
        <f t="shared" ca="1" si="558"/>
        <v>16800</v>
      </c>
      <c r="U4982" s="61">
        <f t="shared" ca="1" si="559"/>
        <v>14169.693413162702</v>
      </c>
      <c r="V4982" s="39">
        <f t="shared" ca="1" si="560"/>
        <v>9.3221667191859883E-2</v>
      </c>
      <c r="W4982" s="48">
        <f t="shared" ca="1" si="561"/>
        <v>1.0604722012001035</v>
      </c>
    </row>
    <row r="4983" spans="17:23" x14ac:dyDescent="0.2">
      <c r="Q4983">
        <f t="shared" si="562"/>
        <v>4967</v>
      </c>
      <c r="R4983" s="48">
        <f t="shared" ca="1" si="563"/>
        <v>0.45</v>
      </c>
      <c r="S4983">
        <f t="shared" ca="1" si="564"/>
        <v>172.97877614834437</v>
      </c>
      <c r="T4983" s="61">
        <f t="shared" ca="1" si="558"/>
        <v>21600</v>
      </c>
      <c r="U4983" s="61">
        <f t="shared" ca="1" si="559"/>
        <v>14110.661505271521</v>
      </c>
      <c r="V4983" s="39">
        <f t="shared" ca="1" si="560"/>
        <v>9.2833299376786318E-2</v>
      </c>
      <c r="W4983" s="48">
        <f t="shared" ca="1" si="561"/>
        <v>1.0545424892274724</v>
      </c>
    </row>
    <row r="4984" spans="17:23" x14ac:dyDescent="0.2">
      <c r="Q4984">
        <f t="shared" si="562"/>
        <v>4968</v>
      </c>
      <c r="R4984" s="48">
        <f t="shared" ca="1" si="563"/>
        <v>0.217</v>
      </c>
      <c r="S4984">
        <f t="shared" ca="1" si="564"/>
        <v>182.56772782431293</v>
      </c>
      <c r="T4984" s="61">
        <f t="shared" ca="1" si="558"/>
        <v>10416</v>
      </c>
      <c r="U4984" s="61">
        <f t="shared" ca="1" si="559"/>
        <v>5760.4247091496163</v>
      </c>
      <c r="V4984" s="39">
        <f t="shared" ca="1" si="560"/>
        <v>3.7897530981247478E-2</v>
      </c>
      <c r="W4984" s="48">
        <f t="shared" ca="1" si="561"/>
        <v>0.3521683700307412</v>
      </c>
    </row>
    <row r="4985" spans="17:23" x14ac:dyDescent="0.2">
      <c r="Q4985">
        <f t="shared" si="562"/>
        <v>4969</v>
      </c>
      <c r="R4985" s="48">
        <f t="shared" ca="1" si="563"/>
        <v>0.3</v>
      </c>
      <c r="S4985">
        <f t="shared" ca="1" si="564"/>
        <v>175.52618628516524</v>
      </c>
      <c r="T4985" s="61">
        <f t="shared" ref="T4985:T5016" ca="1" si="565">($B$8-$B$7)*($E$6*R4985)</f>
        <v>14400</v>
      </c>
      <c r="U4985" s="61">
        <f t="shared" ref="U4985:U5016" ca="1" si="566">T4985+((S4985-$B$7)*($E$6*(1-R4985)))</f>
        <v>6294.6643196925334</v>
      </c>
      <c r="V4985" s="39">
        <f t="shared" ref="V4985:V5016" ca="1" si="567">U4985/$E$4</f>
        <v>4.1412265261135089E-2</v>
      </c>
      <c r="W4985" s="48">
        <f t="shared" ref="W4985:W5016" ca="1" si="568">(1+V4985)^($J$29/$J$30)-1</f>
        <v>0.38975928022275697</v>
      </c>
    </row>
    <row r="4986" spans="17:23" x14ac:dyDescent="0.2">
      <c r="Q4986">
        <f t="shared" si="562"/>
        <v>4970</v>
      </c>
      <c r="R4986" s="48">
        <f t="shared" ca="1" si="563"/>
        <v>0.3</v>
      </c>
      <c r="S4986">
        <f t="shared" ca="1" si="564"/>
        <v>200.75077623226079</v>
      </c>
      <c r="T4986" s="61">
        <f t="shared" ca="1" si="565"/>
        <v>14400</v>
      </c>
      <c r="U4986" s="61">
        <f t="shared" ca="1" si="566"/>
        <v>20420.434690066042</v>
      </c>
      <c r="V4986" s="39">
        <f t="shared" ca="1" si="567"/>
        <v>0.13434496506622395</v>
      </c>
      <c r="W4986" s="48">
        <f t="shared" ca="1" si="568"/>
        <v>1.7799947510206229</v>
      </c>
    </row>
    <row r="4987" spans="17:23" x14ac:dyDescent="0.2">
      <c r="Q4987">
        <f t="shared" si="562"/>
        <v>4971</v>
      </c>
      <c r="R4987" s="48">
        <f t="shared" ca="1" si="563"/>
        <v>0.4</v>
      </c>
      <c r="S4987">
        <f t="shared" ca="1" si="564"/>
        <v>182.22281029015514</v>
      </c>
      <c r="T4987" s="61">
        <f t="shared" ca="1" si="565"/>
        <v>19200</v>
      </c>
      <c r="U4987" s="61">
        <f t="shared" ca="1" si="566"/>
        <v>15466.948939274465</v>
      </c>
      <c r="V4987" s="39">
        <f t="shared" ca="1" si="567"/>
        <v>0.10175624302154254</v>
      </c>
      <c r="W4987" s="48">
        <f t="shared" ca="1" si="568"/>
        <v>1.1946250376523113</v>
      </c>
    </row>
    <row r="4988" spans="17:23" x14ac:dyDescent="0.2">
      <c r="Q4988">
        <f t="shared" si="562"/>
        <v>4972</v>
      </c>
      <c r="R4988" s="48">
        <f t="shared" ca="1" si="563"/>
        <v>0.217</v>
      </c>
      <c r="S4988">
        <f t="shared" ca="1" si="564"/>
        <v>197.60064698831798</v>
      </c>
      <c r="T4988" s="61">
        <f t="shared" ca="1" si="565"/>
        <v>10416</v>
      </c>
      <c r="U4988" s="61">
        <f t="shared" ca="1" si="566"/>
        <v>15177.045273482381</v>
      </c>
      <c r="V4988" s="39">
        <f t="shared" ca="1" si="567"/>
        <v>9.9848982062384087E-2</v>
      </c>
      <c r="W4988" s="48">
        <f t="shared" ca="1" si="568"/>
        <v>1.163998819258472</v>
      </c>
    </row>
    <row r="4989" spans="17:23" x14ac:dyDescent="0.2">
      <c r="Q4989">
        <f t="shared" si="562"/>
        <v>4973</v>
      </c>
      <c r="R4989" s="48">
        <f t="shared" ca="1" si="563"/>
        <v>0.3</v>
      </c>
      <c r="S4989">
        <f t="shared" ca="1" si="564"/>
        <v>200.44171329704372</v>
      </c>
      <c r="T4989" s="61">
        <f t="shared" ca="1" si="565"/>
        <v>14400</v>
      </c>
      <c r="U4989" s="61">
        <f t="shared" ca="1" si="566"/>
        <v>20247.359446344482</v>
      </c>
      <c r="V4989" s="39">
        <f t="shared" ca="1" si="567"/>
        <v>0.13320631214700318</v>
      </c>
      <c r="W4989" s="48">
        <f t="shared" ca="1" si="568"/>
        <v>1.7574408887317077</v>
      </c>
    </row>
    <row r="4990" spans="17:23" x14ac:dyDescent="0.2">
      <c r="Q4990">
        <f t="shared" si="562"/>
        <v>4974</v>
      </c>
      <c r="R4990" s="48">
        <f t="shared" ca="1" si="563"/>
        <v>0.4</v>
      </c>
      <c r="S4990">
        <f t="shared" ca="1" si="564"/>
        <v>168.21122847970966</v>
      </c>
      <c r="T4990" s="61">
        <f t="shared" ca="1" si="565"/>
        <v>19200</v>
      </c>
      <c r="U4990" s="61">
        <f t="shared" ca="1" si="566"/>
        <v>8741.3896702606362</v>
      </c>
      <c r="V4990" s="39">
        <f t="shared" ca="1" si="567"/>
        <v>5.7509142567504189E-2</v>
      </c>
      <c r="W4990" s="48">
        <f t="shared" ca="1" si="568"/>
        <v>0.57387878864432418</v>
      </c>
    </row>
    <row r="4991" spans="17:23" x14ac:dyDescent="0.2">
      <c r="Q4991">
        <f t="shared" si="562"/>
        <v>4975</v>
      </c>
      <c r="R4991" s="48">
        <f t="shared" ca="1" si="563"/>
        <v>0.3</v>
      </c>
      <c r="S4991">
        <f t="shared" ca="1" si="564"/>
        <v>139.78481741701248</v>
      </c>
      <c r="T4991" s="61">
        <f t="shared" ca="1" si="565"/>
        <v>14400</v>
      </c>
      <c r="U4991" s="61">
        <f t="shared" ca="1" si="566"/>
        <v>-13720.502246473014</v>
      </c>
      <c r="V4991" s="39">
        <f t="shared" ca="1" si="567"/>
        <v>-9.0266462147848781E-2</v>
      </c>
      <c r="W4991" s="48">
        <f t="shared" ca="1" si="568"/>
        <v>-0.53575358800671702</v>
      </c>
    </row>
    <row r="4992" spans="17:23" x14ac:dyDescent="0.2">
      <c r="Q4992">
        <f t="shared" si="562"/>
        <v>4976</v>
      </c>
      <c r="R4992" s="48">
        <f t="shared" ca="1" si="563"/>
        <v>0.3</v>
      </c>
      <c r="S4992">
        <f t="shared" ca="1" si="564"/>
        <v>172.85901006390591</v>
      </c>
      <c r="T4992" s="61">
        <f t="shared" ca="1" si="565"/>
        <v>14400</v>
      </c>
      <c r="U4992" s="61">
        <f t="shared" ca="1" si="566"/>
        <v>4801.0456357873118</v>
      </c>
      <c r="V4992" s="39">
        <f t="shared" ca="1" si="567"/>
        <v>3.1585826551232314E-2</v>
      </c>
      <c r="W4992" s="48">
        <f t="shared" ca="1" si="568"/>
        <v>0.28689622971872542</v>
      </c>
    </row>
    <row r="4993" spans="17:23" x14ac:dyDescent="0.2">
      <c r="Q4993">
        <f t="shared" si="562"/>
        <v>4977</v>
      </c>
      <c r="R4993" s="48">
        <f t="shared" ca="1" si="563"/>
        <v>0.35</v>
      </c>
      <c r="S4993">
        <f t="shared" ca="1" si="564"/>
        <v>170.64475795009972</v>
      </c>
      <c r="T4993" s="61">
        <f t="shared" ca="1" si="565"/>
        <v>16800</v>
      </c>
      <c r="U4993" s="61">
        <f t="shared" ca="1" si="566"/>
        <v>6735.2741340518533</v>
      </c>
      <c r="V4993" s="39">
        <f t="shared" ca="1" si="567"/>
        <v>4.4311014039814821E-2</v>
      </c>
      <c r="W4993" s="48">
        <f t="shared" ca="1" si="568"/>
        <v>0.42144831729453847</v>
      </c>
    </row>
    <row r="4994" spans="17:23" x14ac:dyDescent="0.2">
      <c r="Q4994">
        <f t="shared" si="562"/>
        <v>4978</v>
      </c>
      <c r="R4994" s="48">
        <f t="shared" ca="1" si="563"/>
        <v>0.35</v>
      </c>
      <c r="S4994">
        <f t="shared" ca="1" si="564"/>
        <v>192.67273613792929</v>
      </c>
      <c r="T4994" s="61">
        <f t="shared" ca="1" si="565"/>
        <v>16800</v>
      </c>
      <c r="U4994" s="61">
        <f t="shared" ca="1" si="566"/>
        <v>18189.822791723233</v>
      </c>
      <c r="V4994" s="39">
        <f t="shared" ca="1" si="567"/>
        <v>0.11966988678765285</v>
      </c>
      <c r="W4994" s="48">
        <f t="shared" ca="1" si="568"/>
        <v>1.5013497979902359</v>
      </c>
    </row>
    <row r="4995" spans="17:23" x14ac:dyDescent="0.2">
      <c r="Q4995">
        <f t="shared" si="562"/>
        <v>4979</v>
      </c>
      <c r="R4995" s="48">
        <f t="shared" ca="1" si="563"/>
        <v>0.45</v>
      </c>
      <c r="S4995">
        <f t="shared" ca="1" si="564"/>
        <v>171.17064274202824</v>
      </c>
      <c r="T4995" s="61">
        <f t="shared" ca="1" si="565"/>
        <v>21600</v>
      </c>
      <c r="U4995" s="61">
        <f t="shared" ca="1" si="566"/>
        <v>13315.082806492423</v>
      </c>
      <c r="V4995" s="39">
        <f t="shared" ca="1" si="567"/>
        <v>8.7599228990081726E-2</v>
      </c>
      <c r="W4995" s="48">
        <f t="shared" ca="1" si="568"/>
        <v>0.97607410607087264</v>
      </c>
    </row>
    <row r="4996" spans="17:23" x14ac:dyDescent="0.2">
      <c r="Q4996">
        <f t="shared" si="562"/>
        <v>4980</v>
      </c>
      <c r="R4996" s="48">
        <f t="shared" ca="1" si="563"/>
        <v>0.3</v>
      </c>
      <c r="S4996">
        <f t="shared" ca="1" si="564"/>
        <v>193.41567761615372</v>
      </c>
      <c r="T4996" s="61">
        <f t="shared" ca="1" si="565"/>
        <v>14400</v>
      </c>
      <c r="U4996" s="61">
        <f t="shared" ca="1" si="566"/>
        <v>16312.77946504608</v>
      </c>
      <c r="V4996" s="39">
        <f t="shared" ca="1" si="567"/>
        <v>0.10732091753319789</v>
      </c>
      <c r="W4996" s="48">
        <f t="shared" ca="1" si="568"/>
        <v>1.2861636200223279</v>
      </c>
    </row>
    <row r="4997" spans="17:23" x14ac:dyDescent="0.2">
      <c r="Q4997">
        <f t="shared" si="562"/>
        <v>4981</v>
      </c>
      <c r="R4997" s="48">
        <f t="shared" ca="1" si="563"/>
        <v>0.4</v>
      </c>
      <c r="S4997">
        <f t="shared" ca="1" si="564"/>
        <v>159.63806921048274</v>
      </c>
      <c r="T4997" s="61">
        <f t="shared" ca="1" si="565"/>
        <v>19200</v>
      </c>
      <c r="U4997" s="61">
        <f t="shared" ca="1" si="566"/>
        <v>4626.2732210317154</v>
      </c>
      <c r="V4997" s="39">
        <f t="shared" ca="1" si="567"/>
        <v>3.0436008033103392E-2</v>
      </c>
      <c r="W4997" s="48">
        <f t="shared" ca="1" si="568"/>
        <v>0.27530773114499785</v>
      </c>
    </row>
    <row r="4998" spans="17:23" x14ac:dyDescent="0.2">
      <c r="Q4998">
        <f t="shared" si="562"/>
        <v>4982</v>
      </c>
      <c r="R4998" s="48">
        <f t="shared" ca="1" si="563"/>
        <v>0.4</v>
      </c>
      <c r="S4998">
        <f t="shared" ca="1" si="564"/>
        <v>171.61171862263217</v>
      </c>
      <c r="T4998" s="61">
        <f t="shared" ca="1" si="565"/>
        <v>19200</v>
      </c>
      <c r="U4998" s="61">
        <f t="shared" ca="1" si="566"/>
        <v>10373.624938863441</v>
      </c>
      <c r="V4998" s="39">
        <f t="shared" ca="1" si="567"/>
        <v>6.8247532492522633E-2</v>
      </c>
      <c r="W4998" s="48">
        <f t="shared" ca="1" si="568"/>
        <v>0.70828746091240702</v>
      </c>
    </row>
    <row r="4999" spans="17:23" x14ac:dyDescent="0.2">
      <c r="Q4999">
        <f t="shared" si="562"/>
        <v>4983</v>
      </c>
      <c r="R4999" s="48">
        <f t="shared" ca="1" si="563"/>
        <v>0.35</v>
      </c>
      <c r="S4999">
        <f t="shared" ca="1" si="564"/>
        <v>231.30166852201256</v>
      </c>
      <c r="T4999" s="61">
        <f t="shared" ca="1" si="565"/>
        <v>16800</v>
      </c>
      <c r="U4999" s="61">
        <f t="shared" ca="1" si="566"/>
        <v>38276.867631446534</v>
      </c>
      <c r="V4999" s="39">
        <f t="shared" ca="1" si="567"/>
        <v>0.25182149757530614</v>
      </c>
      <c r="W4999" s="48">
        <f t="shared" ca="1" si="568"/>
        <v>5.1826873949437395</v>
      </c>
    </row>
    <row r="5000" spans="17:23" x14ac:dyDescent="0.2">
      <c r="Q5000">
        <f t="shared" si="562"/>
        <v>4984</v>
      </c>
      <c r="R5000" s="48">
        <f t="shared" ca="1" si="563"/>
        <v>0.35</v>
      </c>
      <c r="S5000">
        <f t="shared" ca="1" si="564"/>
        <v>185.47197428587069</v>
      </c>
      <c r="T5000" s="61">
        <f t="shared" ca="1" si="565"/>
        <v>16800</v>
      </c>
      <c r="U5000" s="61">
        <f t="shared" ca="1" si="566"/>
        <v>14445.426628652756</v>
      </c>
      <c r="V5000" s="39">
        <f t="shared" ca="1" si="567"/>
        <v>9.5035701504294454E-2</v>
      </c>
      <c r="W5000" s="48">
        <f t="shared" ca="1" si="568"/>
        <v>1.0883685761039286</v>
      </c>
    </row>
    <row r="5001" spans="17:23" x14ac:dyDescent="0.2">
      <c r="Q5001">
        <f t="shared" si="562"/>
        <v>4985</v>
      </c>
      <c r="R5001" s="48">
        <f t="shared" ca="1" si="563"/>
        <v>0.3</v>
      </c>
      <c r="S5001">
        <f t="shared" ca="1" si="564"/>
        <v>166.19199695039114</v>
      </c>
      <c r="T5001" s="61">
        <f t="shared" ca="1" si="565"/>
        <v>14400</v>
      </c>
      <c r="U5001" s="61">
        <f t="shared" ca="1" si="566"/>
        <v>1067.5182922190397</v>
      </c>
      <c r="V5001" s="39">
        <f t="shared" ca="1" si="567"/>
        <v>7.0231466593357874E-3</v>
      </c>
      <c r="W5001" s="48">
        <f t="shared" ca="1" si="568"/>
        <v>5.8408554201639706E-2</v>
      </c>
    </row>
    <row r="5002" spans="17:23" x14ac:dyDescent="0.2">
      <c r="Q5002">
        <f t="shared" si="562"/>
        <v>4986</v>
      </c>
      <c r="R5002" s="48">
        <f t="shared" ca="1" si="563"/>
        <v>0.3</v>
      </c>
      <c r="S5002">
        <f t="shared" ca="1" si="564"/>
        <v>188.22895378491728</v>
      </c>
      <c r="T5002" s="61">
        <f t="shared" ca="1" si="565"/>
        <v>14400</v>
      </c>
      <c r="U5002" s="61">
        <f t="shared" ca="1" si="566"/>
        <v>13408.214119553677</v>
      </c>
      <c r="V5002" s="39">
        <f t="shared" ca="1" si="567"/>
        <v>8.821193499706366E-2</v>
      </c>
      <c r="W5002" s="48">
        <f t="shared" ca="1" si="568"/>
        <v>0.9851217783942039</v>
      </c>
    </row>
    <row r="5003" spans="17:23" x14ac:dyDescent="0.2">
      <c r="Q5003">
        <f t="shared" si="562"/>
        <v>4987</v>
      </c>
      <c r="R5003" s="48">
        <f t="shared" ca="1" si="563"/>
        <v>0.4</v>
      </c>
      <c r="S5003">
        <f t="shared" ca="1" si="564"/>
        <v>213.66484073826811</v>
      </c>
      <c r="T5003" s="61">
        <f t="shared" ca="1" si="565"/>
        <v>19200</v>
      </c>
      <c r="U5003" s="61">
        <f t="shared" ca="1" si="566"/>
        <v>30559.123554368693</v>
      </c>
      <c r="V5003" s="39">
        <f t="shared" ca="1" si="567"/>
        <v>0.2010468654892677</v>
      </c>
      <c r="W5003" s="48">
        <f t="shared" ca="1" si="568"/>
        <v>3.4189554985943342</v>
      </c>
    </row>
    <row r="5004" spans="17:23" x14ac:dyDescent="0.2">
      <c r="Q5004">
        <f t="shared" si="562"/>
        <v>4988</v>
      </c>
      <c r="R5004" s="48">
        <f t="shared" ca="1" si="563"/>
        <v>0.35</v>
      </c>
      <c r="S5004">
        <f t="shared" ca="1" si="564"/>
        <v>194.36287699217559</v>
      </c>
      <c r="T5004" s="61">
        <f t="shared" ca="1" si="565"/>
        <v>16800</v>
      </c>
      <c r="U5004" s="61">
        <f t="shared" ca="1" si="566"/>
        <v>19068.696035931305</v>
      </c>
      <c r="V5004" s="39">
        <f t="shared" ca="1" si="567"/>
        <v>0.12545194760481121</v>
      </c>
      <c r="W5004" s="48">
        <f t="shared" ca="1" si="568"/>
        <v>1.6080664454898295</v>
      </c>
    </row>
    <row r="5005" spans="17:23" x14ac:dyDescent="0.2">
      <c r="Q5005">
        <f t="shared" si="562"/>
        <v>4989</v>
      </c>
      <c r="R5005" s="48">
        <f t="shared" ca="1" si="563"/>
        <v>0.217</v>
      </c>
      <c r="S5005">
        <f t="shared" ca="1" si="564"/>
        <v>177.31534767268764</v>
      </c>
      <c r="T5005" s="61">
        <f t="shared" ca="1" si="565"/>
        <v>10416</v>
      </c>
      <c r="U5005" s="61">
        <f t="shared" ca="1" si="566"/>
        <v>2470.3337821715359</v>
      </c>
      <c r="V5005" s="39">
        <f t="shared" ca="1" si="567"/>
        <v>1.6252195935339053E-2</v>
      </c>
      <c r="W5005" s="48">
        <f t="shared" ca="1" si="568"/>
        <v>0.13969835226722171</v>
      </c>
    </row>
    <row r="5006" spans="17:23" x14ac:dyDescent="0.2">
      <c r="Q5006">
        <f t="shared" si="562"/>
        <v>4990</v>
      </c>
      <c r="R5006" s="48">
        <f t="shared" ca="1" si="563"/>
        <v>0.3</v>
      </c>
      <c r="S5006">
        <f t="shared" ca="1" si="564"/>
        <v>182.26362557038999</v>
      </c>
      <c r="T5006" s="61">
        <f t="shared" ca="1" si="565"/>
        <v>14400</v>
      </c>
      <c r="U5006" s="61">
        <f t="shared" ca="1" si="566"/>
        <v>10067.630319418395</v>
      </c>
      <c r="V5006" s="39">
        <f t="shared" ca="1" si="567"/>
        <v>6.6234409996173652E-2</v>
      </c>
      <c r="W5006" s="48">
        <f t="shared" ca="1" si="568"/>
        <v>0.68234978538082158</v>
      </c>
    </row>
    <row r="5007" spans="17:23" x14ac:dyDescent="0.2">
      <c r="Q5007">
        <f t="shared" si="562"/>
        <v>4991</v>
      </c>
      <c r="R5007" s="48">
        <f t="shared" ca="1" si="563"/>
        <v>0.3</v>
      </c>
      <c r="S5007">
        <f t="shared" ca="1" si="564"/>
        <v>198.93427850609797</v>
      </c>
      <c r="T5007" s="61">
        <f t="shared" ca="1" si="565"/>
        <v>14400</v>
      </c>
      <c r="U5007" s="61">
        <f t="shared" ca="1" si="566"/>
        <v>19403.195963414862</v>
      </c>
      <c r="V5007" s="39">
        <f t="shared" ca="1" si="567"/>
        <v>0.1276526050224662</v>
      </c>
      <c r="W5007" s="48">
        <f t="shared" ca="1" si="568"/>
        <v>1.6497193592836199</v>
      </c>
    </row>
    <row r="5008" spans="17:23" x14ac:dyDescent="0.2">
      <c r="Q5008">
        <f t="shared" si="562"/>
        <v>4992</v>
      </c>
      <c r="R5008" s="48">
        <f t="shared" ca="1" si="563"/>
        <v>0.45</v>
      </c>
      <c r="S5008">
        <f t="shared" ca="1" si="564"/>
        <v>197.89245154003956</v>
      </c>
      <c r="T5008" s="61">
        <f t="shared" ca="1" si="565"/>
        <v>21600</v>
      </c>
      <c r="U5008" s="61">
        <f t="shared" ca="1" si="566"/>
        <v>25072.678677617405</v>
      </c>
      <c r="V5008" s="39">
        <f t="shared" ca="1" si="567"/>
        <v>0.16495183340537767</v>
      </c>
      <c r="W5008" s="48">
        <f t="shared" ca="1" si="568"/>
        <v>2.4500970024098851</v>
      </c>
    </row>
    <row r="5009" spans="17:23" x14ac:dyDescent="0.2">
      <c r="Q5009">
        <f t="shared" si="562"/>
        <v>4993</v>
      </c>
      <c r="R5009" s="48">
        <f t="shared" ca="1" si="563"/>
        <v>0.45</v>
      </c>
      <c r="S5009">
        <f t="shared" ca="1" si="564"/>
        <v>192.20816140169984</v>
      </c>
      <c r="T5009" s="61">
        <f t="shared" ca="1" si="565"/>
        <v>21600</v>
      </c>
      <c r="U5009" s="61">
        <f t="shared" ca="1" si="566"/>
        <v>22571.591016747931</v>
      </c>
      <c r="V5009" s="39">
        <f t="shared" ca="1" si="567"/>
        <v>0.14849730932071006</v>
      </c>
      <c r="W5009" s="48">
        <f t="shared" ca="1" si="568"/>
        <v>2.0741210567663213</v>
      </c>
    </row>
    <row r="5010" spans="17:23" x14ac:dyDescent="0.2">
      <c r="Q5010">
        <f t="shared" si="562"/>
        <v>4994</v>
      </c>
      <c r="R5010" s="48">
        <f t="shared" ca="1" si="563"/>
        <v>0.217</v>
      </c>
      <c r="S5010">
        <f t="shared" ca="1" si="564"/>
        <v>186.98849829898336</v>
      </c>
      <c r="T5010" s="61">
        <f t="shared" ca="1" si="565"/>
        <v>10416</v>
      </c>
      <c r="U5010" s="61">
        <f t="shared" ca="1" si="566"/>
        <v>8529.595334483176</v>
      </c>
      <c r="V5010" s="39">
        <f t="shared" ca="1" si="567"/>
        <v>5.6115758779494582E-2</v>
      </c>
      <c r="W5010" s="48">
        <f t="shared" ca="1" si="568"/>
        <v>0.5571369036191427</v>
      </c>
    </row>
    <row r="5011" spans="17:23" x14ac:dyDescent="0.2">
      <c r="Q5011">
        <f t="shared" ref="Q5011:Q5016" si="569">Q5010+1</f>
        <v>4995</v>
      </c>
      <c r="R5011" s="48">
        <f t="shared" ref="R5011:R5016" ca="1" si="570">LOOKUP(RAND(),$U$6:$U$12,$S$6:$S$12)</f>
        <v>0.4</v>
      </c>
      <c r="S5011">
        <f t="shared" ref="S5011:S5016" ca="1" si="571">_xlfn.NORM.INV(RAND(),$Q$5,$Q$10)</f>
        <v>180.71350818849919</v>
      </c>
      <c r="T5011" s="61">
        <f t="shared" ca="1" si="565"/>
        <v>19200</v>
      </c>
      <c r="U5011" s="61">
        <f t="shared" ca="1" si="566"/>
        <v>14742.483930479611</v>
      </c>
      <c r="V5011" s="39">
        <f t="shared" ca="1" si="567"/>
        <v>9.6990025858418497E-2</v>
      </c>
      <c r="W5011" s="48">
        <f t="shared" ca="1" si="568"/>
        <v>1.1187923451908923</v>
      </c>
    </row>
    <row r="5012" spans="17:23" x14ac:dyDescent="0.2">
      <c r="Q5012">
        <f t="shared" si="569"/>
        <v>4996</v>
      </c>
      <c r="R5012" s="48">
        <f t="shared" ca="1" si="570"/>
        <v>0.3</v>
      </c>
      <c r="S5012">
        <f t="shared" ca="1" si="571"/>
        <v>160.51320085788967</v>
      </c>
      <c r="T5012" s="61">
        <f t="shared" ca="1" si="565"/>
        <v>14400</v>
      </c>
      <c r="U5012" s="61">
        <f t="shared" ca="1" si="566"/>
        <v>-2112.607519581783</v>
      </c>
      <c r="V5012" s="39">
        <f t="shared" ca="1" si="567"/>
        <v>-1.3898733681459099E-2</v>
      </c>
      <c r="W5012" s="48">
        <f t="shared" ca="1" si="568"/>
        <v>-0.10731806733026272</v>
      </c>
    </row>
    <row r="5013" spans="17:23" x14ac:dyDescent="0.2">
      <c r="Q5013">
        <f t="shared" si="569"/>
        <v>4997</v>
      </c>
      <c r="R5013" s="48">
        <f t="shared" ca="1" si="570"/>
        <v>0.217</v>
      </c>
      <c r="S5013">
        <f t="shared" ca="1" si="571"/>
        <v>196.54453757472328</v>
      </c>
      <c r="T5013" s="61">
        <f t="shared" ca="1" si="565"/>
        <v>10416</v>
      </c>
      <c r="U5013" s="61">
        <f t="shared" ca="1" si="566"/>
        <v>14515.498336806661</v>
      </c>
      <c r="V5013" s="39">
        <f t="shared" ca="1" si="567"/>
        <v>9.5496699584254344E-2</v>
      </c>
      <c r="W5013" s="48">
        <f t="shared" ca="1" si="568"/>
        <v>1.0955103892413836</v>
      </c>
    </row>
    <row r="5014" spans="17:23" x14ac:dyDescent="0.2">
      <c r="Q5014">
        <f t="shared" si="569"/>
        <v>4998</v>
      </c>
      <c r="R5014" s="48">
        <f t="shared" ca="1" si="570"/>
        <v>0.4</v>
      </c>
      <c r="S5014">
        <f t="shared" ca="1" si="571"/>
        <v>193.55667109450539</v>
      </c>
      <c r="T5014" s="61">
        <f t="shared" ca="1" si="565"/>
        <v>19200</v>
      </c>
      <c r="U5014" s="61">
        <f t="shared" ca="1" si="566"/>
        <v>20907.202125362586</v>
      </c>
      <c r="V5014" s="39">
        <f t="shared" ca="1" si="567"/>
        <v>0.13754738240370123</v>
      </c>
      <c r="W5014" s="48">
        <f t="shared" ca="1" si="568"/>
        <v>1.8442960374271178</v>
      </c>
    </row>
    <row r="5015" spans="17:23" x14ac:dyDescent="0.2">
      <c r="Q5015">
        <f t="shared" si="569"/>
        <v>4999</v>
      </c>
      <c r="R5015" s="48">
        <f t="shared" ca="1" si="570"/>
        <v>0.35</v>
      </c>
      <c r="S5015">
        <f t="shared" ca="1" si="571"/>
        <v>163.27145643601605</v>
      </c>
      <c r="T5015" s="61">
        <f t="shared" ca="1" si="565"/>
        <v>16800</v>
      </c>
      <c r="U5015" s="61">
        <f t="shared" ca="1" si="566"/>
        <v>2901.157346728347</v>
      </c>
      <c r="V5015" s="39">
        <f t="shared" ca="1" si="567"/>
        <v>1.9086561491633861E-2</v>
      </c>
      <c r="W5015" s="48">
        <f t="shared" ca="1" si="568"/>
        <v>0.16573796078629188</v>
      </c>
    </row>
    <row r="5016" spans="17:23" x14ac:dyDescent="0.2">
      <c r="Q5016">
        <f t="shared" si="569"/>
        <v>5000</v>
      </c>
      <c r="R5016" s="48">
        <f t="shared" ca="1" si="570"/>
        <v>0.35</v>
      </c>
      <c r="S5016">
        <f t="shared" ca="1" si="571"/>
        <v>182.13793614680702</v>
      </c>
      <c r="T5016" s="61">
        <f t="shared" ca="1" si="565"/>
        <v>16800</v>
      </c>
      <c r="U5016" s="61">
        <f t="shared" ca="1" si="566"/>
        <v>12711.726796339652</v>
      </c>
      <c r="V5016" s="39">
        <f t="shared" ca="1" si="567"/>
        <v>8.3629781554866126E-2</v>
      </c>
      <c r="W5016" s="48">
        <f t="shared" ca="1" si="568"/>
        <v>0.9183291120105932</v>
      </c>
    </row>
  </sheetData>
  <mergeCells count="4">
    <mergeCell ref="L28:N28"/>
    <mergeCell ref="G37:H37"/>
    <mergeCell ref="M23:M24"/>
    <mergeCell ref="N23:N24"/>
  </mergeCells>
  <conditionalFormatting sqref="J35:N4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4:N4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5:N27">
    <cfRule type="colorScale" priority="2">
      <colorScale>
        <cfvo type="min"/>
        <cfvo type="num" val="0"/>
        <cfvo type="max"/>
        <color rgb="FFF8696B"/>
        <color rgb="FFFFEB84"/>
        <color rgb="FF63BE7B"/>
      </colorScale>
    </cfRule>
  </conditionalFormatting>
  <conditionalFormatting sqref="L29:N31">
    <cfRule type="colorScale" priority="1">
      <colorScale>
        <cfvo type="min"/>
        <cfvo type="num" val="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4" name="Drop Down 4">
              <controlPr defaultSize="0" autoLine="0" autoPict="0">
                <anchor moveWithCells="1">
                  <from>
                    <xdr:col>7</xdr:col>
                    <xdr:colOff>0</xdr:colOff>
                    <xdr:row>20</xdr:row>
                    <xdr:rowOff>0</xdr:rowOff>
                  </from>
                  <to>
                    <xdr:col>8</xdr:col>
                    <xdr:colOff>0</xdr:colOff>
                    <xdr:row>21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9"/>
  <sheetViews>
    <sheetView topLeftCell="E1" workbookViewId="0">
      <selection activeCell="F4" sqref="F4"/>
    </sheetView>
  </sheetViews>
  <sheetFormatPr defaultRowHeight="14.25" x14ac:dyDescent="0.2"/>
  <cols>
    <col min="1" max="1" width="9.6171875" bestFit="1" customWidth="1"/>
    <col min="2" max="2" width="6.953125" bestFit="1" customWidth="1"/>
    <col min="3" max="3" width="11.5390625" bestFit="1" customWidth="1"/>
    <col min="5" max="5" width="15.98046875" bestFit="1" customWidth="1"/>
  </cols>
  <sheetData>
    <row r="1" spans="1:6" x14ac:dyDescent="0.2">
      <c r="A1" s="34" t="s">
        <v>64</v>
      </c>
      <c r="B1" s="34" t="s">
        <v>65</v>
      </c>
      <c r="C1" s="34" t="s">
        <v>66</v>
      </c>
    </row>
    <row r="2" spans="1:6" x14ac:dyDescent="0.2">
      <c r="A2" s="58">
        <v>46154</v>
      </c>
      <c r="B2">
        <v>189.57</v>
      </c>
      <c r="C2" s="39">
        <f>B2/B3-1</f>
        <v>-3.6150091519219107E-2</v>
      </c>
    </row>
    <row r="3" spans="1:6" x14ac:dyDescent="0.2">
      <c r="A3" s="58">
        <v>46153</v>
      </c>
      <c r="B3">
        <v>196.68</v>
      </c>
      <c r="C3" s="39">
        <f t="shared" ref="C3:C66" si="0">B3/B4-1</f>
        <v>-6.2149461876610523E-3</v>
      </c>
    </row>
    <row r="4" spans="1:6" x14ac:dyDescent="0.2">
      <c r="A4" s="58">
        <v>46150</v>
      </c>
      <c r="B4">
        <v>197.91</v>
      </c>
      <c r="C4" s="39">
        <f t="shared" si="0"/>
        <v>2.7867855695176136E-3</v>
      </c>
      <c r="E4" s="34" t="s">
        <v>67</v>
      </c>
      <c r="F4" s="59">
        <f>_xlfn.STDEV.S(C2:C248)</f>
        <v>1.4619814637892362E-2</v>
      </c>
    </row>
    <row r="5" spans="1:6" x14ac:dyDescent="0.2">
      <c r="A5" s="58">
        <v>46149</v>
      </c>
      <c r="B5">
        <v>197.36</v>
      </c>
      <c r="C5" s="39">
        <f t="shared" si="0"/>
        <v>-8.8388911209320575E-3</v>
      </c>
    </row>
    <row r="6" spans="1:6" x14ac:dyDescent="0.2">
      <c r="A6" s="58">
        <v>46148</v>
      </c>
      <c r="B6">
        <v>199.12</v>
      </c>
      <c r="C6" s="39">
        <f t="shared" si="0"/>
        <v>-3.3036339973970819E-3</v>
      </c>
    </row>
    <row r="7" spans="1:6" x14ac:dyDescent="0.2">
      <c r="A7" s="58">
        <v>46147</v>
      </c>
      <c r="B7">
        <v>199.78</v>
      </c>
      <c r="C7" s="39">
        <f t="shared" si="0"/>
        <v>-4.8318804483188371E-3</v>
      </c>
    </row>
    <row r="8" spans="1:6" x14ac:dyDescent="0.2">
      <c r="A8" s="58">
        <v>46146</v>
      </c>
      <c r="B8">
        <v>200.75</v>
      </c>
      <c r="C8" s="39">
        <f t="shared" si="0"/>
        <v>4.9838026414161796E-4</v>
      </c>
    </row>
    <row r="9" spans="1:6" x14ac:dyDescent="0.2">
      <c r="A9" s="58">
        <v>46142</v>
      </c>
      <c r="B9">
        <v>200.65</v>
      </c>
      <c r="C9" s="39">
        <f t="shared" si="0"/>
        <v>-1.4949172812439571E-4</v>
      </c>
    </row>
    <row r="10" spans="1:6" x14ac:dyDescent="0.2">
      <c r="A10" s="58">
        <v>46141</v>
      </c>
      <c r="B10">
        <v>200.68</v>
      </c>
      <c r="C10" s="39">
        <f t="shared" si="0"/>
        <v>-4.4647286437147216E-3</v>
      </c>
    </row>
    <row r="11" spans="1:6" x14ac:dyDescent="0.2">
      <c r="A11" s="58">
        <v>46140</v>
      </c>
      <c r="B11">
        <v>201.58</v>
      </c>
      <c r="C11" s="39">
        <f t="shared" si="0"/>
        <v>-1.6922701780053617E-2</v>
      </c>
    </row>
    <row r="12" spans="1:6" x14ac:dyDescent="0.2">
      <c r="A12" s="58">
        <v>46139</v>
      </c>
      <c r="B12">
        <v>205.05</v>
      </c>
      <c r="C12" s="39">
        <f t="shared" si="0"/>
        <v>2.8541332263242403E-2</v>
      </c>
    </row>
    <row r="13" spans="1:6" x14ac:dyDescent="0.2">
      <c r="A13" s="58">
        <v>46136</v>
      </c>
      <c r="B13">
        <v>199.36</v>
      </c>
      <c r="C13" s="39">
        <f t="shared" si="0"/>
        <v>-1.6768593410929067E-2</v>
      </c>
    </row>
    <row r="14" spans="1:6" x14ac:dyDescent="0.2">
      <c r="A14" s="58">
        <v>46135</v>
      </c>
      <c r="B14">
        <v>202.76</v>
      </c>
      <c r="C14" s="39">
        <f t="shared" si="0"/>
        <v>-6.0784313725490424E-3</v>
      </c>
    </row>
    <row r="15" spans="1:6" x14ac:dyDescent="0.2">
      <c r="A15" s="58">
        <v>46134</v>
      </c>
      <c r="B15">
        <v>204</v>
      </c>
      <c r="C15" s="39">
        <f t="shared" si="0"/>
        <v>-4.9265889468805835E-3</v>
      </c>
    </row>
    <row r="16" spans="1:6" x14ac:dyDescent="0.2">
      <c r="A16" s="58">
        <v>46133</v>
      </c>
      <c r="B16">
        <v>205.01</v>
      </c>
      <c r="C16" s="39">
        <f t="shared" si="0"/>
        <v>1.2495061240616279E-2</v>
      </c>
    </row>
    <row r="17" spans="1:3" x14ac:dyDescent="0.2">
      <c r="A17" s="58">
        <v>46132</v>
      </c>
      <c r="B17">
        <v>202.48</v>
      </c>
      <c r="C17" s="39">
        <f t="shared" si="0"/>
        <v>-9.0054815974941471E-3</v>
      </c>
    </row>
    <row r="18" spans="1:3" x14ac:dyDescent="0.2">
      <c r="A18" s="58">
        <v>46129</v>
      </c>
      <c r="B18">
        <v>204.32</v>
      </c>
      <c r="C18" s="39">
        <f t="shared" si="0"/>
        <v>-2.8250737182535901E-2</v>
      </c>
    </row>
    <row r="19" spans="1:3" x14ac:dyDescent="0.2">
      <c r="A19" s="58">
        <v>46128</v>
      </c>
      <c r="B19">
        <v>210.26</v>
      </c>
      <c r="C19" s="39">
        <f t="shared" si="0"/>
        <v>2.4314660309892044E-3</v>
      </c>
    </row>
    <row r="20" spans="1:3" x14ac:dyDescent="0.2">
      <c r="A20" s="58">
        <v>46127</v>
      </c>
      <c r="B20">
        <v>209.75</v>
      </c>
      <c r="C20" s="39">
        <f t="shared" si="0"/>
        <v>3.3403951322855674E-2</v>
      </c>
    </row>
    <row r="21" spans="1:3" x14ac:dyDescent="0.2">
      <c r="A21" s="58">
        <v>46125</v>
      </c>
      <c r="B21">
        <v>202.97</v>
      </c>
      <c r="C21" s="39">
        <f t="shared" si="0"/>
        <v>-9.3225302616165573E-3</v>
      </c>
    </row>
    <row r="22" spans="1:3" x14ac:dyDescent="0.2">
      <c r="A22" s="58">
        <v>46122</v>
      </c>
      <c r="B22">
        <v>204.88</v>
      </c>
      <c r="C22" s="39">
        <f t="shared" si="0"/>
        <v>9.9078227436288913E-3</v>
      </c>
    </row>
    <row r="23" spans="1:3" x14ac:dyDescent="0.2">
      <c r="A23" s="58">
        <v>46121</v>
      </c>
      <c r="B23">
        <v>202.87</v>
      </c>
      <c r="C23" s="39">
        <f t="shared" si="0"/>
        <v>-2.7037656081013717E-3</v>
      </c>
    </row>
    <row r="24" spans="1:3" x14ac:dyDescent="0.2">
      <c r="A24" s="58">
        <v>46120</v>
      </c>
      <c r="B24">
        <v>203.42</v>
      </c>
      <c r="C24" s="39">
        <f t="shared" si="0"/>
        <v>-6.3501367721766622E-3</v>
      </c>
    </row>
    <row r="25" spans="1:3" x14ac:dyDescent="0.2">
      <c r="A25" s="58">
        <v>46119</v>
      </c>
      <c r="B25">
        <v>204.72</v>
      </c>
      <c r="C25" s="39">
        <f t="shared" si="0"/>
        <v>3.766029702468443E-2</v>
      </c>
    </row>
    <row r="26" spans="1:3" x14ac:dyDescent="0.2">
      <c r="A26" s="58">
        <v>46118</v>
      </c>
      <c r="B26">
        <v>197.29</v>
      </c>
      <c r="C26" s="39">
        <f t="shared" si="0"/>
        <v>1.2210763942332337E-2</v>
      </c>
    </row>
    <row r="27" spans="1:3" x14ac:dyDescent="0.2">
      <c r="A27" s="58">
        <v>46114</v>
      </c>
      <c r="B27">
        <v>194.91</v>
      </c>
      <c r="C27" s="39">
        <f t="shared" si="0"/>
        <v>1.9510409038602239E-2</v>
      </c>
    </row>
    <row r="28" spans="1:3" x14ac:dyDescent="0.2">
      <c r="A28" s="58">
        <v>46113</v>
      </c>
      <c r="B28">
        <v>191.18</v>
      </c>
      <c r="C28" s="39">
        <f t="shared" si="0"/>
        <v>1.8865913451289851E-2</v>
      </c>
    </row>
    <row r="29" spans="1:3" x14ac:dyDescent="0.2">
      <c r="A29" s="58">
        <v>46111</v>
      </c>
      <c r="B29">
        <v>187.64</v>
      </c>
      <c r="C29" s="39">
        <f t="shared" si="0"/>
        <v>-2.0668058455114879E-2</v>
      </c>
    </row>
    <row r="30" spans="1:3" x14ac:dyDescent="0.2">
      <c r="A30" s="58">
        <v>46108</v>
      </c>
      <c r="B30">
        <v>191.6</v>
      </c>
      <c r="C30" s="39">
        <f t="shared" si="0"/>
        <v>1.3488495107114362E-2</v>
      </c>
    </row>
    <row r="31" spans="1:3" x14ac:dyDescent="0.2">
      <c r="A31" s="58">
        <v>46106</v>
      </c>
      <c r="B31">
        <v>189.05</v>
      </c>
      <c r="C31" s="39">
        <f t="shared" si="0"/>
        <v>1.6424711242979395E-3</v>
      </c>
    </row>
    <row r="32" spans="1:3" x14ac:dyDescent="0.2">
      <c r="A32" s="58">
        <v>46105</v>
      </c>
      <c r="B32">
        <v>188.74</v>
      </c>
      <c r="C32" s="39">
        <f t="shared" si="0"/>
        <v>6.3986349578757373E-3</v>
      </c>
    </row>
    <row r="33" spans="1:3" x14ac:dyDescent="0.2">
      <c r="A33" s="58">
        <v>46104</v>
      </c>
      <c r="B33">
        <v>187.54</v>
      </c>
      <c r="C33" s="39">
        <f t="shared" si="0"/>
        <v>-1.7600838135149344E-2</v>
      </c>
    </row>
    <row r="34" spans="1:3" x14ac:dyDescent="0.2">
      <c r="A34" s="58">
        <v>46101</v>
      </c>
      <c r="B34">
        <v>190.9</v>
      </c>
      <c r="C34" s="39">
        <f t="shared" si="0"/>
        <v>1.3215859030837107E-2</v>
      </c>
    </row>
    <row r="35" spans="1:3" x14ac:dyDescent="0.2">
      <c r="A35" s="58">
        <v>46100</v>
      </c>
      <c r="B35">
        <v>188.41</v>
      </c>
      <c r="C35" s="39">
        <f t="shared" si="0"/>
        <v>-3.0313947503860073E-2</v>
      </c>
    </row>
    <row r="36" spans="1:3" x14ac:dyDescent="0.2">
      <c r="A36" s="58">
        <v>46099</v>
      </c>
      <c r="B36">
        <v>194.3</v>
      </c>
      <c r="C36" s="39">
        <f t="shared" si="0"/>
        <v>1.5575998327409746E-2</v>
      </c>
    </row>
    <row r="37" spans="1:3" x14ac:dyDescent="0.2">
      <c r="A37" s="58">
        <v>46098</v>
      </c>
      <c r="B37">
        <v>191.32</v>
      </c>
      <c r="C37" s="39">
        <f t="shared" si="0"/>
        <v>-1.9424939777561434E-2</v>
      </c>
    </row>
    <row r="38" spans="1:3" x14ac:dyDescent="0.2">
      <c r="A38" s="58">
        <v>46097</v>
      </c>
      <c r="B38">
        <v>195.11</v>
      </c>
      <c r="C38" s="39">
        <f t="shared" si="0"/>
        <v>-1.2501265310254084E-2</v>
      </c>
    </row>
    <row r="39" spans="1:3" x14ac:dyDescent="0.2">
      <c r="A39" s="58">
        <v>46094</v>
      </c>
      <c r="B39">
        <v>197.58</v>
      </c>
      <c r="C39" s="39">
        <f t="shared" si="0"/>
        <v>-2.4344476815959637E-2</v>
      </c>
    </row>
    <row r="40" spans="1:3" x14ac:dyDescent="0.2">
      <c r="A40" s="58">
        <v>46093</v>
      </c>
      <c r="B40">
        <v>202.51</v>
      </c>
      <c r="C40" s="39">
        <f t="shared" si="0"/>
        <v>1.3845621322257085E-3</v>
      </c>
    </row>
    <row r="41" spans="1:3" x14ac:dyDescent="0.2">
      <c r="A41" s="58">
        <v>46092</v>
      </c>
      <c r="B41">
        <v>202.23</v>
      </c>
      <c r="C41" s="39">
        <f t="shared" si="0"/>
        <v>6.4699148957347852E-3</v>
      </c>
    </row>
    <row r="42" spans="1:3" x14ac:dyDescent="0.2">
      <c r="A42" s="58">
        <v>46091</v>
      </c>
      <c r="B42">
        <v>200.93</v>
      </c>
      <c r="C42" s="39">
        <f t="shared" si="0"/>
        <v>1.0968553459119512E-2</v>
      </c>
    </row>
    <row r="43" spans="1:3" x14ac:dyDescent="0.2">
      <c r="A43" s="58">
        <v>46090</v>
      </c>
      <c r="B43">
        <v>198.75</v>
      </c>
      <c r="C43" s="39">
        <f t="shared" si="0"/>
        <v>1.7144319344933434E-2</v>
      </c>
    </row>
    <row r="44" spans="1:3" x14ac:dyDescent="0.2">
      <c r="A44" s="58">
        <v>46087</v>
      </c>
      <c r="B44">
        <v>195.4</v>
      </c>
      <c r="C44" s="39">
        <f t="shared" si="0"/>
        <v>-1.4309076042517965E-3</v>
      </c>
    </row>
    <row r="45" spans="1:3" x14ac:dyDescent="0.2">
      <c r="A45" s="58">
        <v>46086</v>
      </c>
      <c r="B45">
        <v>195.68</v>
      </c>
      <c r="C45" s="39">
        <f t="shared" si="0"/>
        <v>6.6479161339816351E-4</v>
      </c>
    </row>
    <row r="46" spans="1:3" x14ac:dyDescent="0.2">
      <c r="A46" s="58">
        <v>46085</v>
      </c>
      <c r="B46">
        <v>195.55</v>
      </c>
      <c r="C46" s="39">
        <f t="shared" si="0"/>
        <v>-1.5208742508938777E-2</v>
      </c>
    </row>
    <row r="47" spans="1:3" x14ac:dyDescent="0.2">
      <c r="A47" s="58">
        <v>46083</v>
      </c>
      <c r="B47">
        <v>198.57</v>
      </c>
      <c r="C47" s="39">
        <f t="shared" si="0"/>
        <v>-1.1892914012738953E-2</v>
      </c>
    </row>
    <row r="48" spans="1:3" x14ac:dyDescent="0.2">
      <c r="A48" s="58">
        <v>46080</v>
      </c>
      <c r="B48">
        <v>200.96</v>
      </c>
      <c r="C48" s="39">
        <f t="shared" si="0"/>
        <v>-5.9677740202901397E-4</v>
      </c>
    </row>
    <row r="49" spans="1:3" x14ac:dyDescent="0.2">
      <c r="A49" s="58">
        <v>46079</v>
      </c>
      <c r="B49">
        <v>201.08</v>
      </c>
      <c r="C49" s="39">
        <f t="shared" si="0"/>
        <v>-4.1600633914420371E-3</v>
      </c>
    </row>
    <row r="50" spans="1:3" x14ac:dyDescent="0.2">
      <c r="A50" s="58">
        <v>46078</v>
      </c>
      <c r="B50">
        <v>201.92</v>
      </c>
      <c r="C50" s="39">
        <f t="shared" si="0"/>
        <v>8.8937743579493578E-3</v>
      </c>
    </row>
    <row r="51" spans="1:3" x14ac:dyDescent="0.2">
      <c r="A51" s="58">
        <v>46077</v>
      </c>
      <c r="B51">
        <v>200.14</v>
      </c>
      <c r="C51" s="39">
        <f t="shared" si="0"/>
        <v>-2.7927534120161246E-2</v>
      </c>
    </row>
    <row r="52" spans="1:3" x14ac:dyDescent="0.2">
      <c r="A52" s="58">
        <v>46076</v>
      </c>
      <c r="B52">
        <v>205.89</v>
      </c>
      <c r="C52" s="39">
        <f t="shared" si="0"/>
        <v>-1.8917373487086775E-2</v>
      </c>
    </row>
    <row r="53" spans="1:3" x14ac:dyDescent="0.2">
      <c r="A53" s="58">
        <v>46073</v>
      </c>
      <c r="B53">
        <v>209.86</v>
      </c>
      <c r="C53" s="39">
        <f t="shared" si="0"/>
        <v>-6.3917428152076017E-3</v>
      </c>
    </row>
    <row r="54" spans="1:3" x14ac:dyDescent="0.2">
      <c r="A54" s="58">
        <v>46072</v>
      </c>
      <c r="B54">
        <v>211.21</v>
      </c>
      <c r="C54" s="39">
        <f t="shared" si="0"/>
        <v>-3.491389478650575E-3</v>
      </c>
    </row>
    <row r="55" spans="1:3" x14ac:dyDescent="0.2">
      <c r="A55" s="58">
        <v>46071</v>
      </c>
      <c r="B55">
        <v>211.95</v>
      </c>
      <c r="C55" s="39">
        <f t="shared" si="0"/>
        <v>-1.7339700496082355E-2</v>
      </c>
    </row>
    <row r="56" spans="1:3" x14ac:dyDescent="0.2">
      <c r="A56" s="58">
        <v>46070</v>
      </c>
      <c r="B56">
        <v>215.69</v>
      </c>
      <c r="C56" s="39">
        <f t="shared" si="0"/>
        <v>1.1394541873769093E-2</v>
      </c>
    </row>
    <row r="57" spans="1:3" x14ac:dyDescent="0.2">
      <c r="A57" s="58">
        <v>46069</v>
      </c>
      <c r="B57">
        <v>213.26</v>
      </c>
      <c r="C57" s="39">
        <f t="shared" si="0"/>
        <v>-3.8768742117801791E-3</v>
      </c>
    </row>
    <row r="58" spans="1:3" x14ac:dyDescent="0.2">
      <c r="A58" s="58">
        <v>46066</v>
      </c>
      <c r="B58">
        <v>214.09</v>
      </c>
      <c r="C58" s="39">
        <f t="shared" si="0"/>
        <v>-2.277706773781274E-2</v>
      </c>
    </row>
    <row r="59" spans="1:3" x14ac:dyDescent="0.2">
      <c r="A59" s="58">
        <v>46065</v>
      </c>
      <c r="B59">
        <v>219.08</v>
      </c>
      <c r="C59" s="39">
        <f t="shared" si="0"/>
        <v>-4.6690744528088413E-2</v>
      </c>
    </row>
    <row r="60" spans="1:3" x14ac:dyDescent="0.2">
      <c r="A60" s="58">
        <v>46064</v>
      </c>
      <c r="B60">
        <v>229.81</v>
      </c>
      <c r="C60" s="39">
        <f t="shared" si="0"/>
        <v>-7.1715557091631688E-3</v>
      </c>
    </row>
    <row r="61" spans="1:3" x14ac:dyDescent="0.2">
      <c r="A61" s="58">
        <v>46063</v>
      </c>
      <c r="B61">
        <v>231.47</v>
      </c>
      <c r="C61" s="39">
        <f t="shared" si="0"/>
        <v>6.0413769123781602E-3</v>
      </c>
    </row>
    <row r="62" spans="1:3" x14ac:dyDescent="0.2">
      <c r="A62" s="58">
        <v>46062</v>
      </c>
      <c r="B62">
        <v>230.08</v>
      </c>
      <c r="C62" s="39">
        <f t="shared" si="0"/>
        <v>-2.7739251040220791E-3</v>
      </c>
    </row>
    <row r="63" spans="1:3" x14ac:dyDescent="0.2">
      <c r="A63" s="58">
        <v>46059</v>
      </c>
      <c r="B63">
        <v>230.72</v>
      </c>
      <c r="C63" s="39">
        <f t="shared" si="0"/>
        <v>-1.144007883799647E-2</v>
      </c>
    </row>
    <row r="64" spans="1:3" x14ac:dyDescent="0.2">
      <c r="A64" s="58">
        <v>46058</v>
      </c>
      <c r="B64">
        <v>233.39</v>
      </c>
      <c r="C64" s="39">
        <f t="shared" si="0"/>
        <v>2.1427959201147928E-4</v>
      </c>
    </row>
    <row r="65" spans="1:3" x14ac:dyDescent="0.2">
      <c r="A65" s="58">
        <v>46057</v>
      </c>
      <c r="B65">
        <v>233.34</v>
      </c>
      <c r="C65" s="39">
        <f t="shared" si="0"/>
        <v>-3.8526515307593989E-2</v>
      </c>
    </row>
    <row r="66" spans="1:3" x14ac:dyDescent="0.2">
      <c r="A66" s="58">
        <v>46056</v>
      </c>
      <c r="B66">
        <v>242.69</v>
      </c>
      <c r="C66" s="39">
        <f t="shared" si="0"/>
        <v>1.6095749071398657E-3</v>
      </c>
    </row>
    <row r="67" spans="1:3" x14ac:dyDescent="0.2">
      <c r="A67" s="58">
        <v>46055</v>
      </c>
      <c r="B67">
        <v>242.3</v>
      </c>
      <c r="C67" s="39">
        <f t="shared" ref="C67:C130" si="1">B67/B68-1</f>
        <v>2.0678246484697738E-3</v>
      </c>
    </row>
    <row r="68" spans="1:3" x14ac:dyDescent="0.2">
      <c r="A68" s="58">
        <v>46054</v>
      </c>
      <c r="B68">
        <v>241.8</v>
      </c>
      <c r="C68" s="39">
        <f t="shared" si="1"/>
        <v>2.0683832840861172E-2</v>
      </c>
    </row>
    <row r="69" spans="1:3" x14ac:dyDescent="0.2">
      <c r="A69" s="58">
        <v>46052</v>
      </c>
      <c r="B69">
        <v>236.9</v>
      </c>
      <c r="C69" s="39">
        <f t="shared" si="1"/>
        <v>-1.2093411175979951E-2</v>
      </c>
    </row>
    <row r="70" spans="1:3" x14ac:dyDescent="0.2">
      <c r="A70" s="58">
        <v>46051</v>
      </c>
      <c r="B70">
        <v>239.8</v>
      </c>
      <c r="C70" s="39">
        <f t="shared" si="1"/>
        <v>1.0322308826627324E-2</v>
      </c>
    </row>
    <row r="71" spans="1:3" x14ac:dyDescent="0.2">
      <c r="A71" s="58">
        <v>46050</v>
      </c>
      <c r="B71">
        <v>237.35</v>
      </c>
      <c r="C71" s="39">
        <f t="shared" si="1"/>
        <v>1.0860306643952322E-2</v>
      </c>
    </row>
    <row r="72" spans="1:3" x14ac:dyDescent="0.2">
      <c r="A72" s="58">
        <v>46049</v>
      </c>
      <c r="B72">
        <v>234.8</v>
      </c>
      <c r="C72" s="39">
        <f t="shared" si="1"/>
        <v>-1.5100671140939603E-2</v>
      </c>
    </row>
    <row r="73" spans="1:3" x14ac:dyDescent="0.2">
      <c r="A73" s="58">
        <v>46045</v>
      </c>
      <c r="B73">
        <v>238.4</v>
      </c>
      <c r="C73" s="39">
        <f t="shared" si="1"/>
        <v>-9.3496779555370946E-3</v>
      </c>
    </row>
    <row r="74" spans="1:3" x14ac:dyDescent="0.2">
      <c r="A74" s="58">
        <v>46044</v>
      </c>
      <c r="B74">
        <v>240.65</v>
      </c>
      <c r="C74" s="39">
        <f t="shared" si="1"/>
        <v>4.5919432268837213E-3</v>
      </c>
    </row>
    <row r="75" spans="1:3" x14ac:dyDescent="0.2">
      <c r="A75" s="58">
        <v>46043</v>
      </c>
      <c r="B75">
        <v>239.55</v>
      </c>
      <c r="C75" s="39">
        <f t="shared" si="1"/>
        <v>-1.4589412255106016E-3</v>
      </c>
    </row>
    <row r="76" spans="1:3" x14ac:dyDescent="0.2">
      <c r="A76" s="58">
        <v>46042</v>
      </c>
      <c r="B76">
        <v>239.9</v>
      </c>
      <c r="C76" s="39">
        <f t="shared" si="1"/>
        <v>-2.4598495629192807E-2</v>
      </c>
    </row>
    <row r="77" spans="1:3" x14ac:dyDescent="0.2">
      <c r="A77" s="58">
        <v>46041</v>
      </c>
      <c r="B77">
        <v>245.95</v>
      </c>
      <c r="C77" s="39">
        <f t="shared" si="1"/>
        <v>-8.0388857730416929E-2</v>
      </c>
    </row>
    <row r="78" spans="1:3" x14ac:dyDescent="0.2">
      <c r="A78" s="58">
        <v>46038</v>
      </c>
      <c r="B78">
        <v>267.45</v>
      </c>
      <c r="C78" s="39">
        <f t="shared" si="1"/>
        <v>2.7863182167563449E-2</v>
      </c>
    </row>
    <row r="79" spans="1:3" x14ac:dyDescent="0.2">
      <c r="A79" s="58">
        <v>46036</v>
      </c>
      <c r="B79">
        <v>260.2</v>
      </c>
      <c r="C79" s="39">
        <f t="shared" si="1"/>
        <v>-1.514004542013625E-2</v>
      </c>
    </row>
    <row r="80" spans="1:3" x14ac:dyDescent="0.2">
      <c r="A80" s="58">
        <v>46035</v>
      </c>
      <c r="B80">
        <v>264.2</v>
      </c>
      <c r="C80" s="39">
        <f t="shared" si="1"/>
        <v>4.1809198023563532E-3</v>
      </c>
    </row>
    <row r="81" spans="1:3" x14ac:dyDescent="0.2">
      <c r="A81" s="58">
        <v>46034</v>
      </c>
      <c r="B81">
        <v>263.10000000000002</v>
      </c>
      <c r="C81" s="39">
        <f t="shared" si="1"/>
        <v>4.390150792136005E-3</v>
      </c>
    </row>
    <row r="82" spans="1:3" x14ac:dyDescent="0.2">
      <c r="A82" s="58">
        <v>46031</v>
      </c>
      <c r="B82">
        <v>261.95</v>
      </c>
      <c r="C82" s="39">
        <f t="shared" si="1"/>
        <v>-9.5347063310446956E-4</v>
      </c>
    </row>
    <row r="83" spans="1:3" x14ac:dyDescent="0.2">
      <c r="A83" s="58">
        <v>46030</v>
      </c>
      <c r="B83">
        <v>262.2</v>
      </c>
      <c r="C83" s="39">
        <f t="shared" si="1"/>
        <v>-3.1757754800590954E-2</v>
      </c>
    </row>
    <row r="84" spans="1:3" x14ac:dyDescent="0.2">
      <c r="A84" s="58">
        <v>46029</v>
      </c>
      <c r="B84">
        <v>270.8</v>
      </c>
      <c r="C84" s="39">
        <f t="shared" si="1"/>
        <v>1.957831325301207E-2</v>
      </c>
    </row>
    <row r="85" spans="1:3" x14ac:dyDescent="0.2">
      <c r="A85" s="58">
        <v>46028</v>
      </c>
      <c r="B85">
        <v>265.60000000000002</v>
      </c>
      <c r="C85" s="39">
        <f t="shared" si="1"/>
        <v>8.7352829472084892E-3</v>
      </c>
    </row>
    <row r="86" spans="1:3" x14ac:dyDescent="0.2">
      <c r="A86" s="58">
        <v>46027</v>
      </c>
      <c r="B86">
        <v>263.3</v>
      </c>
      <c r="C86" s="39">
        <f t="shared" si="1"/>
        <v>-2.1189591078066838E-2</v>
      </c>
    </row>
    <row r="87" spans="1:3" x14ac:dyDescent="0.2">
      <c r="A87" s="58">
        <v>46024</v>
      </c>
      <c r="B87">
        <v>269</v>
      </c>
      <c r="C87" s="39">
        <f t="shared" si="1"/>
        <v>6.1716850570412429E-3</v>
      </c>
    </row>
    <row r="88" spans="1:3" x14ac:dyDescent="0.2">
      <c r="A88" s="58">
        <v>46023</v>
      </c>
      <c r="B88">
        <v>267.35000000000002</v>
      </c>
      <c r="C88" s="39">
        <f t="shared" si="1"/>
        <v>1.5458827104223749E-2</v>
      </c>
    </row>
    <row r="89" spans="1:3" x14ac:dyDescent="0.2">
      <c r="A89" s="58">
        <v>46022</v>
      </c>
      <c r="B89">
        <v>263.27999999999997</v>
      </c>
      <c r="C89" s="39">
        <f t="shared" si="1"/>
        <v>-1.4033756874645142E-3</v>
      </c>
    </row>
    <row r="90" spans="1:3" x14ac:dyDescent="0.2">
      <c r="A90" s="58">
        <v>46021</v>
      </c>
      <c r="B90">
        <v>263.64999999999998</v>
      </c>
      <c r="C90" s="39">
        <f t="shared" si="1"/>
        <v>-2.2328186497124758E-3</v>
      </c>
    </row>
    <row r="91" spans="1:3" x14ac:dyDescent="0.2">
      <c r="A91" s="58">
        <v>46020</v>
      </c>
      <c r="B91">
        <v>264.24</v>
      </c>
      <c r="C91" s="39">
        <f t="shared" si="1"/>
        <v>-7.7356365001877148E-3</v>
      </c>
    </row>
    <row r="92" spans="1:3" x14ac:dyDescent="0.2">
      <c r="A92" s="58">
        <v>46017</v>
      </c>
      <c r="B92">
        <v>266.3</v>
      </c>
      <c r="C92" s="39">
        <f t="shared" si="1"/>
        <v>-6.5656942475564861E-3</v>
      </c>
    </row>
    <row r="93" spans="1:3" x14ac:dyDescent="0.2">
      <c r="A93" s="58">
        <v>46015</v>
      </c>
      <c r="B93">
        <v>268.06</v>
      </c>
      <c r="C93" s="39">
        <f t="shared" si="1"/>
        <v>-1.2306558585114091E-2</v>
      </c>
    </row>
    <row r="94" spans="1:3" x14ac:dyDescent="0.2">
      <c r="A94" s="58">
        <v>46014</v>
      </c>
      <c r="B94">
        <v>271.39999999999998</v>
      </c>
      <c r="C94" s="39">
        <f t="shared" si="1"/>
        <v>-4.6576447720689806E-3</v>
      </c>
    </row>
    <row r="95" spans="1:3" x14ac:dyDescent="0.2">
      <c r="A95" s="58">
        <v>46013</v>
      </c>
      <c r="B95">
        <v>272.67</v>
      </c>
      <c r="C95" s="39">
        <f t="shared" si="1"/>
        <v>3.1083380601248045E-2</v>
      </c>
    </row>
    <row r="96" spans="1:3" x14ac:dyDescent="0.2">
      <c r="A96" s="58">
        <v>46010</v>
      </c>
      <c r="B96">
        <v>264.45</v>
      </c>
      <c r="C96" s="39">
        <f t="shared" si="1"/>
        <v>2.2740193291641564E-3</v>
      </c>
    </row>
    <row r="97" spans="1:3" x14ac:dyDescent="0.2">
      <c r="A97" s="58">
        <v>46009</v>
      </c>
      <c r="B97">
        <v>263.85000000000002</v>
      </c>
      <c r="C97" s="39">
        <f t="shared" si="1"/>
        <v>1.037757524699412E-2</v>
      </c>
    </row>
    <row r="98" spans="1:3" x14ac:dyDescent="0.2">
      <c r="A98" s="58">
        <v>46008</v>
      </c>
      <c r="B98">
        <v>261.14</v>
      </c>
      <c r="C98" s="39">
        <f t="shared" si="1"/>
        <v>7.4068358922920741E-3</v>
      </c>
    </row>
    <row r="99" spans="1:3" x14ac:dyDescent="0.2">
      <c r="A99" s="58">
        <v>46007</v>
      </c>
      <c r="B99">
        <v>259.22000000000003</v>
      </c>
      <c r="C99" s="39">
        <f t="shared" si="1"/>
        <v>-9.6278749904484817E-3</v>
      </c>
    </row>
    <row r="100" spans="1:3" x14ac:dyDescent="0.2">
      <c r="A100" s="58">
        <v>46006</v>
      </c>
      <c r="B100">
        <v>261.74</v>
      </c>
      <c r="C100" s="39">
        <f t="shared" si="1"/>
        <v>4.3745203376821529E-3</v>
      </c>
    </row>
    <row r="101" spans="1:3" x14ac:dyDescent="0.2">
      <c r="A101" s="58">
        <v>46003</v>
      </c>
      <c r="B101">
        <v>260.60000000000002</v>
      </c>
      <c r="C101" s="39">
        <f t="shared" si="1"/>
        <v>5.207328833172653E-3</v>
      </c>
    </row>
    <row r="102" spans="1:3" x14ac:dyDescent="0.2">
      <c r="A102" s="58">
        <v>46002</v>
      </c>
      <c r="B102">
        <v>259.25</v>
      </c>
      <c r="C102" s="39">
        <f t="shared" si="1"/>
        <v>4.9228622373826969E-3</v>
      </c>
    </row>
    <row r="103" spans="1:3" x14ac:dyDescent="0.2">
      <c r="A103" s="58">
        <v>46001</v>
      </c>
      <c r="B103">
        <v>257.98</v>
      </c>
      <c r="C103" s="39">
        <f t="shared" si="1"/>
        <v>2.2143661862397135E-3</v>
      </c>
    </row>
    <row r="104" spans="1:3" x14ac:dyDescent="0.2">
      <c r="A104" s="58">
        <v>46000</v>
      </c>
      <c r="B104">
        <v>257.41000000000003</v>
      </c>
      <c r="C104" s="39">
        <f t="shared" si="1"/>
        <v>-1.5188614278062507E-2</v>
      </c>
    </row>
    <row r="105" spans="1:3" x14ac:dyDescent="0.2">
      <c r="A105" s="58">
        <v>45999</v>
      </c>
      <c r="B105">
        <v>261.38</v>
      </c>
      <c r="C105" s="39">
        <f t="shared" si="1"/>
        <v>5.6558039321301656E-3</v>
      </c>
    </row>
    <row r="106" spans="1:3" x14ac:dyDescent="0.2">
      <c r="A106" s="58">
        <v>45996</v>
      </c>
      <c r="B106">
        <v>259.91000000000003</v>
      </c>
      <c r="C106" s="39">
        <f t="shared" si="1"/>
        <v>1.159848986105172E-2</v>
      </c>
    </row>
    <row r="107" spans="1:3" x14ac:dyDescent="0.2">
      <c r="A107" s="58">
        <v>45995</v>
      </c>
      <c r="B107">
        <v>256.93</v>
      </c>
      <c r="C107" s="39">
        <f t="shared" si="1"/>
        <v>8.7950056931955789E-3</v>
      </c>
    </row>
    <row r="108" spans="1:3" x14ac:dyDescent="0.2">
      <c r="A108" s="58">
        <v>45994</v>
      </c>
      <c r="B108">
        <v>254.69</v>
      </c>
      <c r="C108" s="39">
        <f t="shared" si="1"/>
        <v>1.80677139545109E-2</v>
      </c>
    </row>
    <row r="109" spans="1:3" x14ac:dyDescent="0.2">
      <c r="A109" s="58">
        <v>45993</v>
      </c>
      <c r="B109">
        <v>250.17</v>
      </c>
      <c r="C109" s="39">
        <f t="shared" si="1"/>
        <v>-4.3950775131862407E-4</v>
      </c>
    </row>
    <row r="110" spans="1:3" x14ac:dyDescent="0.2">
      <c r="A110" s="58">
        <v>45992</v>
      </c>
      <c r="B110">
        <v>250.28</v>
      </c>
      <c r="C110" s="39">
        <f t="shared" si="1"/>
        <v>3.0056506231714852E-3</v>
      </c>
    </row>
    <row r="111" spans="1:3" x14ac:dyDescent="0.2">
      <c r="A111" s="58">
        <v>45989</v>
      </c>
      <c r="B111">
        <v>249.53</v>
      </c>
      <c r="C111" s="39">
        <f t="shared" si="1"/>
        <v>-1.2021157236741242E-4</v>
      </c>
    </row>
    <row r="112" spans="1:3" x14ac:dyDescent="0.2">
      <c r="A112" s="58">
        <v>45988</v>
      </c>
      <c r="B112">
        <v>249.56</v>
      </c>
      <c r="C112" s="39">
        <f t="shared" si="1"/>
        <v>-2.5180862544466054E-3</v>
      </c>
    </row>
    <row r="113" spans="1:3" x14ac:dyDescent="0.2">
      <c r="A113" s="58">
        <v>45987</v>
      </c>
      <c r="B113">
        <v>250.19</v>
      </c>
      <c r="C113" s="39">
        <f t="shared" si="1"/>
        <v>1.8523041849861643E-2</v>
      </c>
    </row>
    <row r="114" spans="1:3" x14ac:dyDescent="0.2">
      <c r="A114" s="58">
        <v>45986</v>
      </c>
      <c r="B114">
        <v>245.64</v>
      </c>
      <c r="C114" s="39">
        <f t="shared" si="1"/>
        <v>-6.5919844704170893E-3</v>
      </c>
    </row>
    <row r="115" spans="1:3" x14ac:dyDescent="0.2">
      <c r="A115" s="58">
        <v>45985</v>
      </c>
      <c r="B115">
        <v>247.27</v>
      </c>
      <c r="C115" s="39">
        <f t="shared" si="1"/>
        <v>1.1370608204834598E-2</v>
      </c>
    </row>
    <row r="116" spans="1:3" x14ac:dyDescent="0.2">
      <c r="A116" s="58">
        <v>45982</v>
      </c>
      <c r="B116">
        <v>244.49</v>
      </c>
      <c r="C116" s="39">
        <f t="shared" si="1"/>
        <v>-7.1875253796799266E-3</v>
      </c>
    </row>
    <row r="117" spans="1:3" x14ac:dyDescent="0.2">
      <c r="A117" s="58">
        <v>45981</v>
      </c>
      <c r="B117">
        <v>246.26</v>
      </c>
      <c r="C117" s="39">
        <f t="shared" si="1"/>
        <v>7.7213800950937106E-4</v>
      </c>
    </row>
    <row r="118" spans="1:3" x14ac:dyDescent="0.2">
      <c r="A118" s="58">
        <v>45980</v>
      </c>
      <c r="B118">
        <v>246.07</v>
      </c>
      <c r="C118" s="39">
        <f t="shared" si="1"/>
        <v>2.1461187214611765E-2</v>
      </c>
    </row>
    <row r="119" spans="1:3" x14ac:dyDescent="0.2">
      <c r="A119" s="58">
        <v>45979</v>
      </c>
      <c r="B119">
        <v>240.9</v>
      </c>
      <c r="C119" s="39">
        <f t="shared" si="1"/>
        <v>-1.290719114935468E-2</v>
      </c>
    </row>
    <row r="120" spans="1:3" x14ac:dyDescent="0.2">
      <c r="A120" s="58">
        <v>45978</v>
      </c>
      <c r="B120">
        <v>244.05</v>
      </c>
      <c r="C120" s="39">
        <f t="shared" si="1"/>
        <v>-1.3094897082293055E-3</v>
      </c>
    </row>
    <row r="121" spans="1:3" x14ac:dyDescent="0.2">
      <c r="A121" s="58">
        <v>45975</v>
      </c>
      <c r="B121">
        <v>244.37</v>
      </c>
      <c r="C121" s="39">
        <f t="shared" si="1"/>
        <v>-3.9130966453349014E-3</v>
      </c>
    </row>
    <row r="122" spans="1:3" x14ac:dyDescent="0.2">
      <c r="A122" s="58">
        <v>45974</v>
      </c>
      <c r="B122">
        <v>245.33</v>
      </c>
      <c r="C122" s="39">
        <f t="shared" si="1"/>
        <v>4.4857678819032465E-4</v>
      </c>
    </row>
    <row r="123" spans="1:3" x14ac:dyDescent="0.2">
      <c r="A123" s="58">
        <v>45973</v>
      </c>
      <c r="B123">
        <v>245.22</v>
      </c>
      <c r="C123" s="39">
        <f t="shared" si="1"/>
        <v>1.4605486366833453E-2</v>
      </c>
    </row>
    <row r="124" spans="1:3" x14ac:dyDescent="0.2">
      <c r="A124" s="58">
        <v>45972</v>
      </c>
      <c r="B124">
        <v>241.69</v>
      </c>
      <c r="C124" s="39">
        <f t="shared" si="1"/>
        <v>7.7134756504335655E-3</v>
      </c>
    </row>
    <row r="125" spans="1:3" x14ac:dyDescent="0.2">
      <c r="A125" s="58">
        <v>45971</v>
      </c>
      <c r="B125">
        <v>239.84</v>
      </c>
      <c r="C125" s="39">
        <f t="shared" si="1"/>
        <v>1.4165503826800263E-2</v>
      </c>
    </row>
    <row r="126" spans="1:3" x14ac:dyDescent="0.2">
      <c r="A126" s="58">
        <v>45968</v>
      </c>
      <c r="B126">
        <v>236.49</v>
      </c>
      <c r="C126" s="39">
        <f t="shared" si="1"/>
        <v>-1.4830243699229362E-2</v>
      </c>
    </row>
    <row r="127" spans="1:3" x14ac:dyDescent="0.2">
      <c r="A127" s="58">
        <v>45967</v>
      </c>
      <c r="B127">
        <v>240.05</v>
      </c>
      <c r="C127" s="39">
        <f t="shared" si="1"/>
        <v>8.9525891055817208E-3</v>
      </c>
    </row>
    <row r="128" spans="1:3" x14ac:dyDescent="0.2">
      <c r="A128" s="58">
        <v>45965</v>
      </c>
      <c r="B128">
        <v>237.92</v>
      </c>
      <c r="C128" s="39">
        <f t="shared" si="1"/>
        <v>-1.0727650727650806E-2</v>
      </c>
    </row>
    <row r="129" spans="1:3" x14ac:dyDescent="0.2">
      <c r="A129" s="58">
        <v>45964</v>
      </c>
      <c r="B129">
        <v>240.5</v>
      </c>
      <c r="C129" s="39">
        <f t="shared" si="1"/>
        <v>-7.0636140773672196E-4</v>
      </c>
    </row>
    <row r="130" spans="1:3" x14ac:dyDescent="0.2">
      <c r="A130" s="58">
        <v>45961</v>
      </c>
      <c r="B130">
        <v>240.67</v>
      </c>
      <c r="C130" s="39">
        <f t="shared" si="1"/>
        <v>-5.1669973544973269E-3</v>
      </c>
    </row>
    <row r="131" spans="1:3" x14ac:dyDescent="0.2">
      <c r="A131" s="58">
        <v>45960</v>
      </c>
      <c r="B131">
        <v>241.92</v>
      </c>
      <c r="C131" s="39">
        <f t="shared" ref="C131:C194" si="2">B131/B132-1</f>
        <v>-1.4858841010402246E-3</v>
      </c>
    </row>
    <row r="132" spans="1:3" x14ac:dyDescent="0.2">
      <c r="A132" s="58">
        <v>45959</v>
      </c>
      <c r="B132">
        <v>242.28</v>
      </c>
      <c r="C132" s="39">
        <f t="shared" si="2"/>
        <v>-4.1257529499127976E-4</v>
      </c>
    </row>
    <row r="133" spans="1:3" x14ac:dyDescent="0.2">
      <c r="A133" s="58">
        <v>45958</v>
      </c>
      <c r="B133">
        <v>242.38</v>
      </c>
      <c r="C133" s="39">
        <f t="shared" si="2"/>
        <v>-6.2728055430282259E-3</v>
      </c>
    </row>
    <row r="134" spans="1:3" x14ac:dyDescent="0.2">
      <c r="A134" s="58">
        <v>45957</v>
      </c>
      <c r="B134">
        <v>243.91</v>
      </c>
      <c r="C134" s="39">
        <f t="shared" si="2"/>
        <v>3.8274755123879345E-3</v>
      </c>
    </row>
    <row r="135" spans="1:3" x14ac:dyDescent="0.2">
      <c r="A135" s="58">
        <v>45954</v>
      </c>
      <c r="B135">
        <v>242.98</v>
      </c>
      <c r="C135" s="39">
        <f t="shared" si="2"/>
        <v>-5.4031927957429726E-3</v>
      </c>
    </row>
    <row r="136" spans="1:3" x14ac:dyDescent="0.2">
      <c r="A136" s="58">
        <v>45953</v>
      </c>
      <c r="B136">
        <v>244.3</v>
      </c>
      <c r="C136" s="39">
        <f t="shared" si="2"/>
        <v>1.2180974477958184E-2</v>
      </c>
    </row>
    <row r="137" spans="1:3" x14ac:dyDescent="0.2">
      <c r="A137" s="58">
        <v>45951</v>
      </c>
      <c r="B137">
        <v>241.36</v>
      </c>
      <c r="C137" s="39">
        <f t="shared" si="2"/>
        <v>4.9742994528267914E-4</v>
      </c>
    </row>
    <row r="138" spans="1:3" x14ac:dyDescent="0.2">
      <c r="A138" s="58">
        <v>45950</v>
      </c>
      <c r="B138">
        <v>241.24</v>
      </c>
      <c r="C138" s="39">
        <f t="shared" si="2"/>
        <v>1.411374014113731E-3</v>
      </c>
    </row>
    <row r="139" spans="1:3" x14ac:dyDescent="0.2">
      <c r="A139" s="58">
        <v>45947</v>
      </c>
      <c r="B139">
        <v>240.9</v>
      </c>
      <c r="C139" s="39">
        <f t="shared" si="2"/>
        <v>-5.0864820141050426E-2</v>
      </c>
    </row>
    <row r="140" spans="1:3" x14ac:dyDescent="0.2">
      <c r="A140" s="58">
        <v>45946</v>
      </c>
      <c r="B140">
        <v>253.81</v>
      </c>
      <c r="C140" s="39">
        <f t="shared" si="2"/>
        <v>1.4387914152112158E-2</v>
      </c>
    </row>
    <row r="141" spans="1:3" x14ac:dyDescent="0.2">
      <c r="A141" s="58">
        <v>45945</v>
      </c>
      <c r="B141">
        <v>250.21</v>
      </c>
      <c r="C141" s="39">
        <f t="shared" si="2"/>
        <v>7.2055390065213221E-3</v>
      </c>
    </row>
    <row r="142" spans="1:3" x14ac:dyDescent="0.2">
      <c r="A142" s="58">
        <v>45944</v>
      </c>
      <c r="B142">
        <v>248.42</v>
      </c>
      <c r="C142" s="39">
        <f t="shared" si="2"/>
        <v>1.3421449842940358E-2</v>
      </c>
    </row>
    <row r="143" spans="1:3" x14ac:dyDescent="0.2">
      <c r="A143" s="58">
        <v>45943</v>
      </c>
      <c r="B143">
        <v>245.13</v>
      </c>
      <c r="C143" s="39">
        <f t="shared" si="2"/>
        <v>-1.4354644149577767E-2</v>
      </c>
    </row>
    <row r="144" spans="1:3" x14ac:dyDescent="0.2">
      <c r="A144" s="58">
        <v>45940</v>
      </c>
      <c r="B144">
        <v>248.7</v>
      </c>
      <c r="C144" s="39">
        <f t="shared" si="2"/>
        <v>9.3344155844155008E-3</v>
      </c>
    </row>
    <row r="145" spans="1:3" x14ac:dyDescent="0.2">
      <c r="A145" s="58">
        <v>45939</v>
      </c>
      <c r="B145">
        <v>246.4</v>
      </c>
      <c r="C145" s="39">
        <f t="shared" si="2"/>
        <v>8.7198591722275065E-3</v>
      </c>
    </row>
    <row r="146" spans="1:3" x14ac:dyDescent="0.2">
      <c r="A146" s="58">
        <v>45938</v>
      </c>
      <c r="B146">
        <v>244.27</v>
      </c>
      <c r="C146" s="39">
        <f t="shared" si="2"/>
        <v>3.0386400032851313E-3</v>
      </c>
    </row>
    <row r="147" spans="1:3" x14ac:dyDescent="0.2">
      <c r="A147" s="58">
        <v>45937</v>
      </c>
      <c r="B147">
        <v>243.53</v>
      </c>
      <c r="C147" s="39">
        <f t="shared" si="2"/>
        <v>5.7820179242555891E-3</v>
      </c>
    </row>
    <row r="148" spans="1:3" x14ac:dyDescent="0.2">
      <c r="A148" s="58">
        <v>45936</v>
      </c>
      <c r="B148">
        <v>242.13</v>
      </c>
      <c r="C148" s="39">
        <f t="shared" si="2"/>
        <v>4.7721802639222322E-3</v>
      </c>
    </row>
    <row r="149" spans="1:3" x14ac:dyDescent="0.2">
      <c r="A149" s="58">
        <v>45933</v>
      </c>
      <c r="B149">
        <v>240.98</v>
      </c>
      <c r="C149" s="39">
        <f t="shared" si="2"/>
        <v>-3.733355456921883E-4</v>
      </c>
    </row>
    <row r="150" spans="1:3" x14ac:dyDescent="0.2">
      <c r="A150" s="58">
        <v>45931</v>
      </c>
      <c r="B150">
        <v>241.07</v>
      </c>
      <c r="C150" s="39">
        <f t="shared" si="2"/>
        <v>7.1019760203867577E-3</v>
      </c>
    </row>
    <row r="151" spans="1:3" x14ac:dyDescent="0.2">
      <c r="A151" s="58">
        <v>45930</v>
      </c>
      <c r="B151">
        <v>239.37</v>
      </c>
      <c r="C151" s="39">
        <f t="shared" si="2"/>
        <v>-1.1266900350525022E-3</v>
      </c>
    </row>
    <row r="152" spans="1:3" x14ac:dyDescent="0.2">
      <c r="A152" s="58">
        <v>45929</v>
      </c>
      <c r="B152">
        <v>239.64</v>
      </c>
      <c r="C152" s="39">
        <f t="shared" si="2"/>
        <v>1.6500530222693488E-2</v>
      </c>
    </row>
    <row r="153" spans="1:3" x14ac:dyDescent="0.2">
      <c r="A153" s="58">
        <v>45926</v>
      </c>
      <c r="B153">
        <v>235.75</v>
      </c>
      <c r="C153" s="39">
        <f t="shared" si="2"/>
        <v>-2.5826446280991733E-2</v>
      </c>
    </row>
    <row r="154" spans="1:3" x14ac:dyDescent="0.2">
      <c r="A154" s="58">
        <v>45925</v>
      </c>
      <c r="B154">
        <v>242</v>
      </c>
      <c r="C154" s="39">
        <f t="shared" si="2"/>
        <v>-1.0589149188437785E-2</v>
      </c>
    </row>
    <row r="155" spans="1:3" x14ac:dyDescent="0.2">
      <c r="A155" s="58">
        <v>45924</v>
      </c>
      <c r="B155">
        <v>244.59</v>
      </c>
      <c r="C155" s="39">
        <f t="shared" si="2"/>
        <v>-2.018988102391539E-2</v>
      </c>
    </row>
    <row r="156" spans="1:3" x14ac:dyDescent="0.2">
      <c r="A156" s="58">
        <v>45923</v>
      </c>
      <c r="B156">
        <v>249.63</v>
      </c>
      <c r="C156" s="39">
        <f t="shared" si="2"/>
        <v>-2.7963088722886553E-3</v>
      </c>
    </row>
    <row r="157" spans="1:3" x14ac:dyDescent="0.2">
      <c r="A157" s="58">
        <v>45922</v>
      </c>
      <c r="B157">
        <v>250.33</v>
      </c>
      <c r="C157" s="39">
        <f t="shared" si="2"/>
        <v>-2.16898546193528E-2</v>
      </c>
    </row>
    <row r="158" spans="1:3" x14ac:dyDescent="0.2">
      <c r="A158" s="58">
        <v>45919</v>
      </c>
      <c r="B158">
        <v>255.88</v>
      </c>
      <c r="C158" s="39">
        <f t="shared" si="2"/>
        <v>-4.0867162262094858E-3</v>
      </c>
    </row>
    <row r="159" spans="1:3" x14ac:dyDescent="0.2">
      <c r="A159" s="58">
        <v>45918</v>
      </c>
      <c r="B159">
        <v>256.93</v>
      </c>
      <c r="C159" s="39">
        <f t="shared" si="2"/>
        <v>1.0938422191619113E-2</v>
      </c>
    </row>
    <row r="160" spans="1:3" x14ac:dyDescent="0.2">
      <c r="A160" s="58">
        <v>45917</v>
      </c>
      <c r="B160">
        <v>254.15</v>
      </c>
      <c r="C160" s="39">
        <f t="shared" si="2"/>
        <v>5.5115940317307377E-4</v>
      </c>
    </row>
    <row r="161" spans="1:3" x14ac:dyDescent="0.2">
      <c r="A161" s="58">
        <v>45916</v>
      </c>
      <c r="B161">
        <v>254.01</v>
      </c>
      <c r="C161" s="39">
        <f t="shared" si="2"/>
        <v>1.0864374403056321E-2</v>
      </c>
    </row>
    <row r="162" spans="1:3" x14ac:dyDescent="0.2">
      <c r="A162" s="58">
        <v>45915</v>
      </c>
      <c r="B162">
        <v>251.28</v>
      </c>
      <c r="C162" s="39">
        <f t="shared" si="2"/>
        <v>-2.6196713503214841E-3</v>
      </c>
    </row>
    <row r="163" spans="1:3" x14ac:dyDescent="0.2">
      <c r="A163" s="58">
        <v>45912</v>
      </c>
      <c r="B163">
        <v>251.94</v>
      </c>
      <c r="C163" s="39">
        <f t="shared" si="2"/>
        <v>-7.7586546414083468E-3</v>
      </c>
    </row>
    <row r="164" spans="1:3" x14ac:dyDescent="0.2">
      <c r="A164" s="58">
        <v>45911</v>
      </c>
      <c r="B164">
        <v>253.91</v>
      </c>
      <c r="C164" s="39">
        <f t="shared" si="2"/>
        <v>-7.1945259042033305E-3</v>
      </c>
    </row>
    <row r="165" spans="1:3" x14ac:dyDescent="0.2">
      <c r="A165" s="58">
        <v>45910</v>
      </c>
      <c r="B165">
        <v>255.75</v>
      </c>
      <c r="C165" s="39">
        <f t="shared" si="2"/>
        <v>2.6490066225165476E-2</v>
      </c>
    </row>
    <row r="166" spans="1:3" x14ac:dyDescent="0.2">
      <c r="A166" s="58">
        <v>45909</v>
      </c>
      <c r="B166">
        <v>249.15</v>
      </c>
      <c r="C166" s="39">
        <f t="shared" si="2"/>
        <v>2.7337951509153857E-2</v>
      </c>
    </row>
    <row r="167" spans="1:3" x14ac:dyDescent="0.2">
      <c r="A167" s="58">
        <v>45908</v>
      </c>
      <c r="B167">
        <v>242.52</v>
      </c>
      <c r="C167" s="39">
        <f t="shared" si="2"/>
        <v>-4.7194976812902079E-3</v>
      </c>
    </row>
    <row r="168" spans="1:3" x14ac:dyDescent="0.2">
      <c r="A168" s="58">
        <v>45905</v>
      </c>
      <c r="B168">
        <v>243.67</v>
      </c>
      <c r="C168" s="39">
        <f t="shared" si="2"/>
        <v>-5.3067722578274967E-3</v>
      </c>
    </row>
    <row r="169" spans="1:3" x14ac:dyDescent="0.2">
      <c r="A169" s="58">
        <v>45904</v>
      </c>
      <c r="B169">
        <v>244.97</v>
      </c>
      <c r="C169" s="39">
        <f t="shared" si="2"/>
        <v>-1.8392370572207106E-2</v>
      </c>
    </row>
    <row r="170" spans="1:3" x14ac:dyDescent="0.2">
      <c r="A170" s="58">
        <v>45903</v>
      </c>
      <c r="B170">
        <v>249.56</v>
      </c>
      <c r="C170" s="39">
        <f t="shared" si="2"/>
        <v>-5.4596899533734256E-3</v>
      </c>
    </row>
    <row r="171" spans="1:3" x14ac:dyDescent="0.2">
      <c r="A171" s="58">
        <v>45902</v>
      </c>
      <c r="B171">
        <v>250.93</v>
      </c>
      <c r="C171" s="39">
        <f t="shared" si="2"/>
        <v>2.2767215210097724E-3</v>
      </c>
    </row>
    <row r="172" spans="1:3" x14ac:dyDescent="0.2">
      <c r="A172" s="58">
        <v>45901</v>
      </c>
      <c r="B172">
        <v>250.36</v>
      </c>
      <c r="C172" s="39">
        <f t="shared" si="2"/>
        <v>3.80898921454631E-3</v>
      </c>
    </row>
    <row r="173" spans="1:3" x14ac:dyDescent="0.2">
      <c r="A173" s="58">
        <v>45898</v>
      </c>
      <c r="B173">
        <v>249.41</v>
      </c>
      <c r="C173" s="39">
        <f t="shared" si="2"/>
        <v>-4.9471374426491854E-3</v>
      </c>
    </row>
    <row r="174" spans="1:3" x14ac:dyDescent="0.2">
      <c r="A174" s="58">
        <v>45897</v>
      </c>
      <c r="B174">
        <v>250.65</v>
      </c>
      <c r="C174" s="39">
        <f t="shared" si="2"/>
        <v>-5.4755386263539707E-3</v>
      </c>
    </row>
    <row r="175" spans="1:3" x14ac:dyDescent="0.2">
      <c r="A175" s="58">
        <v>45895</v>
      </c>
      <c r="B175">
        <v>252.03</v>
      </c>
      <c r="C175" s="39">
        <f t="shared" si="2"/>
        <v>-7.1304758903246723E-3</v>
      </c>
    </row>
    <row r="176" spans="1:3" x14ac:dyDescent="0.2">
      <c r="A176" s="58">
        <v>45894</v>
      </c>
      <c r="B176">
        <v>253.84</v>
      </c>
      <c r="C176" s="39">
        <f t="shared" si="2"/>
        <v>2.0913770913771002E-2</v>
      </c>
    </row>
    <row r="177" spans="1:3" x14ac:dyDescent="0.2">
      <c r="A177" s="58">
        <v>45891</v>
      </c>
      <c r="B177">
        <v>248.64</v>
      </c>
      <c r="C177" s="39">
        <f t="shared" si="2"/>
        <v>-5.081829458605136E-3</v>
      </c>
    </row>
    <row r="178" spans="1:3" x14ac:dyDescent="0.2">
      <c r="A178" s="58">
        <v>45890</v>
      </c>
      <c r="B178">
        <v>249.91</v>
      </c>
      <c r="C178" s="39">
        <f t="shared" si="2"/>
        <v>-3.7075426566736125E-3</v>
      </c>
    </row>
    <row r="179" spans="1:3" x14ac:dyDescent="0.2">
      <c r="A179" s="58">
        <v>45889</v>
      </c>
      <c r="B179">
        <v>250.84</v>
      </c>
      <c r="C179" s="39">
        <f t="shared" si="2"/>
        <v>1.5711046323291233E-2</v>
      </c>
    </row>
    <row r="180" spans="1:3" x14ac:dyDescent="0.2">
      <c r="A180" s="58">
        <v>45888</v>
      </c>
      <c r="B180">
        <v>246.96</v>
      </c>
      <c r="C180" s="39">
        <f t="shared" si="2"/>
        <v>7.1367399371966567E-3</v>
      </c>
    </row>
    <row r="181" spans="1:3" x14ac:dyDescent="0.2">
      <c r="A181" s="58">
        <v>45887</v>
      </c>
      <c r="B181">
        <v>245.21</v>
      </c>
      <c r="C181" s="39">
        <f t="shared" si="2"/>
        <v>-6.4827195008305694E-3</v>
      </c>
    </row>
    <row r="182" spans="1:3" x14ac:dyDescent="0.2">
      <c r="A182" s="58">
        <v>45883</v>
      </c>
      <c r="B182">
        <v>246.81</v>
      </c>
      <c r="C182" s="39">
        <f t="shared" si="2"/>
        <v>2.1353196772191163E-2</v>
      </c>
    </row>
    <row r="183" spans="1:3" x14ac:dyDescent="0.2">
      <c r="A183" s="58">
        <v>45882</v>
      </c>
      <c r="B183">
        <v>241.65</v>
      </c>
      <c r="C183" s="39">
        <f t="shared" si="2"/>
        <v>-2.8959126261784984E-4</v>
      </c>
    </row>
    <row r="184" spans="1:3" x14ac:dyDescent="0.2">
      <c r="A184" s="58">
        <v>45881</v>
      </c>
      <c r="B184">
        <v>241.72</v>
      </c>
      <c r="C184" s="39">
        <f t="shared" si="2"/>
        <v>4.1387302375639479E-4</v>
      </c>
    </row>
    <row r="185" spans="1:3" x14ac:dyDescent="0.2">
      <c r="A185" s="58">
        <v>45880</v>
      </c>
      <c r="B185">
        <v>241.62</v>
      </c>
      <c r="C185" s="39">
        <f t="shared" si="2"/>
        <v>1.0750888935369129E-2</v>
      </c>
    </row>
    <row r="186" spans="1:3" x14ac:dyDescent="0.2">
      <c r="A186" s="58">
        <v>45877</v>
      </c>
      <c r="B186">
        <v>239.05</v>
      </c>
      <c r="C186" s="39">
        <f t="shared" si="2"/>
        <v>-1.3494552657642767E-2</v>
      </c>
    </row>
    <row r="187" spans="1:3" x14ac:dyDescent="0.2">
      <c r="A187" s="58">
        <v>45876</v>
      </c>
      <c r="B187">
        <v>242.32</v>
      </c>
      <c r="C187" s="39">
        <f t="shared" si="2"/>
        <v>9.8349724954158724E-3</v>
      </c>
    </row>
    <row r="188" spans="1:3" x14ac:dyDescent="0.2">
      <c r="A188" s="58">
        <v>45875</v>
      </c>
      <c r="B188">
        <v>239.96</v>
      </c>
      <c r="C188" s="39">
        <f t="shared" si="2"/>
        <v>-2.4195844007970368E-2</v>
      </c>
    </row>
    <row r="189" spans="1:3" x14ac:dyDescent="0.2">
      <c r="A189" s="58">
        <v>45874</v>
      </c>
      <c r="B189">
        <v>245.91</v>
      </c>
      <c r="C189" s="39">
        <f t="shared" si="2"/>
        <v>-5.6899004267429998E-4</v>
      </c>
    </row>
    <row r="190" spans="1:3" x14ac:dyDescent="0.2">
      <c r="A190" s="58">
        <v>45873</v>
      </c>
      <c r="B190">
        <v>246.05</v>
      </c>
      <c r="C190" s="39">
        <f t="shared" si="2"/>
        <v>1.3594232749742474E-2</v>
      </c>
    </row>
    <row r="191" spans="1:3" x14ac:dyDescent="0.2">
      <c r="A191" s="58">
        <v>45870</v>
      </c>
      <c r="B191">
        <v>242.75</v>
      </c>
      <c r="C191" s="39">
        <f t="shared" si="2"/>
        <v>-2.2351993556182115E-2</v>
      </c>
    </row>
    <row r="192" spans="1:3" x14ac:dyDescent="0.2">
      <c r="A192" s="58">
        <v>45869</v>
      </c>
      <c r="B192">
        <v>248.3</v>
      </c>
      <c r="C192" s="39">
        <f t="shared" si="2"/>
        <v>-7.5939248601117892E-3</v>
      </c>
    </row>
    <row r="193" spans="1:3" x14ac:dyDescent="0.2">
      <c r="A193" s="58">
        <v>45868</v>
      </c>
      <c r="B193">
        <v>250.2</v>
      </c>
      <c r="C193" s="39">
        <f t="shared" si="2"/>
        <v>-6.3542494042891917E-3</v>
      </c>
    </row>
    <row r="194" spans="1:3" x14ac:dyDescent="0.2">
      <c r="A194" s="58">
        <v>45867</v>
      </c>
      <c r="B194">
        <v>251.8</v>
      </c>
      <c r="C194" s="39">
        <f t="shared" si="2"/>
        <v>6.9986002799440339E-3</v>
      </c>
    </row>
    <row r="195" spans="1:3" x14ac:dyDescent="0.2">
      <c r="A195" s="58">
        <v>45866</v>
      </c>
      <c r="B195">
        <v>250.05</v>
      </c>
      <c r="C195" s="39">
        <f t="shared" ref="C195:C248" si="3">B195/B196-1</f>
        <v>-3.5300925925925819E-2</v>
      </c>
    </row>
    <row r="196" spans="1:3" x14ac:dyDescent="0.2">
      <c r="A196" s="58">
        <v>45863</v>
      </c>
      <c r="B196">
        <v>259.2</v>
      </c>
      <c r="C196" s="39">
        <f t="shared" si="3"/>
        <v>-1.0120297880466089E-2</v>
      </c>
    </row>
    <row r="197" spans="1:3" x14ac:dyDescent="0.2">
      <c r="A197" s="58">
        <v>45862</v>
      </c>
      <c r="B197">
        <v>261.85000000000002</v>
      </c>
      <c r="C197" s="39">
        <f t="shared" si="3"/>
        <v>1.7214996174446107E-3</v>
      </c>
    </row>
    <row r="198" spans="1:3" x14ac:dyDescent="0.2">
      <c r="A198" s="58">
        <v>45861</v>
      </c>
      <c r="B198">
        <v>261.39999999999998</v>
      </c>
      <c r="C198" s="39">
        <f t="shared" si="3"/>
        <v>6.5460146322680046E-3</v>
      </c>
    </row>
    <row r="199" spans="1:3" x14ac:dyDescent="0.2">
      <c r="A199" s="58">
        <v>45860</v>
      </c>
      <c r="B199">
        <v>259.7</v>
      </c>
      <c r="C199" s="39">
        <f t="shared" si="3"/>
        <v>-2.4966391396198384E-3</v>
      </c>
    </row>
    <row r="200" spans="1:3" x14ac:dyDescent="0.2">
      <c r="A200" s="58">
        <v>45859</v>
      </c>
      <c r="B200">
        <v>260.35000000000002</v>
      </c>
      <c r="C200" s="39">
        <f t="shared" si="3"/>
        <v>-2.472373103577441E-2</v>
      </c>
    </row>
    <row r="201" spans="1:3" x14ac:dyDescent="0.2">
      <c r="A201" s="58">
        <v>45856</v>
      </c>
      <c r="B201">
        <v>266.95</v>
      </c>
      <c r="C201" s="39">
        <f t="shared" si="3"/>
        <v>2.4366845740598553E-2</v>
      </c>
    </row>
    <row r="202" spans="1:3" x14ac:dyDescent="0.2">
      <c r="A202" s="58">
        <v>45855</v>
      </c>
      <c r="B202">
        <v>260.60000000000002</v>
      </c>
      <c r="C202" s="39">
        <f t="shared" si="3"/>
        <v>-8.3713850837138226E-3</v>
      </c>
    </row>
    <row r="203" spans="1:3" x14ac:dyDescent="0.2">
      <c r="A203" s="58">
        <v>45854</v>
      </c>
      <c r="B203">
        <v>262.8</v>
      </c>
      <c r="C203" s="39">
        <f t="shared" si="3"/>
        <v>2.0979020979021046E-2</v>
      </c>
    </row>
    <row r="204" spans="1:3" x14ac:dyDescent="0.2">
      <c r="A204" s="58">
        <v>45853</v>
      </c>
      <c r="B204">
        <v>257.39999999999998</v>
      </c>
      <c r="C204" s="39">
        <f t="shared" si="3"/>
        <v>1.2389380530973382E-2</v>
      </c>
    </row>
    <row r="205" spans="1:3" x14ac:dyDescent="0.2">
      <c r="A205" s="58">
        <v>45852</v>
      </c>
      <c r="B205">
        <v>254.25</v>
      </c>
      <c r="C205" s="39">
        <f t="shared" si="3"/>
        <v>-1.5679442508710895E-2</v>
      </c>
    </row>
    <row r="206" spans="1:3" x14ac:dyDescent="0.2">
      <c r="A206" s="58">
        <v>45849</v>
      </c>
      <c r="B206">
        <v>258.3</v>
      </c>
      <c r="C206" s="39">
        <f t="shared" si="3"/>
        <v>-2.5466893039049254E-2</v>
      </c>
    </row>
    <row r="207" spans="1:3" x14ac:dyDescent="0.2">
      <c r="A207" s="58">
        <v>45848</v>
      </c>
      <c r="B207">
        <v>265.05</v>
      </c>
      <c r="C207" s="39">
        <f t="shared" si="3"/>
        <v>-1.026885735623595E-2</v>
      </c>
    </row>
    <row r="208" spans="1:3" x14ac:dyDescent="0.2">
      <c r="A208" s="58">
        <v>45847</v>
      </c>
      <c r="B208">
        <v>267.8</v>
      </c>
      <c r="C208" s="39">
        <f t="shared" si="3"/>
        <v>-6.8607454107174615E-3</v>
      </c>
    </row>
    <row r="209" spans="1:3" x14ac:dyDescent="0.2">
      <c r="A209" s="58">
        <v>45846</v>
      </c>
      <c r="B209">
        <v>269.64999999999998</v>
      </c>
      <c r="C209" s="39">
        <f t="shared" si="3"/>
        <v>7.0961718020541298E-3</v>
      </c>
    </row>
    <row r="210" spans="1:3" x14ac:dyDescent="0.2">
      <c r="A210" s="58">
        <v>45845</v>
      </c>
      <c r="B210">
        <v>267.75</v>
      </c>
      <c r="C210" s="39">
        <f t="shared" si="3"/>
        <v>-8.5169413071654043E-3</v>
      </c>
    </row>
    <row r="211" spans="1:3" x14ac:dyDescent="0.2">
      <c r="A211" s="58">
        <v>45842</v>
      </c>
      <c r="B211">
        <v>270.05</v>
      </c>
      <c r="C211" s="39">
        <f t="shared" si="3"/>
        <v>1.1233851338700696E-2</v>
      </c>
    </row>
    <row r="212" spans="1:3" x14ac:dyDescent="0.2">
      <c r="A212" s="58">
        <v>45841</v>
      </c>
      <c r="B212">
        <v>267.05</v>
      </c>
      <c r="C212" s="39">
        <f t="shared" si="3"/>
        <v>1.8726591760298561E-4</v>
      </c>
    </row>
    <row r="213" spans="1:3" x14ac:dyDescent="0.2">
      <c r="A213" s="58">
        <v>45840</v>
      </c>
      <c r="B213">
        <v>267</v>
      </c>
      <c r="C213" s="39">
        <f t="shared" si="3"/>
        <v>9.2610092610092565E-3</v>
      </c>
    </row>
    <row r="214" spans="1:3" x14ac:dyDescent="0.2">
      <c r="A214" s="58">
        <v>45839</v>
      </c>
      <c r="B214">
        <v>264.55</v>
      </c>
      <c r="C214" s="39">
        <f t="shared" si="3"/>
        <v>-5.3763440860215006E-3</v>
      </c>
    </row>
    <row r="215" spans="1:3" x14ac:dyDescent="0.2">
      <c r="A215" s="58">
        <v>45838</v>
      </c>
      <c r="B215">
        <v>265.98</v>
      </c>
      <c r="C215" s="39">
        <f t="shared" si="3"/>
        <v>3.5087719298245723E-3</v>
      </c>
    </row>
    <row r="216" spans="1:3" x14ac:dyDescent="0.2">
      <c r="A216" s="58">
        <v>45835</v>
      </c>
      <c r="B216">
        <v>265.05</v>
      </c>
      <c r="C216" s="39">
        <f t="shared" si="3"/>
        <v>-1.2922687323104309E-2</v>
      </c>
    </row>
    <row r="217" spans="1:3" x14ac:dyDescent="0.2">
      <c r="A217" s="58">
        <v>45834</v>
      </c>
      <c r="B217">
        <v>268.52</v>
      </c>
      <c r="C217" s="39">
        <f t="shared" si="3"/>
        <v>-3.3035150885268871E-3</v>
      </c>
    </row>
    <row r="218" spans="1:3" x14ac:dyDescent="0.2">
      <c r="A218" s="58">
        <v>45833</v>
      </c>
      <c r="B218">
        <v>269.41000000000003</v>
      </c>
      <c r="C218" s="39">
        <f t="shared" si="3"/>
        <v>1.6756613956296906E-2</v>
      </c>
    </row>
    <row r="219" spans="1:3" x14ac:dyDescent="0.2">
      <c r="A219" s="58">
        <v>45832</v>
      </c>
      <c r="B219">
        <v>264.97000000000003</v>
      </c>
      <c r="C219" s="39">
        <f t="shared" si="3"/>
        <v>6.5719495517400084E-3</v>
      </c>
    </row>
    <row r="220" spans="1:3" x14ac:dyDescent="0.2">
      <c r="A220" s="58">
        <v>45831</v>
      </c>
      <c r="B220">
        <v>263.24</v>
      </c>
      <c r="C220" s="39">
        <f t="shared" si="3"/>
        <v>-1.2380880918436254E-2</v>
      </c>
    </row>
    <row r="221" spans="1:3" x14ac:dyDescent="0.2">
      <c r="A221" s="58">
        <v>45828</v>
      </c>
      <c r="B221">
        <v>266.54000000000002</v>
      </c>
      <c r="C221" s="39">
        <f t="shared" si="3"/>
        <v>3.6147300248514647E-3</v>
      </c>
    </row>
    <row r="222" spans="1:3" x14ac:dyDescent="0.2">
      <c r="A222" s="58">
        <v>45827</v>
      </c>
      <c r="B222">
        <v>265.58</v>
      </c>
      <c r="C222" s="39">
        <f t="shared" si="3"/>
        <v>1.52528766390152E-2</v>
      </c>
    </row>
    <row r="223" spans="1:3" x14ac:dyDescent="0.2">
      <c r="A223" s="58">
        <v>45826</v>
      </c>
      <c r="B223">
        <v>261.58999999999997</v>
      </c>
      <c r="C223" s="39">
        <f t="shared" si="3"/>
        <v>-5.0207295272147734E-3</v>
      </c>
    </row>
    <row r="224" spans="1:3" x14ac:dyDescent="0.2">
      <c r="A224" s="58">
        <v>45825</v>
      </c>
      <c r="B224">
        <v>262.91000000000003</v>
      </c>
      <c r="C224" s="39">
        <f t="shared" si="3"/>
        <v>7.6077446841127383E-5</v>
      </c>
    </row>
    <row r="225" spans="1:3" x14ac:dyDescent="0.2">
      <c r="A225" s="58">
        <v>45824</v>
      </c>
      <c r="B225">
        <v>262.89</v>
      </c>
      <c r="C225" s="39">
        <f t="shared" si="3"/>
        <v>1.029937358287536E-2</v>
      </c>
    </row>
    <row r="226" spans="1:3" x14ac:dyDescent="0.2">
      <c r="A226" s="58">
        <v>45821</v>
      </c>
      <c r="B226">
        <v>260.20999999999998</v>
      </c>
      <c r="C226" s="39">
        <f t="shared" si="3"/>
        <v>2.3111590462616682E-3</v>
      </c>
    </row>
    <row r="227" spans="1:3" x14ac:dyDescent="0.2">
      <c r="A227" s="58">
        <v>45820</v>
      </c>
      <c r="B227">
        <v>259.61</v>
      </c>
      <c r="C227" s="39">
        <f t="shared" si="3"/>
        <v>2.6649158041094356E-3</v>
      </c>
    </row>
    <row r="228" spans="1:3" x14ac:dyDescent="0.2">
      <c r="A228" s="58">
        <v>45819</v>
      </c>
      <c r="B228">
        <v>258.92</v>
      </c>
      <c r="C228" s="39">
        <f t="shared" si="3"/>
        <v>1.5890453956919348E-2</v>
      </c>
    </row>
    <row r="229" spans="1:3" x14ac:dyDescent="0.2">
      <c r="A229" s="58">
        <v>45818</v>
      </c>
      <c r="B229">
        <v>254.87</v>
      </c>
      <c r="C229" s="39">
        <f t="shared" si="3"/>
        <v>1.4246488121294254E-2</v>
      </c>
    </row>
    <row r="230" spans="1:3" x14ac:dyDescent="0.2">
      <c r="A230" s="58">
        <v>45817</v>
      </c>
      <c r="B230">
        <v>251.29</v>
      </c>
      <c r="C230" s="39">
        <f t="shared" si="3"/>
        <v>1.0861257492256193E-2</v>
      </c>
    </row>
    <row r="231" spans="1:3" x14ac:dyDescent="0.2">
      <c r="A231" s="58">
        <v>45814</v>
      </c>
      <c r="B231">
        <v>248.59</v>
      </c>
      <c r="C231" s="39">
        <f t="shared" si="3"/>
        <v>2.6216020004841134E-3</v>
      </c>
    </row>
    <row r="232" spans="1:3" x14ac:dyDescent="0.2">
      <c r="A232" s="58">
        <v>45813</v>
      </c>
      <c r="B232">
        <v>247.94</v>
      </c>
      <c r="C232" s="39">
        <f t="shared" si="3"/>
        <v>4.3749493640119486E-3</v>
      </c>
    </row>
    <row r="233" spans="1:3" x14ac:dyDescent="0.2">
      <c r="A233" s="58">
        <v>45812</v>
      </c>
      <c r="B233">
        <v>246.86</v>
      </c>
      <c r="C233" s="39">
        <f t="shared" si="3"/>
        <v>2.5993014377385659E-3</v>
      </c>
    </row>
    <row r="234" spans="1:3" x14ac:dyDescent="0.2">
      <c r="A234" s="58">
        <v>45811</v>
      </c>
      <c r="B234">
        <v>246.22</v>
      </c>
      <c r="C234" s="39">
        <f t="shared" si="3"/>
        <v>-5.8947028423772529E-3</v>
      </c>
    </row>
    <row r="235" spans="1:3" x14ac:dyDescent="0.2">
      <c r="A235" s="58">
        <v>45810</v>
      </c>
      <c r="B235">
        <v>247.68</v>
      </c>
      <c r="C235" s="39">
        <f t="shared" si="3"/>
        <v>-7.9705210878359134E-3</v>
      </c>
    </row>
    <row r="236" spans="1:3" x14ac:dyDescent="0.2">
      <c r="A236" s="58">
        <v>45807</v>
      </c>
      <c r="B236">
        <v>249.67</v>
      </c>
      <c r="C236" s="39">
        <f t="shared" si="3"/>
        <v>-1.878947789238028E-3</v>
      </c>
    </row>
    <row r="237" spans="1:3" x14ac:dyDescent="0.2">
      <c r="A237" s="58">
        <v>45806</v>
      </c>
      <c r="B237">
        <v>250.14</v>
      </c>
      <c r="C237" s="39">
        <f t="shared" si="3"/>
        <v>1.0952592652467175E-2</v>
      </c>
    </row>
    <row r="238" spans="1:3" x14ac:dyDescent="0.2">
      <c r="A238" s="58">
        <v>45805</v>
      </c>
      <c r="B238">
        <v>247.43</v>
      </c>
      <c r="C238" s="39">
        <f t="shared" si="3"/>
        <v>-3.3031218529707695E-3</v>
      </c>
    </row>
    <row r="239" spans="1:3" x14ac:dyDescent="0.2">
      <c r="A239" s="58">
        <v>45804</v>
      </c>
      <c r="B239">
        <v>248.25</v>
      </c>
      <c r="C239" s="39">
        <f t="shared" si="3"/>
        <v>-7.9523657289003458E-3</v>
      </c>
    </row>
    <row r="240" spans="1:3" x14ac:dyDescent="0.2">
      <c r="A240" s="58">
        <v>45803</v>
      </c>
      <c r="B240">
        <v>250.24</v>
      </c>
      <c r="C240" s="39">
        <f t="shared" si="3"/>
        <v>1.1642949547218562E-2</v>
      </c>
    </row>
    <row r="241" spans="1:3" x14ac:dyDescent="0.2">
      <c r="A241" s="58">
        <v>45800</v>
      </c>
      <c r="B241">
        <v>247.36</v>
      </c>
      <c r="C241" s="39">
        <f t="shared" si="3"/>
        <v>5.7737659591770019E-3</v>
      </c>
    </row>
    <row r="242" spans="1:3" x14ac:dyDescent="0.2">
      <c r="A242" s="58">
        <v>45799</v>
      </c>
      <c r="B242">
        <v>245.94</v>
      </c>
      <c r="C242" s="39">
        <f t="shared" si="3"/>
        <v>-1.9846963175514043E-2</v>
      </c>
    </row>
    <row r="243" spans="1:3" x14ac:dyDescent="0.2">
      <c r="A243" s="58">
        <v>45798</v>
      </c>
      <c r="B243">
        <v>250.92</v>
      </c>
      <c r="C243" s="39">
        <f t="shared" si="3"/>
        <v>4.8456209202674128E-3</v>
      </c>
    </row>
    <row r="244" spans="1:3" x14ac:dyDescent="0.2">
      <c r="A244" s="58">
        <v>45797</v>
      </c>
      <c r="B244">
        <v>249.71</v>
      </c>
      <c r="C244" s="39">
        <f t="shared" si="3"/>
        <v>-8.1032770605758975E-3</v>
      </c>
    </row>
    <row r="245" spans="1:3" x14ac:dyDescent="0.2">
      <c r="A245" s="58">
        <v>45796</v>
      </c>
      <c r="B245">
        <v>251.75</v>
      </c>
      <c r="C245" s="39">
        <f t="shared" si="3"/>
        <v>-1.0066454327395724E-2</v>
      </c>
    </row>
    <row r="246" spans="1:3" x14ac:dyDescent="0.2">
      <c r="A246" s="58">
        <v>45793</v>
      </c>
      <c r="B246">
        <v>254.31</v>
      </c>
      <c r="C246" s="39">
        <f t="shared" si="3"/>
        <v>-8.8085122968389884E-3</v>
      </c>
    </row>
    <row r="247" spans="1:3" x14ac:dyDescent="0.2">
      <c r="A247" s="58">
        <v>45792</v>
      </c>
      <c r="B247">
        <v>256.57</v>
      </c>
      <c r="C247" s="39">
        <f t="shared" si="3"/>
        <v>1.4351229540602528E-2</v>
      </c>
    </row>
    <row r="248" spans="1:3" x14ac:dyDescent="0.2">
      <c r="A248" s="58">
        <v>45791</v>
      </c>
      <c r="B248">
        <v>252.94</v>
      </c>
      <c r="C248" s="39">
        <f t="shared" si="3"/>
        <v>5.4458003736534977E-3</v>
      </c>
    </row>
    <row r="249" spans="1:3" x14ac:dyDescent="0.2">
      <c r="A249" s="58">
        <v>45790</v>
      </c>
      <c r="B249">
        <v>251.57</v>
      </c>
      <c r="C249" s="3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B4DA3-D4E6-4DAA-B4D9-27EAF038509E}">
  <dimension ref="A1:K141"/>
  <sheetViews>
    <sheetView showGridLines="0" tabSelected="1" zoomScale="61" workbookViewId="0">
      <selection activeCell="K35" sqref="K35"/>
    </sheetView>
  </sheetViews>
  <sheetFormatPr defaultRowHeight="14.25" x14ac:dyDescent="0.2"/>
  <cols>
    <col min="1" max="1" width="3.55078125" customWidth="1"/>
    <col min="2" max="2" width="20.86328125" bestFit="1" customWidth="1"/>
    <col min="3" max="3" width="11.8359375" bestFit="1" customWidth="1"/>
    <col min="4" max="4" width="11.8359375" customWidth="1"/>
    <col min="5" max="5" width="10.94921875" bestFit="1" customWidth="1"/>
    <col min="6" max="6" width="10.94921875" customWidth="1"/>
    <col min="7" max="7" width="10.35546875" bestFit="1" customWidth="1"/>
    <col min="8" max="8" width="10.05859375" bestFit="1" customWidth="1"/>
    <col min="9" max="10" width="10.35546875" bestFit="1" customWidth="1"/>
    <col min="11" max="11" width="11.8359375" bestFit="1" customWidth="1"/>
  </cols>
  <sheetData>
    <row r="1" spans="1:3" x14ac:dyDescent="0.2">
      <c r="A1" s="34" t="s">
        <v>94</v>
      </c>
    </row>
    <row r="2" spans="1:3" x14ac:dyDescent="0.2">
      <c r="B2" t="s">
        <v>3</v>
      </c>
      <c r="C2">
        <f>Working!B7</f>
        <v>190</v>
      </c>
    </row>
    <row r="3" spans="1:3" x14ac:dyDescent="0.2">
      <c r="B3" t="s">
        <v>143</v>
      </c>
      <c r="C3" s="51">
        <f>C2*Working!B5</f>
        <v>199279.836702</v>
      </c>
    </row>
    <row r="4" spans="1:3" x14ac:dyDescent="0.2">
      <c r="B4" t="s">
        <v>24</v>
      </c>
      <c r="C4">
        <f>Working!B8</f>
        <v>250</v>
      </c>
    </row>
    <row r="5" spans="1:3" x14ac:dyDescent="0.2">
      <c r="B5" t="s">
        <v>104</v>
      </c>
      <c r="C5">
        <f>C4-C2</f>
        <v>60</v>
      </c>
    </row>
    <row r="6" spans="1:3" x14ac:dyDescent="0.2">
      <c r="B6" t="s">
        <v>95</v>
      </c>
      <c r="C6">
        <f>Working!E6</f>
        <v>800</v>
      </c>
    </row>
    <row r="7" spans="1:3" x14ac:dyDescent="0.2">
      <c r="B7" t="s">
        <v>96</v>
      </c>
      <c r="C7" s="51">
        <f>Working!E4</f>
        <v>152000</v>
      </c>
    </row>
    <row r="8" spans="1:3" x14ac:dyDescent="0.2">
      <c r="B8" t="s">
        <v>97</v>
      </c>
      <c r="C8">
        <f>Working!J30</f>
        <v>45</v>
      </c>
    </row>
    <row r="9" spans="1:3" x14ac:dyDescent="0.2">
      <c r="B9" t="s">
        <v>98</v>
      </c>
      <c r="C9" s="39">
        <f>Working!Q6</f>
        <v>1.4619814637892362E-2</v>
      </c>
    </row>
    <row r="10" spans="1:3" x14ac:dyDescent="0.2">
      <c r="B10" t="s">
        <v>99</v>
      </c>
      <c r="C10" s="39">
        <f ca="1">Working!Z6</f>
        <v>0.10997183025330085</v>
      </c>
    </row>
    <row r="11" spans="1:3" x14ac:dyDescent="0.2">
      <c r="B11" t="s">
        <v>100</v>
      </c>
      <c r="C11" s="39">
        <f ca="1">_xlfn.STDEV.S(Working!V17:V5016)</f>
        <v>6.9527809160815426E-2</v>
      </c>
    </row>
    <row r="12" spans="1:3" x14ac:dyDescent="0.2">
      <c r="B12" t="s">
        <v>101</v>
      </c>
      <c r="C12" s="39">
        <f ca="1">Working!Z7</f>
        <v>6.3600000000000004E-2</v>
      </c>
    </row>
    <row r="13" spans="1:3" x14ac:dyDescent="0.2">
      <c r="B13" t="s">
        <v>102</v>
      </c>
      <c r="C13" s="68">
        <v>5.3398000000000001E-2</v>
      </c>
    </row>
    <row r="15" spans="1:3" x14ac:dyDescent="0.2">
      <c r="A15" s="34" t="s">
        <v>103</v>
      </c>
    </row>
    <row r="17" spans="1:11" ht="25.5" x14ac:dyDescent="0.2">
      <c r="B17" s="64" t="s">
        <v>105</v>
      </c>
      <c r="C17" s="64" t="s">
        <v>106</v>
      </c>
      <c r="D17" s="64" t="s">
        <v>107</v>
      </c>
      <c r="E17" s="64" t="s">
        <v>103</v>
      </c>
      <c r="F17" s="64" t="s">
        <v>108</v>
      </c>
      <c r="G17" s="64" t="s">
        <v>109</v>
      </c>
    </row>
    <row r="18" spans="1:11" x14ac:dyDescent="0.2">
      <c r="B18" s="48">
        <v>0.15</v>
      </c>
      <c r="C18">
        <f>B18*$C$6</f>
        <v>120</v>
      </c>
      <c r="D18" s="65">
        <f>$C$6-C18</f>
        <v>680</v>
      </c>
      <c r="E18" s="51">
        <f>$C$2-((B18*$C$5)/(1-B18))</f>
        <v>179.41176470588235</v>
      </c>
      <c r="F18" s="69">
        <f>E18-$C$2</f>
        <v>-10.588235294117652</v>
      </c>
      <c r="G18" s="39">
        <f>F18/$C$2</f>
        <v>-5.5727554179566589E-2</v>
      </c>
    </row>
    <row r="19" spans="1:11" x14ac:dyDescent="0.2">
      <c r="B19" s="46">
        <f>Working!$B$18</f>
        <v>0.2170575908848893</v>
      </c>
      <c r="C19" s="65">
        <f t="shared" ref="C19:C24" si="0">B19*$C$6</f>
        <v>173.64607270791143</v>
      </c>
      <c r="D19" s="65">
        <f t="shared" ref="D19:D24" si="1">$C$6-C19</f>
        <v>626.35392729208854</v>
      </c>
      <c r="E19" s="51">
        <f>$C$2-((B19*$C$5)/(1-B19))</f>
        <v>173.36601095882315</v>
      </c>
      <c r="F19" s="69">
        <f t="shared" ref="F19:F24" si="2">E19-$C$2</f>
        <v>-16.633989041176847</v>
      </c>
      <c r="G19" s="39">
        <f t="shared" ref="G19:G24" si="3">F19/$C$2</f>
        <v>-8.7547310743036039E-2</v>
      </c>
    </row>
    <row r="20" spans="1:11" x14ac:dyDescent="0.2">
      <c r="B20" s="48">
        <v>0.3</v>
      </c>
      <c r="C20">
        <f t="shared" si="0"/>
        <v>240</v>
      </c>
      <c r="D20" s="65">
        <f t="shared" si="1"/>
        <v>560</v>
      </c>
      <c r="E20" s="51">
        <f>$C$2-((B20*$C$5)/(1-B20))</f>
        <v>164.28571428571428</v>
      </c>
      <c r="F20" s="69">
        <f t="shared" si="2"/>
        <v>-25.714285714285722</v>
      </c>
      <c r="G20" s="39">
        <f t="shared" si="3"/>
        <v>-0.1353383458646617</v>
      </c>
    </row>
    <row r="21" spans="1:11" x14ac:dyDescent="0.2">
      <c r="B21" s="48">
        <v>0.35</v>
      </c>
      <c r="C21">
        <f t="shared" si="0"/>
        <v>280</v>
      </c>
      <c r="D21" s="65">
        <f t="shared" si="1"/>
        <v>520</v>
      </c>
      <c r="E21" s="51">
        <f>$C$2-((B21*$C$5)/(1-B21))</f>
        <v>157.69230769230768</v>
      </c>
      <c r="F21" s="69">
        <f t="shared" si="2"/>
        <v>-32.307692307692321</v>
      </c>
      <c r="G21" s="39">
        <f t="shared" si="3"/>
        <v>-0.17004048582995959</v>
      </c>
    </row>
    <row r="22" spans="1:11" x14ac:dyDescent="0.2">
      <c r="B22" s="48">
        <v>0.4</v>
      </c>
      <c r="C22">
        <f t="shared" si="0"/>
        <v>320</v>
      </c>
      <c r="D22" s="65">
        <f t="shared" si="1"/>
        <v>480</v>
      </c>
      <c r="E22" s="51">
        <f>$C$2-((B22*$C$5)/(1-B22))</f>
        <v>150</v>
      </c>
      <c r="F22" s="69">
        <f t="shared" si="2"/>
        <v>-40</v>
      </c>
      <c r="G22" s="39">
        <f t="shared" si="3"/>
        <v>-0.21052631578947367</v>
      </c>
    </row>
    <row r="23" spans="1:11" x14ac:dyDescent="0.2">
      <c r="B23" s="48">
        <v>0.45</v>
      </c>
      <c r="C23">
        <f t="shared" si="0"/>
        <v>360</v>
      </c>
      <c r="D23" s="65">
        <f t="shared" si="1"/>
        <v>440</v>
      </c>
      <c r="E23" s="51">
        <f>$C$2-((B23*$C$5)/(1-B23))</f>
        <v>140.90909090909091</v>
      </c>
      <c r="F23" s="69">
        <f t="shared" si="2"/>
        <v>-49.090909090909093</v>
      </c>
      <c r="G23" s="39">
        <f t="shared" si="3"/>
        <v>-0.25837320574162681</v>
      </c>
    </row>
    <row r="24" spans="1:11" x14ac:dyDescent="0.2">
      <c r="B24" s="48">
        <v>0.5</v>
      </c>
      <c r="C24">
        <f t="shared" si="0"/>
        <v>400</v>
      </c>
      <c r="D24" s="65">
        <f t="shared" si="1"/>
        <v>400</v>
      </c>
      <c r="E24" s="51">
        <f>$C$2-((B24*$C$5)/(1-B24))</f>
        <v>130</v>
      </c>
      <c r="F24" s="69">
        <f t="shared" si="2"/>
        <v>-60</v>
      </c>
      <c r="G24" s="39">
        <f t="shared" si="3"/>
        <v>-0.31578947368421051</v>
      </c>
    </row>
    <row r="26" spans="1:11" x14ac:dyDescent="0.2">
      <c r="A26" s="34" t="s">
        <v>110</v>
      </c>
    </row>
    <row r="27" spans="1:11" x14ac:dyDescent="0.2">
      <c r="C27" s="34"/>
      <c r="D27" s="34"/>
      <c r="E27" s="81" t="s">
        <v>112</v>
      </c>
      <c r="F27" s="81"/>
      <c r="G27" s="81"/>
      <c r="H27" s="81" t="s">
        <v>117</v>
      </c>
      <c r="I27" s="81"/>
      <c r="J27" s="81"/>
    </row>
    <row r="28" spans="1:11" ht="37.5" x14ac:dyDescent="0.2">
      <c r="B28" s="64" t="s">
        <v>105</v>
      </c>
      <c r="C28" s="64" t="s">
        <v>111</v>
      </c>
      <c r="D28" s="64" t="s">
        <v>113</v>
      </c>
      <c r="E28" s="64" t="s">
        <v>118</v>
      </c>
      <c r="F28" s="64" t="s">
        <v>119</v>
      </c>
      <c r="G28" s="64" t="s">
        <v>120</v>
      </c>
      <c r="H28" s="64" t="s">
        <v>114</v>
      </c>
      <c r="I28" s="64" t="s">
        <v>115</v>
      </c>
      <c r="J28" s="64" t="s">
        <v>116</v>
      </c>
      <c r="K28" s="64" t="s">
        <v>121</v>
      </c>
    </row>
    <row r="29" spans="1:11" x14ac:dyDescent="0.2">
      <c r="B29" s="48">
        <v>0.15</v>
      </c>
      <c r="C29" s="51">
        <f>B29*$C$6*$C$5</f>
        <v>7200</v>
      </c>
      <c r="D29" s="39">
        <f>C29/$C$7</f>
        <v>4.736842105263158E-2</v>
      </c>
      <c r="E29" s="51">
        <f>(1-$B29)*$C$6*(170-$C$2)</f>
        <v>-13600</v>
      </c>
      <c r="F29" s="51">
        <f>(1-$B29)*$C$6*(200-$C$2)</f>
        <v>6800</v>
      </c>
      <c r="G29" s="51">
        <f>(1-$B29)*$C$6*(210-$C$2)</f>
        <v>13600</v>
      </c>
      <c r="H29" s="51">
        <f>$C$29+E29</f>
        <v>-6400</v>
      </c>
      <c r="I29" s="51">
        <f t="shared" ref="I29:J29" si="4">$C$29+F29</f>
        <v>14000</v>
      </c>
      <c r="J29" s="51">
        <f t="shared" si="4"/>
        <v>20800</v>
      </c>
      <c r="K29" s="39">
        <f>(1-B29)*$C$6*$C$2/$C$7</f>
        <v>0.85</v>
      </c>
    </row>
    <row r="30" spans="1:11" x14ac:dyDescent="0.2">
      <c r="B30" s="46">
        <f>Working!$B$18</f>
        <v>0.2170575908848893</v>
      </c>
      <c r="C30" s="51">
        <f t="shared" ref="C30:C35" si="5">B30*$C$6*$C$5</f>
        <v>10418.764362474685</v>
      </c>
      <c r="D30" s="39">
        <f t="shared" ref="D30:D35" si="6">C30/$C$7</f>
        <v>6.8544502384701875E-2</v>
      </c>
      <c r="E30" s="51">
        <f>(1-$B30)*$C$6*(170-$C$2)</f>
        <v>-12527.07854584177</v>
      </c>
      <c r="F30" s="51">
        <f>(1-$B30)*$C$6*(200-$C$2)</f>
        <v>6263.5392729208852</v>
      </c>
      <c r="G30" s="51">
        <f>(1-$B30)*$C$6*(210-$C$2)</f>
        <v>12527.07854584177</v>
      </c>
      <c r="H30" s="51">
        <f t="shared" ref="H30:H35" si="7">$C$29+E30</f>
        <v>-5327.0785458417704</v>
      </c>
      <c r="I30" s="51">
        <f t="shared" ref="I30:I35" si="8">$C$29+F30</f>
        <v>13463.539272920885</v>
      </c>
      <c r="J30" s="51">
        <f t="shared" ref="J30:J35" si="9">$C$29+G30</f>
        <v>19727.07854584177</v>
      </c>
      <c r="K30" s="39">
        <f t="shared" ref="K30:K35" si="10">(1-B30)*$C$6*$C$2/$C$7</f>
        <v>0.7829424091151107</v>
      </c>
    </row>
    <row r="31" spans="1:11" x14ac:dyDescent="0.2">
      <c r="B31" s="48">
        <v>0.3</v>
      </c>
      <c r="C31" s="51">
        <f t="shared" si="5"/>
        <v>14400</v>
      </c>
      <c r="D31" s="39">
        <f t="shared" si="6"/>
        <v>9.4736842105263161E-2</v>
      </c>
      <c r="E31" s="51">
        <f>(1-$B31)*$C$6*(170-$C$2)</f>
        <v>-11200</v>
      </c>
      <c r="F31" s="51">
        <f>(1-$B31)*$C$6*(200-$C$2)</f>
        <v>5600</v>
      </c>
      <c r="G31" s="51">
        <f>(1-$B31)*$C$6*(210-$C$2)</f>
        <v>11200</v>
      </c>
      <c r="H31" s="51">
        <f t="shared" si="7"/>
        <v>-4000</v>
      </c>
      <c r="I31" s="51">
        <f t="shared" si="8"/>
        <v>12800</v>
      </c>
      <c r="J31" s="51">
        <f t="shared" si="9"/>
        <v>18400</v>
      </c>
      <c r="K31" s="39">
        <f t="shared" si="10"/>
        <v>0.7</v>
      </c>
    </row>
    <row r="32" spans="1:11" x14ac:dyDescent="0.2">
      <c r="B32" s="48">
        <v>0.35</v>
      </c>
      <c r="C32" s="51">
        <f t="shared" si="5"/>
        <v>16800</v>
      </c>
      <c r="D32" s="39">
        <f t="shared" si="6"/>
        <v>0.11052631578947368</v>
      </c>
      <c r="E32" s="51">
        <f>(1-$B32)*$C$6*(170-$C$2)</f>
        <v>-10400</v>
      </c>
      <c r="F32" s="51">
        <f>(1-$B32)*$C$6*(200-$C$2)</f>
        <v>5200</v>
      </c>
      <c r="G32" s="51">
        <f>(1-$B32)*$C$6*(210-$C$2)</f>
        <v>10400</v>
      </c>
      <c r="H32" s="51">
        <f t="shared" si="7"/>
        <v>-3200</v>
      </c>
      <c r="I32" s="51">
        <f t="shared" si="8"/>
        <v>12400</v>
      </c>
      <c r="J32" s="51">
        <f t="shared" si="9"/>
        <v>17600</v>
      </c>
      <c r="K32" s="39">
        <f t="shared" si="10"/>
        <v>0.65</v>
      </c>
    </row>
    <row r="33" spans="1:11" x14ac:dyDescent="0.2">
      <c r="B33" s="48">
        <v>0.4</v>
      </c>
      <c r="C33" s="51">
        <f t="shared" si="5"/>
        <v>19200</v>
      </c>
      <c r="D33" s="39">
        <f t="shared" si="6"/>
        <v>0.12631578947368421</v>
      </c>
      <c r="E33" s="51">
        <f>(1-$B33)*$C$6*(170-$C$2)</f>
        <v>-9600</v>
      </c>
      <c r="F33" s="51">
        <f>(1-$B33)*$C$6*(200-$C$2)</f>
        <v>4800</v>
      </c>
      <c r="G33" s="51">
        <f>(1-$B33)*$C$6*(210-$C$2)</f>
        <v>9600</v>
      </c>
      <c r="H33" s="51">
        <f t="shared" si="7"/>
        <v>-2400</v>
      </c>
      <c r="I33" s="51">
        <f t="shared" si="8"/>
        <v>12000</v>
      </c>
      <c r="J33" s="51">
        <f t="shared" si="9"/>
        <v>16800</v>
      </c>
      <c r="K33" s="39">
        <f t="shared" si="10"/>
        <v>0.6</v>
      </c>
    </row>
    <row r="34" spans="1:11" x14ac:dyDescent="0.2">
      <c r="B34" s="48">
        <v>0.45</v>
      </c>
      <c r="C34" s="51">
        <f t="shared" si="5"/>
        <v>21600</v>
      </c>
      <c r="D34" s="39">
        <f t="shared" si="6"/>
        <v>0.14210526315789473</v>
      </c>
      <c r="E34" s="51">
        <f>(1-$B34)*$C$6*(170-$C$2)</f>
        <v>-8800.0000000000018</v>
      </c>
      <c r="F34" s="51">
        <f>(1-$B34)*$C$6*(200-$C$2)</f>
        <v>4400.0000000000009</v>
      </c>
      <c r="G34" s="51">
        <f>(1-$B34)*$C$6*(210-$C$2)</f>
        <v>8800.0000000000018</v>
      </c>
      <c r="H34" s="51">
        <f t="shared" si="7"/>
        <v>-1600.0000000000018</v>
      </c>
      <c r="I34" s="51">
        <f t="shared" si="8"/>
        <v>11600</v>
      </c>
      <c r="J34" s="51">
        <f t="shared" si="9"/>
        <v>16000.000000000002</v>
      </c>
      <c r="K34" s="39">
        <f t="shared" si="10"/>
        <v>0.55000000000000004</v>
      </c>
    </row>
    <row r="35" spans="1:11" x14ac:dyDescent="0.2">
      <c r="B35" s="48">
        <v>0.5</v>
      </c>
      <c r="C35" s="51">
        <f t="shared" si="5"/>
        <v>24000</v>
      </c>
      <c r="D35" s="39">
        <f t="shared" si="6"/>
        <v>0.15789473684210525</v>
      </c>
      <c r="E35" s="51">
        <f>(1-$B35)*$C$6*(170-$C$2)</f>
        <v>-8000</v>
      </c>
      <c r="F35" s="51">
        <f>(1-$B35)*$C$6*(200-$C$2)</f>
        <v>4000</v>
      </c>
      <c r="G35" s="51">
        <f>(1-$B35)*$C$6*(210-$C$2)</f>
        <v>8000</v>
      </c>
      <c r="H35" s="51">
        <f t="shared" si="7"/>
        <v>-800</v>
      </c>
      <c r="I35" s="51">
        <f t="shared" si="8"/>
        <v>11200</v>
      </c>
      <c r="J35" s="51">
        <f t="shared" si="9"/>
        <v>15200</v>
      </c>
      <c r="K35" s="39">
        <f>(1-B35)*$C$6*$C$2/$C$7</f>
        <v>0.5</v>
      </c>
    </row>
    <row r="37" spans="1:11" x14ac:dyDescent="0.2">
      <c r="A37" s="34" t="s">
        <v>122</v>
      </c>
    </row>
    <row r="39" spans="1:11" x14ac:dyDescent="0.2">
      <c r="B39" s="34" t="s">
        <v>126</v>
      </c>
    </row>
    <row r="40" spans="1:11" x14ac:dyDescent="0.2">
      <c r="C40" s="34" t="s">
        <v>127</v>
      </c>
      <c r="D40" s="34" t="s">
        <v>128</v>
      </c>
      <c r="E40" s="34" t="s">
        <v>129</v>
      </c>
    </row>
    <row r="41" spans="1:11" x14ac:dyDescent="0.2">
      <c r="B41" s="34" t="s">
        <v>123</v>
      </c>
      <c r="C41" s="69">
        <f>Working!B5</f>
        <v>1048.8412458</v>
      </c>
      <c r="D41" s="69">
        <f>C41-Working!B12</f>
        <v>988.84124580000002</v>
      </c>
      <c r="E41" s="69">
        <f>D41-C41</f>
        <v>-60</v>
      </c>
    </row>
    <row r="42" spans="1:11" x14ac:dyDescent="0.2">
      <c r="B42" s="34" t="s">
        <v>124</v>
      </c>
      <c r="C42" s="51">
        <v>13197.4</v>
      </c>
      <c r="D42" s="51">
        <f>C42</f>
        <v>13197.4</v>
      </c>
      <c r="E42" s="51">
        <f>D42-C42</f>
        <v>0</v>
      </c>
    </row>
    <row r="43" spans="1:11" x14ac:dyDescent="0.2">
      <c r="B43" s="34" t="s">
        <v>125</v>
      </c>
      <c r="C43" s="51">
        <f>C42/C41</f>
        <v>12.582838492334202</v>
      </c>
      <c r="D43" s="51">
        <f>D42/D41</f>
        <v>13.346328398066504</v>
      </c>
      <c r="E43" s="51">
        <f>D43-C43</f>
        <v>0.76348990573230147</v>
      </c>
    </row>
    <row r="44" spans="1:11" x14ac:dyDescent="0.2">
      <c r="B44" s="34" t="s">
        <v>126</v>
      </c>
      <c r="D44" s="39">
        <f>D43/C43-1</f>
        <v>6.0677080628305013E-2</v>
      </c>
    </row>
    <row r="46" spans="1:11" x14ac:dyDescent="0.2">
      <c r="B46" s="34" t="s">
        <v>130</v>
      </c>
    </row>
    <row r="48" spans="1:11" x14ac:dyDescent="0.2">
      <c r="B48" s="34" t="s">
        <v>131</v>
      </c>
      <c r="C48" s="51">
        <f>C2/C43</f>
        <v>15.099931554851715</v>
      </c>
    </row>
    <row r="49" spans="1:3" x14ac:dyDescent="0.2">
      <c r="B49" s="34" t="s">
        <v>132</v>
      </c>
      <c r="C49" s="51">
        <f>D43</f>
        <v>13.346328398066504</v>
      </c>
    </row>
    <row r="50" spans="1:3" x14ac:dyDescent="0.2">
      <c r="B50" s="34" t="s">
        <v>133</v>
      </c>
      <c r="C50" s="70">
        <f>C49*C48</f>
        <v>201.52864531937794</v>
      </c>
    </row>
    <row r="51" spans="1:3" x14ac:dyDescent="0.2">
      <c r="B51" s="34" t="s">
        <v>134</v>
      </c>
      <c r="C51" s="70">
        <f>C50-C2</f>
        <v>11.528645319377944</v>
      </c>
    </row>
    <row r="52" spans="1:3" x14ac:dyDescent="0.2">
      <c r="B52" s="34" t="s">
        <v>135</v>
      </c>
      <c r="C52" s="39">
        <f>C51/C2</f>
        <v>6.0677080628304965E-2</v>
      </c>
    </row>
    <row r="54" spans="1:3" x14ac:dyDescent="0.2">
      <c r="B54" s="34" t="s">
        <v>136</v>
      </c>
    </row>
    <row r="56" spans="1:3" x14ac:dyDescent="0.2">
      <c r="B56" s="34" t="s">
        <v>137</v>
      </c>
      <c r="C56" s="34" t="s">
        <v>138</v>
      </c>
    </row>
    <row r="57" spans="1:3" x14ac:dyDescent="0.2">
      <c r="B57" s="34" t="s">
        <v>139</v>
      </c>
      <c r="C57" s="39">
        <f>Working!B10/'Advanced Analysis'!C3</f>
        <v>7.5271037191940143E-2</v>
      </c>
    </row>
    <row r="58" spans="1:3" x14ac:dyDescent="0.2">
      <c r="B58" s="34" t="s">
        <v>140</v>
      </c>
      <c r="C58" s="51">
        <v>83.9</v>
      </c>
    </row>
    <row r="59" spans="1:3" x14ac:dyDescent="0.2">
      <c r="B59" s="34" t="s">
        <v>141</v>
      </c>
      <c r="C59" s="51">
        <f>C2/C58</f>
        <v>2.264600715137068</v>
      </c>
    </row>
    <row r="60" spans="1:3" x14ac:dyDescent="0.2">
      <c r="B60" s="34" t="s">
        <v>142</v>
      </c>
      <c r="C60" s="72">
        <f>C4/C58</f>
        <v>2.9797377830750893</v>
      </c>
    </row>
    <row r="62" spans="1:3" x14ac:dyDescent="0.2">
      <c r="B62" s="71" t="s">
        <v>144</v>
      </c>
    </row>
    <row r="64" spans="1:3" x14ac:dyDescent="0.2">
      <c r="A64" s="34" t="s">
        <v>145</v>
      </c>
    </row>
    <row r="66" spans="2:5" ht="37.5" x14ac:dyDescent="0.2">
      <c r="B66" s="34" t="s">
        <v>146</v>
      </c>
      <c r="C66" s="64" t="s">
        <v>147</v>
      </c>
      <c r="D66" s="64" t="s">
        <v>149</v>
      </c>
      <c r="E66" s="64" t="s">
        <v>148</v>
      </c>
    </row>
    <row r="67" spans="2:5" x14ac:dyDescent="0.2">
      <c r="B67" s="48">
        <v>0.2</v>
      </c>
      <c r="C67" s="70">
        <f>B67*Working!$B$15</f>
        <v>8.2927300200000005</v>
      </c>
      <c r="D67" s="48">
        <f>C67/Working!$B$16</f>
        <v>0.92141444666666672</v>
      </c>
      <c r="E67" s="39">
        <f>MIN(1,Working!$B$16/'Advanced Analysis'!C67)</f>
        <v>1</v>
      </c>
    </row>
    <row r="68" spans="2:5" x14ac:dyDescent="0.2">
      <c r="B68" s="48">
        <f>B67+10%</f>
        <v>0.30000000000000004</v>
      </c>
      <c r="C68" s="70">
        <f>B68*Working!$B$15</f>
        <v>12.439095030000002</v>
      </c>
      <c r="D68" s="48">
        <f>C68/Working!$B$16</f>
        <v>1.3821216700000003</v>
      </c>
      <c r="E68" s="39">
        <f>MIN(1,Working!$B$16/'Advanced Analysis'!C68)</f>
        <v>0.72352530294963091</v>
      </c>
    </row>
    <row r="69" spans="2:5" x14ac:dyDescent="0.2">
      <c r="B69" s="48">
        <f t="shared" ref="B69:B75" si="11">B68+10%</f>
        <v>0.4</v>
      </c>
      <c r="C69" s="70">
        <f>B69*Working!$B$15</f>
        <v>16.585460040000001</v>
      </c>
      <c r="D69" s="48">
        <f>C69/Working!$B$16</f>
        <v>1.8428288933333334</v>
      </c>
      <c r="E69" s="39">
        <f>MIN(1,Working!$B$16/'Advanced Analysis'!C69)</f>
        <v>0.54264397721222324</v>
      </c>
    </row>
    <row r="70" spans="2:5" x14ac:dyDescent="0.2">
      <c r="B70" s="48">
        <f t="shared" si="11"/>
        <v>0.5</v>
      </c>
      <c r="C70" s="70">
        <f>B70*Working!$B$15</f>
        <v>20.731825050000001</v>
      </c>
      <c r="D70" s="48">
        <f>C70/Working!$B$16</f>
        <v>2.3035361166666668</v>
      </c>
      <c r="E70" s="39">
        <f>MIN(1,Working!$B$16/'Advanced Analysis'!C70)</f>
        <v>0.43411518176977859</v>
      </c>
    </row>
    <row r="71" spans="2:5" x14ac:dyDescent="0.2">
      <c r="B71" s="48">
        <f t="shared" si="11"/>
        <v>0.6</v>
      </c>
      <c r="C71" s="70">
        <f>B71*Working!$B$15</f>
        <v>24.878190060000001</v>
      </c>
      <c r="D71" s="48">
        <f>C71/Working!$B$16</f>
        <v>2.7642433400000002</v>
      </c>
      <c r="E71" s="39">
        <f>MIN(1,Working!$B$16/'Advanced Analysis'!C71)</f>
        <v>0.36176265147481551</v>
      </c>
    </row>
    <row r="72" spans="2:5" x14ac:dyDescent="0.2">
      <c r="B72" s="48">
        <f t="shared" si="11"/>
        <v>0.7</v>
      </c>
      <c r="C72" s="70">
        <f>B72*Working!$B$15</f>
        <v>29.024555069999998</v>
      </c>
      <c r="D72" s="48">
        <f>C72/Working!$B$16</f>
        <v>3.2249505633333331</v>
      </c>
      <c r="E72" s="39">
        <f>MIN(1,Working!$B$16/'Advanced Analysis'!C72)</f>
        <v>0.31008227269269906</v>
      </c>
    </row>
    <row r="73" spans="2:5" x14ac:dyDescent="0.2">
      <c r="B73" s="48">
        <f t="shared" si="11"/>
        <v>0.79999999999999993</v>
      </c>
      <c r="C73" s="70">
        <f>B73*Working!$B$15</f>
        <v>33.170920080000002</v>
      </c>
      <c r="D73" s="48">
        <f>C73/Working!$B$16</f>
        <v>3.6856577866666669</v>
      </c>
      <c r="E73" s="39">
        <f>MIN(1,Working!$B$16/'Advanced Analysis'!C73)</f>
        <v>0.27132198860611162</v>
      </c>
    </row>
    <row r="74" spans="2:5" x14ac:dyDescent="0.2">
      <c r="B74" s="48">
        <f t="shared" si="11"/>
        <v>0.89999999999999991</v>
      </c>
      <c r="C74" s="70">
        <f>B74*Working!$B$15</f>
        <v>37.317285089999999</v>
      </c>
      <c r="D74" s="48">
        <f>C74/Working!$B$16</f>
        <v>4.1463650100000002</v>
      </c>
      <c r="E74" s="39">
        <f>MIN(1,Working!$B$16/'Advanced Analysis'!C74)</f>
        <v>0.24117510098321035</v>
      </c>
    </row>
    <row r="75" spans="2:5" x14ac:dyDescent="0.2">
      <c r="B75" s="48">
        <f t="shared" si="11"/>
        <v>0.99999999999999989</v>
      </c>
      <c r="C75" s="70">
        <f>B75*Working!$B$15</f>
        <v>41.463650099999995</v>
      </c>
      <c r="D75" s="48">
        <f>C75/Working!$B$16</f>
        <v>4.6070722333333327</v>
      </c>
      <c r="E75" s="39">
        <f>MIN(1,Working!$B$16/'Advanced Analysis'!C75)</f>
        <v>0.21705759088488935</v>
      </c>
    </row>
    <row r="77" spans="2:5" x14ac:dyDescent="0.2">
      <c r="B77" s="34" t="s">
        <v>150</v>
      </c>
    </row>
    <row r="78" spans="2:5" ht="37.5" x14ac:dyDescent="0.2">
      <c r="B78" s="34" t="s">
        <v>151</v>
      </c>
      <c r="C78" s="64" t="s">
        <v>152</v>
      </c>
      <c r="D78" s="64" t="s">
        <v>153</v>
      </c>
    </row>
    <row r="79" spans="2:5" x14ac:dyDescent="0.2">
      <c r="B79">
        <v>2016</v>
      </c>
      <c r="C79" s="48">
        <v>1</v>
      </c>
      <c r="D79" s="46">
        <f>Working!$B$16/(Working!$B$15*'Advanced Analysis'!C79)</f>
        <v>0.2170575908848893</v>
      </c>
    </row>
    <row r="80" spans="2:5" x14ac:dyDescent="0.2">
      <c r="B80">
        <v>2017</v>
      </c>
      <c r="C80" s="48">
        <v>0.5</v>
      </c>
      <c r="D80" s="46">
        <f>Working!$B$16/(Working!$B$15*'Advanced Analysis'!C80)</f>
        <v>0.43411518176977859</v>
      </c>
    </row>
    <row r="81" spans="1:4" x14ac:dyDescent="0.2">
      <c r="B81">
        <v>2019</v>
      </c>
      <c r="C81" s="48">
        <v>0.5</v>
      </c>
      <c r="D81" s="46">
        <f>Working!$B$16/(Working!$B$15*'Advanced Analysis'!C81)</f>
        <v>0.43411518176977859</v>
      </c>
    </row>
    <row r="82" spans="1:4" x14ac:dyDescent="0.2">
      <c r="B82">
        <v>2020</v>
      </c>
      <c r="C82" s="48">
        <v>0.33</v>
      </c>
      <c r="D82" s="46">
        <f>Working!$B$16/(Working!$B$15*'Advanced Analysis'!C82)</f>
        <v>0.65775027540875541</v>
      </c>
    </row>
    <row r="83" spans="1:4" x14ac:dyDescent="0.2">
      <c r="B83">
        <v>2023</v>
      </c>
      <c r="C83" s="48">
        <v>0.77</v>
      </c>
      <c r="D83" s="46">
        <f>Working!$B$16/(Working!$B$15*'Advanced Analysis'!C83)</f>
        <v>0.28189297517518092</v>
      </c>
    </row>
    <row r="85" spans="1:4" x14ac:dyDescent="0.2">
      <c r="B85" s="34" t="s">
        <v>154</v>
      </c>
    </row>
    <row r="87" spans="1:4" ht="37.5" x14ac:dyDescent="0.2">
      <c r="B87" s="64" t="s">
        <v>155</v>
      </c>
      <c r="C87" s="64" t="s">
        <v>156</v>
      </c>
      <c r="D87" s="64" t="s">
        <v>157</v>
      </c>
    </row>
    <row r="88" spans="1:4" x14ac:dyDescent="0.2">
      <c r="B88" s="48">
        <v>0.15</v>
      </c>
      <c r="C88" s="65">
        <f>Working!B16</f>
        <v>9</v>
      </c>
      <c r="D88" s="46">
        <f>C88/Working!$B$15</f>
        <v>0.2170575908848893</v>
      </c>
    </row>
    <row r="89" spans="1:4" x14ac:dyDescent="0.2">
      <c r="B89" s="48">
        <v>0.2</v>
      </c>
      <c r="C89">
        <f>Working!$B$12*'Advanced Analysis'!B89</f>
        <v>12</v>
      </c>
      <c r="D89" s="46">
        <f>C89/Working!$B$15</f>
        <v>0.28941012117985243</v>
      </c>
    </row>
    <row r="90" spans="1:4" x14ac:dyDescent="0.2">
      <c r="B90" s="48">
        <v>0.25</v>
      </c>
      <c r="C90">
        <f>Working!$B$12*'Advanced Analysis'!B90</f>
        <v>15</v>
      </c>
      <c r="D90" s="46">
        <f>C90/Working!$B$15</f>
        <v>0.36176265147481551</v>
      </c>
    </row>
    <row r="91" spans="1:4" x14ac:dyDescent="0.2">
      <c r="B91" s="48">
        <v>0.3</v>
      </c>
      <c r="C91">
        <f>Working!$B$12*'Advanced Analysis'!B91</f>
        <v>18</v>
      </c>
      <c r="D91" s="46">
        <f>C91/Working!$B$15</f>
        <v>0.43411518176977859</v>
      </c>
    </row>
    <row r="93" spans="1:4" x14ac:dyDescent="0.2">
      <c r="A93" s="34" t="s">
        <v>158</v>
      </c>
    </row>
    <row r="94" spans="1:4" x14ac:dyDescent="0.2">
      <c r="B94" s="34" t="s">
        <v>137</v>
      </c>
      <c r="C94" s="34" t="s">
        <v>159</v>
      </c>
      <c r="D94" s="34" t="s">
        <v>160</v>
      </c>
    </row>
    <row r="95" spans="1:4" x14ac:dyDescent="0.2">
      <c r="B95" t="s">
        <v>161</v>
      </c>
      <c r="C95" s="39">
        <f>'Advanced Analysis'!C13</f>
        <v>5.3398000000000001E-2</v>
      </c>
      <c r="D95" s="39">
        <f>(1+C95)^(45/365)-1</f>
        <v>6.4341748455756242E-3</v>
      </c>
    </row>
    <row r="96" spans="1:4" x14ac:dyDescent="0.2">
      <c r="B96" t="s">
        <v>162</v>
      </c>
      <c r="C96" s="48">
        <f ca="1">(1+D96)^(365/45)-1</f>
        <v>1.3309358335595771</v>
      </c>
      <c r="D96" s="39">
        <f ca="1">C10</f>
        <v>0.10997183025330085</v>
      </c>
    </row>
    <row r="97" spans="1:9" x14ac:dyDescent="0.2">
      <c r="B97" t="s">
        <v>163</v>
      </c>
      <c r="C97" s="46">
        <f>'Price Data'!F4*SQRT(365)</f>
        <v>0.27931116647372173</v>
      </c>
      <c r="D97" s="39">
        <f ca="1">C11</f>
        <v>6.9527809160815426E-2</v>
      </c>
    </row>
    <row r="98" spans="1:9" x14ac:dyDescent="0.2">
      <c r="B98" t="s">
        <v>164</v>
      </c>
      <c r="D98" s="39">
        <f ca="1">D96-D95</f>
        <v>0.10353765540772522</v>
      </c>
    </row>
    <row r="99" spans="1:9" x14ac:dyDescent="0.2">
      <c r="B99" s="34" t="s">
        <v>165</v>
      </c>
      <c r="D99" s="73">
        <f ca="1">D98/D97</f>
        <v>1.4891545794035619</v>
      </c>
    </row>
    <row r="100" spans="1:9" x14ac:dyDescent="0.2">
      <c r="B100" t="s">
        <v>166</v>
      </c>
      <c r="D100" s="39">
        <f ca="1">SQRT((SUMPRODUCT(MIN(Working!V17:V5016,0)^2))/Working!Q11)</f>
        <v>2.5751500254481449E-3</v>
      </c>
    </row>
    <row r="101" spans="1:9" x14ac:dyDescent="0.2">
      <c r="B101" s="34" t="s">
        <v>167</v>
      </c>
      <c r="D101" s="73">
        <f ca="1">D98/D100</f>
        <v>40.20645569560822</v>
      </c>
    </row>
    <row r="103" spans="1:9" x14ac:dyDescent="0.2">
      <c r="A103" s="34" t="s">
        <v>168</v>
      </c>
    </row>
    <row r="104" spans="1:9" x14ac:dyDescent="0.2">
      <c r="C104" s="74">
        <v>0.15</v>
      </c>
      <c r="D104" s="75">
        <f>Working!$B$18</f>
        <v>0.2170575908848893</v>
      </c>
      <c r="E104" s="74">
        <v>0.3</v>
      </c>
      <c r="F104" s="74">
        <v>0.35</v>
      </c>
      <c r="G104" s="74">
        <v>0.4</v>
      </c>
      <c r="H104" s="74">
        <v>0.45</v>
      </c>
      <c r="I104" s="74">
        <v>0.5</v>
      </c>
    </row>
    <row r="105" spans="1:9" x14ac:dyDescent="0.2">
      <c r="B105" s="34">
        <v>170</v>
      </c>
      <c r="C105" s="39">
        <f>((C$104*$C$6*$C$5)+((1-C$104)*$C$6*($B105-$C$2)))/$C$7</f>
        <v>-4.2105263157894736E-2</v>
      </c>
      <c r="D105" s="39">
        <f t="shared" ref="D105:I105" si="12">((D$104*$C$6*$C$5)+((1-D$104)*$C$6*($B105-$C$2)))/$C$7</f>
        <v>-1.3870488048467666E-2</v>
      </c>
      <c r="E105" s="39">
        <f t="shared" si="12"/>
        <v>2.1052631578947368E-2</v>
      </c>
      <c r="F105" s="39">
        <f t="shared" si="12"/>
        <v>4.2105263157894736E-2</v>
      </c>
      <c r="G105" s="39">
        <f t="shared" si="12"/>
        <v>6.3157894736842107E-2</v>
      </c>
      <c r="H105" s="39">
        <f t="shared" si="12"/>
        <v>8.4210526315789458E-2</v>
      </c>
      <c r="I105" s="39">
        <f t="shared" si="12"/>
        <v>0.10526315789473684</v>
      </c>
    </row>
    <row r="106" spans="1:9" x14ac:dyDescent="0.2">
      <c r="B106" s="34">
        <f>B105+5</f>
        <v>175</v>
      </c>
      <c r="C106" s="39">
        <f t="shared" ref="C106:I117" si="13">((C$104*$C$6*$C$5)+((1-C$104)*$C$6*($B106-$C$2)))/$C$7</f>
        <v>-1.9736842105263157E-2</v>
      </c>
      <c r="D106" s="39">
        <f t="shared" si="13"/>
        <v>6.7332595598247136E-3</v>
      </c>
      <c r="E106" s="39">
        <f t="shared" si="13"/>
        <v>3.9473684210526314E-2</v>
      </c>
      <c r="F106" s="39">
        <f t="shared" si="13"/>
        <v>5.921052631578947E-2</v>
      </c>
      <c r="G106" s="39">
        <f t="shared" si="13"/>
        <v>7.8947368421052627E-2</v>
      </c>
      <c r="H106" s="39">
        <f t="shared" si="13"/>
        <v>9.8684210526315791E-2</v>
      </c>
      <c r="I106" s="39">
        <f t="shared" si="13"/>
        <v>0.11842105263157894</v>
      </c>
    </row>
    <row r="107" spans="1:9" x14ac:dyDescent="0.2">
      <c r="B107" s="34">
        <f>B106+5</f>
        <v>180</v>
      </c>
      <c r="C107" s="39">
        <f t="shared" si="13"/>
        <v>2.631578947368421E-3</v>
      </c>
      <c r="D107" s="39">
        <f t="shared" si="13"/>
        <v>2.7337007168117104E-2</v>
      </c>
      <c r="E107" s="39">
        <f t="shared" si="13"/>
        <v>5.7894736842105263E-2</v>
      </c>
      <c r="F107" s="39">
        <f t="shared" si="13"/>
        <v>7.6315789473684212E-2</v>
      </c>
      <c r="G107" s="39">
        <f t="shared" si="13"/>
        <v>9.4736842105263161E-2</v>
      </c>
      <c r="H107" s="39">
        <f t="shared" si="13"/>
        <v>0.11315789473684211</v>
      </c>
      <c r="I107" s="39">
        <f t="shared" si="13"/>
        <v>0.13157894736842105</v>
      </c>
    </row>
    <row r="108" spans="1:9" x14ac:dyDescent="0.2">
      <c r="B108" s="34">
        <f>B107+5</f>
        <v>185</v>
      </c>
      <c r="C108" s="39">
        <f t="shared" si="13"/>
        <v>2.5000000000000001E-2</v>
      </c>
      <c r="D108" s="39">
        <f t="shared" si="13"/>
        <v>4.7940754776409487E-2</v>
      </c>
      <c r="E108" s="39">
        <f t="shared" si="13"/>
        <v>7.6315789473684212E-2</v>
      </c>
      <c r="F108" s="39">
        <f t="shared" si="13"/>
        <v>9.3421052631578946E-2</v>
      </c>
      <c r="G108" s="39">
        <f t="shared" si="13"/>
        <v>0.11052631578947368</v>
      </c>
      <c r="H108" s="39">
        <f t="shared" si="13"/>
        <v>0.12763157894736843</v>
      </c>
      <c r="I108" s="39">
        <f t="shared" si="13"/>
        <v>0.14473684210526316</v>
      </c>
    </row>
    <row r="109" spans="1:9" x14ac:dyDescent="0.2">
      <c r="B109" s="34">
        <f>B108+5</f>
        <v>190</v>
      </c>
      <c r="C109" s="39">
        <f t="shared" si="13"/>
        <v>4.736842105263158E-2</v>
      </c>
      <c r="D109" s="39">
        <f t="shared" si="13"/>
        <v>6.8544502384701875E-2</v>
      </c>
      <c r="E109" s="39">
        <f t="shared" si="13"/>
        <v>9.4736842105263161E-2</v>
      </c>
      <c r="F109" s="39">
        <f t="shared" si="13"/>
        <v>0.11052631578947368</v>
      </c>
      <c r="G109" s="39">
        <f t="shared" si="13"/>
        <v>0.12631578947368421</v>
      </c>
      <c r="H109" s="39">
        <f t="shared" si="13"/>
        <v>0.14210526315789473</v>
      </c>
      <c r="I109" s="39">
        <f t="shared" si="13"/>
        <v>0.15789473684210525</v>
      </c>
    </row>
    <row r="110" spans="1:9" x14ac:dyDescent="0.2">
      <c r="B110" s="34">
        <f>B109+5</f>
        <v>195</v>
      </c>
      <c r="C110" s="39">
        <f t="shared" si="13"/>
        <v>6.9736842105263153E-2</v>
      </c>
      <c r="D110" s="39">
        <f t="shared" si="13"/>
        <v>8.9148249992994255E-2</v>
      </c>
      <c r="E110" s="39">
        <f t="shared" si="13"/>
        <v>0.11315789473684211</v>
      </c>
      <c r="F110" s="39">
        <f t="shared" si="13"/>
        <v>0.12763157894736843</v>
      </c>
      <c r="G110" s="39">
        <f t="shared" si="13"/>
        <v>0.14210526315789473</v>
      </c>
      <c r="H110" s="39">
        <f t="shared" si="13"/>
        <v>0.15657894736842104</v>
      </c>
      <c r="I110" s="39">
        <f t="shared" si="13"/>
        <v>0.17105263157894737</v>
      </c>
    </row>
    <row r="111" spans="1:9" x14ac:dyDescent="0.2">
      <c r="B111" s="34">
        <f>B110+5</f>
        <v>200</v>
      </c>
      <c r="C111" s="39">
        <f t="shared" si="13"/>
        <v>9.2105263157894732E-2</v>
      </c>
      <c r="D111" s="39">
        <f t="shared" si="13"/>
        <v>0.10975199760128664</v>
      </c>
      <c r="E111" s="39">
        <f t="shared" si="13"/>
        <v>0.13157894736842105</v>
      </c>
      <c r="F111" s="39">
        <f t="shared" si="13"/>
        <v>0.14473684210526316</v>
      </c>
      <c r="G111" s="39">
        <f t="shared" si="13"/>
        <v>0.15789473684210525</v>
      </c>
      <c r="H111" s="39">
        <f t="shared" si="13"/>
        <v>0.17105263157894737</v>
      </c>
      <c r="I111" s="39">
        <f t="shared" si="13"/>
        <v>0.18421052631578946</v>
      </c>
    </row>
    <row r="112" spans="1:9" x14ac:dyDescent="0.2">
      <c r="B112" s="34">
        <f>B111+5</f>
        <v>205</v>
      </c>
      <c r="C112" s="39">
        <f t="shared" si="13"/>
        <v>0.11447368421052631</v>
      </c>
      <c r="D112" s="39">
        <f t="shared" si="13"/>
        <v>0.13035574520957904</v>
      </c>
      <c r="E112" s="39">
        <f t="shared" si="13"/>
        <v>0.15</v>
      </c>
      <c r="F112" s="39">
        <f t="shared" si="13"/>
        <v>0.1618421052631579</v>
      </c>
      <c r="G112" s="39">
        <f t="shared" si="13"/>
        <v>0.1736842105263158</v>
      </c>
      <c r="H112" s="39">
        <f t="shared" si="13"/>
        <v>0.18552631578947368</v>
      </c>
      <c r="I112" s="39">
        <f t="shared" si="13"/>
        <v>0.19736842105263158</v>
      </c>
    </row>
    <row r="113" spans="2:9" x14ac:dyDescent="0.2">
      <c r="B113" s="34">
        <f>B112+5</f>
        <v>210</v>
      </c>
      <c r="C113" s="39">
        <f t="shared" si="13"/>
        <v>0.1368421052631579</v>
      </c>
      <c r="D113" s="39">
        <f t="shared" si="13"/>
        <v>0.15095949281787141</v>
      </c>
      <c r="E113" s="39">
        <f t="shared" si="13"/>
        <v>0.16842105263157894</v>
      </c>
      <c r="F113" s="39">
        <f t="shared" si="13"/>
        <v>0.17894736842105263</v>
      </c>
      <c r="G113" s="39">
        <f t="shared" si="13"/>
        <v>0.18947368421052632</v>
      </c>
      <c r="H113" s="39">
        <f t="shared" si="13"/>
        <v>0.2</v>
      </c>
      <c r="I113" s="39">
        <f t="shared" si="13"/>
        <v>0.21052631578947367</v>
      </c>
    </row>
    <row r="114" spans="2:9" x14ac:dyDescent="0.2">
      <c r="B114" s="34">
        <f>B113+5</f>
        <v>215</v>
      </c>
      <c r="C114" s="39">
        <f t="shared" si="13"/>
        <v>0.15921052631578947</v>
      </c>
      <c r="D114" s="39">
        <f t="shared" si="13"/>
        <v>0.17156324042616383</v>
      </c>
      <c r="E114" s="39">
        <f t="shared" si="13"/>
        <v>0.18684210526315789</v>
      </c>
      <c r="F114" s="39">
        <f t="shared" si="13"/>
        <v>0.19605263157894737</v>
      </c>
      <c r="G114" s="39">
        <f t="shared" si="13"/>
        <v>0.20526315789473684</v>
      </c>
      <c r="H114" s="39">
        <f t="shared" si="13"/>
        <v>0.21447368421052632</v>
      </c>
      <c r="I114" s="39">
        <f t="shared" si="13"/>
        <v>0.22368421052631579</v>
      </c>
    </row>
    <row r="115" spans="2:9" x14ac:dyDescent="0.2">
      <c r="B115" s="34">
        <f>B114+5</f>
        <v>220</v>
      </c>
      <c r="C115" s="39">
        <f t="shared" si="13"/>
        <v>0.18157894736842106</v>
      </c>
      <c r="D115" s="39">
        <f t="shared" si="13"/>
        <v>0.1921669880344562</v>
      </c>
      <c r="E115" s="39">
        <f t="shared" si="13"/>
        <v>0.20526315789473684</v>
      </c>
      <c r="F115" s="39">
        <f t="shared" si="13"/>
        <v>0.2131578947368421</v>
      </c>
      <c r="G115" s="39">
        <f t="shared" si="13"/>
        <v>0.22105263157894736</v>
      </c>
      <c r="H115" s="39">
        <f t="shared" si="13"/>
        <v>0.22894736842105262</v>
      </c>
      <c r="I115" s="39">
        <f t="shared" si="13"/>
        <v>0.23684210526315788</v>
      </c>
    </row>
    <row r="116" spans="2:9" x14ac:dyDescent="0.2">
      <c r="B116" s="34">
        <f>B115+5</f>
        <v>225</v>
      </c>
      <c r="C116" s="39">
        <f t="shared" si="13"/>
        <v>0.20394736842105263</v>
      </c>
      <c r="D116" s="39">
        <f t="shared" si="13"/>
        <v>0.21277073564274859</v>
      </c>
      <c r="E116" s="39">
        <f t="shared" si="13"/>
        <v>0.22368421052631579</v>
      </c>
      <c r="F116" s="39">
        <f t="shared" si="13"/>
        <v>0.23026315789473684</v>
      </c>
      <c r="G116" s="39">
        <f t="shared" si="13"/>
        <v>0.23684210526315788</v>
      </c>
      <c r="H116" s="39">
        <f t="shared" si="13"/>
        <v>0.24342105263157895</v>
      </c>
      <c r="I116" s="39">
        <f t="shared" si="13"/>
        <v>0.25</v>
      </c>
    </row>
    <row r="117" spans="2:9" x14ac:dyDescent="0.2">
      <c r="B117" s="34">
        <f>B116+5</f>
        <v>230</v>
      </c>
      <c r="C117" s="39">
        <f t="shared" si="13"/>
        <v>0.22631578947368422</v>
      </c>
      <c r="D117" s="39">
        <f t="shared" si="13"/>
        <v>0.23337448325104096</v>
      </c>
      <c r="E117" s="39">
        <f t="shared" si="13"/>
        <v>0.24210526315789474</v>
      </c>
      <c r="F117" s="39">
        <f t="shared" si="13"/>
        <v>0.24736842105263157</v>
      </c>
      <c r="G117" s="39">
        <f t="shared" si="13"/>
        <v>0.25263157894736843</v>
      </c>
      <c r="H117" s="39">
        <f t="shared" si="13"/>
        <v>0.25789473684210529</v>
      </c>
      <c r="I117" s="39">
        <f t="shared" si="13"/>
        <v>0.26315789473684209</v>
      </c>
    </row>
    <row r="136" spans="1:5" x14ac:dyDescent="0.2">
      <c r="A136" s="34" t="s">
        <v>169</v>
      </c>
    </row>
    <row r="137" spans="1:5" x14ac:dyDescent="0.2">
      <c r="B137" t="s">
        <v>77</v>
      </c>
      <c r="C137" s="39">
        <v>0.217</v>
      </c>
    </row>
    <row r="138" spans="1:5" x14ac:dyDescent="0.2">
      <c r="B138" s="34" t="s">
        <v>170</v>
      </c>
      <c r="C138" s="34" t="s">
        <v>171</v>
      </c>
      <c r="D138" s="34" t="s">
        <v>172</v>
      </c>
      <c r="E138" s="34" t="s">
        <v>173</v>
      </c>
    </row>
    <row r="139" spans="1:5" x14ac:dyDescent="0.2">
      <c r="B139" s="34" t="s">
        <v>111</v>
      </c>
      <c r="C139" s="51">
        <f>$B$19*$C$6*$C$5</f>
        <v>10418.764362474685</v>
      </c>
      <c r="D139" s="51">
        <f t="shared" ref="D139:E139" si="14">$B$19*$C$6*$C$5</f>
        <v>10418.764362474685</v>
      </c>
      <c r="E139" s="51">
        <f t="shared" si="14"/>
        <v>10418.764362474685</v>
      </c>
    </row>
    <row r="140" spans="1:5" x14ac:dyDescent="0.2">
      <c r="B140" s="34" t="s">
        <v>112</v>
      </c>
      <c r="C140" s="51">
        <f>(1-$B$19)*$C$6*(170-$C$2)</f>
        <v>-12527.07854584177</v>
      </c>
      <c r="D140" s="51">
        <f>(1-$B$19)*$C$6*(190-$C$2)</f>
        <v>0</v>
      </c>
      <c r="E140" s="51">
        <f>(1-$B$19)*$C$6*(210-$C$2)</f>
        <v>12527.07854584177</v>
      </c>
    </row>
    <row r="141" spans="1:5" x14ac:dyDescent="0.2">
      <c r="B141" s="34" t="s">
        <v>61</v>
      </c>
      <c r="C141" s="51">
        <f>SUM(C139:C140)</f>
        <v>-2108.3141833670852</v>
      </c>
      <c r="D141" s="51">
        <f t="shared" ref="D141:E141" si="15">SUM(D139:D140)</f>
        <v>10418.764362474685</v>
      </c>
      <c r="E141" s="51">
        <f t="shared" si="15"/>
        <v>22945.842908316456</v>
      </c>
    </row>
  </sheetData>
  <mergeCells count="2">
    <mergeCell ref="E27:G27"/>
    <mergeCell ref="H27:J27"/>
  </mergeCells>
  <conditionalFormatting sqref="C105:I1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9:J3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8:F24">
    <cfRule type="colorScale" priority="3">
      <colorScale>
        <cfvo type="min"/>
        <cfvo type="max"/>
        <color rgb="FFF8696B"/>
        <color rgb="FFFCFCFF"/>
      </colorScale>
    </cfRule>
  </conditionalFormatting>
  <conditionalFormatting sqref="G18:G24">
    <cfRule type="colorScale" priority="2">
      <colorScale>
        <cfvo type="min"/>
        <cfvo type="max"/>
        <color rgb="FFF8696B"/>
        <color rgb="FFFCFCFF"/>
      </colorScale>
    </cfRule>
  </conditionalFormatting>
  <hyperlinks>
    <hyperlink ref="C13" r:id="rId1" display="https://www.ccilindia.com/tenorwise-indicative-yields" xr:uid="{F2A93148-3F80-4BAD-8486-FBFFAB88E122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</vt:lpstr>
      <vt:lpstr>Price Data</vt:lpstr>
      <vt:lpstr>Advanced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Deepesh Joshi</dc:creator>
  <cp:lastModifiedBy>Deepesh Joshi</cp:lastModifiedBy>
  <dcterms:created xsi:type="dcterms:W3CDTF">2026-05-08T06:15:50Z</dcterms:created>
  <dcterms:modified xsi:type="dcterms:W3CDTF">2026-05-18T18:23:20Z</dcterms:modified>
</cp:coreProperties>
</file>