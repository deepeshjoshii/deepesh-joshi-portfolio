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trlProps/ctrlProp3.xml" ContentType="application/vnd.ms-excel.controlproperties+xml"/>
  <Override PartName="/xl/comments5.xml" ContentType="application/vnd.openxmlformats-officedocument.spreadsheetml.comments+xml"/>
  <Override PartName="/xl/drawings/drawing4.xml" ContentType="application/vnd.openxmlformats-officedocument.drawing+xml"/>
  <Override PartName="/xl/ctrlProps/ctrlProp4.xml" ContentType="application/vnd.ms-excel.controlproperties+xml"/>
  <Override PartName="/xl/comments6.xml" ContentType="application/vnd.openxmlformats-officedocument.spreadsheetml.comments+xml"/>
  <Override PartName="/xl/drawings/drawing5.xml" ContentType="application/vnd.openxmlformats-officedocument.drawing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epeshJ\Documents\Deepesh\Companies\Exide Industries\"/>
    </mc:Choice>
  </mc:AlternateContent>
  <bookViews>
    <workbookView xWindow="0" yWindow="0" windowWidth="24000" windowHeight="9510" tabRatio="500"/>
  </bookViews>
  <sheets>
    <sheet name="Executive Summary" sheetId="1" r:id="rId1"/>
    <sheet name="Assumptions" sheetId="2" r:id="rId2"/>
    <sheet name="P&amp;L" sheetId="3" r:id="rId3"/>
    <sheet name="Balance Sheet" sheetId="4" r:id="rId4"/>
    <sheet name="Cash Flow" sheetId="5" r:id="rId5"/>
    <sheet name="DCF &amp; SOTP" sheetId="6" r:id="rId6"/>
    <sheet name="Ratios" sheetId="7" r:id="rId7"/>
    <sheet name="Actuals" sheetId="8" r:id="rId8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6" i="6" l="1"/>
  <c r="M38" i="6"/>
  <c r="H23" i="8"/>
  <c r="E20" i="8"/>
  <c r="N15" i="8"/>
  <c r="M15" i="8"/>
  <c r="L15" i="8"/>
  <c r="K15" i="8"/>
  <c r="J15" i="8"/>
  <c r="E22" i="8" s="1"/>
  <c r="I15" i="8"/>
  <c r="E21" i="8" s="1"/>
  <c r="H15" i="8"/>
  <c r="G15" i="8"/>
  <c r="F15" i="8"/>
  <c r="E15" i="8"/>
  <c r="D15" i="8"/>
  <c r="C15" i="8"/>
  <c r="E19" i="8" s="1"/>
  <c r="N7" i="8"/>
  <c r="M7" i="8"/>
  <c r="L7" i="8"/>
  <c r="K7" i="8"/>
  <c r="J7" i="8"/>
  <c r="C22" i="8" s="1"/>
  <c r="I7" i="8"/>
  <c r="C21" i="8" s="1"/>
  <c r="H7" i="8"/>
  <c r="G7" i="8"/>
  <c r="F7" i="8"/>
  <c r="E7" i="8"/>
  <c r="D7" i="8"/>
  <c r="C20" i="8" s="1"/>
  <c r="C7" i="8"/>
  <c r="C19" i="8" s="1"/>
  <c r="D55" i="3" l="1"/>
  <c r="E55" i="3"/>
  <c r="C55" i="3"/>
  <c r="D54" i="3"/>
  <c r="E54" i="3"/>
  <c r="C54" i="3"/>
  <c r="D53" i="3"/>
  <c r="E53" i="3"/>
  <c r="C53" i="3"/>
  <c r="E3" i="6" l="1"/>
  <c r="D78" i="2"/>
  <c r="J9" i="6" s="1"/>
  <c r="E26" i="7"/>
  <c r="D28" i="7" s="1"/>
  <c r="D26" i="7"/>
  <c r="C26" i="7"/>
  <c r="E25" i="7"/>
  <c r="D25" i="7"/>
  <c r="C25" i="7"/>
  <c r="D23" i="7"/>
  <c r="D22" i="7"/>
  <c r="E14" i="7"/>
  <c r="D14" i="7"/>
  <c r="C14" i="7"/>
  <c r="D13" i="7"/>
  <c r="C13" i="7"/>
  <c r="E9" i="7"/>
  <c r="D9" i="7"/>
  <c r="C9" i="7"/>
  <c r="E8" i="7"/>
  <c r="D8" i="7"/>
  <c r="C8" i="7"/>
  <c r="E7" i="7"/>
  <c r="D7" i="7"/>
  <c r="D22" i="6"/>
  <c r="D20" i="6"/>
  <c r="D19" i="6"/>
  <c r="D27" i="1" s="1"/>
  <c r="J8" i="5"/>
  <c r="I8" i="5"/>
  <c r="H8" i="5"/>
  <c r="G8" i="5"/>
  <c r="F8" i="5"/>
  <c r="J7" i="5"/>
  <c r="I7" i="5"/>
  <c r="H7" i="5"/>
  <c r="G7" i="5"/>
  <c r="F7" i="5"/>
  <c r="J11" i="4"/>
  <c r="I11" i="4"/>
  <c r="H11" i="4"/>
  <c r="G11" i="4"/>
  <c r="F11" i="4"/>
  <c r="J6" i="4"/>
  <c r="I6" i="4"/>
  <c r="H6" i="4"/>
  <c r="G6" i="4"/>
  <c r="F6" i="4"/>
  <c r="F5" i="4"/>
  <c r="D15" i="3"/>
  <c r="C15" i="3"/>
  <c r="F14" i="3"/>
  <c r="E12" i="3"/>
  <c r="E12" i="7" s="1"/>
  <c r="D12" i="3"/>
  <c r="D12" i="7" s="1"/>
  <c r="C12" i="3"/>
  <c r="C12" i="7" s="1"/>
  <c r="E10" i="3"/>
  <c r="D10" i="3"/>
  <c r="C10" i="3"/>
  <c r="J5" i="3"/>
  <c r="I5" i="3"/>
  <c r="H5" i="3"/>
  <c r="G5" i="3"/>
  <c r="F5" i="3"/>
  <c r="D93" i="2"/>
  <c r="D95" i="2" s="1"/>
  <c r="H85" i="2"/>
  <c r="G85" i="2"/>
  <c r="F85" i="2"/>
  <c r="E85" i="2"/>
  <c r="D85" i="2"/>
  <c r="D84" i="2"/>
  <c r="D86" i="2" s="1"/>
  <c r="F11" i="3" s="1"/>
  <c r="F5" i="5" s="1"/>
  <c r="D68" i="2"/>
  <c r="E68" i="2" s="1"/>
  <c r="C40" i="2"/>
  <c r="C13" i="2"/>
  <c r="E56" i="6" s="1"/>
  <c r="F56" i="6" s="1"/>
  <c r="G56" i="6" s="1"/>
  <c r="H56" i="6" s="1"/>
  <c r="I56" i="6" s="1"/>
  <c r="J56" i="6" s="1"/>
  <c r="C12" i="2"/>
  <c r="E29" i="6" s="1"/>
  <c r="F29" i="6" s="1"/>
  <c r="C11" i="2"/>
  <c r="C9" i="2"/>
  <c r="C14" i="2" s="1"/>
  <c r="G22" i="2"/>
  <c r="D28" i="1"/>
  <c r="E15" i="1"/>
  <c r="D15" i="1"/>
  <c r="C15" i="1"/>
  <c r="E14" i="1"/>
  <c r="D14" i="1"/>
  <c r="C14" i="1"/>
  <c r="E13" i="1"/>
  <c r="D13" i="1"/>
  <c r="C13" i="1"/>
  <c r="E12" i="1"/>
  <c r="D12" i="1"/>
  <c r="C12" i="1"/>
  <c r="D8" i="1"/>
  <c r="F9" i="6" l="1"/>
  <c r="G9" i="6"/>
  <c r="H9" i="6"/>
  <c r="I9" i="6"/>
  <c r="E31" i="6"/>
  <c r="F31" i="6" s="1"/>
  <c r="C41" i="2"/>
  <c r="E57" i="6"/>
  <c r="F57" i="6" s="1"/>
  <c r="E44" i="6"/>
  <c r="F44" i="6" s="1"/>
  <c r="E92" i="2"/>
  <c r="F13" i="4"/>
  <c r="G29" i="6"/>
  <c r="F68" i="2"/>
  <c r="G5" i="4"/>
  <c r="D28" i="2"/>
  <c r="D40" i="2" s="1"/>
  <c r="E42" i="6"/>
  <c r="F42" i="6" s="1"/>
  <c r="F28" i="2"/>
  <c r="D87" i="2"/>
  <c r="E55" i="6"/>
  <c r="F55" i="6" s="1"/>
  <c r="E13" i="7"/>
  <c r="G28" i="2"/>
  <c r="H22" i="2"/>
  <c r="H28" i="2"/>
  <c r="D94" i="2"/>
  <c r="F9" i="5" s="1"/>
  <c r="E30" i="6"/>
  <c r="F30" i="6" s="1"/>
  <c r="G30" i="6" s="1"/>
  <c r="H30" i="6" s="1"/>
  <c r="I30" i="6" s="1"/>
  <c r="J30" i="6" s="1"/>
  <c r="E28" i="2"/>
  <c r="D34" i="2"/>
  <c r="F13" i="3"/>
  <c r="F6" i="5" s="1"/>
  <c r="E15" i="3"/>
  <c r="C39" i="2"/>
  <c r="E43" i="6"/>
  <c r="F43" i="6" s="1"/>
  <c r="G43" i="6" s="1"/>
  <c r="H43" i="6" s="1"/>
  <c r="I43" i="6" s="1"/>
  <c r="J43" i="6" s="1"/>
  <c r="D22" i="2"/>
  <c r="E22" i="2"/>
  <c r="F22" i="2"/>
  <c r="E40" i="2" l="1"/>
  <c r="F40" i="2" s="1"/>
  <c r="G40" i="2" s="1"/>
  <c r="H40" i="2" s="1"/>
  <c r="G68" i="2"/>
  <c r="H5" i="4"/>
  <c r="E93" i="2"/>
  <c r="F32" i="6"/>
  <c r="F58" i="6"/>
  <c r="G55" i="6"/>
  <c r="D39" i="2"/>
  <c r="C42" i="2"/>
  <c r="F4" i="4"/>
  <c r="E84" i="2"/>
  <c r="D41" i="2"/>
  <c r="F45" i="6"/>
  <c r="G42" i="6"/>
  <c r="H29" i="6"/>
  <c r="G31" i="6"/>
  <c r="G32" i="6" s="1"/>
  <c r="G33" i="6" l="1"/>
  <c r="G34" i="6"/>
  <c r="H42" i="6"/>
  <c r="G44" i="6"/>
  <c r="G45" i="6" s="1"/>
  <c r="E86" i="2"/>
  <c r="G11" i="3" s="1"/>
  <c r="G5" i="5" s="1"/>
  <c r="E87" i="2"/>
  <c r="E39" i="2"/>
  <c r="D42" i="2"/>
  <c r="F4" i="3" s="1"/>
  <c r="F59" i="6"/>
  <c r="F62" i="6" s="1"/>
  <c r="F33" i="6"/>
  <c r="G13" i="3"/>
  <c r="G6" i="5" s="1"/>
  <c r="E94" i="2"/>
  <c r="G9" i="5" s="1"/>
  <c r="F46" i="6"/>
  <c r="F49" i="6" s="1"/>
  <c r="H55" i="6"/>
  <c r="G57" i="6"/>
  <c r="G58" i="6" s="1"/>
  <c r="H31" i="6"/>
  <c r="H32" i="6"/>
  <c r="I29" i="6"/>
  <c r="E95" i="2"/>
  <c r="H68" i="2"/>
  <c r="J5" i="4" s="1"/>
  <c r="I5" i="4"/>
  <c r="G60" i="6" l="1"/>
  <c r="G59" i="6"/>
  <c r="G47" i="6"/>
  <c r="G46" i="6"/>
  <c r="J29" i="6"/>
  <c r="I31" i="6"/>
  <c r="I32" i="6" s="1"/>
  <c r="F63" i="6"/>
  <c r="F61" i="6"/>
  <c r="G4" i="4"/>
  <c r="F84" i="2"/>
  <c r="F92" i="2"/>
  <c r="G13" i="4"/>
  <c r="H58" i="6"/>
  <c r="I55" i="6"/>
  <c r="H57" i="6"/>
  <c r="F8" i="3"/>
  <c r="F7" i="7"/>
  <c r="F8" i="4"/>
  <c r="F12" i="1"/>
  <c r="G23" i="8" s="1"/>
  <c r="F6" i="3"/>
  <c r="F39" i="2"/>
  <c r="E41" i="2"/>
  <c r="E42" i="2" s="1"/>
  <c r="G4" i="3" s="1"/>
  <c r="I42" i="6"/>
  <c r="H44" i="6"/>
  <c r="H45" i="6" s="1"/>
  <c r="H34" i="6"/>
  <c r="H33" i="6"/>
  <c r="F48" i="6"/>
  <c r="F50" i="6"/>
  <c r="I23" i="8" l="1"/>
  <c r="G20" i="8"/>
  <c r="G21" i="8"/>
  <c r="G22" i="8"/>
  <c r="G19" i="8"/>
  <c r="I19" i="8" s="1"/>
  <c r="I34" i="6"/>
  <c r="I33" i="6"/>
  <c r="H46" i="6"/>
  <c r="H47" i="6"/>
  <c r="F87" i="2"/>
  <c r="F86" i="2"/>
  <c r="H11" i="3" s="1"/>
  <c r="H5" i="5" s="1"/>
  <c r="J31" i="6"/>
  <c r="J32" i="6" s="1"/>
  <c r="I45" i="6"/>
  <c r="J42" i="6"/>
  <c r="I44" i="6"/>
  <c r="F10" i="4"/>
  <c r="F7" i="4"/>
  <c r="G49" i="6"/>
  <c r="G50" i="6" s="1"/>
  <c r="J55" i="6"/>
  <c r="I57" i="6"/>
  <c r="I58" i="6" s="1"/>
  <c r="F93" i="2"/>
  <c r="F95" i="2"/>
  <c r="F7" i="3"/>
  <c r="F9" i="3" s="1"/>
  <c r="G7" i="7"/>
  <c r="G8" i="4"/>
  <c r="G6" i="3"/>
  <c r="G7" i="3" s="1"/>
  <c r="G12" i="1"/>
  <c r="G8" i="3"/>
  <c r="H60" i="6"/>
  <c r="H59" i="6"/>
  <c r="G62" i="6"/>
  <c r="G63" i="6" s="1"/>
  <c r="G39" i="2"/>
  <c r="F41" i="2"/>
  <c r="F42" i="2" s="1"/>
  <c r="H4" i="3" s="1"/>
  <c r="G48" i="6" l="1"/>
  <c r="H7" i="7"/>
  <c r="H8" i="4"/>
  <c r="H12" i="1"/>
  <c r="H6" i="3"/>
  <c r="H8" i="3"/>
  <c r="I60" i="6"/>
  <c r="I59" i="6"/>
  <c r="J34" i="6"/>
  <c r="D21" i="1"/>
  <c r="J33" i="6"/>
  <c r="J45" i="6"/>
  <c r="J44" i="6"/>
  <c r="G92" i="2"/>
  <c r="H13" i="4"/>
  <c r="H13" i="3"/>
  <c r="F94" i="2"/>
  <c r="H9" i="5" s="1"/>
  <c r="F13" i="1"/>
  <c r="F10" i="3"/>
  <c r="F12" i="3"/>
  <c r="G61" i="6"/>
  <c r="G84" i="2"/>
  <c r="H4" i="4"/>
  <c r="G10" i="4"/>
  <c r="G7" i="4"/>
  <c r="F10" i="5"/>
  <c r="I47" i="6"/>
  <c r="I46" i="6"/>
  <c r="G9" i="3"/>
  <c r="H49" i="6"/>
  <c r="H50" i="6" s="1"/>
  <c r="G41" i="2"/>
  <c r="G42" i="2" s="1"/>
  <c r="I4" i="3" s="1"/>
  <c r="H39" i="2"/>
  <c r="J57" i="6"/>
  <c r="J58" i="6"/>
  <c r="G10" i="5" l="1"/>
  <c r="H41" i="2"/>
  <c r="H42" i="2" s="1"/>
  <c r="J4" i="3" s="1"/>
  <c r="H10" i="4"/>
  <c r="H7" i="4"/>
  <c r="J47" i="6"/>
  <c r="J46" i="6"/>
  <c r="E21" i="1"/>
  <c r="F14" i="1"/>
  <c r="F8" i="7"/>
  <c r="H6" i="5"/>
  <c r="H62" i="6"/>
  <c r="H63" i="6" s="1"/>
  <c r="H7" i="3"/>
  <c r="H9" i="3" s="1"/>
  <c r="G86" i="2"/>
  <c r="I11" i="3" s="1"/>
  <c r="I7" i="7"/>
  <c r="I8" i="4"/>
  <c r="I8" i="3"/>
  <c r="I12" i="1"/>
  <c r="I6" i="3"/>
  <c r="F15" i="3"/>
  <c r="G93" i="2"/>
  <c r="G95" i="2"/>
  <c r="G13" i="1"/>
  <c r="G12" i="3"/>
  <c r="G10" i="3"/>
  <c r="J60" i="6"/>
  <c r="J59" i="6"/>
  <c r="F21" i="1"/>
  <c r="H48" i="6"/>
  <c r="H10" i="5" l="1"/>
  <c r="H61" i="6"/>
  <c r="J7" i="7"/>
  <c r="J8" i="4"/>
  <c r="J12" i="1"/>
  <c r="J6" i="3"/>
  <c r="J7" i="3" s="1"/>
  <c r="J8" i="3"/>
  <c r="I13" i="3"/>
  <c r="I6" i="5" s="1"/>
  <c r="G94" i="2"/>
  <c r="I9" i="5" s="1"/>
  <c r="G87" i="2"/>
  <c r="G14" i="1"/>
  <c r="G8" i="7"/>
  <c r="I5" i="5"/>
  <c r="H13" i="1"/>
  <c r="H12" i="3"/>
  <c r="H10" i="3"/>
  <c r="I10" i="4"/>
  <c r="I7" i="4"/>
  <c r="H92" i="2"/>
  <c r="I13" i="4"/>
  <c r="F16" i="3"/>
  <c r="F17" i="3" s="1"/>
  <c r="I7" i="3"/>
  <c r="I9" i="3" s="1"/>
  <c r="I10" i="5" l="1"/>
  <c r="J9" i="3"/>
  <c r="J10" i="3" s="1"/>
  <c r="H93" i="2"/>
  <c r="I12" i="3"/>
  <c r="I10" i="3"/>
  <c r="I13" i="1"/>
  <c r="H84" i="2"/>
  <c r="I4" i="4"/>
  <c r="H14" i="1"/>
  <c r="H8" i="7"/>
  <c r="J10" i="4"/>
  <c r="J7" i="4"/>
  <c r="I49" i="6"/>
  <c r="I62" i="6"/>
  <c r="F9" i="7"/>
  <c r="F15" i="1"/>
  <c r="F12" i="4"/>
  <c r="F14" i="7" s="1"/>
  <c r="F26" i="7"/>
  <c r="D29" i="7" s="1"/>
  <c r="F4" i="5"/>
  <c r="F11" i="5" s="1"/>
  <c r="J10" i="5" l="1"/>
  <c r="J13" i="1"/>
  <c r="I14" i="1"/>
  <c r="I8" i="7"/>
  <c r="I50" i="6"/>
  <c r="I48" i="6"/>
  <c r="J14" i="1"/>
  <c r="J8" i="7"/>
  <c r="I63" i="6"/>
  <c r="I61" i="6"/>
  <c r="J13" i="3"/>
  <c r="J6" i="5" s="1"/>
  <c r="H94" i="2"/>
  <c r="J9" i="5" s="1"/>
  <c r="H95" i="2"/>
  <c r="J13" i="4" s="1"/>
  <c r="F9" i="4"/>
  <c r="F7" i="6"/>
  <c r="F10" i="6" s="1"/>
  <c r="F17" i="1"/>
  <c r="F12" i="5"/>
  <c r="H86" i="2"/>
  <c r="J11" i="3" s="1"/>
  <c r="H87" i="2"/>
  <c r="J4" i="4" s="1"/>
  <c r="J5" i="5" l="1"/>
  <c r="J62" i="6"/>
  <c r="J49" i="6"/>
  <c r="J48" i="6" s="1"/>
  <c r="J12" i="3"/>
  <c r="J61" i="6"/>
  <c r="G14" i="3"/>
  <c r="G15" i="3" s="1"/>
  <c r="F25" i="7"/>
  <c r="F12" i="7"/>
  <c r="F13" i="7"/>
  <c r="G16" i="3" l="1"/>
  <c r="G17" i="3" s="1"/>
  <c r="J50" i="6"/>
  <c r="E51" i="6" s="1"/>
  <c r="J63" i="6"/>
  <c r="E64" i="6" s="1"/>
  <c r="D27" i="7" l="1"/>
  <c r="C27" i="7"/>
  <c r="E27" i="7"/>
  <c r="F27" i="7"/>
  <c r="G27" i="7"/>
  <c r="F22" i="1"/>
  <c r="E65" i="6"/>
  <c r="G26" i="7"/>
  <c r="G15" i="1"/>
  <c r="G4" i="5"/>
  <c r="G11" i="5" s="1"/>
  <c r="G9" i="7"/>
  <c r="G12" i="4"/>
  <c r="E52" i="6"/>
  <c r="E22" i="1"/>
  <c r="D6" i="1" l="1"/>
  <c r="D7" i="1" s="1"/>
  <c r="E23" i="1"/>
  <c r="G14" i="7"/>
  <c r="G7" i="6"/>
  <c r="G10" i="6" s="1"/>
  <c r="G17" i="1"/>
  <c r="G12" i="5"/>
  <c r="G9" i="4"/>
  <c r="E6" i="1"/>
  <c r="E7" i="1" s="1"/>
  <c r="F23" i="1"/>
  <c r="H14" i="3" l="1"/>
  <c r="H15" i="3" s="1"/>
  <c r="G25" i="7"/>
  <c r="G12" i="7"/>
  <c r="G13" i="7"/>
  <c r="H16" i="3" l="1"/>
  <c r="H17" i="3" s="1"/>
  <c r="H27" i="7" s="1"/>
  <c r="H26" i="7" l="1"/>
  <c r="H4" i="5"/>
  <c r="H11" i="5" s="1"/>
  <c r="H15" i="1"/>
  <c r="H9" i="7"/>
  <c r="H12" i="4"/>
  <c r="H14" i="7" l="1"/>
  <c r="H17" i="1"/>
  <c r="H12" i="5"/>
  <c r="H7" i="6"/>
  <c r="H10" i="6" s="1"/>
  <c r="H9" i="4"/>
  <c r="I14" i="3" l="1"/>
  <c r="I15" i="3" s="1"/>
  <c r="H25" i="7"/>
  <c r="H13" i="7"/>
  <c r="H12" i="7"/>
  <c r="I16" i="3" l="1"/>
  <c r="I17" i="3" s="1"/>
  <c r="I27" i="7" s="1"/>
  <c r="I26" i="7" l="1"/>
  <c r="I15" i="1"/>
  <c r="I9" i="7"/>
  <c r="I4" i="5"/>
  <c r="I11" i="5" s="1"/>
  <c r="I12" i="4"/>
  <c r="I14" i="7" l="1"/>
  <c r="I17" i="1"/>
  <c r="I12" i="5"/>
  <c r="I7" i="6"/>
  <c r="I10" i="6" s="1"/>
  <c r="I9" i="4"/>
  <c r="J14" i="3" l="1"/>
  <c r="J15" i="3" s="1"/>
  <c r="I25" i="7"/>
  <c r="I12" i="7"/>
  <c r="I13" i="7"/>
  <c r="J16" i="3" l="1"/>
  <c r="J17" i="3" s="1"/>
  <c r="J27" i="7" s="1"/>
  <c r="J26" i="7" l="1"/>
  <c r="J15" i="1"/>
  <c r="J4" i="5"/>
  <c r="J11" i="5" s="1"/>
  <c r="J9" i="7"/>
  <c r="J12" i="4"/>
  <c r="J14" i="7" s="1"/>
  <c r="J17" i="1" l="1"/>
  <c r="J12" i="5"/>
  <c r="J7" i="6"/>
  <c r="J9" i="4"/>
  <c r="J25" i="7" l="1"/>
  <c r="J12" i="7"/>
  <c r="J13" i="7"/>
  <c r="D13" i="6"/>
  <c r="D14" i="6" s="1"/>
  <c r="J10" i="6"/>
  <c r="D12" i="6" s="1"/>
  <c r="D15" i="6" l="1"/>
  <c r="D18" i="6" s="1"/>
  <c r="D21" i="6" s="1"/>
  <c r="D26" i="1" l="1"/>
  <c r="D23" i="6"/>
  <c r="D30" i="1" s="1"/>
  <c r="D29" i="1"/>
  <c r="F35" i="6"/>
  <c r="G36" i="6" l="1"/>
  <c r="G37" i="6" s="1"/>
  <c r="F37" i="6"/>
  <c r="G35" i="6" l="1"/>
  <c r="H36" i="6"/>
  <c r="H37" i="6" s="1"/>
  <c r="H35" i="6" l="1"/>
  <c r="I36" i="6" s="1"/>
  <c r="I37" i="6" s="1"/>
  <c r="I35" i="6" l="1"/>
  <c r="J36" i="6" s="1"/>
  <c r="J37" i="6" s="1"/>
  <c r="E38" i="6" s="1"/>
  <c r="D22" i="1" l="1"/>
  <c r="E39" i="6"/>
  <c r="J35" i="6"/>
  <c r="D23" i="1" l="1"/>
  <c r="C6" i="1"/>
  <c r="C7" i="1" s="1"/>
</calcChain>
</file>

<file path=xl/comments1.xml><?xml version="1.0" encoding="utf-8"?>
<comments xmlns="http://schemas.openxmlformats.org/spreadsheetml/2006/main">
  <authors>
    <author>Unknown Author</author>
  </authors>
  <commentList>
    <comment ref="C7" authorId="0" shapeId="0">
      <text>
        <r>
          <rPr>
            <sz val="10"/>
            <rFont val="Arial"/>
            <family val="2"/>
          </rPr>
          <t>Source: AR26, Standalone Note 39, Revenue from operations</t>
        </r>
      </text>
    </comment>
    <comment ref="C8" authorId="0" shapeId="0">
      <text>
        <r>
          <rPr>
            <sz val="10"/>
            <rFont val="Arial"/>
            <family val="2"/>
          </rPr>
          <t>Source: AR26 Standalone Note 39 geographic split (16,326.23/17,268.92)</t>
        </r>
      </text>
    </comment>
    <comment ref="C10" authorId="0" shapeId="0">
      <text>
        <r>
          <rPr>
            <sz val="10"/>
            <rFont val="Arial"/>
            <family val="2"/>
          </rPr>
          <t>Source: AR26 p.89 'Revenue Mix - By Client Type' infographic, FY25-26</t>
        </r>
      </text>
    </comment>
    <comment ref="B18" authorId="0" shapeId="0">
      <text>
        <r>
          <rPr>
            <sz val="10"/>
            <rFont val="Arial"/>
            <family val="2"/>
          </rPr>
          <t>Anchored on Auto OEM (+20-25% FY26 exit rate, averaged/moderated for FY27; fading toward normalized growth as SOB step-changes lap), plus Railway/I-UPS; Telecom decline decelerating as convertible base shrinks.</t>
        </r>
      </text>
    </comment>
    <comment ref="B24" authorId="0" shapeId="0">
      <text>
        <r>
          <rPr>
            <sz val="10"/>
            <rFont val="Arial"/>
            <family val="2"/>
          </rPr>
          <t>Anchored on management's 'mid-teens' replacement growth commentary (Q4FY26 call) — MEDIUM CONFIDENCE, unverified independently, carries ~71% of revenue weight. Solar/E-rickshaw netted in as soft adjustments.</t>
        </r>
      </text>
    </comment>
    <comment ref="B34" authorId="0" shapeId="0">
      <text>
        <r>
          <rPr>
            <sz val="10"/>
            <rFont val="Arial"/>
            <family val="2"/>
          </rPr>
          <t>FY26 Export share fell 8%-&gt;5% in one year (per AR25/AR26 disclosed 'Revenue Mix - By Geographies'); management flags continued uncertainty through H1FY27. FY28 onward: modeled as share-recovery to 8% (below), not a flat growth rate.</t>
        </r>
      </text>
    </comment>
    <comment ref="D35" authorId="0" shapeId="0">
      <text>
        <r>
          <rPr>
            <sz val="10"/>
            <rFont val="Arial"/>
            <family val="2"/>
          </rPr>
          <t>Historical share held steady at 8% for FY24 and FY25 (per AR disclosures) before the FY26 one-year drop to 5%. Modeled as recovering to historical share by FY28E, held thereafter.</t>
        </r>
      </text>
    </comment>
    <comment ref="E41" authorId="0" shapeId="0">
      <text>
        <r>
          <rPr>
            <sz val="10"/>
            <rFont val="Arial"/>
            <family val="2"/>
          </rPr>
          <t>FY28E onward: Export solved so Export/(Institutional+NonInst+Export) = target share (8%), i.e. Export = share/(1-share) x (Inst+NonInst). Maintains 8% share for remainder of forecast.</t>
        </r>
      </text>
    </comment>
    <comment ref="D45" authorId="0" shapeId="0">
      <text>
        <r>
          <rPr>
            <sz val="10"/>
            <rFont val="Arial"/>
            <family val="2"/>
          </rPr>
          <t>Source: AR26 Standalone P&amp;L - Cost of materials consumed Rs.12,158.84cr / Revenue Rs.17,268.92cr = 70.4% FY26 actual. Qualitative range corroborated by management commentary ('production costs ~65-70% of sales').</t>
        </r>
      </text>
    </comment>
    <comment ref="C46" authorId="0" shapeId="0">
      <text>
        <r>
          <rPr>
            <sz val="10"/>
            <rFont val="Arial"/>
            <family val="2"/>
          </rPr>
          <t>Source: AR26 Standalone P&amp;L, EBITDA (incl. Other Income) Rs.2,035.92cr LESS Other Income Rs.93.07cr = Rs.1,942.85cr pure operating EBITDA. Ties to AR26 p.89 MD&amp;A infographic 'Operating Profit FY25-26: 1,943'.</t>
        </r>
      </text>
    </comment>
    <comment ref="C47" authorId="0" shapeId="0">
      <text>
        <r>
          <rPr>
            <sz val="10"/>
            <rFont val="Arial"/>
            <family val="2"/>
          </rPr>
          <t>Line-item classification (not regression) of FY26 audited Note 32 'Other Expenses' (24 line items) + Note 29 'Employee Benefit Expenses' (3 line items), each tagged Fixed or Variable by economic nature. FIXED items (Rs.1,590.76cr, 9.21% of FY26 revenue): all Employee Benefits (Rs.1,081.06cr - salaries/PF/welfare, no disclosed variable-bonus split so treated conservatively as fixed), Repairs &amp; Maintenance, Software, Rent &amp; Hire, Rates &amp; Taxes, Insurance, Publicity &amp; Sales Promotion (discretionary - grew 134% YoY, too volatile to be volume-linked), Travelling, Bank Charges, Communication, Directors Fees, Auditors Remuneration, Misc Expenses. Cross-checked against FY25 (9.25% of revenue) - consistent.</t>
        </r>
      </text>
    </comment>
    <comment ref="D47" authorId="0" shapeId="0">
      <text>
        <r>
          <rPr>
            <sz val="10"/>
            <rFont val="Arial"/>
            <family val="2"/>
          </rPr>
          <t>VARIABLE items from Note 32 (Rs.1,744.25cr FY26, 10.10% of revenue): Stores &amp; spares, Power &amp; fuel, Battery charging/assembly, Commission, Royalty &amp; Technical Aid Fees (volume/revenue-linked per technology licensing terms), Warranty expenses, Freight &amp; Forwarding, After Sales Services, Clearing &amp; Forwarding - all scale with production/sales volume. Cross-checked against FY25 (10.68% of revenue) - broadly consistent. Combined with COGS 70%, gives ~80.1% variable cost ratio -&gt; EBITDA margin starts ~10.7% and drifts modestly upward as the ~9.2%-of-revenue fixed component de-levers with growth (economically sensible, contained operating leverage - not the 500bp+ drift from the earlier flat-growth treatment).</t>
        </r>
      </text>
    </comment>
    <comment ref="D48" authorId="0" shapeId="0">
      <text>
        <r>
          <rPr>
            <sz val="10"/>
            <rFont val="Arial"/>
            <family val="2"/>
          </rPr>
          <t>Updated from 5% to 8% per user instruction - reflects a view that fixed cost inflation (wage increments etc.) runs above generic CPI. NOTE: this works AGAINST the operating-leverage/margin-expansion story - faster-growing Fixed costs de-lever less as % of revenue as the top line grows, partially offsetting the effect that made the fixed/variable split preferable to flat-growth in the first place.</t>
        </r>
      </text>
    </comment>
    <comment ref="D49" authorId="0" shapeId="0">
      <text>
        <r>
          <rPr>
            <sz val="10"/>
            <rFont val="Arial"/>
            <family val="2"/>
          </rPr>
          <t>Applied to PRIOR YEAR CLOSING cash (i.e. this year's opening balance), NOT current-year closing cash - deliberately avoids circularity (Cash -&gt; Other Income -&gt; PAT -&gt; FCFE -&gt; Cash would otherwise create a runaway feedback loop; tested empirically: current-year-cash basis caused Other Income to snowball from Rs.37cr to Rs.432cr and Cash to explode to Rs.8,643cr by FY31, an unstable result). Standard modeling convention - opening balance is already a settled number by the time the current year's P&amp;L is computed. 5% is broadly consistent with treasury MF yields observed historically (~5.9-7.1% ROI per FY25/26 disclosures), applied here to the (smaller) pure Cash &amp; Cash Equivalents balance as a simplification, not the full liquid treasury (Cash + Current Investments) which the model does not separately track.</t>
        </r>
      </text>
    </comment>
    <comment ref="C51" authorId="0" shapeId="0">
      <text>
        <r>
          <rPr>
            <sz val="10"/>
            <rFont val="Arial"/>
            <family val="2"/>
          </rPr>
          <t>Source: AR26 Standalone Balance Sheet, Note 2</t>
        </r>
      </text>
    </comment>
    <comment ref="C52" authorId="0" shapeId="0">
      <text>
        <r>
          <rPr>
            <sz val="10"/>
            <rFont val="Arial"/>
            <family val="2"/>
          </rPr>
          <t>Source: AR26 Standalone Balance Sheet. Assumed to fully convert to Fixed Assets during FY27E per modeling instruction.</t>
        </r>
      </text>
    </comment>
    <comment ref="D53" authorId="0" shapeId="0">
      <text>
        <r>
          <rPr>
            <sz val="10"/>
            <rFont val="Arial"/>
            <family val="2"/>
          </rPr>
          <t>Derived: FY26 Dep Rs.500.95cr / FY25 opening base (PP&amp;E+CWIP) Rs.2,998.34cr = 16.71%; FY25 Dep Rs.503.93cr / FY24 opening base Rs.3,047.22cr = 16.54%. Average ~16.6% used going forward.</t>
        </r>
      </text>
    </comment>
    <comment ref="D54" authorId="0" shapeId="0">
      <text>
        <r>
          <rPr>
            <sz val="10"/>
            <rFont val="Arial"/>
            <family val="2"/>
          </rPr>
          <t>FY27E raised to Rs.600cr so that FY27 TOTAL capex (Standalone Rs.600cr + EESL Rs.800cr) = Rs.1,400cr, matching management's FY27 capex guidance on the Q4FY26 concall. NOTE: that Rs.1,400cr figure was given by Avik Roy specifically in response to a question about the lithium-ion business ('investing Rs.1,400 crore in FY27, which is a mix of both CAPEX as well as OPEX working capital requirement... sufficient for Phase-I') - it may be an EESL-only figure (capex+opex combined), not a total-company capex number. Treated here as combined per explicit instruction, flagged as an unresolved interpretation.</t>
        </r>
      </text>
    </comment>
    <comment ref="E54" authorId="0" shapeId="0">
      <text>
        <r>
          <rPr>
            <sz val="10"/>
            <rFont val="Arial"/>
            <family val="2"/>
          </rPr>
          <t>FY28E onward reverts to the Rs.420cr trailing-average run-rate (3-yr avg of FY24-26 capex) - the Rs.1,400cr guidance was explicitly a single-year (FY27) figure, with no equivalent guidance for subsequent years.</t>
        </r>
      </text>
    </comment>
    <comment ref="D57" authorId="0" shapeId="0">
      <text>
        <r>
          <rPr>
            <sz val="10"/>
            <rFont val="Arial"/>
            <family val="2"/>
          </rPr>
          <t>Source: AR26 Note 44 Analytical Ratios. Inventory Turnover 3.88x = COGS/Avg Inventory -&gt; 365/3.88=94.07 days. (Supersedes earlier unverified 73.8-day figure from prior synthesis - not corroborated by audited note.)</t>
        </r>
      </text>
    </comment>
    <comment ref="D58" authorId="0" shapeId="0">
      <text>
        <r>
          <rPr>
            <sz val="10"/>
            <rFont val="Arial"/>
            <family val="2"/>
          </rPr>
          <t>Source: AR26 Note 44. Trade Receivables Turnover 11.35x -&gt; 365/11.35=32.16 days.</t>
        </r>
      </text>
    </comment>
    <comment ref="D59" authorId="0" shapeId="0">
      <text>
        <r>
          <rPr>
            <sz val="10"/>
            <rFont val="Arial"/>
            <family val="2"/>
          </rPr>
          <t>Source: AR26 Note 44. Trade Payables Turnover 3.94x -&gt; 365/3.94=92.64 days. NOTE: 4-yr trend shows payable days nearly DOUBLED (53-&gt;62-&gt;78-&gt;93 FY23-FY26) - a real structural shift, not noise. FY26-only used per agreed methodology (trend, not multi-year average).</t>
        </r>
      </text>
    </comment>
    <comment ref="D62" authorId="0" shapeId="0">
      <text>
        <r>
          <rPr>
            <sz val="10"/>
            <rFont val="Arial"/>
            <family val="2"/>
          </rPr>
          <t>FY26 implied effective rate: PAT 1,111.33 / PBT 1,491.07 -&gt; 25.5% actual. 25% used as clean round input per agreement.</t>
        </r>
      </text>
    </comment>
    <comment ref="D63" authorId="0" shapeId="0">
      <text>
        <r>
          <rPr>
            <sz val="10"/>
            <rFont val="Arial"/>
            <family val="2"/>
          </rPr>
          <t>Held flat at Rs.170cr/yr, matching trailing pattern FY22-FY26 (per Screener Data Sheet dividend history, unchanged for 5 straight years).</t>
        </r>
      </text>
    </comment>
    <comment ref="D66" authorId="0" shapeId="0">
      <text>
        <r>
          <rPr>
            <sz val="10"/>
            <rFont val="Arial"/>
            <family val="2"/>
          </rPr>
          <t>Total Phase 1 project cost Rs.5,600cr LESS cumulative invested to FY26 Rs.4,802.23cr = Rs.797.77cr, rounded to Rs.800cr.</t>
        </r>
      </text>
    </comment>
    <comment ref="D67" authorId="0" shapeId="0">
      <text>
        <r>
          <rPr>
            <sz val="10"/>
            <rFont val="Arial"/>
            <family val="2"/>
          </rPr>
          <t>Rs.800cr remaining project cost recognized entirely in FY27E (updated per explicit instruction - previously spread 500/300 across FY27E/FY28E). Reflects project nearing completion per Q4FY26 concall (commercial cell dispatches beginning FY27).</t>
        </r>
      </text>
    </comment>
    <comment ref="C68" authorId="0" shapeId="0">
      <text>
        <r>
          <rPr>
            <sz val="10"/>
            <rFont val="Arial"/>
            <family val="2"/>
          </rPr>
          <t>Source: AR26 Standalone Note 4, Investment in EESL at cost. Also matches Avik Roy's stated cumulative figure on Q4FY26 concall exactly.</t>
        </r>
      </text>
    </comment>
    <comment ref="D71" authorId="0" shapeId="0">
      <text>
        <r>
          <rPr>
            <sz val="10"/>
            <rFont val="Arial"/>
            <family val="2"/>
          </rPr>
          <t>= Rs.4,802.23cr cumulative invested to FY26 + Rs.800cr remaining infusion (FY27E-FY28E, expensed through Standalone FCFF per agreed methodology). Consistent treatment: since the future outflow reduces Standalone FCFF, EESL's SOTP value must reflect the fully-invested capital base, or total equity value is understated.</t>
        </r>
      </text>
    </comment>
    <comment ref="D72" authorId="0" shapeId="0">
      <text>
        <r>
          <rPr>
            <sz val="10"/>
            <rFont val="Arial"/>
            <family val="2"/>
          </rPr>
          <t>Neutral assumption: no premium for unproven yield/utilization ramp, no discount for execution risk. Reflects absence of any listed Indian lithium-ion cell manufacturer comparable.</t>
        </r>
      </text>
    </comment>
    <comment ref="D73" authorId="0" shapeId="0">
      <text>
        <r>
          <rPr>
            <sz val="10"/>
            <rFont val="Arial"/>
            <family val="2"/>
          </rPr>
          <t>Source: AR26 Note 40, Level 1 (quoted market price) fair value of equity instruments. Cross-validated against concall commentary (~Rs.5,140cr stated by management).</t>
        </r>
      </text>
    </comment>
    <comment ref="D74" authorId="0" shapeId="0">
      <text>
        <r>
          <rPr>
            <sz val="10"/>
            <rFont val="Arial"/>
            <family val="2"/>
          </rPr>
          <t>Standard convention for strategic cross-holdings (typical range 20-40% for Indian holdcos). Judgment input, not derived from data.</t>
        </r>
      </text>
    </comment>
    <comment ref="D75" authorId="0" shapeId="0">
      <text>
        <r>
          <rPr>
            <sz val="10"/>
            <rFont val="Arial"/>
            <family val="2"/>
          </rPr>
          <t>Source: AR26, Paid-up equity capital Rs.85cr at Re.1 face value = 85cr shares.</t>
        </r>
      </text>
    </comment>
    <comment ref="D78" authorId="0" shapeId="0">
      <text>
        <r>
          <rPr>
            <sz val="10"/>
            <rFont val="Arial"/>
            <family val="2"/>
          </rPr>
          <t>GENERAL PLACEHOLDER - user to update with live Rf, ERP, Beta inputs. Standalone is debt-free ex-lease-liabilities, so Cost of Equity ~ WACC (no debt-weighting complexity).</t>
        </r>
      </text>
    </comment>
    <comment ref="D79" authorId="0" shapeId="0">
      <text>
        <r>
          <rPr>
            <sz val="10"/>
            <rFont val="Arial"/>
            <family val="2"/>
          </rPr>
          <t>Agreed at 5%. NOTE: sits below typical India long-run nominal GDP estimates - reasonable for a mature industrial business. Monitor against WACC once updated: if WACC-g gap narrows below ~5-6pp, Terminal Value multiple (1/(WACC-g)) becomes very large and dominates the valuation.</t>
        </r>
      </text>
    </comment>
    <comment ref="D90" authorId="0" shapeId="0">
      <text>
        <r>
          <rPr>
            <sz val="10"/>
            <rFont val="Arial"/>
            <family val="2"/>
          </rPr>
          <t>Derived: FY26 Interest Rs.32.94cr / FY25 Opening Rs.385.59cr = 8.543%; FY25 Interest Rs.33.82cr / FY24 Opening Rs.395.55cr = 8.550%. Both years reconcile EXACTLY (Opening+Interest-Payment=Closing, per AR26 Note 43(iv) official 'Reconciliation of liabilities from financing activities') - a clean, well-behaved amortizing schedule, no additions/remeasurements. Entire lease liability balance relates to a single 25-year captive solar power PPA at Exide's factories (not general office/warehouse leases, which are expensed as short-term per Note 43(i), already sitting in Other Expenses).</t>
        </r>
      </text>
    </comment>
    <comment ref="D91" authorId="0" shapeId="0">
      <text>
        <r>
          <rPr>
            <sz val="10"/>
            <rFont val="Arial"/>
            <family val="2"/>
          </rPr>
          <t>Source: AR26 Note 43(ii) maturity ladder (undiscounted). FY27E = 'Less than one year' bucket (Rs.42.86cr, Mar-26 basis). FY28E-FY31E = 'Between one and five years' bucket (Rs.166.96cr) divided evenly across 4 years (~Rs.41.74cr/yr) - a simplification since the note doesn't break out the exact year-by-year split within that bucket.</t>
        </r>
      </text>
    </comment>
    <comment ref="D92" authorId="0" shapeId="0">
      <text>
        <r>
          <rPr>
            <sz val="10"/>
            <rFont val="Arial"/>
            <family val="2"/>
          </rPr>
          <t>FY26 actual closing lease liability (audited, AR26 Balance Sheet), anchor for FY27E opening.</t>
        </r>
      </text>
    </comment>
  </commentList>
</comments>
</file>

<file path=xl/comments2.xml><?xml version="1.0" encoding="utf-8"?>
<comments xmlns="http://schemas.openxmlformats.org/spreadsheetml/2006/main">
  <authors>
    <author>Unknown Author</author>
  </authors>
  <commentList>
    <comment ref="C4" authorId="0" shapeId="0">
      <text>
        <r>
          <rPr>
            <sz val="10"/>
            <rFont val="Arial"/>
            <family val="2"/>
          </rPr>
          <t>Source: AR24/25/26 Standalone Note 39/38 - Revenue from operations, audited.</t>
        </r>
      </text>
    </comment>
    <comment ref="F8" authorId="0" shapeId="0">
      <text>
        <r>
          <rPr>
            <sz val="10"/>
            <rFont val="Arial"/>
            <family val="2"/>
          </rPr>
          <t>= Fixed component (Rs.1,590.76cr, grown at 5% inflation) + Variable component (10.10% x that year's Revenue). Derived from line-item classification (Fixed/Variable) of the audited FY26 Note 32 Other Expenses + Note 29 Employee Benefits detail (27 individual line items), not a statistical fit. Replaces earlier flat-5%-growth treatment which caused EBITDA margin to mechanically drift from ~11% to ~16% by FY31.</t>
        </r>
      </text>
    </comment>
    <comment ref="C9" authorId="0" shapeId="0">
      <text>
        <r>
          <rPr>
            <sz val="10"/>
            <rFont val="Arial"/>
            <family val="2"/>
          </rPr>
          <t>Source: AR P&amp;L 'Earnings before interest, tax, depreciation and amortisation (I-II)' LESS Other Income for each year (pure operating EBITDA, ties to AR26 MD&amp;A infographic 'Operating Profit').</t>
        </r>
      </text>
    </comment>
    <comment ref="C11" authorId="0" shapeId="0">
      <text>
        <r>
          <rPr>
            <sz val="10"/>
            <rFont val="Arial"/>
            <family val="2"/>
          </rPr>
          <t>Source: AR24/25/26 Standalone P&amp;L, Depreciation and amortisation expenses (audited).</t>
        </r>
      </text>
    </comment>
    <comment ref="C13" authorId="0" shapeId="0">
      <text>
        <r>
          <rPr>
            <sz val="10"/>
            <rFont val="Arial"/>
            <family val="2"/>
          </rPr>
          <t>Source: AR24/25/26 Standalone P&amp;L, Finance costs (audited). FORECAST = declining Lease Interest (Assumptions row 93, Note 43-derived amortizing schedule) + flat Rs.1.92cr non-lease interest (FY26 actual 'Interest expenses' line, immaterial, held flat - no basis to forecast differently).</t>
        </r>
      </text>
    </comment>
    <comment ref="C14" authorId="0" shapeId="0">
      <text>
        <r>
          <rPr>
            <sz val="10"/>
            <rFont val="Arial"/>
            <family val="2"/>
          </rPr>
          <t>Historical actuals shown for reference (includes HDFC Life dividend + treasury MF income - a different, broader basis). FORECAST = Assumptions!$D$49 rate (5%) x PRIOR YEAR closing Cash &amp; Cash Equivalents (Balance Sheet row 9). Deliberately uses prior-year (opening) balance, not current-year closing balance, to avoid a circular reference (Cash -&gt; Other Income -&gt; PAT -&gt; FCFE -&gt; Cash) - see Assumptions!D49 comment for detail on why this matters.</t>
        </r>
      </text>
    </comment>
    <comment ref="E15" authorId="0" shapeId="0">
      <text>
        <r>
          <rPr>
            <sz val="10"/>
            <rFont val="Arial"/>
            <family val="2"/>
          </rPr>
          <t>FY26 shown BEFORE the Rs.9.04cr one-off exceptional item (immaterial, &lt;1% of PAT) for consistency with forecast methodology which carries no exceptional items. Audited reported PBT after exceptional = Rs.1,491.07cr.</t>
        </r>
      </text>
    </comment>
  </commentList>
</comments>
</file>

<file path=xl/comments3.xml><?xml version="1.0" encoding="utf-8"?>
<comments xmlns="http://schemas.openxmlformats.org/spreadsheetml/2006/main">
  <authors>
    <author>Unknown Author</author>
  </authors>
  <commentList>
    <comment ref="C4" authorId="0" shapeId="0">
      <text>
        <r>
          <rPr>
            <sz val="10"/>
            <rFont val="Arial"/>
            <family val="2"/>
          </rPr>
          <t>Source: AR Standalone Balance Sheet, Note 2 (PP&amp;E) + CWIP line, each year.</t>
        </r>
      </text>
    </comment>
    <comment ref="C5" authorId="0" shapeId="0">
      <text>
        <r>
          <rPr>
            <sz val="10"/>
            <rFont val="Arial"/>
            <family val="2"/>
          </rPr>
          <t>Source: AR Standalone Note 4, Non-current Investments - Exide Energy Solutions Limited, at cost (audited).</t>
        </r>
      </text>
    </comment>
    <comment ref="C6" authorId="0" shapeId="0">
      <text>
        <r>
          <rPr>
            <sz val="10"/>
            <rFont val="Arial"/>
            <family val="2"/>
          </rPr>
          <t>FY24: AR24 Note 4 (Rs.5,511.55cr). FY25: not sourced (n/a). FY26: AR26 Note 40, Level 1 fair value (Rs.5,144.43cr, cross-validated vs. concall ~Rs.5,140cr). Value fluctuates with HDFC Life's own share price (FY26 saw a Rs.850cr MTM decline via OCI). Held flat at FY26 level for forecast - not modeling HDFC Life's own share price trajectory.</t>
        </r>
      </text>
    </comment>
    <comment ref="D6" authorId="0" shapeId="0">
      <text>
        <r>
          <rPr>
            <sz val="10"/>
            <rFont val="Arial"/>
            <family val="2"/>
          </rPr>
          <t>ESTIMATED, not directly sourced. Backed out from FY26 Standalone OCI note showing a Rs.834.04cr negative fair-value movement on this holding during FY26: FY26 closing (Rs.5,144.43cr) + Rs.834.04cr = ~Rs.5,978.47cr implied FY25 closing (~Rs.687/share). Lower confidence than the FY24 and FY26 figures, which are directly audited.</t>
        </r>
      </text>
    </comment>
    <comment ref="F9" authorId="0" shapeId="0">
      <text>
        <r>
          <rPr>
            <sz val="10"/>
            <rFont val="Arial"/>
            <family val="2"/>
          </rPr>
          <t>Roll-forward: Opening Cash + FCFE - Dividend Paid (Rs.170cr/yr). FCFE now also nets out lease principal repayment (Cash Flow row 9) alongside the other items.</t>
        </r>
      </text>
    </comment>
    <comment ref="F12" authorId="0" shapeId="0">
      <text>
        <r>
          <rPr>
            <sz val="10"/>
            <rFont val="Arial"/>
            <family val="2"/>
          </rPr>
          <t>Roll-forward: Opening Reserves + PAT - Dividend (Rs.170cr flat). Simplification - does not separately model OCI/FVTOCI mark-to-market movements on the HDFC Life stake (which caused a Rs.710cr negative swing in FY26 alone) since these are not forecastable.</t>
        </r>
      </text>
    </comment>
    <comment ref="C13" authorId="0" shapeId="0">
      <text>
        <r>
          <rPr>
            <sz val="10"/>
            <rFont val="Arial"/>
            <family val="2"/>
          </rPr>
          <t>Entire balance relates to a single 25-year captive solar power PPA (Note 43). FORECAST now uses the amortizing schedule (Assumptions rows 90-95, derived from the disclosed maturity ladder and implicit 8.55% rate) instead of holding flat - liability genuinely declines as guaranteed payments are made.</t>
        </r>
      </text>
    </comment>
  </commentList>
</comments>
</file>

<file path=xl/comments4.xml><?xml version="1.0" encoding="utf-8"?>
<comments xmlns="http://schemas.openxmlformats.org/spreadsheetml/2006/main">
  <authors>
    <author>Unknown Author</author>
  </authors>
  <commentList>
    <comment ref="F8" authorId="0" shapeId="0">
      <text>
        <r>
          <rPr>
            <sz val="10"/>
            <rFont val="Arial"/>
            <family val="2"/>
          </rPr>
          <t>Included in Standalone FCFF/FCFE per explicit decision - reflects the true cash cost to Standalone shareholders. Correspondingly, EESL's SOTP valuation uses fully-invested book value (Rs.5,600cr) rather than only cumulative-to-date, to avoid understating total equity value.</t>
        </r>
      </text>
    </comment>
    <comment ref="F9" authorId="0" shapeId="0">
      <text>
        <r>
          <rPr>
            <sz val="10"/>
            <rFont val="Arial"/>
            <family val="2"/>
          </rPr>
          <t>NEW - previously missing. Under lease accounting, only the INTEREST portion of a lease payment hits the P&amp;L (already captured via reduced PAT); the PRINCIPAL portion is a pure balance sheet movement that never touched EBIT/PAT, but is still real cash leaving the company. Without this line, FCFE was systematically overstated by the annual principal repayment (~Rs.10-13cr/yr). Source: Assumptions row 94 (Note 43-derived lease schedule).</t>
        </r>
      </text>
    </comment>
    <comment ref="F10" authorId="0" shapeId="0">
      <text>
        <r>
          <rPr>
            <sz val="10"/>
            <rFont val="Arial"/>
            <family val="2"/>
          </rPr>
          <t>= -[(Increase in Inventory) + (Increase in Receivables) - (Increase in Payables)]. An increase in net working capital is a cash outflow.</t>
        </r>
      </text>
    </comment>
    <comment ref="B12" authorId="0" shapeId="0">
      <text>
        <r>
          <rPr>
            <sz val="10"/>
            <rFont val="Arial"/>
            <family val="2"/>
          </rPr>
          <t>FCFF and FCFE converge closely since Standalone carries no real debt (only lease liabilities). Difference is solely the after-tax interest add-back.</t>
        </r>
      </text>
    </comment>
  </commentList>
</comments>
</file>

<file path=xl/comments5.xml><?xml version="1.0" encoding="utf-8"?>
<comments xmlns="http://schemas.openxmlformats.org/spreadsheetml/2006/main">
  <authors>
    <author>Unknown Author</author>
  </authors>
  <commentList>
    <comment ref="B19" authorId="0" shapeId="0">
      <text>
        <r>
          <rPr>
            <sz val="10"/>
            <rFont val="Arial"/>
            <family val="2"/>
          </rPr>
          <t>P/B=1.0x on fully-invested book value (Rs.5,600cr) — consistent with including the remaining Rs.800cr infusion as a cash outflow in Standalone FCFE.</t>
        </r>
      </text>
    </comment>
    <comment ref="B34" authorId="0" shapeId="0">
      <text>
        <r>
          <rPr>
            <sz val="10"/>
            <rFont val="Arial"/>
            <family val="2"/>
          </rPr>
          <t>Computed on THIS scenario's own revenue path. FY27E anchored against actual FY26 audited Inventory/Receivables/Payables (Rs.3,492.14/1,460.28/3,127.82cr) to match the main Balance Sheet tab's treatment - same one-off audited-to-formula transition applies here as in the main build.</t>
        </r>
      </text>
    </comment>
    <comment ref="E35" authorId="0" shapeId="0">
      <text>
        <r>
          <rPr>
            <sz val="10"/>
            <rFont val="Arial"/>
            <family val="2"/>
          </rPr>
          <t>FY26 audited actual (anchor, same across all scenarios). Each subsequent year = prior cash + this scenario's FCFE - dividend.</t>
        </r>
      </text>
    </comment>
    <comment ref="B36" authorId="0" shapeId="0">
      <text>
        <r>
          <rPr>
            <sz val="10"/>
            <rFont val="Arial"/>
            <family val="2"/>
          </rPr>
          <t>D&amp;A, Interest, Capex, EESL infusion, Lease Principal Repayment pulled from main tabs (scenario-invariant in this model's structure - only revenue growth and its WC/EBITDA/Cash consequences differ by scenario). Other Income = PRIOR YEAR cash (row above, prior column) x 5% - non-circular, matches main P&amp;L treatment exactly. PAT approximated as (EBITDA-D&amp;A-Interest+Other Income) x (1-tax).</t>
        </r>
      </text>
    </comment>
    <comment ref="B47" authorId="0" shapeId="0">
      <text>
        <r>
          <rPr>
            <sz val="10"/>
            <rFont val="Arial"/>
            <family val="2"/>
          </rPr>
          <t>Computed on THIS scenario's own revenue path. FY27E anchored against actual FY26 audited Inventory/Receivables/Payables (Rs.3,492.14/1,460.28/3,127.82cr) to match the main Balance Sheet tab's treatment - same one-off audited-to-formula transition applies here as in the main build.</t>
        </r>
      </text>
    </comment>
    <comment ref="E48" authorId="0" shapeId="0">
      <text>
        <r>
          <rPr>
            <sz val="10"/>
            <rFont val="Arial"/>
            <family val="2"/>
          </rPr>
          <t>FY26 audited actual (anchor, same across all scenarios). Each subsequent year = prior cash + this scenario's FCFE - dividend.</t>
        </r>
      </text>
    </comment>
    <comment ref="B49" authorId="0" shapeId="0">
      <text>
        <r>
          <rPr>
            <sz val="10"/>
            <rFont val="Arial"/>
            <family val="2"/>
          </rPr>
          <t>D&amp;A, Interest, Capex, EESL infusion, Lease Principal Repayment pulled from main tabs (scenario-invariant in this model's structure - only revenue growth and its WC/EBITDA/Cash consequences differ by scenario). Other Income = PRIOR YEAR cash (row above, prior column) x 5% - non-circular, matches main P&amp;L treatment exactly. PAT approximated as (EBITDA-D&amp;A-Interest+Other Income) x (1-tax).</t>
        </r>
      </text>
    </comment>
    <comment ref="B60" authorId="0" shapeId="0">
      <text>
        <r>
          <rPr>
            <sz val="10"/>
            <rFont val="Arial"/>
            <family val="2"/>
          </rPr>
          <t>Computed on THIS scenario's own revenue path. FY27E anchored against actual FY26 audited Inventory/Receivables/Payables (Rs.3,492.14/1,460.28/3,127.82cr) to match the main Balance Sheet tab's treatment - same one-off audited-to-formula transition applies here as in the main build.</t>
        </r>
      </text>
    </comment>
    <comment ref="E61" authorId="0" shapeId="0">
      <text>
        <r>
          <rPr>
            <sz val="10"/>
            <rFont val="Arial"/>
            <family val="2"/>
          </rPr>
          <t>FY26 audited actual (anchor, same across all scenarios). Each subsequent year = prior cash + this scenario's FCFE - dividend.</t>
        </r>
      </text>
    </comment>
    <comment ref="B62" authorId="0" shapeId="0">
      <text>
        <r>
          <rPr>
            <sz val="10"/>
            <rFont val="Arial"/>
            <family val="2"/>
          </rPr>
          <t>D&amp;A, Interest, Capex, EESL infusion, Lease Principal Repayment pulled from main tabs (scenario-invariant in this model's structure - only revenue growth and its WC/EBITDA/Cash consequences differ by scenario). Other Income = PRIOR YEAR cash (row above, prior column) x 5% - non-circular, matches main P&amp;L treatment exactly. PAT approximated as (EBITDA-D&amp;A-Interest+Other Income) x (1-tax).</t>
        </r>
      </text>
    </comment>
  </commentList>
</comments>
</file>

<file path=xl/comments6.xml><?xml version="1.0" encoding="utf-8"?>
<comments xmlns="http://schemas.openxmlformats.org/spreadsheetml/2006/main">
  <authors>
    <author>Unknown Author</author>
  </authors>
  <commentList>
    <comment ref="B12" authorId="0" shapeId="0">
      <text>
        <r>
          <rPr>
            <sz val="10"/>
            <rFont val="Arial"/>
            <family val="2"/>
          </rPr>
          <t>= EBIT / (Net Fixed Assets + Net Working Capital), EXCLUDING Investment in EESL and HDFC Life from the capital base. Our own construction (formula-driven, all years on a consistent basis) - not sourced from AR/presentation disclosures, which use an undisclosed methodology.</t>
        </r>
      </text>
    </comment>
    <comment ref="B13" authorId="0" shapeId="0">
      <text>
        <r>
          <rPr>
            <sz val="10"/>
            <rFont val="Arial"/>
            <family val="2"/>
          </rPr>
          <t>= EBIT / (Net Fixed Assets + Investment in EESL + Investment in HDFC Life + Net Working Capital) - INCLUDES the two investments in the denominator. IMPORTANT LIMITATION: numerator (EBIT) never includes any return FROM EESL (not consolidated into Standalone P&amp;L; EESL is separately loss-making) or HDFC Life (dividend deliberately excluded from Other Income to avoid double-counting vs. the SOTP valuation) - so this ratio mechanically UNDERSTATES true consolidated ROCE. Shown for comparability with the AR/presentation 'unadjusted' ROCE series, not as a precise consolidated figure.</t>
        </r>
      </text>
    </comment>
    <comment ref="D21" authorId="0" shapeId="0">
      <text>
        <r>
          <rPr>
            <sz val="10"/>
            <rFont val="Arial"/>
            <family val="2"/>
          </rPr>
          <t>Source: AR26 'Shareholding Pattern &amp; Capital Market Information' - Market Cap as on 30th April 2026. Held CONSTANT across all years - multiples below show what today's price implies against each year's actual/forecast earnings, not a reconstruction of historical trading multiples (we don't have historical share price data for FY24/FY25). UPDATE this cell to refresh all multiples to a new CMP.</t>
        </r>
      </text>
    </comment>
    <comment ref="B25" authorId="0" shapeId="0">
      <text>
        <r>
          <rPr>
            <sz val="10"/>
            <rFont val="Arial"/>
            <family val="2"/>
          </rPr>
          <t>EV = Reference Market Cap + Lease Liabilities (proxy for debt - Standalone is debt-free ex-lease) - Cash &amp; Cash Equivalents (that year). EBITDA = pure operating EBITDA (excl. Other Income), per P&amp;L tab.</t>
        </r>
      </text>
    </comment>
  </commentList>
</comments>
</file>

<file path=xl/sharedStrings.xml><?xml version="1.0" encoding="utf-8"?>
<sst xmlns="http://schemas.openxmlformats.org/spreadsheetml/2006/main" count="379" uniqueCount="239">
  <si>
    <t>Exide Industries Limited — Executive Summary</t>
  </si>
  <si>
    <t>Standalone financial model + Sum-of-the-Parts valuation | All figures Rs. cr unless stated | Scenario selector on Assumptions tab drives sections below marked (dynamic)</t>
  </si>
  <si>
    <t>VALUE PER SHARE — ALL THREE CASES</t>
  </si>
  <si>
    <t>Bear</t>
  </si>
  <si>
    <t>Base</t>
  </si>
  <si>
    <t>Bull</t>
  </si>
  <si>
    <t>Value Per Share (Rs.)</t>
  </si>
  <si>
    <t>Current Scenario Selected:</t>
  </si>
  <si>
    <t>KEY FINANCIALS — HISTORICAL ACTUAL (FY24-26) &amp; FORECAST (SELECTED SCENARIO)</t>
  </si>
  <si>
    <t>Line</t>
  </si>
  <si>
    <t>FY24A</t>
  </si>
  <si>
    <t>FY25A</t>
  </si>
  <si>
    <t>FY26A</t>
  </si>
  <si>
    <t>FY27E</t>
  </si>
  <si>
    <t>FY28E</t>
  </si>
  <si>
    <t>FY29E</t>
  </si>
  <si>
    <t>FY30E</t>
  </si>
  <si>
    <t>FY31E</t>
  </si>
  <si>
    <t>Revenue</t>
  </si>
  <si>
    <t>EBITDA</t>
  </si>
  <si>
    <t>EBITDA Margin %</t>
  </si>
  <si>
    <t>PAT</t>
  </si>
  <si>
    <t>FCFE</t>
  </si>
  <si>
    <t>SUM-OF-THE-PARTS VALUATION — SCENARIO COMPARISON (STATIC, ALL THREE CASES)</t>
  </si>
  <si>
    <t>Component</t>
  </si>
  <si>
    <t>FY31E Total Standalone Revenue</t>
  </si>
  <si>
    <t>Total Equity Value (SOTP)</t>
  </si>
  <si>
    <t>SOTP BUILD-UP (SELECTED SCENARIO)</t>
  </si>
  <si>
    <t>Standalone Core Business (DCF)</t>
  </si>
  <si>
    <t>(+) EESL (Book Value x P/B)</t>
  </si>
  <si>
    <t>(+) HDFC Life Stake (net of holding discount)</t>
  </si>
  <si>
    <t>Total Equity Value</t>
  </si>
  <si>
    <t>KNOWN MODEL LIMITATIONS (see cell comments throughout for sourcing detail):</t>
  </si>
  <si>
    <t>- Other Expenses split Fixed (Rs.1,591cr @ 9.2% of revenue, grown at 8%/yr) + Variable (10.1% of Revenue, scales with Revenue) via LINE-ITEM CLASSIFICATION of all 27 items in audited Note 32 + Note 29 - not a statistical fit. Cross-checked stable across FY24-FY26 (no trend in the ratios historically) - BUT historical stability occurred during a slow-growth period (Revenue +3.5-4.1%/yr) where Fixed-cost inflation (~5-8%) happened to be similar in magnitude; this says little about whether Fixed costs stay decoupled from Revenue once growth is 8-14%/yr as forecast. 8%/yr growth (up from 5%) partially offsets the operating-leverage/margin-expansion effect vs. Variable's revenue-linked growth.</t>
  </si>
  <si>
    <t>- Other Income = 5% interest on PRIOR YEAR closing Cash &amp; Cash Equivalents (non-circular by construction - deliberately NOT current-year cash, which would create a Cash-&gt;Income-&gt;PAT-&gt;FCFE-&gt;Cash feedback loop; tested and confirmed unstable/runaway if built that way). Cash itself grows substantially over the forecast (debt-free, high-retention, flat Rs.170cr dividend against growing PAT) - worth revisiting whether a rising payout ratio or buyback assumption is more realistic than letting cash accumulate unchecked.</t>
  </si>
  <si>
    <t>- Discount rate (12%) and select EESL infusion phasing (Rs.500cr/300cr FY27/28) are placeholders/assumptions pending further refinement.</t>
  </si>
  <si>
    <t>- Balance Sheet forecasts only selected line items (per scope) - will not fully reconcile Assets = Liabilities + Equity.</t>
  </si>
  <si>
    <t>- Non-Institutional growth ('mid-teens') rests on unverified management commentary - carries ~71% of revenue weight (MEDIUM confidence). NOTE: audited Ind AS 115 disaggregation (Note 25) shows Institutional/Non-institutional at 24.6%/75.4% (FY26) - closely validates the 25%/75% assumption used to build the revenue module.</t>
  </si>
  <si>
    <t>- Export FY28E share-recovery mechanic implies a &gt;100% single-year increase - aggressive; consider phasing over 2-3 years if desired.</t>
  </si>
  <si>
    <t>- HDFC Life stake value (Rs.5,144.43cr) is the Mar-26 audited mark; live price has since moved (e.g. Rs.555 vs Rs.591 implied - a further ~6% decline) - update Assumptions!D73 periodically.</t>
  </si>
  <si>
    <t>Exide Industries Limited — Model Assumptions (Standalone)</t>
  </si>
  <si>
    <t>SCENARIO SELECTOR</t>
  </si>
  <si>
    <t>Scenario Index (1=Bear, 2=Base, 3=Bull)</t>
  </si>
  <si>
    <t>REVENUE BUILD — FY26 AUDITED BASE</t>
  </si>
  <si>
    <t>Total Standalone Revenue FY26 (Rs. cr)</t>
  </si>
  <si>
    <t>Domestic % of Total Revenue</t>
  </si>
  <si>
    <t>Export % of Total Revenue</t>
  </si>
  <si>
    <t>Institutional % of Domestic Revenue</t>
  </si>
  <si>
    <t>Non-Institutional % of Domestic Revenue</t>
  </si>
  <si>
    <t>FY26 Domestic Institutional Revenue (Rs. cr)</t>
  </si>
  <si>
    <t>FY26 Domestic Non-Institutional Revenue (Rs. cr)</t>
  </si>
  <si>
    <t>FY26 Exports (Rs. cr)</t>
  </si>
  <si>
    <t>GROWTH RATE ASSUMPTIONS BY SCENARIO (FY27E-FY31E)</t>
  </si>
  <si>
    <t>Scenario</t>
  </si>
  <si>
    <t>Institutional Growth %</t>
  </si>
  <si>
    <t>Selected (scenario-driven)</t>
  </si>
  <si>
    <t>Non-Institutional Growth %</t>
  </si>
  <si>
    <t>Export Growth % (FY27E explicit only)</t>
  </si>
  <si>
    <t>Selected (scenario-driven) - FY27E only</t>
  </si>
  <si>
    <t>Export Target Share of Total Revenue (FY28E onward)</t>
  </si>
  <si>
    <t>REVENUE BUILD (SELECTED SCENARIO) — Rs. cr</t>
  </si>
  <si>
    <t>Domestic Institutional</t>
  </si>
  <si>
    <t>Domestic Non-Institutional</t>
  </si>
  <si>
    <t>Exports</t>
  </si>
  <si>
    <t>Total Standalone Revenue</t>
  </si>
  <si>
    <t>COST &amp; MARGIN ASSUMPTIONS</t>
  </si>
  <si>
    <t>COGS % of Revenue</t>
  </si>
  <si>
    <t>FY26 Operating EBITDA (Rs. cr) - reference anchor</t>
  </si>
  <si>
    <t>Other Expenses — Fixed Component (Rs. cr) / Variable Rate (% Rev)</t>
  </si>
  <si>
    <t>Fixed Component Growth Rate (inflation proxy)</t>
  </si>
  <si>
    <t>Interest Rate on Cash &amp; Cash Equivalents (Other Income proxy)</t>
  </si>
  <si>
    <t>DEPRECIATION &amp; CAPEX (STANDALONE)</t>
  </si>
  <si>
    <t>FY26 Closing Net PP&amp;E (Rs. cr)</t>
  </si>
  <si>
    <t>FY26 Closing CWIP (Rs. cr)</t>
  </si>
  <si>
    <t>Depreciation Rate (% of Opening Net Block)</t>
  </si>
  <si>
    <t>Standalone Capex (Rs. cr per year, FY27E-FY31E)</t>
  </si>
  <si>
    <t>WORKING CAPITAL DAYS (FY26 AUDITED ACTUAL, HELD CONSTANT)</t>
  </si>
  <si>
    <t>Inventory Days</t>
  </si>
  <si>
    <t>Receivable Days</t>
  </si>
  <si>
    <t>Payable Days</t>
  </si>
  <si>
    <t>TAX &amp; DIVIDEND</t>
  </si>
  <si>
    <t>Tax Rate</t>
  </si>
  <si>
    <t>Dividend (Rs. cr per year, flat)</t>
  </si>
  <si>
    <t>EESL EQUITY INFUSION SCHEDULE (STANDALONE FUNDING)</t>
  </si>
  <si>
    <t>Remaining EESL Project Capex Required (Rs. cr)</t>
  </si>
  <si>
    <t>Annual Infusion Schedule (Rs. cr)</t>
  </si>
  <si>
    <t>Cumulative EESL Investment (Rs. cr)</t>
  </si>
  <si>
    <t>SOTP VALUATION INPUTS</t>
  </si>
  <si>
    <t>EESL Book Value for P/B (Rs. cr)</t>
  </si>
  <si>
    <t>EESL P/B Multiple (x)</t>
  </si>
  <si>
    <t>HDFC Life Stake Value - Audited Fair Value (Rs. cr)</t>
  </si>
  <si>
    <t>Holding Company Discount</t>
  </si>
  <si>
    <t>Shares Outstanding (cr)</t>
  </si>
  <si>
    <t>DISCOUNT RATE &amp; TERMINAL GROWTH</t>
  </si>
  <si>
    <t>Cost of Equity / WACC — PLACEHOLDER, UPDATE LATER</t>
  </si>
  <si>
    <t>Terminal Growth Rate</t>
  </si>
  <si>
    <t>DEPRECIATION SCHEDULE (STANDALONE, HALF-YEAR CONVENTION ON NEW CAPEX)</t>
  </si>
  <si>
    <t>Opening Net Block (PP&amp;E + CWIP)</t>
  </si>
  <si>
    <t>Capex (CWIP conversion assumed same year)</t>
  </si>
  <si>
    <t>Depreciation (Opening Base x Rate + Half-Yr on New Capex)</t>
  </si>
  <si>
    <t>Closing Net Block</t>
  </si>
  <si>
    <t>LEASE LIABILITY SCHEDULE (Solar Power PPA, 25-yr, Note 43)</t>
  </si>
  <si>
    <t>Implicit Discount Rate</t>
  </si>
  <si>
    <t>Annual Payment (Rs. cr)</t>
  </si>
  <si>
    <t>Opening Balance</t>
  </si>
  <si>
    <t>Interest Accrued</t>
  </si>
  <si>
    <t>Principal Repayment (Payment - Interest)</t>
  </si>
  <si>
    <t>Closing Balance</t>
  </si>
  <si>
    <t>Exide Industries Limited — Standalone P&amp;L (Rs. cr)</t>
  </si>
  <si>
    <t>COGS (% of Revenue)</t>
  </si>
  <si>
    <t>COGS</t>
  </si>
  <si>
    <t>Gross Profit</t>
  </si>
  <si>
    <t>Other Expenses (Fixed + inflation, plus Variable % of Revenue)</t>
  </si>
  <si>
    <t>EBITDA (Operating, excl. Other Income)</t>
  </si>
  <si>
    <t>Depreciation &amp; Amortisation</t>
  </si>
  <si>
    <t>EBIT</t>
  </si>
  <si>
    <t>Interest (Lease schedule + flat non-lease)</t>
  </si>
  <si>
    <t>Other Income (5% interest on prior-year cash)</t>
  </si>
  <si>
    <t>PBT</t>
  </si>
  <si>
    <t>Tax</t>
  </si>
  <si>
    <t>Exide Industries Limited — Standalone Balance Sheet (Rs. cr)</t>
  </si>
  <si>
    <t>Net Fixed Assets (PP&amp;E + CWIP)</t>
  </si>
  <si>
    <t>Investment in EESL (at cost)</t>
  </si>
  <si>
    <t>Investment in HDFC Life (fair value)</t>
  </si>
  <si>
    <t>Inventories</t>
  </si>
  <si>
    <t>Trade Receivables</t>
  </si>
  <si>
    <t>Cash &amp; Cash Equivalents</t>
  </si>
  <si>
    <t>Trade Payables</t>
  </si>
  <si>
    <t>Equity Share Capital</t>
  </si>
  <si>
    <t>Reserves (Other Equity)</t>
  </si>
  <si>
    <t>Lease Liabilities (Total)</t>
  </si>
  <si>
    <t>Exide Industries Limited — Standalone Cash Flow, FCFF/FCFE (Rs. cr)</t>
  </si>
  <si>
    <t>(+) Depreciation &amp; Amortisation</t>
  </si>
  <si>
    <t>(+) After-tax Interest (FCFF add-back only)</t>
  </si>
  <si>
    <t>(-) Capex</t>
  </si>
  <si>
    <t>(-) EESL Equity Infusion</t>
  </si>
  <si>
    <t>(-) Lease Principal Repayment</t>
  </si>
  <si>
    <t>(-)/(+) Change in Working Capital</t>
  </si>
  <si>
    <t>FCFE (Free Cash Flow to Equity)</t>
  </si>
  <si>
    <t>FCFF (Free Cash Flow to Firm, unlevered)</t>
  </si>
  <si>
    <t>Exide Industries Limited — Standalone DCF &amp; Sum-of-the-Parts Valuation</t>
  </si>
  <si>
    <t>Scenario shown below (linked to Assumptions!C3):</t>
  </si>
  <si>
    <t>STANDALONE DCF — SELECTED SCENARIO (Rs. cr)</t>
  </si>
  <si>
    <t>Discount Period</t>
  </si>
  <si>
    <t>Discount Factor</t>
  </si>
  <si>
    <t>PV of FCFE</t>
  </si>
  <si>
    <t>Sum of PV (Explicit Period, FY27E-FY31E)</t>
  </si>
  <si>
    <t>Terminal Value (Gordon Growth, at FY31E)</t>
  </si>
  <si>
    <t>PV of Terminal Value</t>
  </si>
  <si>
    <t>Standalone Equity Value (DCF)</t>
  </si>
  <si>
    <t>SUM-OF-THE-PARTS</t>
  </si>
  <si>
    <t>(+) EESL — Book Value x P/B Multiple</t>
  </si>
  <si>
    <t>(+) HDFC Life Stake (CMP x (1-Holding Discount))</t>
  </si>
  <si>
    <t>SCENARIO COMPARISON (STATIC — ALL THREE CASES, INDEPENDENT OF TOGGLE ABOVE)</t>
  </si>
  <si>
    <t>Built by re-running the Revenue-&gt;FCFE-&gt;Value chain with scenario index fixed at 1/2/3 (Bear/Base/Bull), reusing scenario-invariant cost/capex/WC/tax assumptions.</t>
  </si>
  <si>
    <t>SCENARIO: Bear</t>
  </si>
  <si>
    <t>Total Revenue</t>
  </si>
  <si>
    <t>EBITDA (Revenue - COGS - Other Exp., own scenario revenue)</t>
  </si>
  <si>
    <t>(-)/(+) Change in Working Capital (own scenario revenue)</t>
  </si>
  <si>
    <t>Cash &amp; Cash Equivalents (own scenario roll-forward)</t>
  </si>
  <si>
    <t>FCFE (PAT + D&amp;A - Capex - EESL - Lease Principal - dWC)</t>
  </si>
  <si>
    <t>PV of FCFE (at placeholder WACC)</t>
  </si>
  <si>
    <t>Standalone DCF + EESL + HDFC Life = Total Equity Value</t>
  </si>
  <si>
    <t>SCENARIO: Base</t>
  </si>
  <si>
    <t>SCENARIO: Bull</t>
  </si>
  <si>
    <t>Exide Industries Limited — Ratio Analysis (Standalone)</t>
  </si>
  <si>
    <t>Presentation-style comparison, historical actual (FY24-26) and forecast (selected scenario, FY27E-31E)</t>
  </si>
  <si>
    <t>GROWTH &amp; MARGIN RATIOS</t>
  </si>
  <si>
    <t>Revenue Growth %</t>
  </si>
  <si>
    <t>n/a</t>
  </si>
  <si>
    <t>PAT Margin %</t>
  </si>
  <si>
    <t>RETURN RATIOS</t>
  </si>
  <si>
    <t>ROCE — Core Basis (excl. EESL &amp; HDFC Life)</t>
  </si>
  <si>
    <t>ROCE — Total Basis (incl. EESL &amp; HDFC Life)</t>
  </si>
  <si>
    <t>ROE (PAT / Closing Equity)</t>
  </si>
  <si>
    <t>MEMO: As Disclosed in Investor Presentations (unreconciled - see note)</t>
  </si>
  <si>
    <t>ROCE (Core Business) — Nov'25 IP basis, Mar/Sep'25</t>
  </si>
  <si>
    <t>ROCE (Core Business) — Q4FY26 IP basis, FY25/FY26 (excl. HDFC+EESL)</t>
  </si>
  <si>
    <t>These two disclosed series do NOT reconcile to each other (10+pp gap, likely different Capital Employed denominators) - flagged as an unresolved primary-source discrepancy since our first pass through these documents. Our own formula-driven ROCE rows above are internally consistent across all years but will not match either disclosed series exactly.</t>
  </si>
  <si>
    <t>MARKET-BASED MULTIPLES (Rs.360.55/share CMP anchor - Apr'26 Market Cap Rs.30,647cr / 85cr shares, per AR26)</t>
  </si>
  <si>
    <t>Reference Market Cap (Rs. cr, held constant)</t>
  </si>
  <si>
    <t>Reference CMP (Rs./share)</t>
  </si>
  <si>
    <t>EV / EBITDA (x)</t>
  </si>
  <si>
    <t>P / E (x)</t>
  </si>
  <si>
    <t>Trailing P/E (FY26A basis)</t>
  </si>
  <si>
    <t>Forward P/E (FY27E basis)</t>
  </si>
  <si>
    <t>Historical P/E range (FY24A-FY26A) and Forward range (FY27E-FY31E) both shown in the P/E row above, columns C-J. 'Historical', 'Trailing' and 'Forward' are the same calculation (Ref. CMP / that year's EPS) applied to different columns - not three different methodologies.</t>
  </si>
  <si>
    <t>Upside/Downside</t>
  </si>
  <si>
    <t>Risk-Free Rate</t>
  </si>
  <si>
    <t>Equity Risk Premium</t>
  </si>
  <si>
    <t>Beta</t>
  </si>
  <si>
    <t>Justified P/E (BASE)</t>
  </si>
  <si>
    <t>VARIABLE (revenue/volume-linked)</t>
  </si>
  <si>
    <t>Power and fuel</t>
  </si>
  <si>
    <t>Warranty expenses</t>
  </si>
  <si>
    <t>Freight &amp; Forwarding (net)</t>
  </si>
  <si>
    <t>Stores and spare parts consumed</t>
  </si>
  <si>
    <t>Battery Charging/assembly expenses</t>
  </si>
  <si>
    <t>After Sales Services</t>
  </si>
  <si>
    <t>Royalty and Technical Aid Fees</t>
  </si>
  <si>
    <t>Clearing and forwarding Expenses</t>
  </si>
  <si>
    <t>Commission</t>
  </si>
  <si>
    <t>Total Variable</t>
  </si>
  <si>
    <t>Salaries, wages and bonus</t>
  </si>
  <si>
    <t>Contribution to PF and other funds</t>
  </si>
  <si>
    <t>Staff welfare expenses</t>
  </si>
  <si>
    <t>Miscellaneous expenses</t>
  </si>
  <si>
    <t>Publicity and Sales Promotion</t>
  </si>
  <si>
    <t>Software expenses</t>
  </si>
  <si>
    <t>Rent &amp; Hire Charges</t>
  </si>
  <si>
    <t>Travelling &amp; Conveyance</t>
  </si>
  <si>
    <t>Repairs &amp; maintenance (Buildings+P&amp;M+Others)</t>
  </si>
  <si>
    <t>Insurance</t>
  </si>
  <si>
    <t>Auditors' Remuneration</t>
  </si>
  <si>
    <t>Rates and taxes</t>
  </si>
  <si>
    <t>Loss on PP&amp;E sold/discarded (net)</t>
  </si>
  <si>
    <t>Communication Costs</t>
  </si>
  <si>
    <t>Bank Charges</t>
  </si>
  <si>
    <t>Directors' Sitting Fees</t>
  </si>
  <si>
    <t>FIXED (admin/infrastructure-linked)</t>
  </si>
  <si>
    <t>Total Fixed</t>
  </si>
  <si>
    <t xml:space="preserve">  Variable as % of standalone revenue</t>
  </si>
  <si>
    <t xml:space="preserve">  Fixed as % of standalone revenue</t>
  </si>
  <si>
    <t>TOTAL Other Expenses</t>
  </si>
  <si>
    <t>Consolidated</t>
  </si>
  <si>
    <t>FY24</t>
  </si>
  <si>
    <t>FY25</t>
  </si>
  <si>
    <t>FY26</t>
  </si>
  <si>
    <t>Qtr. Revenue</t>
  </si>
  <si>
    <t>Annual Revenue</t>
  </si>
  <si>
    <t>% of Revenue</t>
  </si>
  <si>
    <t>Standalone</t>
  </si>
  <si>
    <t>FY27F</t>
  </si>
  <si>
    <t>FY27A</t>
  </si>
  <si>
    <t>Difference</t>
  </si>
  <si>
    <t>Quarter 1</t>
  </si>
  <si>
    <t>Quarter 2</t>
  </si>
  <si>
    <t>Quarter 3</t>
  </si>
  <si>
    <t>Quarter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</si>
</sst>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.0"/>
    <numFmt numFmtId="165" formatCode="#,##0.00;\(#,##0.00\);\-"/>
    <numFmt numFmtId="166" formatCode="0.0%"/>
    <numFmt numFmtId="167" formatCode="#,##0;\(#,##0\);\-"/>
    <numFmt numFmtId="168" formatCode="0.0"/>
    <numFmt numFmtId="169" formatCode="0.0\x"/>
    <numFmt numFmtId="170" formatCode="0.000"/>
    <numFmt numFmtId="171" formatCode="#,##0.0;\(#,##0.0\);\-"/>
  </numFmts>
  <fonts count="3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FFFFFF"/>
      <name val="Arial"/>
      <family val="2"/>
    </font>
    <font>
      <i/>
      <sz val="8"/>
      <color rgb="FF808080"/>
      <name val="Arial"/>
      <family val="2"/>
    </font>
    <font>
      <b/>
      <sz val="11"/>
      <color rgb="FFFFFFFF"/>
      <name val="Arial"/>
      <family val="2"/>
    </font>
    <font>
      <b/>
      <sz val="12"/>
      <name val="Arial"/>
      <family val="2"/>
    </font>
    <font>
      <b/>
      <sz val="16"/>
      <color rgb="FF1F4E78"/>
      <name val="Arial"/>
      <family val="2"/>
    </font>
    <font>
      <b/>
      <sz val="10"/>
      <name val="Arial"/>
      <family val="2"/>
    </font>
    <font>
      <b/>
      <sz val="12"/>
      <color rgb="FF008000"/>
      <name val="Arial"/>
      <family val="2"/>
    </font>
    <font>
      <sz val="10"/>
      <name val="Arial"/>
      <family val="2"/>
    </font>
    <font>
      <sz val="10"/>
      <color rgb="FF008000"/>
      <name val="Arial"/>
      <family val="2"/>
    </font>
    <font>
      <b/>
      <sz val="11"/>
      <name val="Arial"/>
      <family val="2"/>
    </font>
    <font>
      <b/>
      <sz val="11"/>
      <color rgb="FF008000"/>
      <name val="Arial"/>
      <family val="2"/>
    </font>
    <font>
      <b/>
      <i/>
      <sz val="9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i/>
      <sz val="10"/>
      <name val="Arial"/>
      <family val="2"/>
    </font>
    <font>
      <b/>
      <sz val="10"/>
      <color rgb="FF008000"/>
      <name val="Arial"/>
      <family val="2"/>
    </font>
    <font>
      <b/>
      <sz val="11"/>
      <color rgb="FF0000FF"/>
      <name val="Arial"/>
      <family val="2"/>
    </font>
    <font>
      <b/>
      <sz val="12"/>
      <color rgb="FF1F4E78"/>
      <name val="Arial"/>
      <family val="2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22222F"/>
      <name val="Arial"/>
      <family val="2"/>
    </font>
    <font>
      <b/>
      <sz val="10"/>
      <color rgb="FF000000"/>
      <name val="Arial"/>
      <family val="2"/>
    </font>
    <font>
      <b/>
      <sz val="11"/>
      <name val="Cambria"/>
      <family val="1"/>
    </font>
    <font>
      <b/>
      <sz val="11"/>
      <color rgb="FFFFFFFF"/>
      <name val="Cambria"/>
      <family val="1"/>
    </font>
    <font>
      <b/>
      <i/>
      <sz val="11"/>
      <name val="Cambria"/>
      <family val="1"/>
    </font>
    <font>
      <sz val="11"/>
      <color rgb="FF0000FF"/>
      <name val="Cambria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b/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C7CE"/>
      </patternFill>
    </fill>
    <fill>
      <patternFill patternType="solid">
        <fgColor rgb="FFEDEDED"/>
        <bgColor indexed="64"/>
      </patternFill>
    </fill>
    <fill>
      <patternFill patternType="solid">
        <fgColor rgb="FFC9C9C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DBE4F0"/>
      </bottom>
      <diagonal/>
    </border>
    <border>
      <left/>
      <right/>
      <top style="medium">
        <color indexed="64"/>
      </top>
      <bottom style="medium">
        <color rgb="FFDBE4F0"/>
      </bottom>
      <diagonal/>
    </border>
    <border>
      <left/>
      <right style="medium">
        <color indexed="64"/>
      </right>
      <top style="medium">
        <color indexed="64"/>
      </top>
      <bottom style="medium">
        <color rgb="FFDBE4F0"/>
      </bottom>
      <diagonal/>
    </border>
    <border>
      <left style="medium">
        <color indexed="64"/>
      </left>
      <right/>
      <top style="thick">
        <color rgb="FFDBE4F0"/>
      </top>
      <bottom style="medium">
        <color indexed="64"/>
      </bottom>
      <diagonal/>
    </border>
    <border>
      <left/>
      <right/>
      <top style="thick">
        <color rgb="FFDBE4F0"/>
      </top>
      <bottom style="medium">
        <color indexed="64"/>
      </bottom>
      <diagonal/>
    </border>
    <border>
      <left/>
      <right style="medium">
        <color indexed="64"/>
      </right>
      <top style="thick">
        <color rgb="FFDBE4F0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0" fillId="6" borderId="0" applyNumberFormat="0" applyBorder="0" applyAlignment="0" applyProtection="0"/>
  </cellStyleXfs>
  <cellXfs count="80">
    <xf numFmtId="0" fontId="0" fillId="0" borderId="0" xfId="0"/>
    <xf numFmtId="0" fontId="0" fillId="0" borderId="0" xfId="0" applyAlignment="1" applyProtection="1"/>
    <xf numFmtId="0" fontId="3" fillId="0" borderId="0" xfId="0" applyFont="1" applyAlignment="1" applyProtection="1"/>
    <xf numFmtId="0" fontId="5" fillId="0" borderId="0" xfId="0" applyFont="1" applyAlignment="1" applyProtection="1">
      <alignment horizontal="center"/>
    </xf>
    <xf numFmtId="0" fontId="5" fillId="0" borderId="0" xfId="0" applyFont="1" applyAlignment="1" applyProtection="1"/>
    <xf numFmtId="164" fontId="6" fillId="4" borderId="0" xfId="0" applyNumberFormat="1" applyFont="1" applyFill="1" applyAlignment="1" applyProtection="1">
      <alignment horizontal="center"/>
    </xf>
    <xf numFmtId="0" fontId="7" fillId="0" borderId="0" xfId="0" applyFont="1" applyAlignment="1" applyProtection="1"/>
    <xf numFmtId="0" fontId="8" fillId="4" borderId="0" xfId="0" applyFont="1" applyFill="1" applyAlignment="1" applyProtection="1"/>
    <xf numFmtId="0" fontId="7" fillId="0" borderId="0" xfId="0" applyFont="1" applyAlignment="1" applyProtection="1">
      <alignment horizontal="center"/>
    </xf>
    <xf numFmtId="0" fontId="9" fillId="0" borderId="0" xfId="0" applyFont="1" applyAlignment="1" applyProtection="1"/>
    <xf numFmtId="165" fontId="10" fillId="0" borderId="0" xfId="0" applyNumberFormat="1" applyFont="1" applyAlignment="1" applyProtection="1"/>
    <xf numFmtId="166" fontId="10" fillId="0" borderId="0" xfId="0" applyNumberFormat="1" applyFont="1" applyAlignment="1" applyProtection="1"/>
    <xf numFmtId="0" fontId="11" fillId="4" borderId="0" xfId="0" applyFont="1" applyFill="1" applyAlignment="1" applyProtection="1"/>
    <xf numFmtId="164" fontId="11" fillId="4" borderId="0" xfId="0" applyNumberFormat="1" applyFont="1" applyFill="1" applyAlignment="1" applyProtection="1"/>
    <xf numFmtId="165" fontId="12" fillId="0" borderId="0" xfId="0" applyNumberFormat="1" applyFont="1" applyAlignment="1" applyProtection="1"/>
    <xf numFmtId="164" fontId="12" fillId="4" borderId="0" xfId="0" applyNumberFormat="1" applyFont="1" applyFill="1" applyAlignment="1" applyProtection="1"/>
    <xf numFmtId="0" fontId="13" fillId="0" borderId="0" xfId="0" applyFont="1" applyAlignment="1" applyProtection="1"/>
    <xf numFmtId="0" fontId="14" fillId="0" borderId="0" xfId="0" applyFont="1" applyAlignment="1" applyProtection="1">
      <alignment horizontal="center"/>
    </xf>
    <xf numFmtId="165" fontId="15" fillId="0" borderId="0" xfId="0" applyNumberFormat="1" applyFont="1" applyAlignment="1" applyProtection="1"/>
    <xf numFmtId="166" fontId="15" fillId="0" borderId="0" xfId="0" applyNumberFormat="1" applyFont="1" applyAlignment="1" applyProtection="1"/>
    <xf numFmtId="166" fontId="14" fillId="0" borderId="0" xfId="0" applyNumberFormat="1" applyFont="1" applyAlignment="1" applyProtection="1"/>
    <xf numFmtId="165" fontId="14" fillId="0" borderId="0" xfId="0" applyNumberFormat="1" applyFont="1" applyAlignment="1" applyProtection="1"/>
    <xf numFmtId="0" fontId="16" fillId="0" borderId="0" xfId="0" applyFont="1" applyAlignment="1" applyProtection="1"/>
    <xf numFmtId="165" fontId="7" fillId="0" borderId="0" xfId="0" applyNumberFormat="1" applyFont="1" applyAlignment="1" applyProtection="1"/>
    <xf numFmtId="167" fontId="15" fillId="0" borderId="0" xfId="0" applyNumberFormat="1" applyFont="1" applyAlignment="1" applyProtection="1"/>
    <xf numFmtId="168" fontId="15" fillId="0" borderId="0" xfId="0" applyNumberFormat="1" applyFont="1" applyAlignment="1" applyProtection="1"/>
    <xf numFmtId="169" fontId="15" fillId="0" borderId="0" xfId="0" applyNumberFormat="1" applyFont="1" applyAlignment="1" applyProtection="1"/>
    <xf numFmtId="166" fontId="15" fillId="4" borderId="0" xfId="0" applyNumberFormat="1" applyFont="1" applyFill="1" applyAlignment="1" applyProtection="1"/>
    <xf numFmtId="165" fontId="17" fillId="0" borderId="0" xfId="0" applyNumberFormat="1" applyFont="1" applyAlignment="1" applyProtection="1"/>
    <xf numFmtId="166" fontId="3" fillId="0" borderId="0" xfId="0" applyNumberFormat="1" applyFont="1" applyAlignment="1" applyProtection="1"/>
    <xf numFmtId="0" fontId="11" fillId="5" borderId="0" xfId="0" applyFont="1" applyFill="1" applyAlignment="1" applyProtection="1"/>
    <xf numFmtId="165" fontId="18" fillId="5" borderId="0" xfId="0" applyNumberFormat="1" applyFont="1" applyFill="1" applyAlignment="1" applyProtection="1"/>
    <xf numFmtId="165" fontId="11" fillId="5" borderId="0" xfId="0" applyNumberFormat="1" applyFont="1" applyFill="1" applyAlignment="1" applyProtection="1"/>
    <xf numFmtId="0" fontId="12" fillId="4" borderId="0" xfId="0" applyFont="1" applyFill="1" applyAlignment="1" applyProtection="1"/>
    <xf numFmtId="1" fontId="15" fillId="0" borderId="0" xfId="0" applyNumberFormat="1" applyFont="1" applyAlignment="1" applyProtection="1"/>
    <xf numFmtId="170" fontId="10" fillId="0" borderId="0" xfId="0" applyNumberFormat="1" applyFont="1" applyAlignment="1" applyProtection="1"/>
    <xf numFmtId="168" fontId="10" fillId="0" borderId="0" xfId="0" applyNumberFormat="1" applyFont="1" applyAlignment="1" applyProtection="1"/>
    <xf numFmtId="0" fontId="5" fillId="4" borderId="0" xfId="0" applyFont="1" applyFill="1" applyAlignment="1" applyProtection="1"/>
    <xf numFmtId="164" fontId="5" fillId="4" borderId="0" xfId="0" applyNumberFormat="1" applyFont="1" applyFill="1" applyAlignment="1" applyProtection="1"/>
    <xf numFmtId="0" fontId="3" fillId="0" borderId="0" xfId="0" applyFont="1" applyAlignment="1" applyProtection="1">
      <alignment horizontal="center"/>
    </xf>
    <xf numFmtId="4" fontId="14" fillId="0" borderId="0" xfId="0" applyNumberFormat="1" applyFont="1" applyAlignment="1" applyProtection="1"/>
    <xf numFmtId="169" fontId="10" fillId="0" borderId="0" xfId="0" applyNumberFormat="1" applyFont="1" applyAlignment="1" applyProtection="1"/>
    <xf numFmtId="169" fontId="19" fillId="4" borderId="0" xfId="0" applyNumberFormat="1" applyFont="1" applyFill="1" applyAlignment="1" applyProtection="1"/>
    <xf numFmtId="0" fontId="21" fillId="0" borderId="0" xfId="0" applyFont="1" applyAlignment="1" applyProtection="1"/>
    <xf numFmtId="10" fontId="20" fillId="6" borderId="0" xfId="1" applyNumberFormat="1" applyAlignment="1" applyProtection="1"/>
    <xf numFmtId="10" fontId="0" fillId="0" borderId="0" xfId="0" applyNumberFormat="1" applyAlignment="1" applyProtection="1"/>
    <xf numFmtId="3" fontId="22" fillId="0" borderId="0" xfId="0" applyNumberFormat="1" applyFont="1"/>
    <xf numFmtId="165" fontId="23" fillId="0" borderId="0" xfId="0" applyNumberFormat="1" applyFont="1" applyAlignment="1" applyProtection="1"/>
    <xf numFmtId="0" fontId="1" fillId="0" borderId="0" xfId="0" applyFont="1" applyAlignment="1" applyProtection="1"/>
    <xf numFmtId="0" fontId="24" fillId="0" borderId="0" xfId="0" applyFont="1" applyAlignment="1" applyProtection="1"/>
    <xf numFmtId="0" fontId="25" fillId="2" borderId="0" xfId="0" applyFont="1" applyFill="1" applyAlignment="1" applyProtection="1"/>
    <xf numFmtId="0" fontId="26" fillId="0" borderId="0" xfId="0" applyFont="1" applyAlignment="1" applyProtection="1"/>
    <xf numFmtId="171" fontId="24" fillId="0" borderId="0" xfId="0" applyNumberFormat="1" applyFont="1" applyAlignment="1" applyProtection="1"/>
    <xf numFmtId="166" fontId="0" fillId="0" borderId="0" xfId="0" applyNumberFormat="1" applyAlignment="1" applyProtection="1"/>
    <xf numFmtId="171" fontId="27" fillId="0" borderId="0" xfId="0" applyNumberFormat="1" applyFont="1" applyAlignment="1" applyProtection="1"/>
    <xf numFmtId="0" fontId="21" fillId="0" borderId="0" xfId="0" applyFont="1"/>
    <xf numFmtId="0" fontId="2" fillId="2" borderId="0" xfId="0" applyFont="1" applyFill="1" applyBorder="1" applyAlignment="1" applyProtection="1">
      <alignment horizontal="left" vertical="center" indent="1"/>
    </xf>
    <xf numFmtId="0" fontId="4" fillId="3" borderId="0" xfId="0" applyFont="1" applyFill="1" applyBorder="1" applyAlignment="1" applyProtection="1">
      <alignment horizontal="left" vertical="center" indent="1"/>
    </xf>
    <xf numFmtId="0" fontId="29" fillId="7" borderId="0" xfId="0" applyFont="1" applyFill="1" applyAlignment="1">
      <alignment horizontal="center"/>
    </xf>
    <xf numFmtId="0" fontId="0" fillId="7" borderId="0" xfId="0" applyFill="1"/>
    <xf numFmtId="0" fontId="29" fillId="7" borderId="1" xfId="0" applyFont="1" applyFill="1" applyBorder="1" applyAlignment="1">
      <alignment horizontal="center"/>
    </xf>
    <xf numFmtId="17" fontId="30" fillId="7" borderId="2" xfId="0" applyNumberFormat="1" applyFont="1" applyFill="1" applyBorder="1" applyAlignment="1">
      <alignment horizontal="right" vertical="center" wrapText="1" indent="1"/>
    </xf>
    <xf numFmtId="17" fontId="30" fillId="7" borderId="3" xfId="0" applyNumberFormat="1" applyFont="1" applyFill="1" applyBorder="1" applyAlignment="1">
      <alignment horizontal="right" vertical="center" wrapText="1" indent="1"/>
    </xf>
    <xf numFmtId="17" fontId="30" fillId="7" borderId="4" xfId="0" applyNumberFormat="1" applyFont="1" applyFill="1" applyBorder="1" applyAlignment="1">
      <alignment horizontal="right" vertical="center" wrapText="1" indent="1"/>
    </xf>
    <xf numFmtId="3" fontId="31" fillId="7" borderId="5" xfId="0" applyNumberFormat="1" applyFont="1" applyFill="1" applyBorder="1" applyAlignment="1">
      <alignment horizontal="right" vertical="center" wrapText="1" indent="1"/>
    </xf>
    <xf numFmtId="3" fontId="31" fillId="7" borderId="6" xfId="0" applyNumberFormat="1" applyFont="1" applyFill="1" applyBorder="1" applyAlignment="1">
      <alignment horizontal="right" vertical="center" wrapText="1" indent="1"/>
    </xf>
    <xf numFmtId="3" fontId="31" fillId="7" borderId="7" xfId="0" applyNumberFormat="1" applyFont="1" applyFill="1" applyBorder="1" applyAlignment="1">
      <alignment horizontal="right" vertical="center" wrapText="1" indent="1"/>
    </xf>
    <xf numFmtId="3" fontId="29" fillId="7" borderId="8" xfId="0" applyNumberFormat="1" applyFont="1" applyFill="1" applyBorder="1" applyAlignment="1">
      <alignment horizontal="center"/>
    </xf>
    <xf numFmtId="9" fontId="0" fillId="7" borderId="0" xfId="0" applyNumberFormat="1" applyFill="1"/>
    <xf numFmtId="0" fontId="0" fillId="8" borderId="0" xfId="0" applyFill="1"/>
    <xf numFmtId="0" fontId="28" fillId="8" borderId="0" xfId="0" applyFont="1" applyFill="1" applyAlignment="1">
      <alignment horizontal="center"/>
    </xf>
    <xf numFmtId="9" fontId="0" fillId="8" borderId="0" xfId="0" applyNumberFormat="1" applyFill="1" applyAlignment="1">
      <alignment horizontal="center"/>
    </xf>
    <xf numFmtId="0" fontId="28" fillId="8" borderId="0" xfId="0" applyFont="1" applyFill="1" applyAlignment="1">
      <alignment horizontal="center"/>
    </xf>
    <xf numFmtId="0" fontId="28" fillId="8" borderId="0" xfId="0" applyFont="1" applyFill="1"/>
    <xf numFmtId="9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8" borderId="9" xfId="0" applyFill="1" applyBorder="1"/>
    <xf numFmtId="9" fontId="32" fillId="8" borderId="0" xfId="0" applyNumberFormat="1" applyFont="1" applyFill="1" applyAlignment="1">
      <alignment horizontal="center"/>
    </xf>
    <xf numFmtId="10" fontId="0" fillId="8" borderId="0" xfId="0" applyNumberFormat="1" applyFill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9C9C9"/>
      <color rgb="FFEDED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16" fmlaLink="Assumptions!$C$4" fmlaRange="Assumptions!$N$3:$N$5" noThreeD="1" sel="3" val="0"/>
</file>

<file path=xl/ctrlProps/ctrlProp2.xml><?xml version="1.0" encoding="utf-8"?>
<formControlPr xmlns="http://schemas.microsoft.com/office/spreadsheetml/2009/9/main" objectType="Drop" dropStyle="combo" dx="16" fmlaLink="$C$4" fmlaRange="$N$3:$N$5" noThreeD="1" sel="3" val="0"/>
</file>

<file path=xl/ctrlProps/ctrlProp3.xml><?xml version="1.0" encoding="utf-8"?>
<formControlPr xmlns="http://schemas.microsoft.com/office/spreadsheetml/2009/9/main" objectType="Drop" dropStyle="combo" dx="16" fmlaLink="Assumptions!$C$4" fmlaRange="Assumptions!$N$3:$N$5" noThreeD="1" sel="3" val="0"/>
</file>

<file path=xl/ctrlProps/ctrlProp4.xml><?xml version="1.0" encoding="utf-8"?>
<formControlPr xmlns="http://schemas.microsoft.com/office/spreadsheetml/2009/9/main" objectType="Drop" dropStyle="combo" dx="16" fmlaLink="Assumptions!$C$4" fmlaRange="Assumptions!$N$3:$N$5" noThreeD="1" sel="3" val="0"/>
</file>

<file path=xl/ctrlProps/ctrlProp5.xml><?xml version="1.0" encoding="utf-8"?>
<formControlPr xmlns="http://schemas.microsoft.com/office/spreadsheetml/2009/9/main" objectType="Drop" dropStyle="combo" dx="16" fmlaLink="Assumptions!$C$4" fmlaRange="Assumptions!$N$3:$N$5" noThreeD="1" sel="3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7169" name="Drop Down 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180975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1064" name="Drop Down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1</xdr:rowOff>
        </xdr:from>
        <xdr:to>
          <xdr:col>5</xdr:col>
          <xdr:colOff>0</xdr:colOff>
          <xdr:row>3</xdr:row>
          <xdr:rowOff>1</xdr:rowOff>
        </xdr:to>
        <xdr:sp macro="" textlink="">
          <xdr:nvSpPr>
            <xdr:cNvPr id="5132" name="Drop Down 12" hidden="1">
              <a:extLst>
                <a:ext uri="{63B3BB69-23CF-44E3-9099-C40C66FF867C}">
                  <a14:compatExt spid="_x0000_s51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</xdr:row>
          <xdr:rowOff>0</xdr:rowOff>
        </xdr:from>
        <xdr:to>
          <xdr:col>8</xdr:col>
          <xdr:colOff>0</xdr:colOff>
          <xdr:row>2</xdr:row>
          <xdr:rowOff>9525</xdr:rowOff>
        </xdr:to>
        <xdr:sp macro="" textlink="">
          <xdr:nvSpPr>
            <xdr:cNvPr id="6149" name="Drop Down 5" hidden="1">
              <a:extLst>
                <a:ext uri="{63B3BB69-23CF-44E3-9099-C40C66FF867C}">
                  <a14:compatExt spid="_x0000_s61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9525</xdr:colOff>
          <xdr:row>5</xdr:row>
          <xdr:rowOff>0</xdr:rowOff>
        </xdr:from>
        <xdr:to>
          <xdr:col>17</xdr:col>
          <xdr:colOff>0</xdr:colOff>
          <xdr:row>6</xdr:row>
          <xdr:rowOff>0</xdr:rowOff>
        </xdr:to>
        <xdr:sp macro="" textlink="">
          <xdr:nvSpPr>
            <xdr:cNvPr id="14338" name="Drop Down 2" hidden="1">
              <a:extLst>
                <a:ext uri="{63B3BB69-23CF-44E3-9099-C40C66FF867C}">
                  <a14:compatExt spid="_x0000_s143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3.xml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6.xml"/><Relationship Id="rId4" Type="http://schemas.openxmlformats.org/officeDocument/2006/relationships/ctrlProp" Target="../ctrlProps/ctrlProp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9"/>
  <sheetViews>
    <sheetView showGridLines="0" tabSelected="1" zoomScaleNormal="100" workbookViewId="0">
      <selection activeCell="D30" sqref="D30"/>
    </sheetView>
  </sheetViews>
  <sheetFormatPr defaultColWidth="8.7109375" defaultRowHeight="15" x14ac:dyDescent="0.25"/>
  <cols>
    <col min="1" max="1" width="2" style="1" customWidth="1"/>
    <col min="2" max="2" width="34" style="1" customWidth="1"/>
    <col min="3" max="10" width="13" style="1" customWidth="1"/>
  </cols>
  <sheetData>
    <row r="1" spans="1:10" ht="24" customHeight="1" x14ac:dyDescent="0.25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</row>
    <row r="2" spans="1:10" x14ac:dyDescent="0.25">
      <c r="B2" s="2" t="s">
        <v>1</v>
      </c>
    </row>
    <row r="4" spans="1:10" ht="15.75" customHeight="1" x14ac:dyDescent="0.25">
      <c r="A4" s="57" t="s">
        <v>2</v>
      </c>
      <c r="B4" s="57"/>
      <c r="C4" s="57"/>
      <c r="D4" s="57"/>
      <c r="E4" s="57"/>
      <c r="F4" s="57"/>
    </row>
    <row r="5" spans="1:10" ht="15.75" x14ac:dyDescent="0.25">
      <c r="C5" s="3" t="s">
        <v>3</v>
      </c>
      <c r="D5" s="3" t="s">
        <v>4</v>
      </c>
      <c r="E5" s="3" t="s">
        <v>5</v>
      </c>
    </row>
    <row r="6" spans="1:10" ht="25.5" customHeight="1" x14ac:dyDescent="0.3">
      <c r="B6" s="4" t="s">
        <v>6</v>
      </c>
      <c r="C6" s="5">
        <f>'DCF &amp; SOTP'!E39</f>
        <v>308.93724197941668</v>
      </c>
      <c r="D6" s="5">
        <f>'DCF &amp; SOTP'!E52</f>
        <v>340.61512909631625</v>
      </c>
      <c r="E6" s="5">
        <f>'DCF &amp; SOTP'!E65</f>
        <v>354.44051036854381</v>
      </c>
    </row>
    <row r="7" spans="1:10" x14ac:dyDescent="0.25">
      <c r="B7" s="43" t="s">
        <v>187</v>
      </c>
      <c r="C7" s="44">
        <f>C6/Ratios!$D$23-1</f>
        <v>-0.26303138840787998</v>
      </c>
      <c r="D7" s="44">
        <f>D6/Ratios!$D$23-1</f>
        <v>-0.18746390959848225</v>
      </c>
      <c r="E7" s="44">
        <f>E6/Ratios!$D$23-1</f>
        <v>-0.15448351534221416</v>
      </c>
    </row>
    <row r="8" spans="1:10" ht="15.75" x14ac:dyDescent="0.25">
      <c r="B8" s="6" t="s">
        <v>7</v>
      </c>
      <c r="D8" s="7">
        <f>Assumptions!C3</f>
        <v>0</v>
      </c>
    </row>
    <row r="10" spans="1:10" ht="15.75" customHeight="1" x14ac:dyDescent="0.25">
      <c r="A10" s="57" t="s">
        <v>8</v>
      </c>
      <c r="B10" s="57"/>
      <c r="C10" s="57"/>
      <c r="D10" s="57"/>
      <c r="E10" s="57"/>
      <c r="F10" s="57"/>
      <c r="G10" s="57"/>
      <c r="H10" s="57"/>
      <c r="I10" s="57"/>
      <c r="J10" s="57"/>
    </row>
    <row r="11" spans="1:10" x14ac:dyDescent="0.25">
      <c r="B11" s="6" t="s">
        <v>9</v>
      </c>
      <c r="C11" s="8" t="s">
        <v>10</v>
      </c>
      <c r="D11" s="8" t="s">
        <v>11</v>
      </c>
      <c r="E11" s="8" t="s">
        <v>12</v>
      </c>
      <c r="F11" s="8" t="s">
        <v>13</v>
      </c>
      <c r="G11" s="8" t="s">
        <v>14</v>
      </c>
      <c r="H11" s="8" t="s">
        <v>15</v>
      </c>
      <c r="I11" s="8" t="s">
        <v>16</v>
      </c>
      <c r="J11" s="8" t="s">
        <v>17</v>
      </c>
    </row>
    <row r="12" spans="1:10" x14ac:dyDescent="0.25">
      <c r="B12" s="9" t="s">
        <v>18</v>
      </c>
      <c r="C12" s="10">
        <f>'P&amp;L'!C4</f>
        <v>16029.19</v>
      </c>
      <c r="D12" s="10">
        <f>'P&amp;L'!D4</f>
        <v>16588.11</v>
      </c>
      <c r="E12" s="10">
        <f>'P&amp;L'!E4</f>
        <v>17268.919999999998</v>
      </c>
      <c r="F12" s="10">
        <f>'P&amp;L'!F4</f>
        <v>19319.604249999997</v>
      </c>
      <c r="G12" s="10">
        <f>'P&amp;L'!G4</f>
        <v>22473.716176304344</v>
      </c>
      <c r="H12" s="10">
        <f>'P&amp;L'!H4</f>
        <v>24957.7278403663</v>
      </c>
      <c r="I12" s="10">
        <f>'P&amp;L'!I4</f>
        <v>27473.216883544465</v>
      </c>
      <c r="J12" s="10">
        <f>'P&amp;L'!J4</f>
        <v>30005.331192614743</v>
      </c>
    </row>
    <row r="13" spans="1:10" x14ac:dyDescent="0.25">
      <c r="B13" s="9" t="s">
        <v>19</v>
      </c>
      <c r="C13" s="10">
        <f>'P&amp;L'!C9</f>
        <v>1871.38</v>
      </c>
      <c r="D13" s="10">
        <f>'P&amp;L'!D9</f>
        <v>1893.14</v>
      </c>
      <c r="E13" s="10">
        <f>'P&amp;L'!E9</f>
        <v>1942.85</v>
      </c>
      <c r="F13" s="10">
        <f>'P&amp;L'!F9</f>
        <v>2174.3032457499999</v>
      </c>
      <c r="G13" s="10">
        <f>'P&amp;L'!G9</f>
        <v>2718.4566190845644</v>
      </c>
      <c r="H13" s="10">
        <f>'P&amp;L'!H9</f>
        <v>3125.084295232894</v>
      </c>
      <c r="I13" s="10">
        <f>'P&amp;L'!I9</f>
        <v>3533.59143757535</v>
      </c>
      <c r="J13" s="10">
        <f>'P&amp;L'!J9</f>
        <v>3940.8032489678344</v>
      </c>
    </row>
    <row r="14" spans="1:10" x14ac:dyDescent="0.25">
      <c r="B14" s="2" t="s">
        <v>20</v>
      </c>
      <c r="C14" s="11">
        <f>'P&amp;L'!C10</f>
        <v>0.11674825739790969</v>
      </c>
      <c r="D14" s="11">
        <f>'P&amp;L'!D10</f>
        <v>0.11412632301087948</v>
      </c>
      <c r="E14" s="11">
        <f>'P&amp;L'!E10</f>
        <v>0.11250558807383439</v>
      </c>
      <c r="F14" s="11">
        <f>'P&amp;L'!F10</f>
        <v>0.11254388121071374</v>
      </c>
      <c r="G14" s="11">
        <f>'P&amp;L'!G10</f>
        <v>0.12096159788432448</v>
      </c>
      <c r="H14" s="11">
        <f>'P&amp;L'!H10</f>
        <v>0.12521509631090791</v>
      </c>
      <c r="I14" s="11">
        <f>'P&amp;L'!I10</f>
        <v>0.12861950067783481</v>
      </c>
      <c r="J14" s="11">
        <f>'P&amp;L'!J10</f>
        <v>0.13133676891184556</v>
      </c>
    </row>
    <row r="15" spans="1:10" x14ac:dyDescent="0.25">
      <c r="B15" s="9" t="s">
        <v>21</v>
      </c>
      <c r="C15" s="10">
        <f>'P&amp;L'!C17</f>
        <v>1052.96</v>
      </c>
      <c r="D15" s="10">
        <f>'P&amp;L'!D17</f>
        <v>1076.93</v>
      </c>
      <c r="E15" s="10">
        <f>'P&amp;L'!E17</f>
        <v>1111.33</v>
      </c>
      <c r="F15" s="10">
        <f>'P&amp;L'!F17</f>
        <v>1210.3904993624997</v>
      </c>
      <c r="G15" s="10">
        <f>'P&amp;L'!G17</f>
        <v>1631.0342654398355</v>
      </c>
      <c r="H15" s="10">
        <f>'P&amp;L'!H17</f>
        <v>1998.2461255836556</v>
      </c>
      <c r="I15" s="10">
        <f>'P&amp;L'!I17</f>
        <v>2379.9709926923379</v>
      </c>
      <c r="J15" s="10">
        <f>'P&amp;L'!J17</f>
        <v>2772.477527842263</v>
      </c>
    </row>
    <row r="17" spans="1:10" x14ac:dyDescent="0.25">
      <c r="B17" s="9" t="s">
        <v>22</v>
      </c>
      <c r="F17" s="10">
        <f>'Cash Flow'!F11</f>
        <v>403.66450203304868</v>
      </c>
      <c r="G17" s="10">
        <f>'Cash Flow'!G11</f>
        <v>1444.474706149618</v>
      </c>
      <c r="H17" s="10">
        <f>'Cash Flow'!H11</f>
        <v>1853.3021499672236</v>
      </c>
      <c r="I17" s="10">
        <f>'Cash Flow'!I11</f>
        <v>2215.8729928662269</v>
      </c>
      <c r="J17" s="10">
        <f>'Cash Flow'!J11</f>
        <v>2593.0325026175778</v>
      </c>
    </row>
    <row r="19" spans="1:10" ht="15.75" customHeight="1" x14ac:dyDescent="0.25">
      <c r="A19" s="57" t="s">
        <v>23</v>
      </c>
      <c r="B19" s="57"/>
      <c r="C19" s="57"/>
      <c r="D19" s="57"/>
      <c r="E19" s="57"/>
      <c r="F19" s="57"/>
      <c r="G19" s="57"/>
      <c r="H19" s="57"/>
      <c r="I19" s="57"/>
      <c r="J19" s="57"/>
    </row>
    <row r="20" spans="1:10" x14ac:dyDescent="0.25">
      <c r="B20" s="6" t="s">
        <v>24</v>
      </c>
      <c r="D20" s="8" t="s">
        <v>3</v>
      </c>
      <c r="E20" s="8" t="s">
        <v>4</v>
      </c>
      <c r="F20" s="8" t="s">
        <v>5</v>
      </c>
    </row>
    <row r="21" spans="1:10" x14ac:dyDescent="0.25">
      <c r="B21" s="9" t="s">
        <v>25</v>
      </c>
      <c r="D21" s="10">
        <f>'DCF &amp; SOTP'!J32</f>
        <v>26346.64859059636</v>
      </c>
      <c r="E21" s="10">
        <f>'DCF &amp; SOTP'!J45</f>
        <v>28882.109891867607</v>
      </c>
      <c r="F21" s="10">
        <f>'DCF &amp; SOTP'!J58</f>
        <v>30005.331192614743</v>
      </c>
    </row>
    <row r="22" spans="1:10" x14ac:dyDescent="0.25">
      <c r="B22" s="9" t="s">
        <v>26</v>
      </c>
      <c r="D22" s="10">
        <f>'DCF &amp; SOTP'!E38</f>
        <v>26259.665568250417</v>
      </c>
      <c r="E22" s="10">
        <f>'DCF &amp; SOTP'!E51</f>
        <v>28952.285973186881</v>
      </c>
      <c r="F22" s="10">
        <f>'DCF &amp; SOTP'!E64</f>
        <v>30127.443381326222</v>
      </c>
    </row>
    <row r="23" spans="1:10" x14ac:dyDescent="0.25">
      <c r="B23" s="12" t="s">
        <v>6</v>
      </c>
      <c r="D23" s="13">
        <f>'DCF &amp; SOTP'!E39</f>
        <v>308.93724197941668</v>
      </c>
      <c r="E23" s="13">
        <f>'DCF &amp; SOTP'!E52</f>
        <v>340.61512909631625</v>
      </c>
      <c r="F23" s="13">
        <f>'DCF &amp; SOTP'!E65</f>
        <v>354.44051036854381</v>
      </c>
    </row>
    <row r="25" spans="1:10" ht="15.75" customHeight="1" x14ac:dyDescent="0.25">
      <c r="A25" s="57" t="s">
        <v>27</v>
      </c>
      <c r="B25" s="57"/>
      <c r="C25" s="57"/>
      <c r="D25" s="57"/>
      <c r="E25" s="57"/>
      <c r="F25" s="57"/>
      <c r="G25" s="57"/>
      <c r="H25" s="57"/>
      <c r="I25" s="57"/>
      <c r="J25" s="57"/>
    </row>
    <row r="26" spans="1:10" x14ac:dyDescent="0.25">
      <c r="B26" s="9" t="s">
        <v>28</v>
      </c>
      <c r="D26" s="10">
        <f>'DCF &amp; SOTP'!D18</f>
        <v>20926.342381326231</v>
      </c>
    </row>
    <row r="27" spans="1:10" x14ac:dyDescent="0.25">
      <c r="B27" s="9" t="s">
        <v>29</v>
      </c>
      <c r="D27" s="10">
        <f>'DCF &amp; SOTP'!D19</f>
        <v>5600</v>
      </c>
    </row>
    <row r="28" spans="1:10" x14ac:dyDescent="0.25">
      <c r="B28" s="9" t="s">
        <v>30</v>
      </c>
      <c r="D28" s="10">
        <f>'DCF &amp; SOTP'!D20</f>
        <v>3601.1010000000001</v>
      </c>
    </row>
    <row r="29" spans="1:10" x14ac:dyDescent="0.25">
      <c r="B29" s="6" t="s">
        <v>31</v>
      </c>
      <c r="D29" s="14">
        <f>'DCF &amp; SOTP'!D21</f>
        <v>30127.443381326229</v>
      </c>
    </row>
    <row r="30" spans="1:10" x14ac:dyDescent="0.25">
      <c r="B30" s="6" t="s">
        <v>6</v>
      </c>
      <c r="D30" s="15">
        <f>'DCF &amp; SOTP'!D23</f>
        <v>354.44051036854387</v>
      </c>
    </row>
    <row r="32" spans="1:10" x14ac:dyDescent="0.25">
      <c r="B32" s="16" t="s">
        <v>32</v>
      </c>
    </row>
    <row r="33" spans="2:2" x14ac:dyDescent="0.25">
      <c r="B33" s="2" t="s">
        <v>33</v>
      </c>
    </row>
    <row r="34" spans="2:2" x14ac:dyDescent="0.25">
      <c r="B34" s="2" t="s">
        <v>34</v>
      </c>
    </row>
    <row r="35" spans="2:2" x14ac:dyDescent="0.25">
      <c r="B35" s="2" t="s">
        <v>35</v>
      </c>
    </row>
    <row r="36" spans="2:2" x14ac:dyDescent="0.25">
      <c r="B36" s="2" t="s">
        <v>36</v>
      </c>
    </row>
    <row r="37" spans="2:2" x14ac:dyDescent="0.25">
      <c r="B37" s="2" t="s">
        <v>37</v>
      </c>
    </row>
    <row r="38" spans="2:2" x14ac:dyDescent="0.25">
      <c r="B38" s="2" t="s">
        <v>38</v>
      </c>
    </row>
    <row r="39" spans="2:2" x14ac:dyDescent="0.25">
      <c r="B39" s="2" t="s">
        <v>39</v>
      </c>
    </row>
  </sheetData>
  <mergeCells count="5">
    <mergeCell ref="A1:J1"/>
    <mergeCell ref="A4:F4"/>
    <mergeCell ref="A10:J10"/>
    <mergeCell ref="A19:J19"/>
    <mergeCell ref="A25:J25"/>
  </mergeCells>
  <pageMargins left="0.75" right="0.75" top="1" bottom="1" header="0.511811023622047" footer="0.511811023622047"/>
  <pageSetup paperSize="9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Drop Down 1">
              <controlPr defaultSize="0" autoLine="0" autoPict="0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95"/>
  <sheetViews>
    <sheetView showGridLines="0" zoomScale="115" zoomScaleNormal="115" workbookViewId="0">
      <selection activeCell="D62" sqref="D62"/>
    </sheetView>
  </sheetViews>
  <sheetFormatPr defaultColWidth="8.7109375" defaultRowHeight="15" x14ac:dyDescent="0.25"/>
  <cols>
    <col min="1" max="1" width="2" style="1" customWidth="1"/>
    <col min="2" max="2" width="42" style="1" customWidth="1"/>
    <col min="3" max="10" width="14" style="1" customWidth="1"/>
    <col min="11" max="13" width="2" style="1" customWidth="1"/>
    <col min="14" max="14" width="12" style="1" customWidth="1"/>
  </cols>
  <sheetData>
    <row r="1" spans="1:14" ht="19.5" customHeight="1" x14ac:dyDescent="0.25">
      <c r="A1" s="56" t="s">
        <v>40</v>
      </c>
      <c r="B1" s="56"/>
      <c r="C1" s="56"/>
      <c r="D1" s="56"/>
      <c r="E1" s="56"/>
      <c r="F1" s="56"/>
      <c r="G1" s="56"/>
      <c r="H1" s="56"/>
      <c r="I1" s="56"/>
      <c r="J1" s="56"/>
    </row>
    <row r="3" spans="1:14" x14ac:dyDescent="0.25">
      <c r="B3" s="6" t="s">
        <v>41</v>
      </c>
      <c r="L3" s="1">
        <v>1</v>
      </c>
      <c r="N3" s="2" t="s">
        <v>3</v>
      </c>
    </row>
    <row r="4" spans="1:14" x14ac:dyDescent="0.25">
      <c r="B4" s="9" t="s">
        <v>42</v>
      </c>
      <c r="C4" s="17">
        <v>3</v>
      </c>
      <c r="L4" s="1">
        <v>2</v>
      </c>
      <c r="N4" s="2" t="s">
        <v>4</v>
      </c>
    </row>
    <row r="5" spans="1:14" x14ac:dyDescent="0.25">
      <c r="L5" s="1">
        <v>3</v>
      </c>
      <c r="N5" s="2" t="s">
        <v>5</v>
      </c>
    </row>
    <row r="6" spans="1:14" ht="15.75" customHeight="1" x14ac:dyDescent="0.25">
      <c r="A6" s="57" t="s">
        <v>43</v>
      </c>
      <c r="B6" s="57"/>
      <c r="C6" s="57"/>
      <c r="D6" s="57"/>
      <c r="E6" s="57"/>
      <c r="F6" s="57"/>
      <c r="G6" s="57"/>
      <c r="H6" s="57"/>
      <c r="I6" s="57"/>
      <c r="J6" s="57"/>
    </row>
    <row r="7" spans="1:14" x14ac:dyDescent="0.25">
      <c r="B7" s="9" t="s">
        <v>44</v>
      </c>
      <c r="C7" s="18">
        <v>17268.919999999998</v>
      </c>
    </row>
    <row r="8" spans="1:14" x14ac:dyDescent="0.25">
      <c r="B8" s="9" t="s">
        <v>45</v>
      </c>
      <c r="C8" s="19">
        <v>0.95</v>
      </c>
    </row>
    <row r="9" spans="1:14" x14ac:dyDescent="0.25">
      <c r="B9" s="9" t="s">
        <v>46</v>
      </c>
      <c r="C9" s="20">
        <f>1-C8</f>
        <v>5.0000000000000044E-2</v>
      </c>
    </row>
    <row r="10" spans="1:14" x14ac:dyDescent="0.25">
      <c r="B10" s="9" t="s">
        <v>47</v>
      </c>
      <c r="C10" s="19">
        <v>0.25</v>
      </c>
    </row>
    <row r="11" spans="1:14" x14ac:dyDescent="0.25">
      <c r="B11" s="9" t="s">
        <v>48</v>
      </c>
      <c r="C11" s="20">
        <f>1-C10</f>
        <v>0.75</v>
      </c>
    </row>
    <row r="12" spans="1:14" x14ac:dyDescent="0.25">
      <c r="B12" s="9" t="s">
        <v>49</v>
      </c>
      <c r="C12" s="21">
        <f>C7*C8*C10</f>
        <v>4101.3684999999996</v>
      </c>
    </row>
    <row r="13" spans="1:14" x14ac:dyDescent="0.25">
      <c r="B13" s="9" t="s">
        <v>50</v>
      </c>
      <c r="C13" s="21">
        <f>C7*C8*C11</f>
        <v>12304.105499999998</v>
      </c>
    </row>
    <row r="14" spans="1:14" x14ac:dyDescent="0.25">
      <c r="B14" s="9" t="s">
        <v>51</v>
      </c>
      <c r="C14" s="21">
        <f>C7*C9</f>
        <v>863.44600000000071</v>
      </c>
    </row>
    <row r="16" spans="1:14" ht="15.75" customHeight="1" x14ac:dyDescent="0.25">
      <c r="A16" s="57" t="s">
        <v>52</v>
      </c>
      <c r="B16" s="57"/>
      <c r="C16" s="57"/>
      <c r="D16" s="57"/>
      <c r="E16" s="57"/>
      <c r="F16" s="57"/>
      <c r="G16" s="57"/>
      <c r="H16" s="57"/>
      <c r="I16" s="57"/>
      <c r="J16" s="57"/>
    </row>
    <row r="17" spans="2:8" x14ac:dyDescent="0.25">
      <c r="B17" s="6" t="s">
        <v>53</v>
      </c>
      <c r="D17" s="8" t="s">
        <v>13</v>
      </c>
      <c r="E17" s="8" t="s">
        <v>14</v>
      </c>
      <c r="F17" s="8" t="s">
        <v>15</v>
      </c>
      <c r="G17" s="8" t="s">
        <v>16</v>
      </c>
      <c r="H17" s="8" t="s">
        <v>17</v>
      </c>
    </row>
    <row r="18" spans="2:8" x14ac:dyDescent="0.25">
      <c r="B18" s="22" t="s">
        <v>54</v>
      </c>
    </row>
    <row r="19" spans="2:8" x14ac:dyDescent="0.25">
      <c r="C19" s="9" t="s">
        <v>3</v>
      </c>
      <c r="D19" s="19">
        <v>0.06</v>
      </c>
      <c r="E19" s="19">
        <v>5.5E-2</v>
      </c>
      <c r="F19" s="19">
        <v>0.05</v>
      </c>
      <c r="G19" s="19">
        <v>0.05</v>
      </c>
      <c r="H19" s="19">
        <v>0.05</v>
      </c>
    </row>
    <row r="20" spans="2:8" x14ac:dyDescent="0.25">
      <c r="C20" s="9" t="s">
        <v>4</v>
      </c>
      <c r="D20" s="19">
        <v>0.08</v>
      </c>
      <c r="E20" s="19">
        <v>7.4999999999999997E-2</v>
      </c>
      <c r="F20" s="19">
        <v>7.0000000000000007E-2</v>
      </c>
      <c r="G20" s="19">
        <v>6.5000000000000002E-2</v>
      </c>
      <c r="H20" s="19">
        <v>0.06</v>
      </c>
    </row>
    <row r="21" spans="2:8" x14ac:dyDescent="0.25">
      <c r="C21" s="9" t="s">
        <v>5</v>
      </c>
      <c r="D21" s="19">
        <v>9.5000000000000001E-2</v>
      </c>
      <c r="E21" s="19">
        <v>0.09</v>
      </c>
      <c r="F21" s="19">
        <v>0.08</v>
      </c>
      <c r="G21" s="19">
        <v>7.0000000000000007E-2</v>
      </c>
      <c r="H21" s="19">
        <v>6.5000000000000002E-2</v>
      </c>
    </row>
    <row r="22" spans="2:8" x14ac:dyDescent="0.25">
      <c r="B22" s="6" t="s">
        <v>55</v>
      </c>
      <c r="D22" s="20">
        <f>INDEX(D19:D21,$C$4)</f>
        <v>9.5000000000000001E-2</v>
      </c>
      <c r="E22" s="20">
        <f>INDEX(E19:E21,$C$4)</f>
        <v>0.09</v>
      </c>
      <c r="F22" s="20">
        <f>INDEX(F19:F21,$C$4)</f>
        <v>0.08</v>
      </c>
      <c r="G22" s="20">
        <f>INDEX(G19:G21,$C$4)</f>
        <v>7.0000000000000007E-2</v>
      </c>
      <c r="H22" s="20">
        <f>INDEX(H19:H21,$C$4)</f>
        <v>6.5000000000000002E-2</v>
      </c>
    </row>
    <row r="24" spans="2:8" x14ac:dyDescent="0.25">
      <c r="B24" s="22" t="s">
        <v>56</v>
      </c>
    </row>
    <row r="25" spans="2:8" x14ac:dyDescent="0.25">
      <c r="C25" s="9" t="s">
        <v>3</v>
      </c>
      <c r="D25" s="19">
        <v>0.1</v>
      </c>
      <c r="E25" s="19">
        <v>9.5000000000000001E-2</v>
      </c>
      <c r="F25" s="19">
        <v>0.09</v>
      </c>
      <c r="G25" s="19">
        <v>8.5000000000000006E-2</v>
      </c>
      <c r="H25" s="19">
        <v>0.08</v>
      </c>
    </row>
    <row r="26" spans="2:8" x14ac:dyDescent="0.25">
      <c r="C26" s="9" t="s">
        <v>4</v>
      </c>
      <c r="D26" s="19">
        <v>0.13</v>
      </c>
      <c r="E26" s="19">
        <v>0.12</v>
      </c>
      <c r="F26" s="19">
        <v>0.11</v>
      </c>
      <c r="G26" s="19">
        <v>0.1</v>
      </c>
      <c r="H26" s="19">
        <v>9.5000000000000001E-2</v>
      </c>
    </row>
    <row r="27" spans="2:8" x14ac:dyDescent="0.25">
      <c r="C27" s="9" t="s">
        <v>5</v>
      </c>
      <c r="D27" s="19">
        <v>0.13500000000000001</v>
      </c>
      <c r="E27" s="19">
        <v>0.13</v>
      </c>
      <c r="F27" s="19">
        <v>0.12</v>
      </c>
      <c r="G27" s="19">
        <v>0.11</v>
      </c>
      <c r="H27" s="19">
        <v>0.1</v>
      </c>
    </row>
    <row r="28" spans="2:8" x14ac:dyDescent="0.25">
      <c r="B28" s="6" t="s">
        <v>55</v>
      </c>
      <c r="D28" s="20">
        <f>INDEX(D25:D27,$C$4)</f>
        <v>0.13500000000000001</v>
      </c>
      <c r="E28" s="20">
        <f>INDEX(E25:E27,$C$4)</f>
        <v>0.13</v>
      </c>
      <c r="F28" s="20">
        <f>INDEX(F25:F27,$C$4)</f>
        <v>0.12</v>
      </c>
      <c r="G28" s="20">
        <f>INDEX(G25:G27,$C$4)</f>
        <v>0.11</v>
      </c>
      <c r="H28" s="20">
        <f>INDEX(H25:H27,$C$4)</f>
        <v>0.1</v>
      </c>
    </row>
    <row r="30" spans="2:8" x14ac:dyDescent="0.25">
      <c r="B30" s="22" t="s">
        <v>57</v>
      </c>
    </row>
    <row r="31" spans="2:8" x14ac:dyDescent="0.25">
      <c r="C31" s="9" t="s">
        <v>3</v>
      </c>
      <c r="D31" s="19">
        <v>-0.08</v>
      </c>
    </row>
    <row r="32" spans="2:8" x14ac:dyDescent="0.25">
      <c r="C32" s="9" t="s">
        <v>4</v>
      </c>
      <c r="D32" s="19">
        <v>-0.04</v>
      </c>
    </row>
    <row r="33" spans="1:10" x14ac:dyDescent="0.25">
      <c r="C33" s="9" t="s">
        <v>5</v>
      </c>
      <c r="D33" s="19">
        <v>0</v>
      </c>
    </row>
    <row r="34" spans="1:10" x14ac:dyDescent="0.25">
      <c r="B34" s="6" t="s">
        <v>58</v>
      </c>
      <c r="D34" s="20">
        <f>INDEX(D31:D33,$C$4)</f>
        <v>0</v>
      </c>
    </row>
    <row r="35" spans="1:10" x14ac:dyDescent="0.25">
      <c r="B35" s="9" t="s">
        <v>59</v>
      </c>
      <c r="D35" s="19">
        <v>0.08</v>
      </c>
    </row>
    <row r="37" spans="1:10" ht="15.75" customHeight="1" x14ac:dyDescent="0.25">
      <c r="A37" s="57" t="s">
        <v>60</v>
      </c>
      <c r="B37" s="57"/>
      <c r="C37" s="57"/>
      <c r="D37" s="57"/>
      <c r="E37" s="57"/>
      <c r="F37" s="57"/>
      <c r="G37" s="57"/>
      <c r="H37" s="57"/>
      <c r="I37" s="57"/>
      <c r="J37" s="57"/>
    </row>
    <row r="38" spans="1:10" x14ac:dyDescent="0.25">
      <c r="B38" s="6" t="s">
        <v>9</v>
      </c>
      <c r="C38" s="8" t="s">
        <v>12</v>
      </c>
      <c r="D38" s="8" t="s">
        <v>13</v>
      </c>
      <c r="E38" s="8" t="s">
        <v>14</v>
      </c>
      <c r="F38" s="8" t="s">
        <v>15</v>
      </c>
      <c r="G38" s="8" t="s">
        <v>16</v>
      </c>
      <c r="H38" s="8" t="s">
        <v>17</v>
      </c>
    </row>
    <row r="39" spans="1:10" x14ac:dyDescent="0.25">
      <c r="B39" s="9" t="s">
        <v>61</v>
      </c>
      <c r="C39" s="21">
        <f>C12</f>
        <v>4101.3684999999996</v>
      </c>
      <c r="D39" s="21">
        <f>C39*(1+D22)</f>
        <v>4490.9985074999995</v>
      </c>
      <c r="E39" s="21">
        <f>D39*(1+E22)</f>
        <v>4895.1883731749995</v>
      </c>
      <c r="F39" s="21">
        <f>E39*(1+F22)</f>
        <v>5286.8034430289999</v>
      </c>
      <c r="G39" s="21">
        <f>F39*(1+G22)</f>
        <v>5656.8796840410305</v>
      </c>
      <c r="H39" s="21">
        <f>G39*(1+H22)</f>
        <v>6024.5768635036975</v>
      </c>
    </row>
    <row r="40" spans="1:10" x14ac:dyDescent="0.25">
      <c r="B40" s="9" t="s">
        <v>62</v>
      </c>
      <c r="C40" s="21">
        <f>C13</f>
        <v>12304.105499999998</v>
      </c>
      <c r="D40" s="21">
        <f>C40*(1+D28)</f>
        <v>13965.159742499998</v>
      </c>
      <c r="E40" s="21">
        <f>D40*(1+E28)</f>
        <v>15780.630509024997</v>
      </c>
      <c r="F40" s="21">
        <f>E40*(1+F28)</f>
        <v>17674.306170107997</v>
      </c>
      <c r="G40" s="21">
        <f>F40*(1+G28)</f>
        <v>19618.479848819879</v>
      </c>
      <c r="H40" s="21">
        <f>G40*(1+H28)</f>
        <v>21580.327833701867</v>
      </c>
    </row>
    <row r="41" spans="1:10" x14ac:dyDescent="0.25">
      <c r="B41" s="9" t="s">
        <v>63</v>
      </c>
      <c r="C41" s="21">
        <f>C14</f>
        <v>863.44600000000071</v>
      </c>
      <c r="D41" s="21">
        <f>C41*(1+D34)</f>
        <v>863.44600000000071</v>
      </c>
      <c r="E41" s="21">
        <f>$D$35/(1-$D$35)*(E39+E40)</f>
        <v>1797.8972941043476</v>
      </c>
      <c r="F41" s="21">
        <f>$D$35/(1-$D$35)*(F39+F40)</f>
        <v>1996.618227229304</v>
      </c>
      <c r="G41" s="21">
        <f>$D$35/(1-$D$35)*(G39+G40)</f>
        <v>2197.8573506835573</v>
      </c>
      <c r="H41" s="21">
        <f>$D$35/(1-$D$35)*(H39+H40)</f>
        <v>2400.4264954091796</v>
      </c>
    </row>
    <row r="42" spans="1:10" x14ac:dyDescent="0.25">
      <c r="B42" s="6" t="s">
        <v>64</v>
      </c>
      <c r="C42" s="23">
        <f t="shared" ref="C42:H42" si="0">C39+C40+C41</f>
        <v>17268.919999999998</v>
      </c>
      <c r="D42" s="23">
        <f t="shared" si="0"/>
        <v>19319.604249999997</v>
      </c>
      <c r="E42" s="23">
        <f t="shared" si="0"/>
        <v>22473.716176304344</v>
      </c>
      <c r="F42" s="23">
        <f t="shared" si="0"/>
        <v>24957.7278403663</v>
      </c>
      <c r="G42" s="23">
        <f t="shared" si="0"/>
        <v>27473.216883544465</v>
      </c>
      <c r="H42" s="23">
        <f t="shared" si="0"/>
        <v>30005.331192614743</v>
      </c>
    </row>
    <row r="44" spans="1:10" ht="15.75" customHeight="1" x14ac:dyDescent="0.25">
      <c r="A44" s="57" t="s">
        <v>65</v>
      </c>
      <c r="B44" s="57"/>
      <c r="C44" s="57"/>
      <c r="D44" s="57"/>
      <c r="E44" s="57"/>
      <c r="F44" s="57"/>
      <c r="G44" s="57"/>
      <c r="H44" s="57"/>
      <c r="I44" s="57"/>
      <c r="J44" s="57"/>
    </row>
    <row r="45" spans="1:10" x14ac:dyDescent="0.25">
      <c r="B45" s="9" t="s">
        <v>66</v>
      </c>
      <c r="D45" s="19">
        <v>0.7</v>
      </c>
    </row>
    <row r="46" spans="1:10" x14ac:dyDescent="0.25">
      <c r="B46" s="9" t="s">
        <v>67</v>
      </c>
      <c r="C46" s="18">
        <v>1942.85</v>
      </c>
    </row>
    <row r="47" spans="1:10" x14ac:dyDescent="0.25">
      <c r="B47" s="9" t="s">
        <v>68</v>
      </c>
      <c r="C47" s="18">
        <v>1590.76</v>
      </c>
      <c r="D47" s="19">
        <v>0.10100000000000001</v>
      </c>
    </row>
    <row r="48" spans="1:10" x14ac:dyDescent="0.25">
      <c r="B48" s="9" t="s">
        <v>69</v>
      </c>
      <c r="D48" s="19">
        <v>0.05</v>
      </c>
    </row>
    <row r="49" spans="1:10" x14ac:dyDescent="0.25">
      <c r="B49" s="9" t="s">
        <v>70</v>
      </c>
      <c r="D49" s="19">
        <v>0.05</v>
      </c>
    </row>
    <row r="50" spans="1:10" ht="15.75" customHeight="1" x14ac:dyDescent="0.25">
      <c r="A50" s="57" t="s">
        <v>71</v>
      </c>
      <c r="B50" s="57"/>
      <c r="C50" s="57"/>
      <c r="D50" s="57"/>
      <c r="E50" s="57"/>
      <c r="F50" s="57"/>
      <c r="G50" s="57"/>
      <c r="H50" s="57"/>
      <c r="I50" s="57"/>
      <c r="J50" s="57"/>
    </row>
    <row r="51" spans="1:10" x14ac:dyDescent="0.25">
      <c r="B51" s="9" t="s">
        <v>72</v>
      </c>
      <c r="C51" s="18">
        <v>2758.77</v>
      </c>
    </row>
    <row r="52" spans="1:10" x14ac:dyDescent="0.25">
      <c r="B52" s="9" t="s">
        <v>73</v>
      </c>
      <c r="C52" s="18">
        <v>162.28</v>
      </c>
    </row>
    <row r="53" spans="1:10" x14ac:dyDescent="0.25">
      <c r="B53" s="9" t="s">
        <v>74</v>
      </c>
      <c r="D53" s="19">
        <v>0.16600000000000001</v>
      </c>
    </row>
    <row r="54" spans="1:10" x14ac:dyDescent="0.25">
      <c r="B54" s="9" t="s">
        <v>75</v>
      </c>
      <c r="D54" s="24">
        <v>600</v>
      </c>
      <c r="E54" s="24">
        <v>420</v>
      </c>
      <c r="F54" s="24">
        <v>420</v>
      </c>
      <c r="G54" s="24">
        <v>420</v>
      </c>
      <c r="H54" s="24">
        <v>420</v>
      </c>
    </row>
    <row r="56" spans="1:10" ht="15.75" customHeight="1" x14ac:dyDescent="0.25">
      <c r="A56" s="57" t="s">
        <v>76</v>
      </c>
      <c r="B56" s="57"/>
      <c r="C56" s="57"/>
      <c r="D56" s="57"/>
      <c r="E56" s="57"/>
      <c r="F56" s="57"/>
      <c r="G56" s="57"/>
      <c r="H56" s="57"/>
      <c r="I56" s="57"/>
      <c r="J56" s="57"/>
    </row>
    <row r="57" spans="1:10" x14ac:dyDescent="0.25">
      <c r="B57" s="9" t="s">
        <v>77</v>
      </c>
      <c r="D57" s="25">
        <v>94.07</v>
      </c>
    </row>
    <row r="58" spans="1:10" x14ac:dyDescent="0.25">
      <c r="B58" s="9" t="s">
        <v>78</v>
      </c>
      <c r="D58" s="25">
        <v>32.159999999999997</v>
      </c>
    </row>
    <row r="59" spans="1:10" x14ac:dyDescent="0.25">
      <c r="B59" s="9" t="s">
        <v>79</v>
      </c>
      <c r="D59" s="25">
        <v>92.64</v>
      </c>
    </row>
    <row r="61" spans="1:10" ht="15.75" customHeight="1" x14ac:dyDescent="0.25">
      <c r="A61" s="57" t="s">
        <v>80</v>
      </c>
      <c r="B61" s="57"/>
      <c r="C61" s="57"/>
      <c r="D61" s="57"/>
      <c r="E61" s="57"/>
      <c r="F61" s="57"/>
      <c r="G61" s="57"/>
      <c r="H61" s="57"/>
      <c r="I61" s="57"/>
      <c r="J61" s="57"/>
    </row>
    <row r="62" spans="1:10" x14ac:dyDescent="0.25">
      <c r="B62" s="9" t="s">
        <v>81</v>
      </c>
      <c r="D62" s="19">
        <v>0.25</v>
      </c>
    </row>
    <row r="63" spans="1:10" x14ac:dyDescent="0.25">
      <c r="B63" s="9" t="s">
        <v>82</v>
      </c>
      <c r="D63" s="24">
        <v>170</v>
      </c>
    </row>
    <row r="65" spans="1:10" ht="15.75" customHeight="1" x14ac:dyDescent="0.25">
      <c r="A65" s="57" t="s">
        <v>83</v>
      </c>
      <c r="B65" s="57"/>
      <c r="C65" s="57"/>
      <c r="D65" s="57"/>
      <c r="E65" s="57"/>
      <c r="F65" s="57"/>
      <c r="G65" s="57"/>
      <c r="H65" s="57"/>
      <c r="I65" s="57"/>
      <c r="J65" s="57"/>
    </row>
    <row r="66" spans="1:10" x14ac:dyDescent="0.25">
      <c r="B66" s="9" t="s">
        <v>84</v>
      </c>
      <c r="D66" s="24">
        <v>800</v>
      </c>
    </row>
    <row r="67" spans="1:10" x14ac:dyDescent="0.25">
      <c r="B67" s="22" t="s">
        <v>85</v>
      </c>
      <c r="D67" s="24">
        <v>800</v>
      </c>
      <c r="E67" s="24">
        <v>0</v>
      </c>
      <c r="F67" s="24">
        <v>0</v>
      </c>
      <c r="G67" s="24">
        <v>0</v>
      </c>
      <c r="H67" s="24">
        <v>0</v>
      </c>
    </row>
    <row r="68" spans="1:10" x14ac:dyDescent="0.25">
      <c r="B68" s="6" t="s">
        <v>86</v>
      </c>
      <c r="C68" s="18">
        <v>4802.2299999999996</v>
      </c>
      <c r="D68" s="21">
        <f>C68+D67</f>
        <v>5602.23</v>
      </c>
      <c r="E68" s="21">
        <f>D68+E67</f>
        <v>5602.23</v>
      </c>
      <c r="F68" s="21">
        <f>E68+F67</f>
        <v>5602.23</v>
      </c>
      <c r="G68" s="21">
        <f>F68+G67</f>
        <v>5602.23</v>
      </c>
      <c r="H68" s="21">
        <f>G68+H67</f>
        <v>5602.23</v>
      </c>
    </row>
    <row r="70" spans="1:10" ht="15.75" customHeight="1" x14ac:dyDescent="0.25">
      <c r="A70" s="57" t="s">
        <v>87</v>
      </c>
      <c r="B70" s="57"/>
      <c r="C70" s="57"/>
      <c r="D70" s="57"/>
      <c r="E70" s="57"/>
      <c r="F70" s="57"/>
      <c r="G70" s="57"/>
      <c r="H70" s="57"/>
      <c r="I70" s="57"/>
      <c r="J70" s="57"/>
    </row>
    <row r="71" spans="1:10" x14ac:dyDescent="0.25">
      <c r="B71" s="9" t="s">
        <v>88</v>
      </c>
      <c r="D71" s="18">
        <v>5600</v>
      </c>
    </row>
    <row r="72" spans="1:10" x14ac:dyDescent="0.25">
      <c r="B72" s="9" t="s">
        <v>89</v>
      </c>
      <c r="D72" s="26">
        <v>1</v>
      </c>
    </row>
    <row r="73" spans="1:10" x14ac:dyDescent="0.25">
      <c r="B73" s="9" t="s">
        <v>90</v>
      </c>
      <c r="D73" s="18">
        <v>5144.43</v>
      </c>
    </row>
    <row r="74" spans="1:10" x14ac:dyDescent="0.25">
      <c r="B74" s="9" t="s">
        <v>91</v>
      </c>
      <c r="D74" s="19">
        <v>0.3</v>
      </c>
    </row>
    <row r="75" spans="1:10" x14ac:dyDescent="0.25">
      <c r="B75" s="9" t="s">
        <v>92</v>
      </c>
      <c r="D75" s="18">
        <v>85</v>
      </c>
    </row>
    <row r="77" spans="1:10" ht="15.75" customHeight="1" x14ac:dyDescent="0.25">
      <c r="A77" s="57" t="s">
        <v>93</v>
      </c>
      <c r="B77" s="57"/>
      <c r="C77" s="57"/>
      <c r="D77" s="57"/>
      <c r="E77" s="57"/>
      <c r="F77" s="57"/>
      <c r="G77" s="57"/>
      <c r="H77" s="57"/>
      <c r="I77" s="57"/>
      <c r="J77" s="57"/>
    </row>
    <row r="78" spans="1:10" x14ac:dyDescent="0.25">
      <c r="B78" s="9" t="s">
        <v>94</v>
      </c>
      <c r="D78" s="27">
        <f>H78+H80*H79</f>
        <v>0.140624</v>
      </c>
      <c r="F78" s="1" t="s">
        <v>188</v>
      </c>
      <c r="H78" s="45">
        <v>6.7699999999999996E-2</v>
      </c>
    </row>
    <row r="79" spans="1:10" x14ac:dyDescent="0.25">
      <c r="B79" s="9" t="s">
        <v>95</v>
      </c>
      <c r="D79" s="19">
        <v>0.05</v>
      </c>
      <c r="F79" s="1" t="s">
        <v>189</v>
      </c>
      <c r="H79" s="45">
        <v>7.0800000000000002E-2</v>
      </c>
    </row>
    <row r="80" spans="1:10" x14ac:dyDescent="0.25">
      <c r="F80" s="1" t="s">
        <v>190</v>
      </c>
      <c r="H80" s="1">
        <v>1.03</v>
      </c>
    </row>
    <row r="82" spans="1:10" ht="15.75" customHeight="1" x14ac:dyDescent="0.25">
      <c r="A82" s="57" t="s">
        <v>96</v>
      </c>
      <c r="B82" s="57"/>
      <c r="C82" s="57"/>
      <c r="D82" s="57"/>
      <c r="E82" s="57"/>
      <c r="F82" s="57"/>
      <c r="G82" s="57"/>
      <c r="H82" s="57"/>
      <c r="I82" s="57"/>
      <c r="J82" s="57"/>
    </row>
    <row r="83" spans="1:10" x14ac:dyDescent="0.25">
      <c r="B83" s="6" t="s">
        <v>9</v>
      </c>
      <c r="D83" s="8" t="s">
        <v>13</v>
      </c>
      <c r="E83" s="8" t="s">
        <v>14</v>
      </c>
      <c r="F83" s="8" t="s">
        <v>15</v>
      </c>
      <c r="G83" s="8" t="s">
        <v>16</v>
      </c>
      <c r="H83" s="8" t="s">
        <v>17</v>
      </c>
    </row>
    <row r="84" spans="1:10" x14ac:dyDescent="0.25">
      <c r="B84" s="9" t="s">
        <v>97</v>
      </c>
      <c r="D84" s="21">
        <f>C51+C52</f>
        <v>2921.05</v>
      </c>
      <c r="E84" s="21">
        <f>D87</f>
        <v>2986.3557000000001</v>
      </c>
      <c r="F84" s="21">
        <f>E87</f>
        <v>2875.7606538</v>
      </c>
      <c r="G84" s="21">
        <f>F87</f>
        <v>2783.5243852692001</v>
      </c>
      <c r="H84" s="21">
        <f>G87</f>
        <v>2706.5993373145129</v>
      </c>
    </row>
    <row r="85" spans="1:10" x14ac:dyDescent="0.25">
      <c r="B85" s="9" t="s">
        <v>98</v>
      </c>
      <c r="D85" s="21">
        <f>D54</f>
        <v>600</v>
      </c>
      <c r="E85" s="21">
        <f>E54</f>
        <v>420</v>
      </c>
      <c r="F85" s="21">
        <f>F54</f>
        <v>420</v>
      </c>
      <c r="G85" s="21">
        <f>G54</f>
        <v>420</v>
      </c>
      <c r="H85" s="21">
        <f>H54</f>
        <v>420</v>
      </c>
    </row>
    <row r="86" spans="1:10" x14ac:dyDescent="0.25">
      <c r="B86" s="9" t="s">
        <v>99</v>
      </c>
      <c r="D86" s="21">
        <f>D84*$D$53+D85*$D$53*0.5</f>
        <v>534.6943</v>
      </c>
      <c r="E86" s="21">
        <f>E84*$D$53+E85*$D$53*0.5</f>
        <v>530.59504620000007</v>
      </c>
      <c r="F86" s="21">
        <f>F84*$D$53+F85*$D$53*0.5</f>
        <v>512.23626853079998</v>
      </c>
      <c r="G86" s="21">
        <f>G84*$D$53+G85*$D$53*0.5</f>
        <v>496.92504795468727</v>
      </c>
      <c r="H86" s="21">
        <f>H84*$D$53+H85*$D$53*0.5</f>
        <v>484.15548999420918</v>
      </c>
    </row>
    <row r="87" spans="1:10" x14ac:dyDescent="0.25">
      <c r="B87" s="6" t="s">
        <v>100</v>
      </c>
      <c r="D87" s="23">
        <f>D84+D85-D86</f>
        <v>2986.3557000000001</v>
      </c>
      <c r="E87" s="23">
        <f>E84+E85-E86</f>
        <v>2875.7606538</v>
      </c>
      <c r="F87" s="23">
        <f>F84+F85-F86</f>
        <v>2783.5243852692001</v>
      </c>
      <c r="G87" s="23">
        <f>G84+G85-G86</f>
        <v>2706.5993373145129</v>
      </c>
      <c r="H87" s="23">
        <f>H84+H85-H86</f>
        <v>2642.4438473203036</v>
      </c>
    </row>
    <row r="89" spans="1:10" ht="15.75" customHeight="1" x14ac:dyDescent="0.25">
      <c r="A89" s="57" t="s">
        <v>101</v>
      </c>
      <c r="B89" s="57"/>
      <c r="C89" s="57"/>
      <c r="D89" s="57"/>
      <c r="E89" s="57"/>
      <c r="F89" s="57"/>
      <c r="G89" s="57"/>
      <c r="H89" s="57"/>
      <c r="I89" s="57"/>
      <c r="J89" s="57"/>
    </row>
    <row r="90" spans="1:10" x14ac:dyDescent="0.25">
      <c r="B90" s="9" t="s">
        <v>102</v>
      </c>
      <c r="D90" s="19">
        <v>8.5459999999999994E-2</v>
      </c>
    </row>
    <row r="91" spans="1:10" x14ac:dyDescent="0.25">
      <c r="B91" s="9" t="s">
        <v>103</v>
      </c>
      <c r="D91" s="18">
        <v>42.86</v>
      </c>
      <c r="E91" s="18">
        <v>41.74</v>
      </c>
      <c r="F91" s="18">
        <v>41.74</v>
      </c>
      <c r="G91" s="18">
        <v>41.74</v>
      </c>
      <c r="H91" s="18">
        <v>41.74</v>
      </c>
    </row>
    <row r="92" spans="1:10" x14ac:dyDescent="0.25">
      <c r="B92" s="1" t="s">
        <v>104</v>
      </c>
      <c r="D92" s="18">
        <v>375.21</v>
      </c>
      <c r="E92" s="21">
        <f>D95</f>
        <v>364.41544659999994</v>
      </c>
      <c r="F92" s="21">
        <f>E95</f>
        <v>353.8183906664359</v>
      </c>
      <c r="G92" s="21">
        <f>F95</f>
        <v>342.31571033278948</v>
      </c>
      <c r="H92" s="21">
        <f>G95</f>
        <v>329.83001093782968</v>
      </c>
    </row>
    <row r="93" spans="1:10" x14ac:dyDescent="0.25">
      <c r="B93" s="1" t="s">
        <v>105</v>
      </c>
      <c r="D93" s="21">
        <f>D92*$D$90</f>
        <v>32.065446599999994</v>
      </c>
      <c r="E93" s="21">
        <f>E92*$D$90</f>
        <v>31.142944066435994</v>
      </c>
      <c r="F93" s="21">
        <f>F92*$D$90</f>
        <v>30.23731966635361</v>
      </c>
      <c r="G93" s="21">
        <f>G92*$D$90</f>
        <v>29.254300605040186</v>
      </c>
      <c r="H93" s="21">
        <f>H92*$D$90</f>
        <v>28.187272734746923</v>
      </c>
    </row>
    <row r="94" spans="1:10" x14ac:dyDescent="0.25">
      <c r="B94" s="1" t="s">
        <v>106</v>
      </c>
      <c r="D94" s="21">
        <f>D91-D93</f>
        <v>10.794553400000005</v>
      </c>
      <c r="E94" s="21">
        <f>E91-E93</f>
        <v>10.597055933564008</v>
      </c>
      <c r="F94" s="21">
        <f>F91-F93</f>
        <v>11.502680333646392</v>
      </c>
      <c r="G94" s="21">
        <f>G91-G93</f>
        <v>12.485699394959816</v>
      </c>
      <c r="H94" s="21">
        <f>H91-H93</f>
        <v>13.552727265253079</v>
      </c>
    </row>
    <row r="95" spans="1:10" x14ac:dyDescent="0.25">
      <c r="B95" s="6" t="s">
        <v>107</v>
      </c>
      <c r="D95" s="23">
        <f>D92+D93-D91</f>
        <v>364.41544659999994</v>
      </c>
      <c r="E95" s="23">
        <f>E92+E93-E91</f>
        <v>353.8183906664359</v>
      </c>
      <c r="F95" s="23">
        <f>F92+F93-F91</f>
        <v>342.31571033278948</v>
      </c>
      <c r="G95" s="23">
        <f>G92+G93-G91</f>
        <v>329.83001093782968</v>
      </c>
      <c r="H95" s="23">
        <f>H92+H93-H91</f>
        <v>316.27728367257657</v>
      </c>
    </row>
  </sheetData>
  <mergeCells count="13">
    <mergeCell ref="A1:J1"/>
    <mergeCell ref="A6:J6"/>
    <mergeCell ref="A16:J16"/>
    <mergeCell ref="A37:J37"/>
    <mergeCell ref="A44:J44"/>
    <mergeCell ref="A77:J77"/>
    <mergeCell ref="A82:J82"/>
    <mergeCell ref="A89:J89"/>
    <mergeCell ref="A50:J50"/>
    <mergeCell ref="A56:J56"/>
    <mergeCell ref="A61:J61"/>
    <mergeCell ref="A65:J65"/>
    <mergeCell ref="A70:J70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64" r:id="rId3" name="Drop Down 40">
              <controlPr defaultSize="0" autoLine="0" autoPict="0">
                <anchor moveWithCells="1">
                  <from>
                    <xdr:col>2</xdr:col>
                    <xdr:colOff>0</xdr:colOff>
                    <xdr:row>1</xdr:row>
                    <xdr:rowOff>180975</xdr:rowOff>
                  </from>
                  <to>
                    <xdr:col>3</xdr:col>
                    <xdr:colOff>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5"/>
  <sheetViews>
    <sheetView showGridLines="0" zoomScale="115" zoomScaleNormal="115" workbookViewId="0">
      <selection activeCell="A11" sqref="A11:XFD11"/>
    </sheetView>
  </sheetViews>
  <sheetFormatPr defaultColWidth="8.7109375" defaultRowHeight="15" x14ac:dyDescent="0.25"/>
  <cols>
    <col min="1" max="1" width="2" style="1" customWidth="1"/>
    <col min="2" max="2" width="34" style="1" customWidth="1"/>
    <col min="3" max="10" width="13" style="1" customWidth="1"/>
  </cols>
  <sheetData>
    <row r="1" spans="1:10" ht="19.5" customHeight="1" x14ac:dyDescent="0.25">
      <c r="A1" s="56" t="s">
        <v>108</v>
      </c>
      <c r="B1" s="56"/>
      <c r="C1" s="56"/>
      <c r="D1" s="56"/>
      <c r="E1" s="56"/>
      <c r="F1" s="56"/>
      <c r="G1" s="56"/>
      <c r="H1" s="56"/>
      <c r="I1" s="56"/>
      <c r="J1" s="56"/>
    </row>
    <row r="3" spans="1:10" x14ac:dyDescent="0.25">
      <c r="B3" s="6" t="s">
        <v>9</v>
      </c>
      <c r="C3" s="8" t="s">
        <v>10</v>
      </c>
      <c r="D3" s="8" t="s">
        <v>11</v>
      </c>
      <c r="E3" s="8" t="s">
        <v>12</v>
      </c>
      <c r="F3" s="8" t="s">
        <v>13</v>
      </c>
      <c r="G3" s="8" t="s">
        <v>14</v>
      </c>
      <c r="H3" s="8" t="s">
        <v>15</v>
      </c>
      <c r="I3" s="8" t="s">
        <v>16</v>
      </c>
      <c r="J3" s="8" t="s">
        <v>17</v>
      </c>
    </row>
    <row r="4" spans="1:10" x14ac:dyDescent="0.25">
      <c r="B4" s="6" t="s">
        <v>18</v>
      </c>
      <c r="C4" s="18">
        <v>16029.19</v>
      </c>
      <c r="D4" s="18">
        <v>16588.11</v>
      </c>
      <c r="E4" s="18">
        <v>17268.919999999998</v>
      </c>
      <c r="F4" s="28">
        <f>Assumptions!D42</f>
        <v>19319.604249999997</v>
      </c>
      <c r="G4" s="28">
        <f>Assumptions!E42</f>
        <v>22473.716176304344</v>
      </c>
      <c r="H4" s="28">
        <f>Assumptions!F42</f>
        <v>24957.7278403663</v>
      </c>
      <c r="I4" s="28">
        <f>Assumptions!G42</f>
        <v>27473.216883544465</v>
      </c>
      <c r="J4" s="28">
        <f>Assumptions!H42</f>
        <v>30005.331192614743</v>
      </c>
    </row>
    <row r="5" spans="1:10" x14ac:dyDescent="0.25">
      <c r="B5" s="9" t="s">
        <v>109</v>
      </c>
      <c r="F5" s="11">
        <f>Assumptions!$D$45</f>
        <v>0.7</v>
      </c>
      <c r="G5" s="11">
        <f>Assumptions!$D$45</f>
        <v>0.7</v>
      </c>
      <c r="H5" s="11">
        <f>Assumptions!$D$45</f>
        <v>0.7</v>
      </c>
      <c r="I5" s="11">
        <f>Assumptions!$D$45</f>
        <v>0.7</v>
      </c>
      <c r="J5" s="11">
        <f>Assumptions!$D$45</f>
        <v>0.7</v>
      </c>
    </row>
    <row r="6" spans="1:10" x14ac:dyDescent="0.25">
      <c r="B6" s="9" t="s">
        <v>110</v>
      </c>
      <c r="F6" s="21">
        <f>F4*F5</f>
        <v>13523.722974999997</v>
      </c>
      <c r="G6" s="21">
        <f>G4*G5</f>
        <v>15731.601323413041</v>
      </c>
      <c r="H6" s="21">
        <f>H4*H5</f>
        <v>17470.40948825641</v>
      </c>
      <c r="I6" s="21">
        <f>I4*I5</f>
        <v>19231.251818481123</v>
      </c>
      <c r="J6" s="21">
        <f>J4*J5</f>
        <v>21003.73183483032</v>
      </c>
    </row>
    <row r="7" spans="1:10" x14ac:dyDescent="0.25">
      <c r="B7" s="6" t="s">
        <v>111</v>
      </c>
      <c r="F7" s="47">
        <f>F4-F6</f>
        <v>5795.8812749999997</v>
      </c>
      <c r="G7" s="47">
        <f>G4-G6</f>
        <v>6742.1148528913036</v>
      </c>
      <c r="H7" s="47">
        <f>H4-H6</f>
        <v>7487.3183521098908</v>
      </c>
      <c r="I7" s="47">
        <f>I4-I6</f>
        <v>8241.9650650633412</v>
      </c>
      <c r="J7" s="47">
        <f>J4-J6</f>
        <v>9001.5993577844238</v>
      </c>
    </row>
    <row r="8" spans="1:10" x14ac:dyDescent="0.25">
      <c r="B8" s="9" t="s">
        <v>112</v>
      </c>
      <c r="F8" s="10">
        <f>Assumptions!$C$47*(1+Assumptions!$D$48)^1+Assumptions!$D$47*F4</f>
        <v>3621.5780292499999</v>
      </c>
      <c r="G8" s="10">
        <f>Assumptions!$C$47*(1+Assumptions!$D$48)^2+Assumptions!$D$47*G4</f>
        <v>4023.6582338067392</v>
      </c>
      <c r="H8" s="10">
        <f>Assumptions!$C$47*(1+Assumptions!$D$48)^3+Assumptions!$D$47*H4</f>
        <v>4362.2340568769969</v>
      </c>
      <c r="I8" s="10">
        <f>Assumptions!$C$47*(1+Assumptions!$D$48)^4+Assumptions!$D$47*I4</f>
        <v>4708.3736274879911</v>
      </c>
      <c r="J8" s="10">
        <f>Assumptions!$C$47*(1+Assumptions!$D$48)^5+Assumptions!$D$47*J4</f>
        <v>5060.7961088165894</v>
      </c>
    </row>
    <row r="9" spans="1:10" x14ac:dyDescent="0.25">
      <c r="B9" s="6" t="s">
        <v>113</v>
      </c>
      <c r="C9" s="18">
        <v>1871.38</v>
      </c>
      <c r="D9" s="18">
        <v>1893.14</v>
      </c>
      <c r="E9" s="18">
        <v>1942.85</v>
      </c>
      <c r="F9" s="23">
        <f>F7-F8</f>
        <v>2174.3032457499999</v>
      </c>
      <c r="G9" s="23">
        <f>G7-G8</f>
        <v>2718.4566190845644</v>
      </c>
      <c r="H9" s="23">
        <f>H7-H8</f>
        <v>3125.084295232894</v>
      </c>
      <c r="I9" s="23">
        <f>I7-I8</f>
        <v>3533.59143757535</v>
      </c>
      <c r="J9" s="23">
        <f>J7-J8</f>
        <v>3940.8032489678344</v>
      </c>
    </row>
    <row r="10" spans="1:10" x14ac:dyDescent="0.25">
      <c r="B10" s="2" t="s">
        <v>20</v>
      </c>
      <c r="C10" s="29">
        <f t="shared" ref="C10:J10" si="0">C9/C4</f>
        <v>0.11674825739790969</v>
      </c>
      <c r="D10" s="29">
        <f t="shared" si="0"/>
        <v>0.11412632301087948</v>
      </c>
      <c r="E10" s="29">
        <f t="shared" si="0"/>
        <v>0.11250558807383439</v>
      </c>
      <c r="F10" s="29">
        <f t="shared" si="0"/>
        <v>0.11254388121071374</v>
      </c>
      <c r="G10" s="29">
        <f t="shared" si="0"/>
        <v>0.12096159788432448</v>
      </c>
      <c r="H10" s="29">
        <f t="shared" si="0"/>
        <v>0.12521509631090791</v>
      </c>
      <c r="I10" s="29">
        <f t="shared" si="0"/>
        <v>0.12861950067783481</v>
      </c>
      <c r="J10" s="29">
        <f t="shared" si="0"/>
        <v>0.13133676891184556</v>
      </c>
    </row>
    <row r="11" spans="1:10" x14ac:dyDescent="0.25">
      <c r="B11" s="9" t="s">
        <v>114</v>
      </c>
      <c r="C11" s="18">
        <v>497.45</v>
      </c>
      <c r="D11" s="18">
        <v>503.93</v>
      </c>
      <c r="E11" s="18">
        <v>500.95</v>
      </c>
      <c r="F11" s="10">
        <f>Assumptions!D86</f>
        <v>534.6943</v>
      </c>
      <c r="G11" s="10">
        <f>Assumptions!E86</f>
        <v>530.59504620000007</v>
      </c>
      <c r="H11" s="10">
        <f>Assumptions!F86</f>
        <v>512.23626853079998</v>
      </c>
      <c r="I11" s="10">
        <f>Assumptions!G86</f>
        <v>496.92504795468727</v>
      </c>
      <c r="J11" s="10">
        <f>Assumptions!H86</f>
        <v>484.15548999420918</v>
      </c>
    </row>
    <row r="12" spans="1:10" x14ac:dyDescent="0.25">
      <c r="B12" s="6" t="s">
        <v>115</v>
      </c>
      <c r="C12" s="21">
        <f t="shared" ref="C12:J12" si="1">C9-C11</f>
        <v>1373.93</v>
      </c>
      <c r="D12" s="21">
        <f t="shared" si="1"/>
        <v>1389.21</v>
      </c>
      <c r="E12" s="21">
        <f t="shared" si="1"/>
        <v>1441.8999999999999</v>
      </c>
      <c r="F12" s="47">
        <f t="shared" si="1"/>
        <v>1639.6089457499997</v>
      </c>
      <c r="G12" s="47">
        <f t="shared" si="1"/>
        <v>2187.8615728845643</v>
      </c>
      <c r="H12" s="47">
        <f t="shared" si="1"/>
        <v>2612.8480267020941</v>
      </c>
      <c r="I12" s="47">
        <f t="shared" si="1"/>
        <v>3036.6663896206628</v>
      </c>
      <c r="J12" s="47">
        <f t="shared" si="1"/>
        <v>3456.6477589736251</v>
      </c>
    </row>
    <row r="13" spans="1:10" x14ac:dyDescent="0.25">
      <c r="B13" s="9" t="s">
        <v>116</v>
      </c>
      <c r="C13" s="18">
        <v>48.59</v>
      </c>
      <c r="D13" s="18">
        <v>43.89</v>
      </c>
      <c r="E13" s="18">
        <v>34.86</v>
      </c>
      <c r="F13" s="10">
        <f>Assumptions!D93+1.92</f>
        <v>33.985446599999996</v>
      </c>
      <c r="G13" s="10">
        <f>Assumptions!E93+1.92</f>
        <v>33.062944066435996</v>
      </c>
      <c r="H13" s="10">
        <f>Assumptions!F93+1.92</f>
        <v>32.157319666353608</v>
      </c>
      <c r="I13" s="10">
        <f>Assumptions!G93+1.92</f>
        <v>31.174300605040187</v>
      </c>
      <c r="J13" s="10">
        <f>Assumptions!H93+1.92</f>
        <v>30.107272734746921</v>
      </c>
    </row>
    <row r="14" spans="1:10" x14ac:dyDescent="0.25">
      <c r="B14" s="9" t="s">
        <v>117</v>
      </c>
      <c r="C14" s="18">
        <v>84.54</v>
      </c>
      <c r="D14" s="18">
        <v>96.16</v>
      </c>
      <c r="E14" s="18">
        <v>93.07</v>
      </c>
      <c r="F14" s="10">
        <f>'Balance Sheet'!E9*Assumptions!$D$49</f>
        <v>8.230500000000001</v>
      </c>
      <c r="G14" s="10">
        <f>'Balance Sheet'!F9*Assumptions!$D$49</f>
        <v>19.913725101652439</v>
      </c>
      <c r="H14" s="10">
        <f>'Balance Sheet'!G9*Assumptions!$D$49</f>
        <v>83.63746040913334</v>
      </c>
      <c r="I14" s="10">
        <f>'Balance Sheet'!H9*Assumptions!$D$49</f>
        <v>167.80256790749453</v>
      </c>
      <c r="J14" s="10">
        <f>'Balance Sheet'!I9*Assumptions!$D$49</f>
        <v>270.09621755080587</v>
      </c>
    </row>
    <row r="15" spans="1:10" x14ac:dyDescent="0.25">
      <c r="B15" s="6" t="s">
        <v>118</v>
      </c>
      <c r="C15" s="23">
        <f t="shared" ref="C15:J15" si="2">C12-C13+C14</f>
        <v>1409.88</v>
      </c>
      <c r="D15" s="23">
        <f t="shared" si="2"/>
        <v>1441.48</v>
      </c>
      <c r="E15" s="23">
        <f t="shared" si="2"/>
        <v>1500.11</v>
      </c>
      <c r="F15" s="23">
        <f t="shared" si="2"/>
        <v>1613.8539991499997</v>
      </c>
      <c r="G15" s="23">
        <f t="shared" si="2"/>
        <v>2174.7123539197805</v>
      </c>
      <c r="H15" s="23">
        <f t="shared" si="2"/>
        <v>2664.328167444874</v>
      </c>
      <c r="I15" s="23">
        <f t="shared" si="2"/>
        <v>3173.2946569231171</v>
      </c>
      <c r="J15" s="23">
        <f t="shared" si="2"/>
        <v>3696.6367037896839</v>
      </c>
    </row>
    <row r="16" spans="1:10" x14ac:dyDescent="0.25">
      <c r="B16" s="9" t="s">
        <v>119</v>
      </c>
      <c r="C16" s="18">
        <v>356.92</v>
      </c>
      <c r="D16" s="18">
        <v>364.55</v>
      </c>
      <c r="E16" s="18">
        <v>379.74</v>
      </c>
      <c r="F16" s="10">
        <f>F15*Assumptions!$D$62</f>
        <v>403.46349978749993</v>
      </c>
      <c r="G16" s="10">
        <f>G15*Assumptions!$D$62</f>
        <v>543.67808847994513</v>
      </c>
      <c r="H16" s="10">
        <f>H15*Assumptions!$D$62</f>
        <v>666.0820418612185</v>
      </c>
      <c r="I16" s="10">
        <f>I15*Assumptions!$D$62</f>
        <v>793.32366423077929</v>
      </c>
      <c r="J16" s="10">
        <f>J15*Assumptions!$D$62</f>
        <v>924.15917594742098</v>
      </c>
    </row>
    <row r="17" spans="2:10" x14ac:dyDescent="0.25">
      <c r="B17" s="30" t="s">
        <v>21</v>
      </c>
      <c r="C17" s="31">
        <v>1052.96</v>
      </c>
      <c r="D17" s="31">
        <v>1076.93</v>
      </c>
      <c r="E17" s="31">
        <v>1111.33</v>
      </c>
      <c r="F17" s="32">
        <f>F15-F16</f>
        <v>1210.3904993624997</v>
      </c>
      <c r="G17" s="32">
        <f>G15-G16</f>
        <v>1631.0342654398355</v>
      </c>
      <c r="H17" s="32">
        <f>H15-H16</f>
        <v>1998.2461255836556</v>
      </c>
      <c r="I17" s="32">
        <f>I15-I16</f>
        <v>2379.9709926923379</v>
      </c>
      <c r="J17" s="32">
        <f>J15-J16</f>
        <v>2772.477527842263</v>
      </c>
    </row>
    <row r="21" spans="2:10" x14ac:dyDescent="0.25">
      <c r="B21" s="49" t="s">
        <v>9</v>
      </c>
      <c r="C21" s="50" t="s">
        <v>10</v>
      </c>
      <c r="D21" s="50" t="s">
        <v>11</v>
      </c>
      <c r="E21" s="50" t="s">
        <v>12</v>
      </c>
    </row>
    <row r="22" spans="2:10" x14ac:dyDescent="0.25">
      <c r="B22" s="51" t="s">
        <v>192</v>
      </c>
    </row>
    <row r="23" spans="2:10" x14ac:dyDescent="0.25">
      <c r="B23" s="1" t="s">
        <v>193</v>
      </c>
      <c r="C23" s="54">
        <v>447.68</v>
      </c>
      <c r="D23" s="54">
        <v>466.78</v>
      </c>
      <c r="E23" s="54">
        <v>472.88</v>
      </c>
    </row>
    <row r="24" spans="2:10" x14ac:dyDescent="0.25">
      <c r="B24" s="1" t="s">
        <v>194</v>
      </c>
      <c r="C24" s="54">
        <v>375.11</v>
      </c>
      <c r="D24" s="54">
        <v>480.32</v>
      </c>
      <c r="E24" s="54">
        <v>420.34</v>
      </c>
    </row>
    <row r="25" spans="2:10" x14ac:dyDescent="0.25">
      <c r="B25" s="1" t="s">
        <v>195</v>
      </c>
      <c r="C25" s="54">
        <v>433.58</v>
      </c>
      <c r="D25" s="54">
        <v>432.72</v>
      </c>
      <c r="E25" s="54">
        <v>439.54</v>
      </c>
    </row>
    <row r="26" spans="2:10" x14ac:dyDescent="0.25">
      <c r="B26" s="1" t="s">
        <v>196</v>
      </c>
      <c r="C26" s="54">
        <v>113.67</v>
      </c>
      <c r="D26" s="54">
        <v>118.18</v>
      </c>
      <c r="E26" s="54">
        <v>119.48</v>
      </c>
    </row>
    <row r="27" spans="2:10" x14ac:dyDescent="0.25">
      <c r="B27" s="1" t="s">
        <v>197</v>
      </c>
      <c r="C27" s="54">
        <v>81.36</v>
      </c>
      <c r="D27" s="54">
        <v>84.02</v>
      </c>
      <c r="E27" s="54">
        <v>97.34</v>
      </c>
    </row>
    <row r="28" spans="2:10" x14ac:dyDescent="0.25">
      <c r="B28" s="1" t="s">
        <v>198</v>
      </c>
      <c r="C28" s="54">
        <v>71.099999999999994</v>
      </c>
      <c r="D28" s="54">
        <v>76.89</v>
      </c>
      <c r="E28" s="54">
        <v>80.290000000000006</v>
      </c>
    </row>
    <row r="29" spans="2:10" x14ac:dyDescent="0.25">
      <c r="B29" s="1" t="s">
        <v>199</v>
      </c>
      <c r="C29" s="54">
        <v>43.76</v>
      </c>
      <c r="D29" s="54">
        <v>53.86</v>
      </c>
      <c r="E29" s="54">
        <v>57.28</v>
      </c>
    </row>
    <row r="30" spans="2:10" x14ac:dyDescent="0.25">
      <c r="B30" s="1" t="s">
        <v>200</v>
      </c>
      <c r="C30" s="54">
        <v>49.82</v>
      </c>
      <c r="D30" s="54">
        <v>53.26</v>
      </c>
      <c r="E30" s="54">
        <v>53.36</v>
      </c>
    </row>
    <row r="31" spans="2:10" x14ac:dyDescent="0.25">
      <c r="B31" s="1" t="s">
        <v>201</v>
      </c>
      <c r="C31" s="54">
        <v>4.47</v>
      </c>
      <c r="D31" s="54">
        <v>5.55</v>
      </c>
      <c r="E31" s="54">
        <v>3.74</v>
      </c>
    </row>
    <row r="32" spans="2:10" x14ac:dyDescent="0.25">
      <c r="B32" s="43" t="s">
        <v>202</v>
      </c>
      <c r="C32" s="43">
        <v>1620.55</v>
      </c>
      <c r="D32" s="43">
        <v>1771.58</v>
      </c>
      <c r="E32" s="55">
        <v>1744.25</v>
      </c>
    </row>
    <row r="34" spans="2:5" x14ac:dyDescent="0.25">
      <c r="B34" s="51" t="s">
        <v>219</v>
      </c>
    </row>
    <row r="35" spans="2:5" x14ac:dyDescent="0.25">
      <c r="B35" s="1" t="s">
        <v>203</v>
      </c>
      <c r="C35" s="54">
        <v>858.41</v>
      </c>
      <c r="D35" s="54">
        <v>928.55</v>
      </c>
      <c r="E35" s="54">
        <v>953.12</v>
      </c>
    </row>
    <row r="36" spans="2:5" x14ac:dyDescent="0.25">
      <c r="B36" s="1" t="s">
        <v>204</v>
      </c>
      <c r="C36" s="54">
        <v>43.72</v>
      </c>
      <c r="D36" s="54">
        <v>45.4</v>
      </c>
      <c r="E36" s="54">
        <v>48.97</v>
      </c>
    </row>
    <row r="37" spans="2:5" x14ac:dyDescent="0.25">
      <c r="B37" s="1" t="s">
        <v>205</v>
      </c>
      <c r="C37" s="54">
        <v>80.55</v>
      </c>
      <c r="D37" s="54">
        <v>81.849999999999994</v>
      </c>
      <c r="E37" s="54">
        <v>78.97</v>
      </c>
    </row>
    <row r="38" spans="2:5" x14ac:dyDescent="0.25">
      <c r="B38" s="1" t="s">
        <v>206</v>
      </c>
      <c r="C38" s="54">
        <v>198.23</v>
      </c>
      <c r="D38" s="54">
        <v>195.05</v>
      </c>
      <c r="E38" s="54">
        <v>175.62</v>
      </c>
    </row>
    <row r="39" spans="2:5" x14ac:dyDescent="0.25">
      <c r="B39" s="1" t="s">
        <v>207</v>
      </c>
      <c r="C39" s="54">
        <v>55.01</v>
      </c>
      <c r="D39" s="54">
        <v>30.72</v>
      </c>
      <c r="E39" s="54">
        <v>71.819999999999993</v>
      </c>
    </row>
    <row r="40" spans="2:5" x14ac:dyDescent="0.25">
      <c r="B40" s="1" t="s">
        <v>208</v>
      </c>
      <c r="C40" s="54">
        <v>58.49</v>
      </c>
      <c r="D40" s="54">
        <v>64.209999999999994</v>
      </c>
      <c r="E40" s="54">
        <v>66.02</v>
      </c>
    </row>
    <row r="41" spans="2:5" x14ac:dyDescent="0.25">
      <c r="B41" s="1" t="s">
        <v>209</v>
      </c>
      <c r="C41" s="54">
        <v>49.22</v>
      </c>
      <c r="D41" s="54">
        <v>55.95</v>
      </c>
      <c r="E41" s="54">
        <v>63.5</v>
      </c>
    </row>
    <row r="42" spans="2:5" x14ac:dyDescent="0.25">
      <c r="B42" s="1" t="s">
        <v>210</v>
      </c>
      <c r="C42" s="54">
        <v>51.56</v>
      </c>
      <c r="D42" s="54">
        <v>56.34</v>
      </c>
      <c r="E42" s="54">
        <v>57.01</v>
      </c>
    </row>
    <row r="43" spans="2:5" x14ac:dyDescent="0.25">
      <c r="B43" s="1" t="s">
        <v>211</v>
      </c>
      <c r="C43" s="54">
        <v>47.32</v>
      </c>
      <c r="D43" s="54">
        <v>52.11</v>
      </c>
      <c r="E43" s="54">
        <v>46.36</v>
      </c>
    </row>
    <row r="44" spans="2:5" x14ac:dyDescent="0.25">
      <c r="B44" s="1" t="s">
        <v>212</v>
      </c>
      <c r="C44" s="54">
        <v>12.36</v>
      </c>
      <c r="D44" s="54">
        <v>12.49</v>
      </c>
      <c r="E44" s="54">
        <v>14.79</v>
      </c>
    </row>
    <row r="45" spans="2:5" x14ac:dyDescent="0.25">
      <c r="B45" s="1" t="s">
        <v>213</v>
      </c>
      <c r="C45" s="54">
        <v>1.93</v>
      </c>
      <c r="D45" s="54">
        <v>2.1</v>
      </c>
      <c r="E45" s="54">
        <v>1.99</v>
      </c>
    </row>
    <row r="46" spans="2:5" x14ac:dyDescent="0.25">
      <c r="B46" s="1" t="s">
        <v>214</v>
      </c>
      <c r="C46" s="54">
        <v>5.95</v>
      </c>
      <c r="D46" s="54">
        <v>4.8</v>
      </c>
      <c r="E46" s="54">
        <v>5.89</v>
      </c>
    </row>
    <row r="47" spans="2:5" x14ac:dyDescent="0.25">
      <c r="B47" s="1" t="s">
        <v>215</v>
      </c>
      <c r="C47" s="54">
        <v>1.25</v>
      </c>
      <c r="D47" s="54">
        <v>0</v>
      </c>
      <c r="E47" s="54">
        <v>1.81</v>
      </c>
    </row>
    <row r="48" spans="2:5" x14ac:dyDescent="0.25">
      <c r="B48" s="1" t="s">
        <v>216</v>
      </c>
      <c r="C48" s="54">
        <v>3.51</v>
      </c>
      <c r="D48" s="54">
        <v>3.4</v>
      </c>
      <c r="E48" s="54">
        <v>3.42</v>
      </c>
    </row>
    <row r="49" spans="2:5" x14ac:dyDescent="0.25">
      <c r="B49" s="1" t="s">
        <v>217</v>
      </c>
      <c r="C49" s="54">
        <v>1.1200000000000001</v>
      </c>
      <c r="D49" s="54">
        <v>1.07</v>
      </c>
      <c r="E49" s="54">
        <v>1.1499999999999999</v>
      </c>
    </row>
    <row r="50" spans="2:5" x14ac:dyDescent="0.25">
      <c r="B50" s="1" t="s">
        <v>218</v>
      </c>
      <c r="C50" s="54">
        <v>0.28000000000000003</v>
      </c>
      <c r="D50" s="54">
        <v>0.3</v>
      </c>
      <c r="E50" s="54">
        <v>0.32</v>
      </c>
    </row>
    <row r="51" spans="2:5" x14ac:dyDescent="0.25">
      <c r="B51" s="43" t="s">
        <v>220</v>
      </c>
      <c r="C51" s="43">
        <v>1468.91</v>
      </c>
      <c r="D51" s="43">
        <v>1534.34</v>
      </c>
      <c r="E51" s="55">
        <v>1590.76</v>
      </c>
    </row>
    <row r="53" spans="2:5" x14ac:dyDescent="0.25">
      <c r="B53" s="49" t="s">
        <v>223</v>
      </c>
      <c r="C53" s="52">
        <f>C32+C51</f>
        <v>3089.46</v>
      </c>
      <c r="D53" s="52">
        <f t="shared" ref="D53:E53" si="3">D32+D51</f>
        <v>3305.92</v>
      </c>
      <c r="E53" s="52">
        <f t="shared" si="3"/>
        <v>3335.01</v>
      </c>
    </row>
    <row r="54" spans="2:5" x14ac:dyDescent="0.25">
      <c r="B54" s="1" t="s">
        <v>221</v>
      </c>
      <c r="C54" s="53">
        <f>C32/C$4</f>
        <v>0.10109993081372171</v>
      </c>
      <c r="D54" s="53">
        <f t="shared" ref="D54:E54" si="4">D32/D$4</f>
        <v>0.10679818255364835</v>
      </c>
      <c r="E54" s="53">
        <f t="shared" si="4"/>
        <v>0.1010051584001779</v>
      </c>
    </row>
    <row r="55" spans="2:5" x14ac:dyDescent="0.25">
      <c r="B55" s="1" t="s">
        <v>222</v>
      </c>
      <c r="C55" s="53">
        <f>C51/C$4</f>
        <v>9.1639689840846611E-2</v>
      </c>
      <c r="D55" s="53">
        <f t="shared" ref="D55:E55" si="5">D51/D$4</f>
        <v>9.2496372401678059E-2</v>
      </c>
      <c r="E55" s="53">
        <f t="shared" si="5"/>
        <v>9.2116936090965745E-2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3"/>
  <sheetViews>
    <sheetView showGridLines="0" zoomScaleNormal="100" workbookViewId="0">
      <selection activeCell="E10" sqref="E10"/>
    </sheetView>
  </sheetViews>
  <sheetFormatPr defaultColWidth="8.7109375" defaultRowHeight="15" x14ac:dyDescent="0.25"/>
  <cols>
    <col min="1" max="1" width="2" style="1" customWidth="1"/>
    <col min="2" max="2" width="34" style="1" customWidth="1"/>
    <col min="3" max="10" width="13" style="1" customWidth="1"/>
  </cols>
  <sheetData>
    <row r="1" spans="1:10" ht="19.5" customHeight="1" x14ac:dyDescent="0.25">
      <c r="A1" s="56" t="s">
        <v>120</v>
      </c>
      <c r="B1" s="56"/>
      <c r="C1" s="56"/>
      <c r="D1" s="56"/>
      <c r="E1" s="56"/>
      <c r="F1" s="56"/>
      <c r="G1" s="56"/>
      <c r="H1" s="56"/>
      <c r="I1" s="56"/>
      <c r="J1" s="56"/>
    </row>
    <row r="3" spans="1:10" x14ac:dyDescent="0.25">
      <c r="B3" s="6" t="s">
        <v>9</v>
      </c>
      <c r="C3" s="8" t="s">
        <v>10</v>
      </c>
      <c r="D3" s="8" t="s">
        <v>11</v>
      </c>
      <c r="E3" s="8" t="s">
        <v>12</v>
      </c>
      <c r="F3" s="8" t="s">
        <v>13</v>
      </c>
      <c r="G3" s="8" t="s">
        <v>14</v>
      </c>
      <c r="H3" s="8" t="s">
        <v>15</v>
      </c>
      <c r="I3" s="8" t="s">
        <v>16</v>
      </c>
      <c r="J3" s="8" t="s">
        <v>17</v>
      </c>
    </row>
    <row r="4" spans="1:10" x14ac:dyDescent="0.25">
      <c r="B4" s="9" t="s">
        <v>121</v>
      </c>
      <c r="C4" s="18">
        <v>3047.22</v>
      </c>
      <c r="D4" s="18">
        <v>2998.34</v>
      </c>
      <c r="E4" s="18">
        <v>2921.05</v>
      </c>
      <c r="F4" s="10">
        <f>Assumptions!D87</f>
        <v>2986.3557000000001</v>
      </c>
      <c r="G4" s="10">
        <f>Assumptions!E87</f>
        <v>2875.7606538</v>
      </c>
      <c r="H4" s="10">
        <f>Assumptions!F87</f>
        <v>2783.5243852692001</v>
      </c>
      <c r="I4" s="10">
        <f>Assumptions!G87</f>
        <v>2706.5993373145129</v>
      </c>
      <c r="J4" s="10">
        <f>Assumptions!H87</f>
        <v>2642.4438473203036</v>
      </c>
    </row>
    <row r="5" spans="1:10" x14ac:dyDescent="0.25">
      <c r="B5" s="9" t="s">
        <v>122</v>
      </c>
      <c r="C5" s="18">
        <v>2302.2399999999998</v>
      </c>
      <c r="D5" s="18">
        <v>3302.23</v>
      </c>
      <c r="E5" s="18">
        <v>4802.2299999999996</v>
      </c>
      <c r="F5" s="10">
        <f>Assumptions!D68</f>
        <v>5602.23</v>
      </c>
      <c r="G5" s="10">
        <f>Assumptions!E68</f>
        <v>5602.23</v>
      </c>
      <c r="H5" s="10">
        <f>Assumptions!F68</f>
        <v>5602.23</v>
      </c>
      <c r="I5" s="10">
        <f>Assumptions!G68</f>
        <v>5602.23</v>
      </c>
      <c r="J5" s="10">
        <f>Assumptions!H68</f>
        <v>5602.23</v>
      </c>
    </row>
    <row r="6" spans="1:10" x14ac:dyDescent="0.25">
      <c r="B6" s="9" t="s">
        <v>123</v>
      </c>
      <c r="C6" s="18">
        <v>5511.55</v>
      </c>
      <c r="D6" s="18">
        <v>5978.47</v>
      </c>
      <c r="E6" s="18">
        <v>5144.43</v>
      </c>
      <c r="F6" s="21">
        <f>$E$6</f>
        <v>5144.43</v>
      </c>
      <c r="G6" s="21">
        <f>$E$6</f>
        <v>5144.43</v>
      </c>
      <c r="H6" s="21">
        <f>$E$6</f>
        <v>5144.43</v>
      </c>
      <c r="I6" s="21">
        <f>$E$6</f>
        <v>5144.43</v>
      </c>
      <c r="J6" s="21">
        <f>$E$6</f>
        <v>5144.43</v>
      </c>
    </row>
    <row r="7" spans="1:10" x14ac:dyDescent="0.25">
      <c r="B7" s="9" t="s">
        <v>124</v>
      </c>
      <c r="C7" s="18">
        <v>3249.34</v>
      </c>
      <c r="D7" s="18">
        <v>3827.43</v>
      </c>
      <c r="E7" s="18">
        <v>3492.14</v>
      </c>
      <c r="F7" s="10">
        <f>'P&amp;L'!F6*Assumptions!$D$57/365</f>
        <v>3485.4153979678072</v>
      </c>
      <c r="G7" s="10">
        <f>'P&amp;L'!G6*Assumptions!$D$57/365</f>
        <v>4054.4431136807248</v>
      </c>
      <c r="H7" s="10">
        <f>'P&amp;L'!H6*Assumptions!$D$57/365</f>
        <v>4502.5792344117272</v>
      </c>
      <c r="I7" s="10">
        <f>'P&amp;L'!I6*Assumptions!$D$57/365</f>
        <v>4956.3941330534772</v>
      </c>
      <c r="J7" s="10">
        <f>'P&amp;L'!J6*Assumptions!$D$57/365</f>
        <v>5413.2083663081867</v>
      </c>
    </row>
    <row r="8" spans="1:10" x14ac:dyDescent="0.25">
      <c r="B8" s="9" t="s">
        <v>125</v>
      </c>
      <c r="C8" s="18">
        <v>1264.4100000000001</v>
      </c>
      <c r="D8" s="18">
        <v>1576.59</v>
      </c>
      <c r="E8" s="18">
        <v>1460.28</v>
      </c>
      <c r="F8" s="10">
        <f>'P&amp;L'!F4*Assumptions!$D$58/365</f>
        <v>1702.242390904109</v>
      </c>
      <c r="G8" s="10">
        <f>'P&amp;L'!G4*Assumptions!$D$58/365</f>
        <v>1980.1498965204046</v>
      </c>
      <c r="H8" s="10">
        <f>'P&amp;L'!H4*Assumptions!$D$58/365</f>
        <v>2199.0151434141922</v>
      </c>
      <c r="I8" s="10">
        <f>'P&amp;L'!I4*Assumptions!$D$58/365</f>
        <v>2420.6538492459999</v>
      </c>
      <c r="J8" s="10">
        <f>'P&amp;L'!J4*Assumptions!$D$58/365</f>
        <v>2643.7574004232602</v>
      </c>
    </row>
    <row r="9" spans="1:10" x14ac:dyDescent="0.25">
      <c r="B9" s="9" t="s">
        <v>126</v>
      </c>
      <c r="C9" s="18">
        <v>217.44</v>
      </c>
      <c r="D9" s="18">
        <v>111.26</v>
      </c>
      <c r="E9" s="18">
        <v>164.61</v>
      </c>
      <c r="F9" s="10">
        <f>E9+'Cash Flow'!F11-Assumptions!$D$63</f>
        <v>398.27450203304875</v>
      </c>
      <c r="G9" s="10">
        <f>F9+'Cash Flow'!G11-Assumptions!$D$63</f>
        <v>1672.7492081826667</v>
      </c>
      <c r="H9" s="10">
        <f>G9+'Cash Flow'!H11-Assumptions!$D$63</f>
        <v>3356.0513581498903</v>
      </c>
      <c r="I9" s="10">
        <f>H9+'Cash Flow'!I11-Assumptions!$D$63</f>
        <v>5401.9243510161177</v>
      </c>
      <c r="J9" s="10">
        <f>I9+'Cash Flow'!J11-Assumptions!$D$63</f>
        <v>7824.9568536336956</v>
      </c>
    </row>
    <row r="10" spans="1:10" x14ac:dyDescent="0.25">
      <c r="B10" s="9" t="s">
        <v>127</v>
      </c>
      <c r="C10" s="18">
        <v>2309.64</v>
      </c>
      <c r="D10" s="18">
        <v>2831.19</v>
      </c>
      <c r="E10" s="18">
        <v>3127.82</v>
      </c>
      <c r="F10" s="10">
        <f>'P&amp;L'!F6*Assumptions!$D$59/365</f>
        <v>3432.4320449424654</v>
      </c>
      <c r="G10" s="10">
        <f>'P&amp;L'!G6*Assumptions!$D$59/365</f>
        <v>3992.8097167150249</v>
      </c>
      <c r="H10" s="10">
        <f>'P&amp;L'!H6*Assumptions!$D$59/365</f>
        <v>4434.1335205262294</v>
      </c>
      <c r="I10" s="10">
        <f>'P&amp;L'!I6*Assumptions!$D$59/365</f>
        <v>4881.0497766139488</v>
      </c>
      <c r="J10" s="10">
        <f>'P&amp;L'!J6*Assumptions!$D$59/365</f>
        <v>5330.919773092277</v>
      </c>
    </row>
    <row r="11" spans="1:10" x14ac:dyDescent="0.25">
      <c r="B11" s="9" t="s">
        <v>128</v>
      </c>
      <c r="C11" s="18">
        <v>85</v>
      </c>
      <c r="D11" s="18">
        <v>85</v>
      </c>
      <c r="E11" s="18">
        <v>85</v>
      </c>
      <c r="F11" s="21">
        <f>$E$11</f>
        <v>85</v>
      </c>
      <c r="G11" s="21">
        <f>$E$11</f>
        <v>85</v>
      </c>
      <c r="H11" s="21">
        <f>$E$11</f>
        <v>85</v>
      </c>
      <c r="I11" s="21">
        <f>$E$11</f>
        <v>85</v>
      </c>
      <c r="J11" s="21">
        <f>$E$11</f>
        <v>85</v>
      </c>
    </row>
    <row r="12" spans="1:10" x14ac:dyDescent="0.25">
      <c r="B12" s="9" t="s">
        <v>129</v>
      </c>
      <c r="C12" s="18">
        <v>13052.24</v>
      </c>
      <c r="D12" s="18">
        <v>14357.34</v>
      </c>
      <c r="E12" s="18">
        <v>14588.58</v>
      </c>
      <c r="F12" s="10">
        <f>E12+'P&amp;L'!F17-Assumptions!$D$63</f>
        <v>15628.9704993625</v>
      </c>
      <c r="G12" s="10">
        <f>F12+'P&amp;L'!G17-Assumptions!$D$63</f>
        <v>17090.004764802336</v>
      </c>
      <c r="H12" s="10">
        <f>G12+'P&amp;L'!H17-Assumptions!$D$63</f>
        <v>18918.250890385993</v>
      </c>
      <c r="I12" s="10">
        <f>H12+'P&amp;L'!I17-Assumptions!$D$63</f>
        <v>21128.221883078331</v>
      </c>
      <c r="J12" s="10">
        <f>I12+'P&amp;L'!J17-Assumptions!$D$63</f>
        <v>23730.699410920595</v>
      </c>
    </row>
    <row r="13" spans="1:10" x14ac:dyDescent="0.25">
      <c r="B13" s="9" t="s">
        <v>130</v>
      </c>
      <c r="C13" s="18">
        <v>395.55</v>
      </c>
      <c r="D13" s="18">
        <v>385.59</v>
      </c>
      <c r="E13" s="18">
        <v>375.21</v>
      </c>
      <c r="F13" s="10">
        <f>Assumptions!D95</f>
        <v>364.41544659999994</v>
      </c>
      <c r="G13" s="10">
        <f>Assumptions!E95</f>
        <v>353.8183906664359</v>
      </c>
      <c r="H13" s="10">
        <f>Assumptions!F95</f>
        <v>342.31571033278948</v>
      </c>
      <c r="I13" s="10">
        <f>Assumptions!G95</f>
        <v>329.83001093782968</v>
      </c>
      <c r="J13" s="10">
        <f>Assumptions!H95</f>
        <v>316.27728367257657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"/>
  <sheetViews>
    <sheetView showGridLines="0" zoomScaleNormal="100" workbookViewId="0">
      <selection activeCell="F10" sqref="F10"/>
    </sheetView>
  </sheetViews>
  <sheetFormatPr defaultColWidth="8.7109375" defaultRowHeight="15" x14ac:dyDescent="0.25"/>
  <cols>
    <col min="1" max="1" width="2" style="1" customWidth="1"/>
    <col min="2" max="2" width="42" style="1" customWidth="1"/>
    <col min="3" max="10" width="13" style="1" customWidth="1"/>
  </cols>
  <sheetData>
    <row r="1" spans="1:10" ht="19.5" customHeight="1" x14ac:dyDescent="0.25">
      <c r="A1" s="56" t="s">
        <v>131</v>
      </c>
      <c r="B1" s="56"/>
      <c r="C1" s="56"/>
      <c r="D1" s="56"/>
      <c r="E1" s="56"/>
      <c r="F1" s="56"/>
      <c r="G1" s="56"/>
      <c r="H1" s="56"/>
      <c r="I1" s="56"/>
      <c r="J1" s="56"/>
    </row>
    <row r="3" spans="1:10" x14ac:dyDescent="0.25">
      <c r="B3" s="6" t="s">
        <v>9</v>
      </c>
      <c r="F3" s="8" t="s">
        <v>13</v>
      </c>
      <c r="G3" s="8" t="s">
        <v>14</v>
      </c>
      <c r="H3" s="8" t="s">
        <v>15</v>
      </c>
      <c r="I3" s="8" t="s">
        <v>16</v>
      </c>
      <c r="J3" s="8" t="s">
        <v>17</v>
      </c>
    </row>
    <row r="4" spans="1:10" x14ac:dyDescent="0.25">
      <c r="B4" s="9" t="s">
        <v>21</v>
      </c>
      <c r="F4" s="10">
        <f>'P&amp;L'!F17</f>
        <v>1210.3904993624997</v>
      </c>
      <c r="G4" s="10">
        <f>'P&amp;L'!G17</f>
        <v>1631.0342654398355</v>
      </c>
      <c r="H4" s="10">
        <f>'P&amp;L'!H17</f>
        <v>1998.2461255836556</v>
      </c>
      <c r="I4" s="10">
        <f>'P&amp;L'!I17</f>
        <v>2379.9709926923379</v>
      </c>
      <c r="J4" s="10">
        <f>'P&amp;L'!J17</f>
        <v>2772.477527842263</v>
      </c>
    </row>
    <row r="5" spans="1:10" x14ac:dyDescent="0.25">
      <c r="B5" s="9" t="s">
        <v>132</v>
      </c>
      <c r="F5" s="10">
        <f>'P&amp;L'!F11</f>
        <v>534.6943</v>
      </c>
      <c r="G5" s="10">
        <f>'P&amp;L'!G11</f>
        <v>530.59504620000007</v>
      </c>
      <c r="H5" s="10">
        <f>'P&amp;L'!H11</f>
        <v>512.23626853079998</v>
      </c>
      <c r="I5" s="10">
        <f>'P&amp;L'!I11</f>
        <v>496.92504795468727</v>
      </c>
      <c r="J5" s="10">
        <f>'P&amp;L'!J11</f>
        <v>484.15548999420918</v>
      </c>
    </row>
    <row r="6" spans="1:10" x14ac:dyDescent="0.25">
      <c r="B6" s="9" t="s">
        <v>133</v>
      </c>
      <c r="F6" s="10">
        <f>'P&amp;L'!F13*(1-Assumptions!$D$62)</f>
        <v>25.489084949999999</v>
      </c>
      <c r="G6" s="10">
        <f>'P&amp;L'!G13*(1-Assumptions!$D$62)</f>
        <v>24.797208049826999</v>
      </c>
      <c r="H6" s="10">
        <f>'P&amp;L'!H13*(1-Assumptions!$D$62)</f>
        <v>24.117989749765208</v>
      </c>
      <c r="I6" s="10">
        <f>'P&amp;L'!I13*(1-Assumptions!$D$62)</f>
        <v>23.380725453780141</v>
      </c>
      <c r="J6" s="10">
        <f>'P&amp;L'!J13*(1-Assumptions!$D$62)</f>
        <v>22.580454551060193</v>
      </c>
    </row>
    <row r="7" spans="1:10" x14ac:dyDescent="0.25">
      <c r="B7" s="9" t="s">
        <v>134</v>
      </c>
      <c r="F7" s="10">
        <f>-Assumptions!D54</f>
        <v>-600</v>
      </c>
      <c r="G7" s="10">
        <f>-Assumptions!E54</f>
        <v>-420</v>
      </c>
      <c r="H7" s="10">
        <f>-Assumptions!F54</f>
        <v>-420</v>
      </c>
      <c r="I7" s="10">
        <f>-Assumptions!G54</f>
        <v>-420</v>
      </c>
      <c r="J7" s="10">
        <f>-Assumptions!H54</f>
        <v>-420</v>
      </c>
    </row>
    <row r="8" spans="1:10" x14ac:dyDescent="0.25">
      <c r="B8" s="9" t="s">
        <v>135</v>
      </c>
      <c r="F8" s="10">
        <f>-Assumptions!D67</f>
        <v>-800</v>
      </c>
      <c r="G8" s="10">
        <f>-Assumptions!E67</f>
        <v>0</v>
      </c>
      <c r="H8" s="10">
        <f>-Assumptions!F67</f>
        <v>0</v>
      </c>
      <c r="I8" s="10">
        <f>-Assumptions!G67</f>
        <v>0</v>
      </c>
      <c r="J8" s="10">
        <f>-Assumptions!H67</f>
        <v>0</v>
      </c>
    </row>
    <row r="9" spans="1:10" x14ac:dyDescent="0.25">
      <c r="B9" s="9" t="s">
        <v>136</v>
      </c>
      <c r="F9" s="10">
        <f>-Assumptions!D94</f>
        <v>-10.794553400000005</v>
      </c>
      <c r="G9" s="10">
        <f>-Assumptions!E94</f>
        <v>-10.597055933564008</v>
      </c>
      <c r="H9" s="10">
        <f>-Assumptions!F94</f>
        <v>-11.502680333646392</v>
      </c>
      <c r="I9" s="10">
        <f>-Assumptions!G94</f>
        <v>-12.485699394959816</v>
      </c>
      <c r="J9" s="10">
        <f>-Assumptions!H94</f>
        <v>-13.552727265253079</v>
      </c>
    </row>
    <row r="10" spans="1:10" x14ac:dyDescent="0.25">
      <c r="B10" s="9" t="s">
        <v>137</v>
      </c>
      <c r="F10" s="10">
        <f>-((('Balance Sheet'!F7-'Balance Sheet'!E7)+('Balance Sheet'!F8-'Balance Sheet'!E8))-('Balance Sheet'!F10-'Balance Sheet'!E10))</f>
        <v>69.374256070548881</v>
      </c>
      <c r="G10" s="10">
        <f>-((('Balance Sheet'!G7-'Balance Sheet'!F7)+('Balance Sheet'!G8-'Balance Sheet'!F8))-('Balance Sheet'!G10-'Balance Sheet'!F10))</f>
        <v>-286.55754955665361</v>
      </c>
      <c r="H10" s="10">
        <f>-((('Balance Sheet'!H7-'Balance Sheet'!G7)+('Balance Sheet'!H8-'Balance Sheet'!G8))-('Balance Sheet'!H10-'Balance Sheet'!G10))</f>
        <v>-225.67756381358549</v>
      </c>
      <c r="I10" s="10">
        <f>-((('Balance Sheet'!I7-'Balance Sheet'!H7)+('Balance Sheet'!I8-'Balance Sheet'!H8))-('Balance Sheet'!I10-'Balance Sheet'!H10))</f>
        <v>-228.53734838583841</v>
      </c>
      <c r="J10" s="10">
        <f>-((('Balance Sheet'!J7-'Balance Sheet'!I7)+('Balance Sheet'!J8-'Balance Sheet'!I8))-('Balance Sheet'!J10-'Balance Sheet'!I10))</f>
        <v>-230.04778795364155</v>
      </c>
    </row>
    <row r="11" spans="1:10" x14ac:dyDescent="0.25">
      <c r="B11" s="30" t="s">
        <v>138</v>
      </c>
      <c r="F11" s="32">
        <f>F4+F5+F7+F8+F9+F10</f>
        <v>403.66450203304868</v>
      </c>
      <c r="G11" s="32">
        <f>G4+G5+G7+G8+G9+G10</f>
        <v>1444.474706149618</v>
      </c>
      <c r="H11" s="32">
        <f>H4+H5+H7+H8+H9+H10</f>
        <v>1853.3021499672236</v>
      </c>
      <c r="I11" s="32">
        <f>I4+I5+I7+I8+I9+I10</f>
        <v>2215.8729928662269</v>
      </c>
      <c r="J11" s="32">
        <f>J4+J5+J7+J8+J9+J10</f>
        <v>2593.0325026175778</v>
      </c>
    </row>
    <row r="12" spans="1:10" x14ac:dyDescent="0.25">
      <c r="B12" s="30" t="s">
        <v>139</v>
      </c>
      <c r="F12" s="32">
        <f>F11+F6</f>
        <v>429.15358698304868</v>
      </c>
      <c r="G12" s="32">
        <f>G11+G6</f>
        <v>1469.2719141994451</v>
      </c>
      <c r="H12" s="32">
        <f>H11+H6</f>
        <v>1877.4201397169888</v>
      </c>
      <c r="I12" s="32">
        <f>I11+I6</f>
        <v>2239.253718320007</v>
      </c>
      <c r="J12" s="32">
        <f>J11+J6</f>
        <v>2615.6129571686379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65"/>
  <sheetViews>
    <sheetView showGridLines="0" topLeftCell="A40" zoomScaleNormal="100" workbookViewId="0">
      <selection activeCell="H58" sqref="H58"/>
    </sheetView>
  </sheetViews>
  <sheetFormatPr defaultColWidth="8.7109375" defaultRowHeight="15" x14ac:dyDescent="0.25"/>
  <cols>
    <col min="1" max="1" width="2" style="1" customWidth="1"/>
    <col min="2" max="2" width="42" style="1" customWidth="1"/>
    <col min="3" max="10" width="13" style="1" customWidth="1"/>
  </cols>
  <sheetData>
    <row r="1" spans="1:10" ht="19.5" customHeight="1" x14ac:dyDescent="0.25">
      <c r="A1" s="56" t="s">
        <v>140</v>
      </c>
      <c r="B1" s="56"/>
      <c r="C1" s="56"/>
      <c r="D1" s="56"/>
      <c r="E1" s="56"/>
      <c r="F1" s="56"/>
      <c r="G1" s="56"/>
      <c r="H1" s="56"/>
      <c r="I1" s="56"/>
      <c r="J1" s="56"/>
    </row>
    <row r="3" spans="1:10" x14ac:dyDescent="0.25">
      <c r="B3" s="9" t="s">
        <v>141</v>
      </c>
      <c r="E3" s="33" t="str">
        <f>VLOOKUP(Assumptions!C4,Assumptions!L3:N5,3)</f>
        <v>Bull</v>
      </c>
    </row>
    <row r="5" spans="1:10" ht="15.75" customHeight="1" x14ac:dyDescent="0.25">
      <c r="A5" s="57" t="s">
        <v>142</v>
      </c>
      <c r="B5" s="57"/>
      <c r="C5" s="57"/>
      <c r="D5" s="57"/>
      <c r="E5" s="57"/>
      <c r="F5" s="57"/>
      <c r="G5" s="57"/>
      <c r="H5" s="57"/>
      <c r="I5" s="57"/>
      <c r="J5" s="57"/>
    </row>
    <row r="6" spans="1:10" x14ac:dyDescent="0.25">
      <c r="B6" s="6" t="s">
        <v>9</v>
      </c>
      <c r="F6" s="8" t="s">
        <v>13</v>
      </c>
      <c r="G6" s="8" t="s">
        <v>14</v>
      </c>
      <c r="H6" s="8" t="s">
        <v>15</v>
      </c>
      <c r="I6" s="8" t="s">
        <v>16</v>
      </c>
      <c r="J6" s="8" t="s">
        <v>17</v>
      </c>
    </row>
    <row r="7" spans="1:10" x14ac:dyDescent="0.25">
      <c r="B7" s="9" t="s">
        <v>22</v>
      </c>
      <c r="F7" s="10">
        <f>'Cash Flow'!F11</f>
        <v>403.66450203304868</v>
      </c>
      <c r="G7" s="10">
        <f>'Cash Flow'!G11</f>
        <v>1444.474706149618</v>
      </c>
      <c r="H7" s="10">
        <f>'Cash Flow'!H11</f>
        <v>1853.3021499672236</v>
      </c>
      <c r="I7" s="10">
        <f>'Cash Flow'!I11</f>
        <v>2215.8729928662269</v>
      </c>
      <c r="J7" s="10">
        <f>'Cash Flow'!J11</f>
        <v>2593.0325026175778</v>
      </c>
    </row>
    <row r="8" spans="1:10" x14ac:dyDescent="0.25">
      <c r="B8" s="9" t="s">
        <v>143</v>
      </c>
      <c r="F8" s="34">
        <v>1</v>
      </c>
      <c r="G8" s="34">
        <v>2</v>
      </c>
      <c r="H8" s="34">
        <v>3</v>
      </c>
      <c r="I8" s="34">
        <v>4</v>
      </c>
      <c r="J8" s="34">
        <v>5</v>
      </c>
    </row>
    <row r="9" spans="1:10" x14ac:dyDescent="0.25">
      <c r="B9" s="9" t="s">
        <v>144</v>
      </c>
      <c r="F9" s="35">
        <f>1/(1+Assumptions!$D$78)^F8</f>
        <v>0.87671309739230452</v>
      </c>
      <c r="G9" s="35">
        <f>1/(1+Assumptions!$D$78)^G8</f>
        <v>0.76862585513920834</v>
      </c>
      <c r="H9" s="35">
        <f>1/(1+Assumptions!$D$78)^H8</f>
        <v>0.67386435419490398</v>
      </c>
      <c r="I9" s="35">
        <f>1/(1+Assumptions!$D$78)^I8</f>
        <v>0.59078570518847928</v>
      </c>
      <c r="J9" s="35">
        <f>1/(1+Assumptions!$D$78)^J8</f>
        <v>0.51794956549088855</v>
      </c>
    </row>
    <row r="10" spans="1:10" x14ac:dyDescent="0.25">
      <c r="B10" s="9" t="s">
        <v>145</v>
      </c>
      <c r="F10" s="21">
        <f>F7*F9</f>
        <v>353.89795588471634</v>
      </c>
      <c r="G10" s="21">
        <f>G7*G9</f>
        <v>1110.2606062412069</v>
      </c>
      <c r="H10" s="21">
        <f>H7*H9</f>
        <v>1248.8742564156903</v>
      </c>
      <c r="I10" s="21">
        <f>I7*I9</f>
        <v>1309.1060886985799</v>
      </c>
      <c r="J10" s="21">
        <f>J7*J9</f>
        <v>1343.0600580345258</v>
      </c>
    </row>
    <row r="12" spans="1:10" x14ac:dyDescent="0.25">
      <c r="B12" s="6" t="s">
        <v>146</v>
      </c>
      <c r="D12" s="23">
        <f>SUM(F10:J10)</f>
        <v>5365.1989652747197</v>
      </c>
    </row>
    <row r="13" spans="1:10" x14ac:dyDescent="0.25">
      <c r="B13" s="9" t="s">
        <v>147</v>
      </c>
      <c r="D13" s="10">
        <f>J7*(1+Assumptions!$D$79)/(Assumptions!$D$78-Assumptions!$D$79)</f>
        <v>30043.742581970084</v>
      </c>
    </row>
    <row r="14" spans="1:10" x14ac:dyDescent="0.25">
      <c r="B14" s="9" t="s">
        <v>148</v>
      </c>
      <c r="D14" s="21">
        <f>D13*J9</f>
        <v>15561.143416051511</v>
      </c>
    </row>
    <row r="15" spans="1:10" x14ac:dyDescent="0.25">
      <c r="B15" s="30" t="s">
        <v>149</v>
      </c>
      <c r="D15" s="32">
        <f>D12+D14</f>
        <v>20926.342381326231</v>
      </c>
    </row>
    <row r="17" spans="1:10" ht="15.75" customHeight="1" x14ac:dyDescent="0.25">
      <c r="A17" s="57" t="s">
        <v>150</v>
      </c>
      <c r="B17" s="57"/>
      <c r="C17" s="57"/>
      <c r="D17" s="57"/>
      <c r="E17" s="57"/>
      <c r="F17" s="57"/>
      <c r="G17" s="57"/>
      <c r="H17" s="57"/>
      <c r="I17" s="57"/>
      <c r="J17" s="57"/>
    </row>
    <row r="18" spans="1:10" x14ac:dyDescent="0.25">
      <c r="B18" s="9" t="s">
        <v>28</v>
      </c>
      <c r="D18" s="21">
        <f>D15</f>
        <v>20926.342381326231</v>
      </c>
    </row>
    <row r="19" spans="1:10" x14ac:dyDescent="0.25">
      <c r="B19" s="9" t="s">
        <v>151</v>
      </c>
      <c r="D19" s="10">
        <f>Assumptions!$D$71*Assumptions!$D$72</f>
        <v>5600</v>
      </c>
    </row>
    <row r="20" spans="1:10" x14ac:dyDescent="0.25">
      <c r="B20" s="9" t="s">
        <v>152</v>
      </c>
      <c r="D20" s="10">
        <f>Assumptions!$D$73*(1-Assumptions!$D$74)</f>
        <v>3601.1010000000001</v>
      </c>
    </row>
    <row r="21" spans="1:10" x14ac:dyDescent="0.25">
      <c r="B21" s="30" t="s">
        <v>31</v>
      </c>
      <c r="D21" s="32">
        <f>D18+D19+D20</f>
        <v>30127.443381326229</v>
      </c>
    </row>
    <row r="22" spans="1:10" x14ac:dyDescent="0.25">
      <c r="B22" s="9" t="s">
        <v>92</v>
      </c>
      <c r="D22" s="36">
        <f>Assumptions!$D$75</f>
        <v>85</v>
      </c>
    </row>
    <row r="23" spans="1:10" ht="15.75" x14ac:dyDescent="0.25">
      <c r="B23" s="37" t="s">
        <v>6</v>
      </c>
      <c r="D23" s="38">
        <f>D21/D22</f>
        <v>354.44051036854387</v>
      </c>
    </row>
    <row r="25" spans="1:10" ht="15.75" customHeight="1" x14ac:dyDescent="0.25">
      <c r="A25" s="57" t="s">
        <v>153</v>
      </c>
      <c r="B25" s="57"/>
      <c r="C25" s="57"/>
      <c r="D25" s="57"/>
      <c r="E25" s="57"/>
      <c r="F25" s="57"/>
      <c r="G25" s="57"/>
      <c r="H25" s="57"/>
      <c r="I25" s="57"/>
      <c r="J25" s="57"/>
    </row>
    <row r="26" spans="1:10" x14ac:dyDescent="0.25">
      <c r="B26" s="2" t="s">
        <v>154</v>
      </c>
    </row>
    <row r="28" spans="1:10" x14ac:dyDescent="0.25">
      <c r="B28" s="6" t="s">
        <v>155</v>
      </c>
      <c r="F28" s="39" t="s">
        <v>13</v>
      </c>
      <c r="G28" s="39" t="s">
        <v>14</v>
      </c>
      <c r="H28" s="39" t="s">
        <v>15</v>
      </c>
      <c r="I28" s="39" t="s">
        <v>16</v>
      </c>
      <c r="J28" s="39" t="s">
        <v>17</v>
      </c>
    </row>
    <row r="29" spans="1:10" x14ac:dyDescent="0.25">
      <c r="B29" s="1" t="s">
        <v>61</v>
      </c>
      <c r="E29" s="21">
        <f>Assumptions!$C$12</f>
        <v>4101.3684999999996</v>
      </c>
      <c r="F29" s="10">
        <f>E29*(1+INDEX(Assumptions!D19:D21,1))</f>
        <v>4347.4506099999999</v>
      </c>
      <c r="G29" s="10">
        <f>F29*(1+INDEX(Assumptions!E19:E21,1))</f>
        <v>4586.5603935499994</v>
      </c>
      <c r="H29" s="10">
        <f>G29*(1+INDEX(Assumptions!F19:F21,1))</f>
        <v>4815.8884132274998</v>
      </c>
      <c r="I29" s="10">
        <f>H29*(1+INDEX(Assumptions!G19:G21,1))</f>
        <v>5056.6828338888754</v>
      </c>
      <c r="J29" s="10">
        <f>I29*(1+INDEX(Assumptions!H19:H21,1))</f>
        <v>5309.5169755833194</v>
      </c>
    </row>
    <row r="30" spans="1:10" x14ac:dyDescent="0.25">
      <c r="B30" s="1" t="s">
        <v>62</v>
      </c>
      <c r="E30" s="21">
        <f>Assumptions!$C$13</f>
        <v>12304.105499999998</v>
      </c>
      <c r="F30" s="10">
        <f>E30*(1+INDEX(Assumptions!D25:D27,1))</f>
        <v>13534.516049999998</v>
      </c>
      <c r="G30" s="10">
        <f>F30*(1+INDEX(Assumptions!E25:E27,1))</f>
        <v>14820.295074749998</v>
      </c>
      <c r="H30" s="10">
        <f>G30*(1+INDEX(Assumptions!F25:F27,1))</f>
        <v>16154.121631477499</v>
      </c>
      <c r="I30" s="10">
        <f>H30*(1+INDEX(Assumptions!G25:G27,1))</f>
        <v>17527.221970153085</v>
      </c>
      <c r="J30" s="10">
        <f>I30*(1+INDEX(Assumptions!H25:H27,1))</f>
        <v>18929.399727765332</v>
      </c>
    </row>
    <row r="31" spans="1:10" x14ac:dyDescent="0.25">
      <c r="B31" s="1" t="s">
        <v>63</v>
      </c>
      <c r="E31" s="21">
        <f>Assumptions!$C$14</f>
        <v>863.44600000000071</v>
      </c>
      <c r="F31" s="10">
        <f>E31*(1+INDEX(Assumptions!D31:D33,1))</f>
        <v>794.37032000000067</v>
      </c>
      <c r="G31" s="10">
        <f>Assumptions!$D$35/(1-Assumptions!$D$35)*(G29+G30)</f>
        <v>1687.552649417391</v>
      </c>
      <c r="H31" s="10">
        <f>Assumptions!$D$35/(1-Assumptions!$D$35)*(H29+H30)</f>
        <v>1823.4791343221739</v>
      </c>
      <c r="I31" s="10">
        <f>Assumptions!$D$35/(1-Assumptions!$D$35)*(I29+I30)</f>
        <v>1963.8178090471267</v>
      </c>
      <c r="J31" s="10">
        <f>Assumptions!$D$35/(1-Assumptions!$D$35)*(J29+J30)</f>
        <v>2107.731887247709</v>
      </c>
    </row>
    <row r="32" spans="1:10" x14ac:dyDescent="0.25">
      <c r="B32" s="6" t="s">
        <v>156</v>
      </c>
      <c r="F32" s="23">
        <f>F29+F30+F31</f>
        <v>18676.33698</v>
      </c>
      <c r="G32" s="23">
        <f>G29+G30+G31</f>
        <v>21094.408117717387</v>
      </c>
      <c r="H32" s="23">
        <f>H29+H30+H31</f>
        <v>22793.489179027172</v>
      </c>
      <c r="I32" s="23">
        <f>I29+I30+I31</f>
        <v>24547.722613089085</v>
      </c>
      <c r="J32" s="23">
        <f>J29+J30+J31</f>
        <v>26346.64859059636</v>
      </c>
    </row>
    <row r="33" spans="2:13" x14ac:dyDescent="0.25">
      <c r="B33" s="1" t="s">
        <v>157</v>
      </c>
      <c r="F33" s="10">
        <f>F32*(1-Assumptions!$D$45)-(Assumptions!$C$47*(1+Assumptions!$D$48)^1+Assumptions!$D$47*F32)</f>
        <v>2046.2930590200003</v>
      </c>
      <c r="G33" s="10">
        <f>G32*(1-Assumptions!$D$45)-(Assumptions!$C$47*(1+Assumptions!$D$48)^2+Assumptions!$D$47*G32)</f>
        <v>2443.9743154257612</v>
      </c>
      <c r="H33" s="10">
        <f>H32*(1-Assumptions!$D$45)-(Assumptions!$C$47*(1+Assumptions!$D$48)^3+Assumptions!$D$47*H32)</f>
        <v>2694.4008016264079</v>
      </c>
      <c r="I33" s="10">
        <f>I32*(1-Assumptions!$D$45)-(Assumptions!$C$47*(1+Assumptions!$D$48)^4+Assumptions!$D$47*I32)</f>
        <v>2951.4180777547281</v>
      </c>
      <c r="J33" s="10">
        <f>J32*(1-Assumptions!$D$45)-(Assumptions!$C$47*(1+Assumptions!$D$48)^5+Assumptions!$D$47*J32)</f>
        <v>3212.7254111661759</v>
      </c>
    </row>
    <row r="34" spans="2:13" x14ac:dyDescent="0.25">
      <c r="B34" s="1" t="s">
        <v>158</v>
      </c>
      <c r="F34" s="10">
        <v>127.81640933210906</v>
      </c>
      <c r="G34" s="10">
        <f>-(((G32-F32)*Assumptions!$D$45)*(Assumptions!$D$57-Assumptions!$D$59)/365+(G32-F32)*Assumptions!$D$58/365)</f>
        <v>-219.68673150094861</v>
      </c>
      <c r="H34" s="10">
        <f>-(((H32-G32)*Assumptions!$D$45)*(Assumptions!$D$57-Assumptions!$D$59)/365+(H32-G32)*Assumptions!$D$58/365)</f>
        <v>-154.36500568244873</v>
      </c>
      <c r="I34" s="10">
        <f>-(((I32-H32)*Assumptions!$D$45)*(Assumptions!$D$57-Assumptions!$D$59)/365+(I32-H32)*Assumptions!$D$58/365)</f>
        <v>-159.3757120737728</v>
      </c>
      <c r="J34" s="10">
        <f>-(((J32-I32)*Assumptions!$D$45)*(Assumptions!$D$57-Assumptions!$D$59)/365+(J32-I32)*Assumptions!$D$58/365)</f>
        <v>-163.43612147977734</v>
      </c>
    </row>
    <row r="35" spans="2:13" x14ac:dyDescent="0.25">
      <c r="B35" s="1" t="s">
        <v>159</v>
      </c>
      <c r="E35" s="18">
        <v>164.61</v>
      </c>
      <c r="F35" s="10">
        <f>E35+F36-Assumptions!$D$63</f>
        <v>360.70901524710928</v>
      </c>
      <c r="G35" s="10">
        <f>F35+G36-Assumptions!$D$63</f>
        <v>1494.7841059538573</v>
      </c>
      <c r="H35" s="10">
        <f>G35+H36-Assumptions!$D$63</f>
        <v>2919.712502513773</v>
      </c>
      <c r="I35" s="10">
        <f>H35+I36-Assumptions!$D$63</f>
        <v>4581.7544047402444</v>
      </c>
      <c r="J35" s="10">
        <f>I35+J36-Assumptions!$D$63</f>
        <v>6494.5838224950967</v>
      </c>
    </row>
    <row r="36" spans="2:13" x14ac:dyDescent="0.25">
      <c r="B36" s="1" t="s">
        <v>160</v>
      </c>
      <c r="F36" s="10">
        <f>(F33-'P&amp;L'!F11-'P&amp;L'!F13+E35*Assumptions!$D$49)*(1-Assumptions!$D$62)+'P&amp;L'!F11+'Cash Flow'!F7+'Cash Flow'!F8+'Cash Flow'!F9+F34</f>
        <v>366.09901524710926</v>
      </c>
      <c r="G36" s="10">
        <f>(G33-'P&amp;L'!G11-'P&amp;L'!G13+F35*Assumptions!$D$49)*(1-Assumptions!$D$62)+'P&amp;L'!G11+'Cash Flow'!G7+'Cash Flow'!G8+'Cash Flow'!G9+G34</f>
        <v>1304.0750907067479</v>
      </c>
      <c r="H36" s="10">
        <f>(H33-'P&amp;L'!H11-'P&amp;L'!H13+G35*Assumptions!$D$49)*(1-Assumptions!$D$62)+'P&amp;L'!H11+'Cash Flow'!H7+'Cash Flow'!H8+'Cash Flow'!H9+H34</f>
        <v>1594.9283965599154</v>
      </c>
      <c r="I36" s="10">
        <f>(I33-'P&amp;L'!I11-'P&amp;L'!I13+H35*Assumptions!$D$49)*(1-Assumptions!$D$62)+'P&amp;L'!I11+'Cash Flow'!I7+'Cash Flow'!I8+'Cash Flow'!I9+I34</f>
        <v>1832.0419022264718</v>
      </c>
      <c r="J36" s="10">
        <f>(J33-'P&amp;L'!J11-'P&amp;L'!J13+I35*Assumptions!$D$49)*(1-Assumptions!$D$62)+'P&amp;L'!J11+'Cash Flow'!J7+'Cash Flow'!J8+'Cash Flow'!J9+J34</f>
        <v>2082.8294177548528</v>
      </c>
      <c r="M36">
        <v>395.36713785686266</v>
      </c>
    </row>
    <row r="37" spans="2:13" x14ac:dyDescent="0.25">
      <c r="B37" s="1" t="s">
        <v>161</v>
      </c>
      <c r="F37" s="10">
        <f>F36/(1+Assumptions!$D$78)^1</f>
        <v>320.96380160956568</v>
      </c>
      <c r="G37" s="10">
        <f>G36/(1+Assumptions!$D$78)^2</f>
        <v>1002.3458317602148</v>
      </c>
      <c r="H37" s="10">
        <f>H36/(1+Assumptions!$D$78)^3</f>
        <v>1074.7653939349611</v>
      </c>
      <c r="I37" s="10">
        <f>I36/(1+Assumptions!$D$78)^4</f>
        <v>1082.3441671417092</v>
      </c>
      <c r="J37" s="10">
        <f>J36/(1+Assumptions!$D$78)^5</f>
        <v>1078.8005919177663</v>
      </c>
      <c r="M37">
        <v>366.09901524710926</v>
      </c>
    </row>
    <row r="38" spans="2:13" x14ac:dyDescent="0.25">
      <c r="B38" s="1" t="s">
        <v>162</v>
      </c>
      <c r="E38" s="23">
        <f>SUM(F37:J37)+J36*(1+Assumptions!$D$79)/(Assumptions!$D$78-Assumptions!$D$79)/(1+Assumptions!$D$78)^5+Assumptions!$D$71*Assumptions!$D$72+Assumptions!$D$73*(1-Assumptions!$D$74)</f>
        <v>26259.665568250417</v>
      </c>
      <c r="M38">
        <f>M36-M37</f>
        <v>29.268122609753391</v>
      </c>
    </row>
    <row r="39" spans="2:13" x14ac:dyDescent="0.25">
      <c r="B39" s="12" t="s">
        <v>6</v>
      </c>
      <c r="E39" s="13">
        <f>E38/Assumptions!$D$75</f>
        <v>308.93724197941668</v>
      </c>
    </row>
    <row r="41" spans="2:13" x14ac:dyDescent="0.25">
      <c r="B41" s="6" t="s">
        <v>163</v>
      </c>
      <c r="F41" s="39" t="s">
        <v>13</v>
      </c>
      <c r="G41" s="39" t="s">
        <v>14</v>
      </c>
      <c r="H41" s="39" t="s">
        <v>15</v>
      </c>
      <c r="I41" s="39" t="s">
        <v>16</v>
      </c>
      <c r="J41" s="39" t="s">
        <v>17</v>
      </c>
    </row>
    <row r="42" spans="2:13" x14ac:dyDescent="0.25">
      <c r="B42" s="1" t="s">
        <v>61</v>
      </c>
      <c r="E42" s="21">
        <f>Assumptions!$C$12</f>
        <v>4101.3684999999996</v>
      </c>
      <c r="F42" s="10">
        <f>E42*(1+INDEX(Assumptions!D19:D21,2))</f>
        <v>4429.4779799999997</v>
      </c>
      <c r="G42" s="10">
        <f>F42*(1+INDEX(Assumptions!E19:E21,2))</f>
        <v>4761.6888284999995</v>
      </c>
      <c r="H42" s="10">
        <f>G42*(1+INDEX(Assumptions!F19:F21,2))</f>
        <v>5095.0070464949995</v>
      </c>
      <c r="I42" s="10">
        <f>H42*(1+INDEX(Assumptions!G19:G21,2))</f>
        <v>5426.1825045171745</v>
      </c>
      <c r="J42" s="10">
        <f>I42*(1+INDEX(Assumptions!H19:H21,2))</f>
        <v>5751.7534547882051</v>
      </c>
    </row>
    <row r="43" spans="2:13" x14ac:dyDescent="0.25">
      <c r="B43" s="1" t="s">
        <v>62</v>
      </c>
      <c r="E43" s="21">
        <f>Assumptions!$C$13</f>
        <v>12304.105499999998</v>
      </c>
      <c r="F43" s="10">
        <f>E43*(1+INDEX(Assumptions!D25:D27,2))</f>
        <v>13903.639214999996</v>
      </c>
      <c r="G43" s="10">
        <f>F43*(1+INDEX(Assumptions!E25:E27,2))</f>
        <v>15572.075920799996</v>
      </c>
      <c r="H43" s="10">
        <f>G43*(1+INDEX(Assumptions!F25:F27,2))</f>
        <v>17285.004272087997</v>
      </c>
      <c r="I43" s="10">
        <f>H43*(1+INDEX(Assumptions!G25:G27,2))</f>
        <v>19013.504699296798</v>
      </c>
      <c r="J43" s="10">
        <f>I43*(1+INDEX(Assumptions!H25:H27,2))</f>
        <v>20819.787645729994</v>
      </c>
    </row>
    <row r="44" spans="2:13" x14ac:dyDescent="0.25">
      <c r="B44" s="1" t="s">
        <v>63</v>
      </c>
      <c r="E44" s="21">
        <f>Assumptions!$C$14</f>
        <v>863.44600000000071</v>
      </c>
      <c r="F44" s="10">
        <f>E44*(1+INDEX(Assumptions!D31:D33,2))</f>
        <v>828.90816000000063</v>
      </c>
      <c r="G44" s="10">
        <f>Assumptions!$D$35/(1-Assumptions!$D$35)*(G42+G43)</f>
        <v>1768.1534564608692</v>
      </c>
      <c r="H44" s="10">
        <f>Assumptions!$D$35/(1-Assumptions!$D$35)*(H42+H43)</f>
        <v>1946.0879407463476</v>
      </c>
      <c r="I44" s="10">
        <f>Assumptions!$D$35/(1-Assumptions!$D$35)*(I42+I43)</f>
        <v>2125.1901916359975</v>
      </c>
      <c r="J44" s="10">
        <f>Assumptions!$D$35/(1-Assumptions!$D$35)*(J42+J43)</f>
        <v>2310.5687913494085</v>
      </c>
    </row>
    <row r="45" spans="2:13" x14ac:dyDescent="0.25">
      <c r="B45" s="6" t="s">
        <v>156</v>
      </c>
      <c r="F45" s="23">
        <f>F42+F43+F44</f>
        <v>19162.025354999994</v>
      </c>
      <c r="G45" s="23">
        <f>G42+G43+G44</f>
        <v>22101.918205760867</v>
      </c>
      <c r="H45" s="23">
        <f>H42+H43+H44</f>
        <v>24326.099259329345</v>
      </c>
      <c r="I45" s="23">
        <f>I42+I43+I44</f>
        <v>26564.87739544997</v>
      </c>
      <c r="J45" s="23">
        <f>J42+J43+J44</f>
        <v>28882.109891867607</v>
      </c>
    </row>
    <row r="46" spans="2:13" x14ac:dyDescent="0.25">
      <c r="B46" s="1" t="s">
        <v>157</v>
      </c>
      <c r="F46" s="10">
        <f>F45*(1-Assumptions!$D$45)-(Assumptions!$C$47*(1+Assumptions!$D$48)^1+Assumptions!$D$47*F45)</f>
        <v>2142.9450456449995</v>
      </c>
      <c r="G46" s="10">
        <f>G45*(1-Assumptions!$D$45)-(Assumptions!$C$47*(1+Assumptions!$D$48)^2+Assumptions!$D$47*G45)</f>
        <v>2644.4688229464127</v>
      </c>
      <c r="H46" s="10">
        <f>H45*(1-Assumptions!$D$45)-(Assumptions!$C$47*(1+Assumptions!$D$48)^3+Assumptions!$D$47*H45)</f>
        <v>2999.3902076065406</v>
      </c>
      <c r="I46" s="10">
        <f>I45*(1-Assumptions!$D$45)-(Assumptions!$C$47*(1+Assumptions!$D$48)^4+Assumptions!$D$47*I45)</f>
        <v>3352.8318794445449</v>
      </c>
      <c r="J46" s="10">
        <f>J45*(1-Assumptions!$D$45)-(Assumptions!$C$47*(1+Assumptions!$D$48)^5+Assumptions!$D$47*J45)</f>
        <v>3717.2822101191541</v>
      </c>
    </row>
    <row r="47" spans="2:13" x14ac:dyDescent="0.25">
      <c r="B47" s="1" t="s">
        <v>158</v>
      </c>
      <c r="F47" s="10">
        <v>83.690622473548046</v>
      </c>
      <c r="G47" s="10">
        <f>-(((G45-F45)*Assumptions!$D$45)*(Assumptions!$D$57-Assumptions!$D$59)/365+(G45-F45)*Assumptions!$D$58/365)</f>
        <v>-267.09530636734593</v>
      </c>
      <c r="H47" s="10">
        <f>-(((H45-G45)*Assumptions!$D$45)*(Assumptions!$D$57-Assumptions!$D$59)/365+(H45-G45)*Assumptions!$D$58/365)</f>
        <v>-202.07141895173777</v>
      </c>
      <c r="I47" s="10">
        <f>-(((I45-H45)*Assumptions!$D$45)*(Assumptions!$D$57-Assumptions!$D$59)/365+(I45-H45)*Assumptions!$D$58/365)</f>
        <v>-203.39759389560561</v>
      </c>
      <c r="J47" s="10">
        <f>-(((J45-I45)*Assumptions!$D$45)*(Assumptions!$D$57-Assumptions!$D$59)/365+(J45-I45)*Assumptions!$D$58/365)</f>
        <v>-210.52533373617871</v>
      </c>
    </row>
    <row r="48" spans="2:13" x14ac:dyDescent="0.25">
      <c r="B48" s="1" t="s">
        <v>159</v>
      </c>
      <c r="E48" s="18">
        <v>164.61</v>
      </c>
      <c r="F48" s="10">
        <f>E48+F49-Assumptions!$D$63</f>
        <v>389.07221835729752</v>
      </c>
      <c r="G48" s="10">
        <f>F48+G49-Assumptions!$D$63</f>
        <v>1627.1732349547685</v>
      </c>
      <c r="H48" s="10">
        <f>G48+H49-Assumptions!$D$63</f>
        <v>3238.1018650680285</v>
      </c>
      <c r="I48" s="10">
        <f>H48+I49-Assumptions!$D$63</f>
        <v>5169.1218378358153</v>
      </c>
      <c r="J48" s="10">
        <f>I48+J49-Assumptions!$D$63</f>
        <v>7435.3059212900844</v>
      </c>
    </row>
    <row r="49" spans="2:10" x14ac:dyDescent="0.25">
      <c r="B49" s="1" t="s">
        <v>160</v>
      </c>
      <c r="F49" s="10">
        <f>(F46-'P&amp;L'!F11-'P&amp;L'!F13+E48*Assumptions!$D$49)*(1-Assumptions!$D$62)+'P&amp;L'!F11+'Cash Flow'!F7+'Cash Flow'!F8+'Cash Flow'!F9+F47</f>
        <v>394.46221835729744</v>
      </c>
      <c r="G49" s="10">
        <f>(G46-'P&amp;L'!G11-'P&amp;L'!G13+F48*Assumptions!$D$49)*(1-Assumptions!$D$62)+'P&amp;L'!G11+'Cash Flow'!G7+'Cash Flow'!G8+'Cash Flow'!G9+G47</f>
        <v>1408.101016597471</v>
      </c>
      <c r="H49" s="10">
        <f>(H46-'P&amp;L'!H11-'P&amp;L'!H13+G48*Assumptions!$D$49)*(1-Assumptions!$D$62)+'P&amp;L'!H11+'Cash Flow'!H7+'Cash Flow'!H8+'Cash Flow'!H9+H47</f>
        <v>1780.9286301132599</v>
      </c>
      <c r="I49" s="10">
        <f>(I46-'P&amp;L'!I11-'P&amp;L'!I13+H48*Assumptions!$D$49)*(1-Assumptions!$D$62)+'P&amp;L'!I11+'Cash Flow'!I7+'Cash Flow'!I8+'Cash Flow'!I9+I47</f>
        <v>2101.0199727677864</v>
      </c>
      <c r="J49" s="10">
        <f>(J46-'P&amp;L'!J11-'P&amp;L'!J13+I48*Assumptions!$D$49)*(1-Assumptions!$D$62)+'P&amp;L'!J11+'Cash Flow'!J7+'Cash Flow'!J8+'Cash Flow'!J9+J47</f>
        <v>2436.1840834542691</v>
      </c>
    </row>
    <row r="50" spans="2:10" x14ac:dyDescent="0.25">
      <c r="B50" s="1" t="s">
        <v>161</v>
      </c>
      <c r="F50" s="10">
        <f>F49/(1+Assumptions!$D$78)^1</f>
        <v>345.83019326026579</v>
      </c>
      <c r="G50" s="10">
        <f>G49/(1+Assumptions!$D$78)^2</f>
        <v>1082.3028480046198</v>
      </c>
      <c r="H50" s="10">
        <f>H49/(1+Assumptions!$D$78)^3</f>
        <v>1200.104321198487</v>
      </c>
      <c r="I50" s="10">
        <f>I49/(1+Assumptions!$D$78)^4</f>
        <v>1241.2525662266962</v>
      </c>
      <c r="J50" s="10">
        <f>J49/(1+Assumptions!$D$78)^5</f>
        <v>1261.8204874809571</v>
      </c>
    </row>
    <row r="51" spans="2:10" x14ac:dyDescent="0.25">
      <c r="B51" s="1" t="s">
        <v>162</v>
      </c>
      <c r="E51" s="23">
        <f>SUM(F50:J50)+J49*(1+Assumptions!$D$79)/(Assumptions!$D$78-Assumptions!$D$79)/(1+Assumptions!$D$78)^5+Assumptions!$D$71*Assumptions!$D$72+Assumptions!$D$73*(1-Assumptions!$D$74)</f>
        <v>28952.285973186881</v>
      </c>
    </row>
    <row r="52" spans="2:10" x14ac:dyDescent="0.25">
      <c r="B52" s="12" t="s">
        <v>6</v>
      </c>
      <c r="E52" s="13">
        <f>E51/Assumptions!$D$75</f>
        <v>340.61512909631625</v>
      </c>
    </row>
    <row r="54" spans="2:10" x14ac:dyDescent="0.25">
      <c r="B54" s="6" t="s">
        <v>164</v>
      </c>
      <c r="F54" s="39" t="s">
        <v>13</v>
      </c>
      <c r="G54" s="39" t="s">
        <v>14</v>
      </c>
      <c r="H54" s="39" t="s">
        <v>15</v>
      </c>
      <c r="I54" s="39" t="s">
        <v>16</v>
      </c>
      <c r="J54" s="39" t="s">
        <v>17</v>
      </c>
    </row>
    <row r="55" spans="2:10" x14ac:dyDescent="0.25">
      <c r="B55" s="1" t="s">
        <v>61</v>
      </c>
      <c r="E55" s="21">
        <f>Assumptions!$C$12</f>
        <v>4101.3684999999996</v>
      </c>
      <c r="F55" s="10">
        <f>E55*(1+INDEX(Assumptions!D19:D21,3))</f>
        <v>4490.9985074999995</v>
      </c>
      <c r="G55" s="10">
        <f>F55*(1+INDEX(Assumptions!E19:E21,3))</f>
        <v>4895.1883731749995</v>
      </c>
      <c r="H55" s="10">
        <f>G55*(1+INDEX(Assumptions!F19:F21,3))</f>
        <v>5286.8034430289999</v>
      </c>
      <c r="I55" s="10">
        <f>H55*(1+INDEX(Assumptions!G19:G21,3))</f>
        <v>5656.8796840410305</v>
      </c>
      <c r="J55" s="10">
        <f>I55*(1+INDEX(Assumptions!H19:H21,3))</f>
        <v>6024.5768635036975</v>
      </c>
    </row>
    <row r="56" spans="2:10" x14ac:dyDescent="0.25">
      <c r="B56" s="1" t="s">
        <v>62</v>
      </c>
      <c r="E56" s="21">
        <f>Assumptions!$C$13</f>
        <v>12304.105499999998</v>
      </c>
      <c r="F56" s="10">
        <f>E56*(1+INDEX(Assumptions!D25:D27,3))</f>
        <v>13965.159742499998</v>
      </c>
      <c r="G56" s="10">
        <f>F56*(1+INDEX(Assumptions!E25:E27,3))</f>
        <v>15780.630509024997</v>
      </c>
      <c r="H56" s="10">
        <f>G56*(1+INDEX(Assumptions!F25:F27,3))</f>
        <v>17674.306170107997</v>
      </c>
      <c r="I56" s="10">
        <f>H56*(1+INDEX(Assumptions!G25:G27,3))</f>
        <v>19618.479848819879</v>
      </c>
      <c r="J56" s="10">
        <f>I56*(1+INDEX(Assumptions!H25:H27,3))</f>
        <v>21580.327833701867</v>
      </c>
    </row>
    <row r="57" spans="2:10" x14ac:dyDescent="0.25">
      <c r="B57" s="1" t="s">
        <v>63</v>
      </c>
      <c r="E57" s="21">
        <f>Assumptions!$C$14</f>
        <v>863.44600000000071</v>
      </c>
      <c r="F57" s="10">
        <f>E57*(1+INDEX(Assumptions!D31:D33,3))</f>
        <v>863.44600000000071</v>
      </c>
      <c r="G57" s="10">
        <f>Assumptions!$D$35/(1-Assumptions!$D$35)*(G55+G56)</f>
        <v>1797.8972941043476</v>
      </c>
      <c r="H57" s="10">
        <f>Assumptions!$D$35/(1-Assumptions!$D$35)*(H55+H56)</f>
        <v>1996.618227229304</v>
      </c>
      <c r="I57" s="10">
        <f>Assumptions!$D$35/(1-Assumptions!$D$35)*(I55+I56)</f>
        <v>2197.8573506835573</v>
      </c>
      <c r="J57" s="10">
        <f>Assumptions!$D$35/(1-Assumptions!$D$35)*(J55+J56)</f>
        <v>2400.4264954091796</v>
      </c>
    </row>
    <row r="58" spans="2:10" x14ac:dyDescent="0.25">
      <c r="B58" s="6" t="s">
        <v>156</v>
      </c>
      <c r="F58" s="23">
        <f>F55+F56+F57</f>
        <v>19319.604249999997</v>
      </c>
      <c r="G58" s="23">
        <f>G55+G56+G57</f>
        <v>22473.716176304344</v>
      </c>
      <c r="H58" s="23">
        <f>H55+H56+H57</f>
        <v>24957.7278403663</v>
      </c>
      <c r="I58" s="23">
        <f>I55+I56+I57</f>
        <v>27473.216883544465</v>
      </c>
      <c r="J58" s="23">
        <f>J55+J56+J57</f>
        <v>30005.331192614743</v>
      </c>
    </row>
    <row r="59" spans="2:10" x14ac:dyDescent="0.25">
      <c r="B59" s="1" t="s">
        <v>157</v>
      </c>
      <c r="F59" s="10">
        <f>F58*(1-Assumptions!$D$45)-(Assumptions!$C$47*(1+Assumptions!$D$48)^1+Assumptions!$D$47*F58)</f>
        <v>2174.3032457499999</v>
      </c>
      <c r="G59" s="10">
        <f>G58*(1-Assumptions!$D$45)-(Assumptions!$C$47*(1+Assumptions!$D$48)^2+Assumptions!$D$47*G58)</f>
        <v>2718.4566190845653</v>
      </c>
      <c r="H59" s="10">
        <f>H58*(1-Assumptions!$D$45)-(Assumptions!$C$47*(1+Assumptions!$D$48)^3+Assumptions!$D$47*H58)</f>
        <v>3125.084295232894</v>
      </c>
      <c r="I59" s="10">
        <f>I58*(1-Assumptions!$D$45)-(Assumptions!$C$47*(1+Assumptions!$D$48)^4+Assumptions!$D$47*I58)</f>
        <v>3533.59143757535</v>
      </c>
      <c r="J59" s="10">
        <f>J58*(1-Assumptions!$D$45)-(Assumptions!$C$47*(1+Assumptions!$D$48)^5+Assumptions!$D$47*J58)</f>
        <v>3940.8032489678344</v>
      </c>
    </row>
    <row r="60" spans="2:10" x14ac:dyDescent="0.25">
      <c r="B60" s="1" t="s">
        <v>158</v>
      </c>
      <c r="F60" s="10">
        <v>69.374256070548881</v>
      </c>
      <c r="G60" s="10">
        <f>-(((G58-F58)*Assumptions!$D$45)*(Assumptions!$D$57-Assumptions!$D$59)/365+(G58-F58)*Assumptions!$D$58/365)</f>
        <v>-286.55754955665327</v>
      </c>
      <c r="H60" s="10">
        <f>-(((H58-G58)*Assumptions!$D$45)*(Assumptions!$D$57-Assumptions!$D$59)/365+(H58-G58)*Assumptions!$D$58/365)</f>
        <v>-225.67756381358495</v>
      </c>
      <c r="I60" s="10">
        <f>-(((I58-H58)*Assumptions!$D$45)*(Assumptions!$D$57-Assumptions!$D$59)/365+(I58-H58)*Assumptions!$D$58/365)</f>
        <v>-228.53734838583858</v>
      </c>
      <c r="J60" s="10">
        <f>-(((J58-I58)*Assumptions!$D$45)*(Assumptions!$D$57-Assumptions!$D$59)/365+(J58-I58)*Assumptions!$D$58/365)</f>
        <v>-230.04778795364246</v>
      </c>
    </row>
    <row r="61" spans="2:10" x14ac:dyDescent="0.25">
      <c r="B61" s="1" t="s">
        <v>159</v>
      </c>
      <c r="E61" s="18">
        <v>164.61</v>
      </c>
      <c r="F61" s="10">
        <f>E61+F62-Assumptions!$D$63</f>
        <v>398.27450203304875</v>
      </c>
      <c r="G61" s="10">
        <f>F61+G62-Assumptions!$D$63</f>
        <v>1672.7492081826674</v>
      </c>
      <c r="H61" s="10">
        <f>G61+H62-Assumptions!$D$63</f>
        <v>3356.0513581498917</v>
      </c>
      <c r="I61" s="10">
        <f>H61+I62-Assumptions!$D$63</f>
        <v>5401.9243510161186</v>
      </c>
      <c r="J61" s="10">
        <f>I61+J62-Assumptions!$D$63</f>
        <v>7824.9568536336956</v>
      </c>
    </row>
    <row r="62" spans="2:10" x14ac:dyDescent="0.25">
      <c r="B62" s="1" t="s">
        <v>160</v>
      </c>
      <c r="F62" s="10">
        <f>(F59-'P&amp;L'!F11-'P&amp;L'!F13+E61*Assumptions!$D$49)*(1-Assumptions!$D$62)+'P&amp;L'!F11+'Cash Flow'!F7+'Cash Flow'!F8+'Cash Flow'!F9+F60</f>
        <v>403.66450203304868</v>
      </c>
      <c r="G62" s="10">
        <f>(G59-'P&amp;L'!G11-'P&amp;L'!G13+F61*Assumptions!$D$49)*(1-Assumptions!$D$62)+'P&amp;L'!G11+'Cash Flow'!G7+'Cash Flow'!G8+'Cash Flow'!G9+G60</f>
        <v>1444.4747061496187</v>
      </c>
      <c r="H62" s="10">
        <f>(H59-'P&amp;L'!H11-'P&amp;L'!H13+G61*Assumptions!$D$49)*(1-Assumptions!$D$62)+'P&amp;L'!H11+'Cash Flow'!H7+'Cash Flow'!H8+'Cash Flow'!H9+H60</f>
        <v>1853.3021499672241</v>
      </c>
      <c r="I62" s="10">
        <f>(I59-'P&amp;L'!I11-'P&amp;L'!I13+H61*Assumptions!$D$49)*(1-Assumptions!$D$62)+'P&amp;L'!I11+'Cash Flow'!I7+'Cash Flow'!I8+'Cash Flow'!I9+I60</f>
        <v>2215.8729928662269</v>
      </c>
      <c r="J62" s="10">
        <f>(J59-'P&amp;L'!J11-'P&amp;L'!J13+I61*Assumptions!$D$49)*(1-Assumptions!$D$62)+'P&amp;L'!J11+'Cash Flow'!J7+'Cash Flow'!J8+'Cash Flow'!J9+J60</f>
        <v>2593.0325026175769</v>
      </c>
    </row>
    <row r="63" spans="2:10" x14ac:dyDescent="0.25">
      <c r="B63" s="1" t="s">
        <v>161</v>
      </c>
      <c r="F63" s="10">
        <f>F62/(1+Assumptions!$D$78)^1</f>
        <v>353.89795588471628</v>
      </c>
      <c r="G63" s="10">
        <f>G62/(1+Assumptions!$D$78)^2</f>
        <v>1110.2606062412074</v>
      </c>
      <c r="H63" s="10">
        <f>H62/(1+Assumptions!$D$78)^3</f>
        <v>1248.8742564156905</v>
      </c>
      <c r="I63" s="10">
        <f>I62/(1+Assumptions!$D$78)^4</f>
        <v>1309.1060886985799</v>
      </c>
      <c r="J63" s="10">
        <f>J62/(1+Assumptions!$D$78)^5</f>
        <v>1343.0600580345251</v>
      </c>
    </row>
    <row r="64" spans="2:10" x14ac:dyDescent="0.25">
      <c r="B64" s="1" t="s">
        <v>162</v>
      </c>
      <c r="E64" s="23">
        <f>SUM(F63:J63)+J62*(1+Assumptions!$D$79)/(Assumptions!$D$78-Assumptions!$D$79)/(1+Assumptions!$D$78)^5+Assumptions!$D$71*Assumptions!$D$72+Assumptions!$D$73*(1-Assumptions!$D$74)</f>
        <v>30127.443381326222</v>
      </c>
    </row>
    <row r="65" spans="2:5" x14ac:dyDescent="0.25">
      <c r="B65" s="12" t="s">
        <v>6</v>
      </c>
      <c r="E65" s="13">
        <f>E64/Assumptions!$D$75</f>
        <v>354.44051036854381</v>
      </c>
    </row>
  </sheetData>
  <mergeCells count="4">
    <mergeCell ref="A1:J1"/>
    <mergeCell ref="A5:J5"/>
    <mergeCell ref="A17:J17"/>
    <mergeCell ref="A25:J25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32" r:id="rId3" name="Drop Down 12">
              <controlPr defaultSize="0" autoLine="0" autoPict="0">
                <anchor moveWithCells="1">
                  <from>
                    <xdr:col>4</xdr:col>
                    <xdr:colOff>0</xdr:colOff>
                    <xdr:row>2</xdr:row>
                    <xdr:rowOff>0</xdr:rowOff>
                  </from>
                  <to>
                    <xdr:col>5</xdr:col>
                    <xdr:colOff>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1"/>
  <sheetViews>
    <sheetView showGridLines="0" topLeftCell="A7" zoomScaleNormal="100" workbookViewId="0">
      <selection activeCell="F7" sqref="F7"/>
    </sheetView>
  </sheetViews>
  <sheetFormatPr defaultColWidth="8.7109375" defaultRowHeight="15" x14ac:dyDescent="0.25"/>
  <cols>
    <col min="1" max="1" width="2" style="1" customWidth="1"/>
    <col min="2" max="2" width="42" style="1" customWidth="1"/>
    <col min="3" max="10" width="13" style="1" customWidth="1"/>
  </cols>
  <sheetData>
    <row r="1" spans="1:10" ht="19.5" customHeight="1" x14ac:dyDescent="0.25">
      <c r="A1" s="56" t="s">
        <v>165</v>
      </c>
      <c r="B1" s="56"/>
      <c r="C1" s="56"/>
      <c r="D1" s="56"/>
      <c r="E1" s="56"/>
      <c r="F1" s="56"/>
      <c r="G1" s="56"/>
      <c r="H1" s="56"/>
      <c r="I1" s="56"/>
      <c r="J1" s="56"/>
    </row>
    <row r="2" spans="1:10" x14ac:dyDescent="0.25">
      <c r="B2" s="2" t="s">
        <v>166</v>
      </c>
    </row>
    <row r="4" spans="1:10" x14ac:dyDescent="0.25">
      <c r="B4" s="6" t="s">
        <v>9</v>
      </c>
      <c r="C4" s="8" t="s">
        <v>10</v>
      </c>
      <c r="D4" s="8" t="s">
        <v>11</v>
      </c>
      <c r="E4" s="8" t="s">
        <v>12</v>
      </c>
      <c r="F4" s="8" t="s">
        <v>13</v>
      </c>
      <c r="G4" s="8" t="s">
        <v>14</v>
      </c>
      <c r="H4" s="8" t="s">
        <v>15</v>
      </c>
      <c r="I4" s="8" t="s">
        <v>16</v>
      </c>
      <c r="J4" s="8" t="s">
        <v>17</v>
      </c>
    </row>
    <row r="6" spans="1:10" ht="15.75" customHeight="1" x14ac:dyDescent="0.25">
      <c r="A6" s="57" t="s">
        <v>167</v>
      </c>
      <c r="B6" s="57"/>
      <c r="C6" s="57"/>
      <c r="D6" s="57"/>
      <c r="E6" s="57"/>
      <c r="F6" s="57"/>
      <c r="G6" s="57"/>
      <c r="H6" s="57"/>
      <c r="I6" s="57"/>
      <c r="J6" s="57"/>
    </row>
    <row r="7" spans="1:10" x14ac:dyDescent="0.25">
      <c r="B7" s="9" t="s">
        <v>168</v>
      </c>
      <c r="C7" s="2" t="s">
        <v>169</v>
      </c>
      <c r="D7" s="11">
        <f>('P&amp;L'!D4/'P&amp;L'!C4)-1</f>
        <v>3.4868886075965166E-2</v>
      </c>
      <c r="E7" s="11">
        <f>('P&amp;L'!E4/'P&amp;L'!D4)-1</f>
        <v>4.1042047587096953E-2</v>
      </c>
      <c r="F7" s="11">
        <f>('P&amp;L'!F4/'P&amp;L'!E4)-1</f>
        <v>0.11874999999999991</v>
      </c>
      <c r="G7" s="11">
        <f>('P&amp;L'!G4/'P&amp;L'!F4)-1</f>
        <v>0.1632596550886567</v>
      </c>
      <c r="H7" s="11">
        <f>('P&amp;L'!H4/'P&amp;L'!G4)-1</f>
        <v>0.11052963580099973</v>
      </c>
      <c r="I7" s="11">
        <f>('P&amp;L'!I4/'P&amp;L'!H4)-1</f>
        <v>0.10078998614247436</v>
      </c>
      <c r="J7" s="11">
        <f>('P&amp;L'!J4/'P&amp;L'!I4)-1</f>
        <v>9.2166647968586757E-2</v>
      </c>
    </row>
    <row r="8" spans="1:10" x14ac:dyDescent="0.25">
      <c r="B8" s="9" t="s">
        <v>20</v>
      </c>
      <c r="C8" s="11">
        <f>'P&amp;L'!C10</f>
        <v>0.11674825739790969</v>
      </c>
      <c r="D8" s="11">
        <f>'P&amp;L'!D10</f>
        <v>0.11412632301087948</v>
      </c>
      <c r="E8" s="11">
        <f>'P&amp;L'!E10</f>
        <v>0.11250558807383439</v>
      </c>
      <c r="F8" s="11">
        <f>'P&amp;L'!F10</f>
        <v>0.11254388121071374</v>
      </c>
      <c r="G8" s="11">
        <f>'P&amp;L'!G10</f>
        <v>0.12096159788432448</v>
      </c>
      <c r="H8" s="11">
        <f>'P&amp;L'!H10</f>
        <v>0.12521509631090791</v>
      </c>
      <c r="I8" s="11">
        <f>'P&amp;L'!I10</f>
        <v>0.12861950067783481</v>
      </c>
      <c r="J8" s="11">
        <f>'P&amp;L'!J10</f>
        <v>0.13133676891184556</v>
      </c>
    </row>
    <row r="9" spans="1:10" x14ac:dyDescent="0.25">
      <c r="B9" s="9" t="s">
        <v>170</v>
      </c>
      <c r="C9" s="11">
        <f>'P&amp;L'!C17/'P&amp;L'!C4</f>
        <v>6.5690156520697554E-2</v>
      </c>
      <c r="D9" s="11">
        <f>'P&amp;L'!D17/'P&amp;L'!D4</f>
        <v>6.4921802423543132E-2</v>
      </c>
      <c r="E9" s="11">
        <f>'P&amp;L'!E17/'P&amp;L'!E4</f>
        <v>6.4354342946750576E-2</v>
      </c>
      <c r="F9" s="11">
        <f>'P&amp;L'!F17/'P&amp;L'!F4</f>
        <v>6.2650895106327029E-2</v>
      </c>
      <c r="G9" s="11">
        <f>'P&amp;L'!G17/'P&amp;L'!G4</f>
        <v>7.2575191955104978E-2</v>
      </c>
      <c r="H9" s="11">
        <f>'P&amp;L'!H17/'P&amp;L'!H4</f>
        <v>8.0065226224308714E-2</v>
      </c>
      <c r="I9" s="11">
        <f>'P&amp;L'!I17/'P&amp;L'!I4</f>
        <v>8.6628770223040774E-2</v>
      </c>
      <c r="J9" s="11">
        <f>'P&amp;L'!J17/'P&amp;L'!J4</f>
        <v>9.239949761076649E-2</v>
      </c>
    </row>
    <row r="11" spans="1:10" ht="15.75" customHeight="1" x14ac:dyDescent="0.25">
      <c r="A11" s="57" t="s">
        <v>171</v>
      </c>
      <c r="B11" s="57"/>
      <c r="C11" s="57"/>
      <c r="D11" s="57"/>
      <c r="E11" s="57"/>
      <c r="F11" s="57"/>
      <c r="G11" s="57"/>
      <c r="H11" s="57"/>
      <c r="I11" s="57"/>
      <c r="J11" s="57"/>
    </row>
    <row r="12" spans="1:10" x14ac:dyDescent="0.25">
      <c r="B12" s="9" t="s">
        <v>172</v>
      </c>
      <c r="C12" s="11">
        <f>'P&amp;L'!C12/(('Balance Sheet'!C4)+('Balance Sheet'!C7+'Balance Sheet'!C8+'Balance Sheet'!C9-'Balance Sheet'!C10))</f>
        <v>0.25123199549441649</v>
      </c>
      <c r="D12" s="11">
        <f>'P&amp;L'!D12/(('Balance Sheet'!D4)+('Balance Sheet'!D7+'Balance Sheet'!D8+'Balance Sheet'!D9-'Balance Sheet'!D10))</f>
        <v>0.24447463497130628</v>
      </c>
      <c r="E12" s="11">
        <f>'P&amp;L'!E12/(('Balance Sheet'!E4)+('Balance Sheet'!E7+'Balance Sheet'!E8+'Balance Sheet'!E9-'Balance Sheet'!E10))</f>
        <v>0.29365043806234287</v>
      </c>
      <c r="F12" s="11">
        <f>'P&amp;L'!F12/(('Balance Sheet'!F4)+('Balance Sheet'!F7+'Balance Sheet'!F8+'Balance Sheet'!F9-'Balance Sheet'!F10))</f>
        <v>0.31899900755739241</v>
      </c>
      <c r="G12" s="11">
        <f>'P&amp;L'!G12/(('Balance Sheet'!G4)+('Balance Sheet'!G7+'Balance Sheet'!G8+'Balance Sheet'!G9-'Balance Sheet'!G10))</f>
        <v>0.33198243557178159</v>
      </c>
      <c r="H12" s="11">
        <f>'P&amp;L'!H12/(('Balance Sheet'!H4)+('Balance Sheet'!H7+'Balance Sheet'!H8+'Balance Sheet'!H9-'Balance Sheet'!H10))</f>
        <v>0.31079298815931194</v>
      </c>
      <c r="I12" s="11">
        <f>'P&amp;L'!I12/(('Balance Sheet'!I4)+('Balance Sheet'!I7+'Balance Sheet'!I8+'Balance Sheet'!I9-'Balance Sheet'!I10))</f>
        <v>0.2863558036816512</v>
      </c>
      <c r="J12" s="11">
        <f>'P&amp;L'!J12/(('Balance Sheet'!J4)+('Balance Sheet'!J7+'Balance Sheet'!J8+'Balance Sheet'!J9-'Balance Sheet'!J10))</f>
        <v>0.26199732632339362</v>
      </c>
    </row>
    <row r="13" spans="1:10" x14ac:dyDescent="0.25">
      <c r="B13" s="9" t="s">
        <v>173</v>
      </c>
      <c r="C13" s="11">
        <f>'P&amp;L'!C12/(('Balance Sheet'!C4+'Balance Sheet'!C5+'Balance Sheet'!C6)+('Balance Sheet'!C7+'Balance Sheet'!C8+'Balance Sheet'!C9-'Balance Sheet'!C10))</f>
        <v>0.1034386443577142</v>
      </c>
      <c r="D13" s="11">
        <f>'P&amp;L'!D12/(('Balance Sheet'!D4+'Balance Sheet'!D5+'Balance Sheet'!D6)+('Balance Sheet'!D7+'Balance Sheet'!D8+'Balance Sheet'!D9-'Balance Sheet'!D10))</f>
        <v>9.2842206142698752E-2</v>
      </c>
      <c r="E13" s="11">
        <f>'P&amp;L'!E12/(('Balance Sheet'!E4+'Balance Sheet'!E5+'Balance Sheet'!E6)+('Balance Sheet'!E7+'Balance Sheet'!E8+'Balance Sheet'!E9-'Balance Sheet'!E10))</f>
        <v>9.7052417324721418E-2</v>
      </c>
      <c r="F13" s="11">
        <f>'P&amp;L'!F12/(('Balance Sheet'!F4+'Balance Sheet'!F5+'Balance Sheet'!F6)+('Balance Sheet'!F7+'Balance Sheet'!F8+'Balance Sheet'!F9-'Balance Sheet'!F10))</f>
        <v>0.10320758505685448</v>
      </c>
      <c r="G13" s="11">
        <f>'P&amp;L'!G12/(('Balance Sheet'!G4+'Balance Sheet'!G5+'Balance Sheet'!G6)+('Balance Sheet'!G7+'Balance Sheet'!G8+'Balance Sheet'!G9-'Balance Sheet'!G10))</f>
        <v>0.12619642870722211</v>
      </c>
      <c r="H13" s="11">
        <f>'P&amp;L'!H12/(('Balance Sheet'!H4+'Balance Sheet'!H5+'Balance Sheet'!H6)+('Balance Sheet'!H7+'Balance Sheet'!H8+'Balance Sheet'!H9-'Balance Sheet'!H10))</f>
        <v>0.13641481752426013</v>
      </c>
      <c r="I13" s="11">
        <f>'P&amp;L'!I12/(('Balance Sheet'!I4+'Balance Sheet'!I5+'Balance Sheet'!I6)+('Balance Sheet'!I7+'Balance Sheet'!I8+'Balance Sheet'!I9-'Balance Sheet'!I10))</f>
        <v>0.14222474449865058</v>
      </c>
      <c r="J13" s="11">
        <f>'P&amp;L'!J12/(('Balance Sheet'!J4+'Balance Sheet'!J5+'Balance Sheet'!J6)+('Balance Sheet'!J7+'Balance Sheet'!J8+'Balance Sheet'!J9-'Balance Sheet'!J10))</f>
        <v>0.14438731635871543</v>
      </c>
    </row>
    <row r="14" spans="1:10" x14ac:dyDescent="0.25">
      <c r="B14" s="9" t="s">
        <v>174</v>
      </c>
      <c r="C14" s="11">
        <f>'P&amp;L'!C17/('Balance Sheet'!C11+'Balance Sheet'!C12)</f>
        <v>8.0150777484464017E-2</v>
      </c>
      <c r="D14" s="11">
        <f>'P&amp;L'!D17/('Balance Sheet'!D11+'Balance Sheet'!D12)</f>
        <v>7.4567556227038007E-2</v>
      </c>
      <c r="E14" s="11">
        <f>'P&amp;L'!E17/('Balance Sheet'!E11+'Balance Sheet'!E12)</f>
        <v>7.5736800426344481E-2</v>
      </c>
      <c r="F14" s="11">
        <f>'P&amp;L'!F17/('Balance Sheet'!F11+'Balance Sheet'!F12)</f>
        <v>7.7026395042017165E-2</v>
      </c>
      <c r="G14" s="11">
        <f>'P&amp;L'!G17/('Balance Sheet'!G11+'Balance Sheet'!G12)</f>
        <v>9.4965578628682656E-2</v>
      </c>
      <c r="H14" s="11">
        <f>'P&amp;L'!H17/('Balance Sheet'!H11+'Balance Sheet'!H12)</f>
        <v>0.10515285711428438</v>
      </c>
      <c r="I14" s="11">
        <f>'P&amp;L'!I17/('Balance Sheet'!I11+'Balance Sheet'!I12)</f>
        <v>0.11219281096526065</v>
      </c>
      <c r="J14" s="11">
        <f>'P&amp;L'!J17/('Balance Sheet'!J11+'Balance Sheet'!J12)</f>
        <v>0.11641386129398973</v>
      </c>
    </row>
    <row r="16" spans="1:10" x14ac:dyDescent="0.25">
      <c r="B16" s="16" t="s">
        <v>175</v>
      </c>
    </row>
    <row r="17" spans="1:10" x14ac:dyDescent="0.25">
      <c r="B17" s="2" t="s">
        <v>176</v>
      </c>
      <c r="D17" s="19">
        <v>0.17599999999999999</v>
      </c>
    </row>
    <row r="18" spans="1:10" x14ac:dyDescent="0.25">
      <c r="B18" s="2" t="s">
        <v>177</v>
      </c>
      <c r="D18" s="19">
        <v>0.26</v>
      </c>
      <c r="E18" s="19">
        <v>0.28799999999999998</v>
      </c>
    </row>
    <row r="19" spans="1:10" x14ac:dyDescent="0.25">
      <c r="B19" s="2" t="s">
        <v>178</v>
      </c>
    </row>
    <row r="20" spans="1:10" ht="15.75" customHeight="1" x14ac:dyDescent="0.25">
      <c r="A20" s="57" t="s">
        <v>179</v>
      </c>
      <c r="B20" s="57"/>
      <c r="C20" s="57"/>
      <c r="D20" s="57"/>
      <c r="E20" s="57"/>
      <c r="F20" s="57"/>
      <c r="G20" s="57"/>
      <c r="H20" s="57"/>
      <c r="I20" s="57"/>
      <c r="J20" s="57"/>
    </row>
    <row r="21" spans="1:10" x14ac:dyDescent="0.25">
      <c r="B21" s="9" t="s">
        <v>180</v>
      </c>
      <c r="D21" s="46">
        <v>35632</v>
      </c>
    </row>
    <row r="22" spans="1:10" x14ac:dyDescent="0.25">
      <c r="B22" s="9" t="s">
        <v>92</v>
      </c>
      <c r="D22" s="36">
        <f>Assumptions!$D$75</f>
        <v>85</v>
      </c>
    </row>
    <row r="23" spans="1:10" x14ac:dyDescent="0.25">
      <c r="B23" s="9" t="s">
        <v>181</v>
      </c>
      <c r="D23" s="40">
        <f>D21/D22</f>
        <v>419.2</v>
      </c>
    </row>
    <row r="25" spans="1:10" x14ac:dyDescent="0.25">
      <c r="B25" s="9" t="s">
        <v>182</v>
      </c>
      <c r="C25" s="41">
        <f>($D$21+'Balance Sheet'!C13-'Balance Sheet'!C9)/'P&amp;L'!C9</f>
        <v>19.135669933418118</v>
      </c>
      <c r="D25" s="41">
        <f>($D$21+'Balance Sheet'!D13-'Balance Sheet'!D9)/'P&amp;L'!D9</f>
        <v>18.966547640428068</v>
      </c>
      <c r="E25" s="41">
        <f>($D$21+'Balance Sheet'!E13-'Balance Sheet'!E9)/'P&amp;L'!E9</f>
        <v>18.448464884062073</v>
      </c>
      <c r="F25" s="41">
        <f>($D$21+'Balance Sheet'!F13-'Balance Sheet'!F9)/'P&amp;L'!F9</f>
        <v>16.372206137367833</v>
      </c>
      <c r="G25" s="41">
        <f>($D$21+'Balance Sheet'!G13-'Balance Sheet'!G9)/'P&amp;L'!G9</f>
        <v>12.622261080641646</v>
      </c>
      <c r="H25" s="41">
        <f>($D$21+'Balance Sheet'!H13-'Balance Sheet'!H9)/'P&amp;L'!H9</f>
        <v>10.43756304492006</v>
      </c>
      <c r="I25" s="41">
        <f>($D$21+'Balance Sheet'!I13-'Balance Sheet'!I9)/'P&amp;L'!I9</f>
        <v>8.6483981523599827</v>
      </c>
      <c r="J25" s="41">
        <f>($D$21+'Balance Sheet'!J13-'Balance Sheet'!J9)/'P&amp;L'!J9</f>
        <v>7.1364436774164943</v>
      </c>
    </row>
    <row r="26" spans="1:10" x14ac:dyDescent="0.25">
      <c r="B26" s="9" t="s">
        <v>183</v>
      </c>
      <c r="C26" s="41">
        <f>$D$21/'P&amp;L'!C17</f>
        <v>33.839841969305574</v>
      </c>
      <c r="D26" s="41">
        <f>$D$21/'P&amp;L'!D17</f>
        <v>33.086644443000004</v>
      </c>
      <c r="E26" s="41">
        <f>$D$21/'P&amp;L'!E17</f>
        <v>32.062483690712931</v>
      </c>
      <c r="F26" s="41">
        <f>$D$21/'P&amp;L'!F17</f>
        <v>29.43843331451049</v>
      </c>
      <c r="G26" s="41">
        <f>$D$21/'P&amp;L'!G17</f>
        <v>21.846260838910847</v>
      </c>
      <c r="H26" s="41">
        <f>$D$21/'P&amp;L'!H17</f>
        <v>17.831637226166254</v>
      </c>
      <c r="I26" s="41">
        <f>$D$21/'P&amp;L'!I17</f>
        <v>14.9716110445915</v>
      </c>
      <c r="J26" s="41">
        <f>$D$21/'P&amp;L'!J17</f>
        <v>12.852042854151222</v>
      </c>
    </row>
    <row r="27" spans="1:10" x14ac:dyDescent="0.25">
      <c r="B27" s="48" t="s">
        <v>191</v>
      </c>
      <c r="C27" s="41">
        <f>'DCF &amp; SOTP'!$E$51/'P&amp;L'!C17</f>
        <v>27.496092893544752</v>
      </c>
      <c r="D27" s="41">
        <f>'DCF &amp; SOTP'!$E$51/'P&amp;L'!D17</f>
        <v>26.88409272022033</v>
      </c>
      <c r="E27" s="41">
        <f>'DCF &amp; SOTP'!$E$51/'P&amp;L'!E17</f>
        <v>26.051925146614312</v>
      </c>
      <c r="F27" s="41">
        <f>'DCF &amp; SOTP'!$E$51/'P&amp;L'!F17</f>
        <v>23.91978951291815</v>
      </c>
      <c r="G27" s="41">
        <f>'DCF &amp; SOTP'!$E$51/'P&amp;L'!G17</f>
        <v>17.750875371940403</v>
      </c>
      <c r="H27" s="41">
        <f>'DCF &amp; SOTP'!$E$51/'P&amp;L'!H17</f>
        <v>14.488848797207293</v>
      </c>
      <c r="I27" s="41">
        <f>'DCF &amp; SOTP'!$E$51/'P&amp;L'!I17</f>
        <v>12.164974305184561</v>
      </c>
      <c r="J27" s="41">
        <f>'DCF &amp; SOTP'!$E$51/'P&amp;L'!J17</f>
        <v>10.442748654384797</v>
      </c>
    </row>
    <row r="28" spans="1:10" ht="15.75" x14ac:dyDescent="0.25">
      <c r="B28" s="12" t="s">
        <v>184</v>
      </c>
      <c r="D28" s="42">
        <f>E26</f>
        <v>32.062483690712931</v>
      </c>
    </row>
    <row r="29" spans="1:10" ht="15.75" x14ac:dyDescent="0.25">
      <c r="B29" s="12" t="s">
        <v>185</v>
      </c>
      <c r="D29" s="42">
        <f>F26</f>
        <v>29.43843331451049</v>
      </c>
    </row>
    <row r="31" spans="1:10" x14ac:dyDescent="0.25">
      <c r="B31" s="2" t="s">
        <v>186</v>
      </c>
    </row>
  </sheetData>
  <mergeCells count="4">
    <mergeCell ref="A1:J1"/>
    <mergeCell ref="A6:J6"/>
    <mergeCell ref="A11:J11"/>
    <mergeCell ref="A20:J20"/>
  </mergeCells>
  <pageMargins left="0.75" right="0.75" top="1" bottom="1" header="0.511811023622047" footer="0.511811023622047"/>
  <pageSetup paperSize="9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9" r:id="rId4" name="Drop Down 5">
              <controlPr defaultSize="0" autoLine="0" autoPict="0">
                <anchor moveWithCells="1">
                  <from>
                    <xdr:col>7</xdr:col>
                    <xdr:colOff>0</xdr:colOff>
                    <xdr:row>1</xdr:row>
                    <xdr:rowOff>0</xdr:rowOff>
                  </from>
                  <to>
                    <xdr:col>8</xdr:col>
                    <xdr:colOff>0</xdr:colOff>
                    <xdr:row>2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N23"/>
  <sheetViews>
    <sheetView workbookViewId="0">
      <selection activeCell="O22" sqref="O22"/>
    </sheetView>
  </sheetViews>
  <sheetFormatPr defaultRowHeight="15" x14ac:dyDescent="0.25"/>
  <cols>
    <col min="9" max="9" width="10.5703125" bestFit="1" customWidth="1"/>
  </cols>
  <sheetData>
    <row r="2" spans="2:14" ht="15.75" x14ac:dyDescent="0.25">
      <c r="B2" s="58" t="s">
        <v>224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2:14" ht="16.5" thickBot="1" x14ac:dyDescent="0.3">
      <c r="B3" s="59"/>
      <c r="C3" s="60" t="s">
        <v>225</v>
      </c>
      <c r="D3" s="60"/>
      <c r="E3" s="60"/>
      <c r="F3" s="60"/>
      <c r="G3" s="60" t="s">
        <v>226</v>
      </c>
      <c r="H3" s="60"/>
      <c r="I3" s="60"/>
      <c r="J3" s="60"/>
      <c r="K3" s="60" t="s">
        <v>227</v>
      </c>
      <c r="L3" s="60"/>
      <c r="M3" s="60"/>
      <c r="N3" s="60"/>
    </row>
    <row r="4" spans="2:14" ht="15.75" thickBot="1" x14ac:dyDescent="0.3">
      <c r="B4" s="59"/>
      <c r="C4" s="61">
        <v>45078</v>
      </c>
      <c r="D4" s="62">
        <v>45170</v>
      </c>
      <c r="E4" s="62">
        <v>45261</v>
      </c>
      <c r="F4" s="63">
        <v>45352</v>
      </c>
      <c r="G4" s="61">
        <v>45444</v>
      </c>
      <c r="H4" s="62">
        <v>45536</v>
      </c>
      <c r="I4" s="62">
        <v>45627</v>
      </c>
      <c r="J4" s="63">
        <v>45717</v>
      </c>
      <c r="K4" s="61">
        <v>45809</v>
      </c>
      <c r="L4" s="62">
        <v>45901</v>
      </c>
      <c r="M4" s="62">
        <v>45992</v>
      </c>
      <c r="N4" s="63">
        <v>46082</v>
      </c>
    </row>
    <row r="5" spans="2:14" ht="16.5" thickTop="1" thickBot="1" x14ac:dyDescent="0.3">
      <c r="B5" s="59" t="s">
        <v>228</v>
      </c>
      <c r="C5" s="64">
        <v>4245</v>
      </c>
      <c r="D5" s="65">
        <v>4372</v>
      </c>
      <c r="E5" s="65">
        <v>3980</v>
      </c>
      <c r="F5" s="66">
        <v>4173</v>
      </c>
      <c r="G5" s="64">
        <v>4436</v>
      </c>
      <c r="H5" s="65">
        <v>4450</v>
      </c>
      <c r="I5" s="65">
        <v>4017</v>
      </c>
      <c r="J5" s="66">
        <v>4335</v>
      </c>
      <c r="K5" s="64">
        <v>4695</v>
      </c>
      <c r="L5" s="65">
        <v>4365</v>
      </c>
      <c r="M5" s="65">
        <v>4201</v>
      </c>
      <c r="N5" s="66">
        <v>4735</v>
      </c>
    </row>
    <row r="6" spans="2:14" ht="15.75" x14ac:dyDescent="0.25">
      <c r="B6" s="59" t="s">
        <v>229</v>
      </c>
      <c r="C6" s="67">
        <v>16770</v>
      </c>
      <c r="D6" s="67"/>
      <c r="E6" s="67"/>
      <c r="F6" s="67"/>
      <c r="G6" s="67">
        <v>17238</v>
      </c>
      <c r="H6" s="67"/>
      <c r="I6" s="67"/>
      <c r="J6" s="67"/>
      <c r="K6" s="67">
        <v>17995</v>
      </c>
      <c r="L6" s="67"/>
      <c r="M6" s="67"/>
      <c r="N6" s="67"/>
    </row>
    <row r="7" spans="2:14" x14ac:dyDescent="0.25">
      <c r="B7" s="59" t="s">
        <v>230</v>
      </c>
      <c r="C7" s="68">
        <f>C5/$C$6</f>
        <v>0.25313059033989266</v>
      </c>
      <c r="D7" s="68">
        <f>D5/$C$6</f>
        <v>0.26070363744782349</v>
      </c>
      <c r="E7" s="68">
        <f>E5/$C$6</f>
        <v>0.23732856290995827</v>
      </c>
      <c r="F7" s="68">
        <f>F5/$C$6</f>
        <v>0.24883720930232558</v>
      </c>
      <c r="G7" s="68">
        <f>G5/$G$6</f>
        <v>0.25733843833391346</v>
      </c>
      <c r="H7" s="68">
        <f>H5/$G$6</f>
        <v>0.25815059751711333</v>
      </c>
      <c r="I7" s="68">
        <f>I5/$G$6</f>
        <v>0.2330316742081448</v>
      </c>
      <c r="J7" s="68">
        <f>J5/$G$6</f>
        <v>0.25147928994082841</v>
      </c>
      <c r="K7" s="68">
        <f>K5/$K$6</f>
        <v>0.26090580716865797</v>
      </c>
      <c r="L7" s="68">
        <f>L5/$K$6</f>
        <v>0.24256737982772991</v>
      </c>
      <c r="M7" s="68">
        <f>M5/$K$6</f>
        <v>0.23345373714920811</v>
      </c>
      <c r="N7" s="68">
        <f>N5/$K$6</f>
        <v>0.26312864684634618</v>
      </c>
    </row>
    <row r="10" spans="2:14" ht="15.75" x14ac:dyDescent="0.25">
      <c r="B10" s="58" t="s">
        <v>231</v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spans="2:14" ht="16.5" thickBot="1" x14ac:dyDescent="0.3">
      <c r="B11" s="59"/>
      <c r="C11" s="60" t="s">
        <v>225</v>
      </c>
      <c r="D11" s="60"/>
      <c r="E11" s="60"/>
      <c r="F11" s="60"/>
      <c r="G11" s="60" t="s">
        <v>226</v>
      </c>
      <c r="H11" s="60"/>
      <c r="I11" s="60"/>
      <c r="J11" s="60"/>
      <c r="K11" s="60" t="s">
        <v>227</v>
      </c>
      <c r="L11" s="60"/>
      <c r="M11" s="60"/>
      <c r="N11" s="60"/>
    </row>
    <row r="12" spans="2:14" ht="15.75" thickBot="1" x14ac:dyDescent="0.3">
      <c r="B12" s="59"/>
      <c r="C12" s="61">
        <v>45078</v>
      </c>
      <c r="D12" s="62">
        <v>45170</v>
      </c>
      <c r="E12" s="62">
        <v>45261</v>
      </c>
      <c r="F12" s="63">
        <v>45352</v>
      </c>
      <c r="G12" s="61">
        <v>45444</v>
      </c>
      <c r="H12" s="62">
        <v>45536</v>
      </c>
      <c r="I12" s="62">
        <v>45627</v>
      </c>
      <c r="J12" s="63">
        <v>45717</v>
      </c>
      <c r="K12" s="61">
        <v>45809</v>
      </c>
      <c r="L12" s="62">
        <v>45901</v>
      </c>
      <c r="M12" s="62">
        <v>45992</v>
      </c>
      <c r="N12" s="63">
        <v>46082</v>
      </c>
    </row>
    <row r="13" spans="2:14" ht="16.5" thickTop="1" thickBot="1" x14ac:dyDescent="0.3">
      <c r="B13" s="59" t="s">
        <v>228</v>
      </c>
      <c r="C13" s="64">
        <v>4073</v>
      </c>
      <c r="D13" s="65">
        <v>4107</v>
      </c>
      <c r="E13" s="65">
        <v>3841</v>
      </c>
      <c r="F13" s="66">
        <v>4009</v>
      </c>
      <c r="G13" s="64">
        <v>4313</v>
      </c>
      <c r="H13" s="65">
        <v>4267</v>
      </c>
      <c r="I13" s="65">
        <v>3849</v>
      </c>
      <c r="J13" s="66">
        <v>4159</v>
      </c>
      <c r="K13" s="64">
        <v>4510</v>
      </c>
      <c r="L13" s="65">
        <v>4178</v>
      </c>
      <c r="M13" s="65">
        <v>4030</v>
      </c>
      <c r="N13" s="66">
        <v>4551</v>
      </c>
    </row>
    <row r="14" spans="2:14" ht="15.75" x14ac:dyDescent="0.25">
      <c r="B14" s="59" t="s">
        <v>229</v>
      </c>
      <c r="C14" s="67">
        <v>16029</v>
      </c>
      <c r="D14" s="67"/>
      <c r="E14" s="67"/>
      <c r="F14" s="67"/>
      <c r="G14" s="67">
        <v>16588</v>
      </c>
      <c r="H14" s="67"/>
      <c r="I14" s="67"/>
      <c r="J14" s="67"/>
      <c r="K14" s="67">
        <v>17269</v>
      </c>
      <c r="L14" s="67"/>
      <c r="M14" s="67"/>
      <c r="N14" s="67"/>
    </row>
    <row r="15" spans="2:14" x14ac:dyDescent="0.25">
      <c r="B15" s="59" t="s">
        <v>230</v>
      </c>
      <c r="C15" s="68">
        <f>C13/$C$14</f>
        <v>0.25410194023332711</v>
      </c>
      <c r="D15" s="68">
        <f t="shared" ref="D15:F15" si="0">D13/$C$14</f>
        <v>0.25622309563915402</v>
      </c>
      <c r="E15" s="68">
        <f t="shared" si="0"/>
        <v>0.23962817393474328</v>
      </c>
      <c r="F15" s="68">
        <f t="shared" si="0"/>
        <v>0.2501091771164764</v>
      </c>
      <c r="G15" s="68">
        <f>G13/$G$14</f>
        <v>0.26000723414516519</v>
      </c>
      <c r="H15" s="68">
        <f t="shared" ref="H15:J15" si="1">H13/$G$14</f>
        <v>0.25723414516517967</v>
      </c>
      <c r="I15" s="68">
        <f t="shared" si="1"/>
        <v>0.23203520617313722</v>
      </c>
      <c r="J15" s="68">
        <f t="shared" si="1"/>
        <v>0.25072341451651797</v>
      </c>
      <c r="K15" s="68">
        <f>K13/$K$14</f>
        <v>0.26116161908622387</v>
      </c>
      <c r="L15" s="68">
        <f t="shared" ref="L15:N15" si="2">L13/$K$14</f>
        <v>0.24193641785859055</v>
      </c>
      <c r="M15" s="68">
        <f t="shared" si="2"/>
        <v>0.23336614743181425</v>
      </c>
      <c r="N15" s="68">
        <f t="shared" si="2"/>
        <v>0.26353581562337136</v>
      </c>
    </row>
    <row r="17" spans="2:9" x14ac:dyDescent="0.25">
      <c r="B17" s="69"/>
      <c r="C17" s="69"/>
      <c r="D17" s="69"/>
      <c r="E17" s="69"/>
      <c r="F17" s="69"/>
      <c r="G17" s="70" t="s">
        <v>231</v>
      </c>
      <c r="H17" s="70"/>
      <c r="I17" s="71"/>
    </row>
    <row r="18" spans="2:9" x14ac:dyDescent="0.25">
      <c r="B18" s="69"/>
      <c r="C18" s="70" t="s">
        <v>224</v>
      </c>
      <c r="D18" s="70"/>
      <c r="E18" s="70" t="s">
        <v>231</v>
      </c>
      <c r="F18" s="70"/>
      <c r="G18" s="72" t="s">
        <v>232</v>
      </c>
      <c r="H18" s="72" t="s">
        <v>233</v>
      </c>
      <c r="I18" s="78" t="s">
        <v>234</v>
      </c>
    </row>
    <row r="19" spans="2:9" x14ac:dyDescent="0.25">
      <c r="B19" s="73" t="s">
        <v>235</v>
      </c>
      <c r="C19" s="74">
        <f>AVERAGE($C$7,$G$7,$K$7)</f>
        <v>0.25712494528082136</v>
      </c>
      <c r="D19" s="75"/>
      <c r="E19" s="74">
        <f>AVERAGE($C$15,$G$15,$K$15)</f>
        <v>0.25842359782157204</v>
      </c>
      <c r="F19" s="75"/>
      <c r="G19" s="76">
        <f>$G$23*E19</f>
        <v>4992.6416387739328</v>
      </c>
      <c r="H19" s="76">
        <v>5319.09</v>
      </c>
      <c r="I19" s="79">
        <f>H19/G19-1</f>
        <v>6.5385898857790892E-2</v>
      </c>
    </row>
    <row r="20" spans="2:9" x14ac:dyDescent="0.25">
      <c r="B20" s="73" t="s">
        <v>236</v>
      </c>
      <c r="C20" s="74">
        <f>AVERAGE($D$7,$H$7,$L$7)</f>
        <v>0.25380720493088887</v>
      </c>
      <c r="D20" s="75"/>
      <c r="E20" s="74">
        <f>AVERAGE($D$15,$H$15,$L$15)</f>
        <v>0.25179788622097471</v>
      </c>
      <c r="F20" s="75"/>
      <c r="G20" s="76">
        <f t="shared" ref="G20:G22" si="3">$G$23*E20</f>
        <v>4864.6355127757588</v>
      </c>
      <c r="H20" s="69"/>
      <c r="I20" s="71"/>
    </row>
    <row r="21" spans="2:9" x14ac:dyDescent="0.25">
      <c r="B21" s="73" t="s">
        <v>237</v>
      </c>
      <c r="C21" s="74">
        <f>AVERAGE($E$7,$I$7,$M$7)</f>
        <v>0.23460465808910372</v>
      </c>
      <c r="D21" s="75"/>
      <c r="E21" s="74">
        <f>AVERAGE($E$15,$I$15,$M$15)</f>
        <v>0.23500984251323156</v>
      </c>
      <c r="F21" s="75"/>
      <c r="G21" s="76">
        <f t="shared" si="3"/>
        <v>4540.2971522104581</v>
      </c>
      <c r="H21" s="69"/>
      <c r="I21" s="71"/>
    </row>
    <row r="22" spans="2:9" x14ac:dyDescent="0.25">
      <c r="B22" s="73" t="s">
        <v>238</v>
      </c>
      <c r="C22" s="74">
        <f>AVERAGE($F$7,$J$7,$N$7)</f>
        <v>0.25448171536316672</v>
      </c>
      <c r="D22" s="75"/>
      <c r="E22" s="74">
        <f>AVERAGE($F$15,$J$15,$N$15)</f>
        <v>0.25478946908545524</v>
      </c>
      <c r="F22" s="75"/>
      <c r="G22" s="76">
        <f t="shared" si="3"/>
        <v>4922.4317097986041</v>
      </c>
      <c r="H22" s="69"/>
      <c r="I22" s="71"/>
    </row>
    <row r="23" spans="2:9" x14ac:dyDescent="0.25">
      <c r="B23" s="69"/>
      <c r="C23" s="69"/>
      <c r="D23" s="69"/>
      <c r="E23" s="69"/>
      <c r="F23" s="69"/>
      <c r="G23" s="77">
        <f>'Executive Summary'!F12</f>
        <v>19319.604249999997</v>
      </c>
      <c r="H23" s="77">
        <f>H19/E19</f>
        <v>20582.833939463042</v>
      </c>
      <c r="I23" s="79">
        <f>H23/G23-1</f>
        <v>6.5385898857790892E-2</v>
      </c>
    </row>
  </sheetData>
  <mergeCells count="25">
    <mergeCell ref="C21:D21"/>
    <mergeCell ref="E21:F21"/>
    <mergeCell ref="C22:D22"/>
    <mergeCell ref="E22:F22"/>
    <mergeCell ref="G17:H17"/>
    <mergeCell ref="C18:D18"/>
    <mergeCell ref="E18:F18"/>
    <mergeCell ref="C19:D19"/>
    <mergeCell ref="E19:F19"/>
    <mergeCell ref="C20:D20"/>
    <mergeCell ref="E20:F20"/>
    <mergeCell ref="B10:N10"/>
    <mergeCell ref="C11:F11"/>
    <mergeCell ref="G11:J11"/>
    <mergeCell ref="K11:N11"/>
    <mergeCell ref="C14:F14"/>
    <mergeCell ref="G14:J14"/>
    <mergeCell ref="K14:N14"/>
    <mergeCell ref="B2:N2"/>
    <mergeCell ref="C3:F3"/>
    <mergeCell ref="G3:J3"/>
    <mergeCell ref="K3:N3"/>
    <mergeCell ref="C6:F6"/>
    <mergeCell ref="G6:J6"/>
    <mergeCell ref="K6:N6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8" r:id="rId3" name="Drop Down 2">
              <controlPr defaultSize="0" autoLine="0" autoPict="0">
                <anchor moveWithCells="1">
                  <from>
                    <xdr:col>15</xdr:col>
                    <xdr:colOff>9525</xdr:colOff>
                    <xdr:row>5</xdr:row>
                    <xdr:rowOff>0</xdr:rowOff>
                  </from>
                  <to>
                    <xdr:col>17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Assumptions</vt:lpstr>
      <vt:lpstr>P&amp;L</vt:lpstr>
      <vt:lpstr>Balance Sheet</vt:lpstr>
      <vt:lpstr>Cash Flow</vt:lpstr>
      <vt:lpstr>DCF &amp; SOTP</vt:lpstr>
      <vt:lpstr>Ratios</vt:lpstr>
      <vt:lpstr>Actuals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Deepesh Joshi</cp:lastModifiedBy>
  <cp:revision>0</cp:revision>
  <dcterms:created xsi:type="dcterms:W3CDTF">2026-07-15T09:30:32Z</dcterms:created>
  <dcterms:modified xsi:type="dcterms:W3CDTF">2026-07-30T08:12:48Z</dcterms:modified>
  <dc:language>en-US</dc:language>
</cp:coreProperties>
</file>